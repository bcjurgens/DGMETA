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"/>
    </mc:Choice>
  </mc:AlternateContent>
  <xr:revisionPtr revIDLastSave="0" documentId="13_ncr:1_{9F961414-A436-4D88-8A8F-CEB04A92C0E2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externalReferences>
    <externalReference r:id="rId4"/>
    <externalReference r:id="rId5"/>
    <externalReference r:id="rId6"/>
    <externalReference r:id="rId7"/>
  </externalReferences>
  <definedNames>
    <definedName name="_NO3">#REF!</definedName>
    <definedName name="_PC2">#REF!</definedName>
    <definedName name="avg">[1]Sheet1!$A$102</definedName>
    <definedName name="Backsolve">[2]!Backsolve</definedName>
    <definedName name="_xlnm.Database">#REF!</definedName>
    <definedName name="Macro2">[3]!Macro2</definedName>
    <definedName name="Parm">#REF!</definedName>
    <definedName name="ParmName">#REF!</definedName>
    <definedName name="PC">#REF!</definedName>
    <definedName name="Percent_Mantle_Helium">[4]TerrigenicHelium!$T$2</definedName>
    <definedName name="phi">[1]AgeCalculations!$BN$6</definedName>
    <definedName name="_xlnm.Print_Area">[1]AgeCalculations!#REF!</definedName>
    <definedName name="rho">[1]AgeCalculations!$BN$5</definedName>
    <definedName name="State_Province_Code">#REF!</definedName>
    <definedName name="stdev">[1]Sheet1!$A$101</definedName>
    <definedName name="Thppm">[1]AgeCalculations!$BN$4</definedName>
    <definedName name="Uppm">[1]AgeCalculations!$BN$3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<sst xmlns="http://schemas.openxmlformats.org/spreadsheetml/2006/main" count="696" uniqueCount="234">
  <si>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</si>
  <si>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</si>
  <si>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</si>
  <si>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</si>
  <si>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</si>
  <si>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</si>
  <si>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</si>
  <si>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</si>
  <si>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</si>
  <si>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</si>
  <si>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</si>
  <si>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</si>
  <si>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</si>
  <si>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</si>
  <si>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</si>
  <si>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</si>
  <si>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</si>
  <si>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</si>
  <si>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</si>
  <si>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</si>
  <si>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</si>
  <si>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</si>
  <si>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</si>
  <si>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</si>
  <si>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</si>
  <si>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</si>
  <si>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</si>
  <si>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</si>
  <si>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</si>
  <si>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</si>
  <si>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</si>
  <si>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</si>
  <si>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</si>
  <si>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</si>
  <si>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</si>
  <si>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</si>
  <si>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</si>
  <si>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</si>
  <si>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</si>
  <si>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</si>
  <si>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</si>
  <si>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</si>
  <si>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</si>
  <si>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</si>
  <si>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</si>
  <si>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</si>
  <si>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</si>
  <si>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</si>
  <si>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</si>
  <si>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</si>
  <si>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</si>
  <si>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</si>
  <si>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</si>
  <si>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</si>
  <si>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</si>
  <si>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</si>
  <si>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</si>
  <si>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</si>
  <si>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</si>
  <si>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</si>
  <si>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</si>
  <si>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</si>
  <si>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</si>
  <si>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</si>
  <si>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</si>
  <si>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</si>
  <si>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</si>
  <si>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</si>
  <si>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</si>
  <si>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</si>
  <si>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</si>
  <si>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</si>
  <si>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</si>
  <si>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</si>
  <si>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</si>
  <si>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</si>
  <si>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</si>
  <si>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</si>
  <si>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</si>
  <si>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</si>
  <si>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</si>
  <si>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</si>
  <si>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</si>
  <si>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</si>
  <si>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</si>
  <si>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</si>
  <si>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</si>
  <si>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</si>
  <si>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</si>
  <si>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</si>
  <si>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</si>
  <si>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</si>
  <si>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</si>
  <si>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</si>
  <si>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</si>
  <si>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</si>
  <si>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</si>
  <si>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</si>
  <si>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</si>
  <si>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</si>
  <si>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</si>
  <si>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</si>
  <si>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</si>
  <si>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</si>
  <si>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</si>
  <si>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</si>
  <si>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</si>
  <si>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</si>
  <si>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</si>
  <si>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</si>
  <si>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</si>
  <si>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</si>
  <si>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</si>
  <si>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</si>
  <si>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</si>
  <si>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</si>
  <si>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</si>
  <si>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</si>
  <si>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</si>
  <si>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</si>
  <si>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</si>
  <si>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</si>
  <si>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</si>
  <si>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</si>
  <si>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</si>
  <si>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</si>
  <si>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</si>
  <si>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</si>
  <si>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</si>
  <si>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</si>
  <si>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</si>
  <si>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</si>
  <si>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</si>
  <si>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</si>
  <si>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</si>
  <si>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</si>
  <si>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</si>
  <si>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</si>
  <si>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</si>
  <si>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</si>
  <si>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</si>
  <si>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</si>
  <si>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</si>
  <si>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</si>
  <si>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</si>
  <si>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</si>
  <si>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</si>
  <si>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</si>
  <si>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</si>
  <si>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</si>
  <si>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</si>
  <si>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</si>
  <si>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</si>
  <si>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</si>
  <si>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</si>
  <si>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</si>
  <si>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</si>
  <si>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</si>
  <si>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</si>
  <si>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</si>
  <si>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</si>
  <si>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</si>
  <si>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</si>
  <si>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</si>
  <si>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</si>
  <si>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</si>
  <si>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</si>
  <si>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</si>
  <si>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</si>
  <si>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</si>
  <si>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</si>
  <si>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</si>
  <si>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</si>
  <si>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</si>
  <si>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</si>
  <si>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</si>
  <si>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</si>
  <si>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</si>
  <si>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</si>
  <si>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</si>
  <si>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</si>
  <si>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</si>
  <si>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</si>
  <si>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</si>
  <si>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</si>
  <si>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</si>
  <si>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</si>
  <si>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</si>
  <si>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</si>
  <si>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</si>
  <si>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</si>
  <si>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</si>
  <si>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</si>
  <si>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</si>
  <si>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</si>
  <si>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</si>
  <si>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</si>
  <si>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</si>
  <si>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</si>
  <si>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</si>
  <si>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</si>
  <si>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</si>
  <si>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</si>
  <si>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</si>
  <si>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</si>
  <si>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</si>
  <si>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</si>
  <si>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</si>
  <si>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</si>
  <si>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</si>
  <si>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</si>
  <si>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</si>
  <si>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</si>
  <si>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</si>
  <si>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</si>
  <si>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</si>
  <si>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</si>
  <si>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</si>
  <si>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</si>
  <si>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</si>
  <si>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</si>
  <si>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</si>
  <si>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</si>
  <si>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</si>
  <si>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</si>
  <si>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</si>
  <si>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</si>
  <si>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</si>
  <si>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Salinity, per mil</t>
  </si>
  <si>
    <t>Elevation, meters above sea level</t>
  </si>
  <si>
    <t>Temp, celsius</t>
  </si>
  <si>
    <t>Excess Air, cc/kg</t>
  </si>
  <si>
    <t>Excess N2, mg/L as N</t>
  </si>
  <si>
    <t>Initial Air-Water Model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</si>
</sst>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</cellStyleXfs>
  <cellXfs count="56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Data/Working_StudyUnit_Files/1_PBAP_STUDIES/8_KERN/KERN%20Assessment%20Report/SIR_old/KERN_Analysis/RechargeTemp/KernRechargeTemp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isgas/GA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isgas/Gas_calc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Data/Report_Activities/NobleGases&amp;AgeDates/Formulas/REDSAC_NG_AgeDateCal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Input"/>
      <sheetName val="RechargeTemp"/>
      <sheetName val="Solubilities"/>
      <sheetName val="Models"/>
      <sheetName val="ExcessAirGraphs"/>
      <sheetName val="U_TH_SUs"/>
      <sheetName val="AgeCalculations"/>
      <sheetName val="Constants"/>
      <sheetName val="TerrigenicHelium"/>
      <sheetName val="CaliforniaTrit"/>
      <sheetName val="Trit_3He_Graphs"/>
    </sheetNames>
    <sheetDataSet>
      <sheetData sheetId="0">
        <row r="101">
          <cell r="A101">
            <v>0.4</v>
          </cell>
        </row>
        <row r="102">
          <cell r="A102">
            <v>5.0000000000004555E-3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N3">
            <v>2.6507999999999998</v>
          </cell>
        </row>
        <row r="4">
          <cell r="BN4">
            <v>8.3040400000000005</v>
          </cell>
        </row>
        <row r="5">
          <cell r="BN5">
            <v>1.8</v>
          </cell>
        </row>
        <row r="6">
          <cell r="BN6">
            <v>0.25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ksolve"/>
      <sheetName val="coversion"/>
      <sheetName val="GAS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Module1"/>
    </sheetNames>
    <definedNames>
      <definedName name="Backsolv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s_calc"/>
    </sheetNames>
    <definedNames>
      <definedName name="Macro2"/>
    </defined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Input"/>
      <sheetName val="RechargeTemp"/>
      <sheetName val="NG_Model_Reruns"/>
      <sheetName val="NG_Model_Results"/>
      <sheetName val="Solubilities"/>
      <sheetName val="Models"/>
      <sheetName val="U_TH_SUs"/>
      <sheetName val="TerrigenicHelium"/>
      <sheetName val="AgeCalculations"/>
      <sheetName val="Constants"/>
      <sheetName val="CaliforniaTrit"/>
      <sheetName val="PubTbl"/>
      <sheetName val="Trit_3He_Graph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T2">
            <v>5.7856587518893561E-2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4" t="s">
        <v>8</v>
      </c>
      <c r="D6" s="44"/>
      <c r="E6" s="44"/>
      <c r="F6" s="44"/>
      <c r="G6" s="44"/>
    </row>
    <row r="7" spans="1:31">
      <c r="A7" s="3" t="s">
        <v>9</v>
      </c>
      <c r="B7" s="6" t="s">
        <v>10</v>
      </c>
      <c r="C7" s="43" t="s">
        <v>11</v>
      </c>
      <c r="D7" s="43"/>
      <c r="E7" s="43"/>
      <c r="F7" s="43"/>
      <c r="G7" s="43"/>
    </row>
    <row r="8" spans="1:31">
      <c r="A8" s="3" t="s">
        <v>12</v>
      </c>
      <c r="B8" s="6" t="s">
        <v>13</v>
      </c>
      <c r="C8" s="43" t="s">
        <v>14</v>
      </c>
      <c r="D8" s="43"/>
      <c r="E8" s="43"/>
      <c r="F8" s="43"/>
      <c r="G8" s="43"/>
    </row>
    <row r="9" spans="1:31">
      <c r="A9" s="3" t="s">
        <v>15</v>
      </c>
      <c r="B9" s="6" t="s">
        <v>16</v>
      </c>
      <c r="C9" s="43" t="s">
        <v>17</v>
      </c>
      <c r="D9" s="43"/>
      <c r="E9" s="43"/>
      <c r="F9" s="43"/>
      <c r="G9" s="43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4" t="s">
        <v>8</v>
      </c>
      <c r="C12" s="44"/>
      <c r="D12" s="44"/>
      <c r="E12" s="44"/>
      <c r="F12" s="44"/>
      <c r="G12" s="44"/>
      <c r="H12" s="44"/>
      <c r="I12" s="44"/>
    </row>
    <row r="13" spans="1:31">
      <c r="A13" s="2" t="s">
        <v>20</v>
      </c>
      <c r="B13" s="43" t="s">
        <v>21</v>
      </c>
      <c r="C13" s="43"/>
      <c r="D13" s="43"/>
      <c r="E13" s="43"/>
      <c r="F13" s="43"/>
      <c r="G13" s="43"/>
      <c r="H13" s="43"/>
      <c r="I13" s="43"/>
    </row>
    <row r="14" spans="1:31">
      <c r="A14" s="2" t="s">
        <v>22</v>
      </c>
      <c r="B14" s="43" t="s">
        <v>23</v>
      </c>
      <c r="C14" s="43"/>
      <c r="D14" s="43"/>
      <c r="E14" s="43"/>
      <c r="F14" s="43"/>
      <c r="G14" s="43"/>
      <c r="H14" s="43"/>
      <c r="I14" s="43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4" t="s">
        <v>29</v>
      </c>
      <c r="D21" s="44"/>
      <c r="E21" s="44"/>
      <c r="F21" s="44"/>
      <c r="G21" s="44"/>
      <c r="H21" s="44"/>
      <c r="I21" s="44"/>
      <c r="J21" s="44"/>
      <c r="K21" s="44"/>
      <c r="L21" s="44"/>
      <c r="M21" s="44"/>
    </row>
    <row r="22" spans="1:38" ht="18.75">
      <c r="A22" s="2" t="s">
        <v>30</v>
      </c>
      <c r="B22" s="6">
        <v>1</v>
      </c>
      <c r="C22" s="41" t="s">
        <v>31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</row>
    <row r="23" spans="1:38" ht="18.75">
      <c r="A23" s="2" t="s">
        <v>32</v>
      </c>
      <c r="B23" s="6">
        <v>2</v>
      </c>
      <c r="C23" s="41" t="s">
        <v>33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</row>
    <row r="24" spans="1:38" ht="18">
      <c r="A24" s="2" t="s">
        <v>34</v>
      </c>
      <c r="B24" s="6">
        <v>3</v>
      </c>
      <c r="C24" s="41" t="s">
        <v>35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</row>
    <row r="25" spans="1:38" ht="18.75">
      <c r="A25" s="2" t="s">
        <v>36</v>
      </c>
      <c r="B25" s="6">
        <v>4</v>
      </c>
      <c r="C25" s="41" t="s">
        <v>37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</row>
    <row r="26" spans="1:38" ht="18.75">
      <c r="A26" s="2" t="s">
        <v>38</v>
      </c>
      <c r="B26" s="6">
        <v>5</v>
      </c>
      <c r="C26" s="41" t="s">
        <v>39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2" t="s">
        <v>42</v>
      </c>
      <c r="F29" s="42"/>
      <c r="G29" s="42"/>
      <c r="H29" s="42"/>
      <c r="I29" s="42"/>
      <c r="J29" s="42"/>
      <c r="K29" s="42"/>
      <c r="L29" s="42"/>
      <c r="M29" s="42"/>
      <c r="N29" s="42"/>
      <c r="O29" s="42"/>
      <c r="Y29" s="42" t="s">
        <v>218</v>
      </c>
      <c r="Z29" s="42"/>
      <c r="AA29" s="42"/>
      <c r="AB29" s="12"/>
      <c r="AC29" s="42" t="s">
        <v>43</v>
      </c>
      <c r="AD29" s="42"/>
      <c r="AE29" s="42"/>
      <c r="AF29" s="42"/>
      <c r="AG29" s="42"/>
      <c r="AH29" s="42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208</v>
      </c>
      <c r="S30" s="5" t="s">
        <v>61</v>
      </c>
      <c r="T30" s="5" t="s">
        <v>213</v>
      </c>
      <c r="U30" s="5" t="s">
        <v>214</v>
      </c>
      <c r="V30" s="5" t="s">
        <v>215</v>
      </c>
      <c r="W30" s="5" t="s">
        <v>216</v>
      </c>
      <c r="X30" s="5" t="s">
        <v>62</v>
      </c>
      <c r="Y30" s="5" t="s">
        <v>220</v>
      </c>
      <c r="Z30" s="5" t="s">
        <v>217</v>
      </c>
      <c r="AA30" s="5" t="s">
        <v>219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227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223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222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223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226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223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225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223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224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223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209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B13:I13"/>
    <mergeCell ref="C6:G6"/>
    <mergeCell ref="C7:G7"/>
    <mergeCell ref="C8:G8"/>
    <mergeCell ref="C9:G9"/>
    <mergeCell ref="B12:I12"/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3"/>
  <sheetViews>
    <sheetView tabSelected="1" workbookViewId="0">
      <pane ySplit="3" topLeftCell="A4" activePane="bottomLeft" state="frozen"/>
      <selection pane="bottomLeft" activeCell="F4" sqref="F4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.6640625" style="21" customWidth="1"/>
    <col min="7" max="7" width="11.6640625" style="21" customWidth="1"/>
    <col min="8" max="10" width="9.33203125" style="21"/>
    <col min="11" max="11" width="11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233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 ht="15" customHeight="1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228</v>
      </c>
      <c r="G2" s="46" t="s">
        <v>229</v>
      </c>
      <c r="H2" s="46" t="s">
        <v>230</v>
      </c>
      <c r="I2" s="46" t="s">
        <v>231</v>
      </c>
      <c r="J2" s="46" t="s">
        <v>173</v>
      </c>
      <c r="K2" s="46" t="s">
        <v>232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221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FBBCF217-3CAC-4E3A-A669-17A546389D3B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CA68BA19-A6E7-45E5-A742-8F9872ACD006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3"/>
  <sheetViews>
    <sheetView workbookViewId="0">
      <pane ySplit="3" topLeftCell="A4" activePane="bottomLeft" state="frozen"/>
      <selection pane="bottomLeft" activeCell="A95" sqref="A95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8" style="21" bestFit="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46" t="s">
        <v>168</v>
      </c>
      <c r="B2" s="46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212</v>
      </c>
      <c r="H2" s="26" t="s">
        <v>196</v>
      </c>
      <c r="I2" s="26" t="s">
        <v>210</v>
      </c>
      <c r="J2" s="26" t="s">
        <v>197</v>
      </c>
      <c r="K2" s="26" t="s">
        <v>211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47"/>
      <c r="B3" s="47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96A8AE7C-D524-46A1-BC01-AE6F5B14B767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A678BC57-E520-47FE-AB9C-C985D5226703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  <group id="Format" label="Formatting">
          <button id="customButton7" label="Output to flat-file" size="large" onAction="ReformatDGMETAout" imageMso="CacheListData" screentip="Click this button to reformat a ModOut worksheet into flat file for export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2019-08-12T21:31:33Z</dcterms:modified>
</cp:coreProperties>
</file>