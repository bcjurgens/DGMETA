
<file path=[Content_Types].xml><?xml version="1.0" encoding="utf-8"?>
<Types xmlns="http://schemas.openxmlformats.org/package/2006/content-types">
  <Default Extension="bin" ContentType="application/vnd.openxmlformats-officedocument.spreadsheetml.printerSettings"/>
  <Default Extension="jpg" ContentType="image/.jp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8d78baa40ff4bc1"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bjurgens\Documents\GitHub\DGMETA\"/>
    </mc:Choice>
  </mc:AlternateContent>
  <xr:revisionPtr revIDLastSave="0" documentId="13_ncr:1_{90B4EE2C-2625-4CC8-8917-1C606339C043}" xr6:coauthVersionLast="45" xr6:coauthVersionMax="45" xr10:uidLastSave="{00000000-0000-0000-0000-000000000000}"/>
  <bookViews>
    <workbookView xWindow="28692" yWindow="-108" windowWidth="25416" windowHeight="15372" activeTab="5" xr2:uid="{70B0DDF8-EEF4-422F-A291-FA7B2B31B8DD}"/>
  </bookViews>
  <sheets>
    <sheet name="SuppInfo" sheetId="11" r:id="rId1"/>
    <sheet name="Database" sheetId="2" r:id="rId2"/>
    <sheet name="Input_Gases" sheetId="3" r:id="rId3"/>
    <sheet name="Input_Tracers" sheetId="4" r:id="rId4"/>
    <sheet name="TX_Graphs" sheetId="13" r:id="rId5"/>
    <sheet name="TX_Final_ModOut" sheetId="12" r:id="rId6"/>
    <sheet name="TX_TrcOut" sheetId="14" r:id="rId7"/>
    <sheet name="TX_AvgVal" sheetId="15" r:id="rId8"/>
    <sheet name="TX_AvgFlt" sheetId="16" r:id="rId9"/>
  </sheets>
  <functionGroups builtInGroupCount="19"/>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F16" i="14" l="1"/>
  <c r="CE16" i="14"/>
  <c r="CD16" i="14"/>
  <c r="CC16" i="14"/>
  <c r="CF15" i="14"/>
  <c r="CE15" i="14"/>
  <c r="CD15" i="14"/>
  <c r="CC15" i="14"/>
  <c r="CF14" i="14"/>
  <c r="CE14" i="14"/>
  <c r="CD14" i="14"/>
  <c r="CC14" i="14"/>
  <c r="CF13" i="14"/>
  <c r="CE13" i="14"/>
  <c r="CD13" i="14"/>
  <c r="CC13" i="14"/>
  <c r="CF12" i="14"/>
  <c r="CE12" i="14"/>
  <c r="CD12" i="14"/>
  <c r="CC12" i="14"/>
  <c r="CF6" i="14"/>
  <c r="CE6" i="14"/>
  <c r="CD6" i="14"/>
  <c r="CC6" i="14"/>
  <c r="CF5" i="14"/>
  <c r="CC5" i="14"/>
  <c r="BR93" i="14"/>
  <c r="BK93" i="14"/>
  <c r="BN93" i="14"/>
  <c r="BM93" i="14"/>
  <c r="BO93" i="14"/>
  <c r="BP93" i="14"/>
  <c r="BL93" i="14"/>
  <c r="BR92" i="14"/>
  <c r="BK92" i="14"/>
  <c r="BN92" i="14"/>
  <c r="BM92" i="14"/>
  <c r="BO92" i="14"/>
  <c r="BP92" i="14"/>
  <c r="BL92" i="14"/>
  <c r="BR91" i="14"/>
  <c r="BK91" i="14"/>
  <c r="BN91" i="14"/>
  <c r="BM91" i="14"/>
  <c r="BO91" i="14"/>
  <c r="BP91" i="14"/>
  <c r="BL91" i="14"/>
  <c r="BR90" i="14"/>
  <c r="BK90" i="14"/>
  <c r="BN90" i="14"/>
  <c r="BM90" i="14"/>
  <c r="BO90" i="14"/>
  <c r="BP90" i="14"/>
  <c r="BL90" i="14"/>
  <c r="BR89" i="14"/>
  <c r="BK89" i="14"/>
  <c r="BN89" i="14"/>
  <c r="BM89" i="14"/>
  <c r="BO89" i="14"/>
  <c r="BP89" i="14"/>
  <c r="BL89" i="14"/>
  <c r="BR88" i="14"/>
  <c r="BK88" i="14"/>
  <c r="BN88" i="14"/>
  <c r="BM88" i="14"/>
  <c r="BO88" i="14"/>
  <c r="BP88" i="14"/>
  <c r="BL88" i="14"/>
  <c r="BR87" i="14"/>
  <c r="BK87" i="14"/>
  <c r="BN87" i="14"/>
  <c r="BM87" i="14"/>
  <c r="BO87" i="14"/>
  <c r="BP87" i="14"/>
  <c r="BL87" i="14"/>
  <c r="BR86" i="14"/>
  <c r="BK86" i="14"/>
  <c r="BN86" i="14"/>
  <c r="BM86" i="14"/>
  <c r="BO86" i="14"/>
  <c r="BP86" i="14"/>
  <c r="BL86" i="14"/>
  <c r="BR85" i="14"/>
  <c r="BK85" i="14"/>
  <c r="BN85" i="14"/>
  <c r="BM85" i="14"/>
  <c r="BO85" i="14"/>
  <c r="BP85" i="14"/>
  <c r="BL85" i="14"/>
  <c r="BR84" i="14"/>
  <c r="BK84" i="14"/>
  <c r="BN84" i="14"/>
  <c r="BM84" i="14"/>
  <c r="BO84" i="14"/>
  <c r="BP84" i="14"/>
  <c r="BL84" i="14"/>
  <c r="BR83" i="14"/>
  <c r="BK83" i="14"/>
  <c r="BN83" i="14"/>
  <c r="BM83" i="14"/>
  <c r="BO83" i="14"/>
  <c r="BP83" i="14"/>
  <c r="BL83" i="14"/>
  <c r="BR82" i="14"/>
  <c r="BK82" i="14"/>
  <c r="BN82" i="14"/>
  <c r="BM82" i="14"/>
  <c r="BO82" i="14"/>
  <c r="BP82" i="14"/>
  <c r="BL82" i="14"/>
  <c r="BR73" i="14"/>
  <c r="BK73" i="14"/>
  <c r="BN73" i="14"/>
  <c r="BM73" i="14"/>
  <c r="BO73" i="14"/>
  <c r="BP73" i="14"/>
  <c r="BL73" i="14"/>
  <c r="BR72" i="14"/>
  <c r="BK72" i="14"/>
  <c r="BN72" i="14"/>
  <c r="BM72" i="14"/>
  <c r="BO72" i="14"/>
  <c r="BP72" i="14"/>
  <c r="BL72" i="14"/>
  <c r="BR71" i="14"/>
  <c r="BK71" i="14"/>
  <c r="BN71" i="14"/>
  <c r="BM71" i="14"/>
  <c r="BO71" i="14"/>
  <c r="BP71" i="14"/>
  <c r="BL71" i="14"/>
  <c r="BR70" i="14"/>
  <c r="BK70" i="14"/>
  <c r="BN70" i="14"/>
  <c r="BM70" i="14"/>
  <c r="BO70" i="14"/>
  <c r="BP70" i="14"/>
  <c r="BL70" i="14"/>
  <c r="BR69" i="14"/>
  <c r="BK69" i="14"/>
  <c r="BN69" i="14"/>
  <c r="BM69" i="14"/>
  <c r="BO69" i="14"/>
  <c r="BP69" i="14"/>
  <c r="BL69" i="14"/>
  <c r="BR68" i="14"/>
  <c r="BK68" i="14"/>
  <c r="BN68" i="14"/>
  <c r="BM68" i="14"/>
  <c r="BO68" i="14"/>
  <c r="BP68" i="14"/>
  <c r="BL68" i="14"/>
  <c r="BR67" i="14"/>
  <c r="BK67" i="14"/>
  <c r="BN67" i="14"/>
  <c r="BM67" i="14"/>
  <c r="BO67" i="14"/>
  <c r="BP67" i="14"/>
  <c r="BL67" i="14"/>
  <c r="BR66" i="14"/>
  <c r="BK66" i="14"/>
  <c r="BN66" i="14"/>
  <c r="BM66" i="14"/>
  <c r="BO66" i="14"/>
  <c r="BP66" i="14"/>
  <c r="BL66" i="14"/>
  <c r="BR65" i="14"/>
  <c r="BK65" i="14"/>
  <c r="BN65" i="14"/>
  <c r="BM65" i="14"/>
  <c r="BO65" i="14"/>
  <c r="BP65" i="14"/>
  <c r="BL65" i="14"/>
  <c r="BR64" i="14"/>
  <c r="BK64" i="14"/>
  <c r="BN64" i="14"/>
  <c r="BM64" i="14"/>
  <c r="BO64" i="14"/>
  <c r="BP64" i="14"/>
  <c r="BL64" i="14"/>
  <c r="BR57" i="14"/>
  <c r="BK57" i="14"/>
  <c r="BN57" i="14"/>
  <c r="BM57" i="14"/>
  <c r="BO57" i="14"/>
  <c r="BP57" i="14"/>
  <c r="BL57" i="14"/>
  <c r="BR56" i="14"/>
  <c r="BK56" i="14"/>
  <c r="BN56" i="14"/>
  <c r="BM56" i="14"/>
  <c r="BO56" i="14"/>
  <c r="BP56" i="14"/>
  <c r="BL56" i="14"/>
  <c r="BR55" i="14"/>
  <c r="BK55" i="14"/>
  <c r="BN55" i="14"/>
  <c r="BM55" i="14"/>
  <c r="BO55" i="14"/>
  <c r="BP55" i="14"/>
  <c r="BL55" i="14"/>
  <c r="BR54" i="14"/>
  <c r="BK54" i="14"/>
  <c r="BN54" i="14"/>
  <c r="BM54" i="14"/>
  <c r="BO54" i="14"/>
  <c r="BP54" i="14"/>
  <c r="BL54" i="14"/>
  <c r="BR53" i="14"/>
  <c r="BK53" i="14"/>
  <c r="BN53" i="14"/>
  <c r="BM53" i="14"/>
  <c r="BO53" i="14"/>
  <c r="BP53" i="14"/>
  <c r="BL53" i="14"/>
  <c r="BR52" i="14"/>
  <c r="BK52" i="14"/>
  <c r="BN52" i="14"/>
  <c r="BM52" i="14"/>
  <c r="BO52" i="14"/>
  <c r="BP52" i="14"/>
  <c r="BL52" i="14"/>
  <c r="BR51" i="14"/>
  <c r="BK51" i="14"/>
  <c r="BN51" i="14"/>
  <c r="BM51" i="14"/>
  <c r="BO51" i="14"/>
  <c r="BP51" i="14"/>
  <c r="BL51" i="14"/>
  <c r="BR50" i="14"/>
  <c r="BK50" i="14"/>
  <c r="BN50" i="14"/>
  <c r="BM50" i="14"/>
  <c r="BO50" i="14"/>
  <c r="BP50" i="14"/>
  <c r="BL50" i="14"/>
  <c r="BR49" i="14"/>
  <c r="BK49" i="14"/>
  <c r="BN49" i="14"/>
  <c r="BM49" i="14"/>
  <c r="BO49" i="14"/>
  <c r="BP49" i="14"/>
  <c r="BL49" i="14"/>
  <c r="BR48" i="14"/>
  <c r="BK48" i="14"/>
  <c r="BN48" i="14"/>
  <c r="BM48" i="14"/>
  <c r="BO48" i="14"/>
  <c r="BP48" i="14"/>
  <c r="BL48" i="14"/>
  <c r="BR47" i="14"/>
  <c r="BK47" i="14"/>
  <c r="BN47" i="14"/>
  <c r="BM47" i="14"/>
  <c r="BO47" i="14"/>
  <c r="BP47" i="14"/>
  <c r="BL47" i="14"/>
  <c r="BR46" i="14"/>
  <c r="BK46" i="14"/>
  <c r="BN46" i="14"/>
  <c r="BM46" i="14"/>
  <c r="BO46" i="14"/>
  <c r="BP46" i="14"/>
  <c r="BL46" i="14"/>
  <c r="BR45" i="14"/>
  <c r="BK45" i="14"/>
  <c r="BN45" i="14"/>
  <c r="BM45" i="14"/>
  <c r="BO45" i="14"/>
  <c r="BP45" i="14"/>
  <c r="BL45" i="14"/>
  <c r="BR44" i="14"/>
  <c r="BK44" i="14"/>
  <c r="BN44" i="14"/>
  <c r="BM44" i="14"/>
  <c r="BO44" i="14"/>
  <c r="BP44" i="14"/>
  <c r="BL44" i="14"/>
  <c r="BR43" i="14"/>
  <c r="BK43" i="14"/>
  <c r="BN43" i="14"/>
  <c r="BM43" i="14"/>
  <c r="BO43" i="14"/>
  <c r="BP43" i="14"/>
  <c r="BL43" i="14"/>
  <c r="BR42" i="14"/>
  <c r="BK42" i="14"/>
  <c r="BN42" i="14"/>
  <c r="BM42" i="14"/>
  <c r="BO42" i="14"/>
  <c r="BP42" i="14"/>
  <c r="BL42" i="14"/>
  <c r="BR41" i="14"/>
  <c r="BK41" i="14"/>
  <c r="BN41" i="14"/>
  <c r="BM41" i="14"/>
  <c r="BO41" i="14"/>
  <c r="BP41" i="14"/>
  <c r="BL41" i="14"/>
  <c r="BR40" i="14"/>
  <c r="BK40" i="14"/>
  <c r="BN40" i="14"/>
  <c r="BM40" i="14"/>
  <c r="BO40" i="14"/>
  <c r="BP40" i="14"/>
  <c r="BL40" i="14"/>
  <c r="BR39" i="14"/>
  <c r="BK39" i="14"/>
  <c r="BN39" i="14"/>
  <c r="BM39" i="14"/>
  <c r="BO39" i="14"/>
  <c r="BP39" i="14"/>
  <c r="BL39" i="14"/>
  <c r="BR38" i="14"/>
  <c r="BK38" i="14"/>
  <c r="BN38" i="14"/>
  <c r="BM38" i="14"/>
  <c r="BO38" i="14"/>
  <c r="BP38" i="14"/>
  <c r="BL38" i="14"/>
  <c r="BR37" i="14"/>
  <c r="BK37" i="14"/>
  <c r="BN37" i="14"/>
  <c r="BM37" i="14"/>
  <c r="BO37" i="14"/>
  <c r="BP37" i="14"/>
  <c r="BL37" i="14"/>
  <c r="BR36" i="14"/>
  <c r="BK36" i="14"/>
  <c r="BN36" i="14"/>
  <c r="BM36" i="14"/>
  <c r="BO36" i="14"/>
  <c r="BP36" i="14"/>
  <c r="BL36" i="14"/>
  <c r="BR35" i="14"/>
  <c r="BK35" i="14"/>
  <c r="BN35" i="14"/>
  <c r="BM35" i="14"/>
  <c r="BO35" i="14"/>
  <c r="BP35" i="14"/>
  <c r="BL35" i="14"/>
  <c r="BR34" i="14"/>
  <c r="BK34" i="14"/>
  <c r="BN34" i="14"/>
  <c r="BM34" i="14"/>
  <c r="BO34" i="14"/>
  <c r="BP34" i="14"/>
  <c r="BL34" i="14"/>
  <c r="BR33" i="14"/>
  <c r="BK33" i="14"/>
  <c r="BN33" i="14"/>
  <c r="BM33" i="14"/>
  <c r="BO33" i="14"/>
  <c r="BP33" i="14"/>
  <c r="BL33" i="14"/>
  <c r="BR32" i="14"/>
  <c r="BK32" i="14"/>
  <c r="BN32" i="14"/>
  <c r="BM32" i="14"/>
  <c r="BO32" i="14"/>
  <c r="BP32" i="14"/>
  <c r="BL32" i="14"/>
  <c r="BR31" i="14"/>
  <c r="BK31" i="14"/>
  <c r="BN31" i="14"/>
  <c r="BM31" i="14"/>
  <c r="BO31" i="14"/>
  <c r="BP31" i="14"/>
  <c r="BL31" i="14"/>
  <c r="BR30" i="14"/>
  <c r="BK30" i="14"/>
  <c r="BN30" i="14"/>
  <c r="BM30" i="14"/>
  <c r="BO30" i="14"/>
  <c r="BP30" i="14"/>
  <c r="BL30" i="14"/>
  <c r="BR29" i="14"/>
  <c r="BK29" i="14"/>
  <c r="BN29" i="14"/>
  <c r="BM29" i="14"/>
  <c r="BO29" i="14"/>
  <c r="BP29" i="14"/>
  <c r="BL29" i="14"/>
  <c r="BR28" i="14"/>
  <c r="BK28" i="14"/>
  <c r="BN28" i="14"/>
  <c r="BM28" i="14"/>
  <c r="BO28" i="14"/>
  <c r="BP28" i="14"/>
  <c r="BL28" i="14"/>
  <c r="BR23" i="14"/>
  <c r="BK23" i="14"/>
  <c r="BN23" i="14"/>
  <c r="BM23" i="14"/>
  <c r="BO23" i="14"/>
  <c r="BP23" i="14"/>
  <c r="BL23" i="14"/>
  <c r="BR22" i="14"/>
  <c r="BK22" i="14"/>
  <c r="BN22" i="14"/>
  <c r="BM22" i="14"/>
  <c r="BO22" i="14"/>
  <c r="BP22" i="14"/>
  <c r="BL22" i="14"/>
  <c r="BR21" i="14"/>
  <c r="BK21" i="14"/>
  <c r="BN21" i="14"/>
  <c r="BM21" i="14"/>
  <c r="BO21" i="14"/>
  <c r="BP21" i="14"/>
  <c r="BL21" i="14"/>
  <c r="BR20" i="14"/>
  <c r="BK20" i="14"/>
  <c r="BN20" i="14"/>
  <c r="BM20" i="14"/>
  <c r="BO20" i="14"/>
  <c r="BP20" i="14"/>
  <c r="BL20" i="14"/>
  <c r="BR19" i="14"/>
  <c r="BK19" i="14"/>
  <c r="BN19" i="14"/>
  <c r="BM19" i="14"/>
  <c r="BO19" i="14"/>
  <c r="BP19" i="14"/>
  <c r="BL19" i="14"/>
  <c r="BR18" i="14"/>
  <c r="BK18" i="14"/>
  <c r="BN18" i="14"/>
  <c r="BM18" i="14"/>
  <c r="BO18" i="14"/>
  <c r="BP18" i="14"/>
  <c r="BL18" i="14"/>
  <c r="BR17" i="14"/>
  <c r="BK17" i="14"/>
  <c r="BN17" i="14"/>
  <c r="BM17" i="14"/>
  <c r="BO17" i="14"/>
  <c r="BP17" i="14"/>
  <c r="BL17" i="14"/>
  <c r="BR16" i="14"/>
  <c r="BK16" i="14"/>
  <c r="BN16" i="14"/>
  <c r="BM16" i="14"/>
  <c r="BO16" i="14"/>
  <c r="BP16" i="14"/>
  <c r="BL16" i="14"/>
  <c r="BR15" i="14"/>
  <c r="BK15" i="14"/>
  <c r="BN15" i="14"/>
  <c r="BM15" i="14"/>
  <c r="BO15" i="14"/>
  <c r="BP15" i="14"/>
  <c r="BL15" i="14"/>
  <c r="BR14" i="14"/>
  <c r="BK14" i="14"/>
  <c r="BN14" i="14"/>
  <c r="BM14" i="14"/>
  <c r="BO14" i="14"/>
  <c r="BP14" i="14"/>
  <c r="BL14" i="14"/>
  <c r="BR13" i="14"/>
  <c r="BK13" i="14"/>
  <c r="BN13" i="14"/>
  <c r="BM13" i="14"/>
  <c r="BO13" i="14"/>
  <c r="BP13" i="14"/>
  <c r="BL13" i="14"/>
  <c r="BR12" i="14"/>
  <c r="BK12" i="14"/>
  <c r="BN12" i="14"/>
  <c r="BM12" i="14"/>
  <c r="BO12" i="14"/>
  <c r="BP12" i="14"/>
  <c r="BL12" i="14"/>
  <c r="BR11" i="14"/>
  <c r="BK11" i="14"/>
  <c r="BN11" i="14"/>
  <c r="BM11" i="14"/>
  <c r="BO11" i="14"/>
  <c r="BP11" i="14"/>
  <c r="BL11" i="14"/>
  <c r="BR10" i="14"/>
  <c r="BK10" i="14"/>
  <c r="BN10" i="14"/>
  <c r="BM10" i="14"/>
  <c r="BO10" i="14"/>
  <c r="BP10" i="14"/>
  <c r="BL10" i="14"/>
  <c r="BR9" i="14"/>
  <c r="BK9" i="14"/>
  <c r="BN9" i="14"/>
  <c r="BM9" i="14"/>
  <c r="BO9" i="14"/>
  <c r="BP9" i="14"/>
  <c r="BL9" i="14"/>
  <c r="BR8" i="14"/>
  <c r="BK8" i="14"/>
  <c r="BN8" i="14"/>
  <c r="BM8" i="14"/>
  <c r="BO8" i="14"/>
  <c r="BP8" i="14"/>
  <c r="BL8" i="14"/>
  <c r="BR7" i="14"/>
  <c r="BK7" i="14"/>
  <c r="BN7" i="14"/>
  <c r="BM7" i="14"/>
  <c r="BO7" i="14"/>
  <c r="BP7" i="14"/>
  <c r="BL7" i="14"/>
  <c r="BR6" i="14"/>
  <c r="BK6" i="14"/>
  <c r="BN6" i="14"/>
  <c r="BM6" i="14"/>
  <c r="BO6" i="14"/>
  <c r="BP6" i="14"/>
  <c r="BL6" i="14"/>
  <c r="BR5" i="14"/>
  <c r="BK5" i="14"/>
  <c r="BN5" i="14"/>
  <c r="BM5" i="14"/>
  <c r="BO5" i="14"/>
  <c r="BP5" i="14"/>
  <c r="BL5" i="14"/>
  <c r="BR4" i="14"/>
  <c r="BK4" i="14"/>
  <c r="BN4" i="14"/>
  <c r="BM4" i="14"/>
  <c r="BO4" i="14"/>
  <c r="BP4" i="14"/>
  <c r="BL4" i="14"/>
  <c r="CJ15" i="13"/>
  <c r="BM15" i="13"/>
  <c r="BD15" i="13"/>
  <c r="CI15" i="13"/>
  <c r="BA15" i="13"/>
  <c r="CE15" i="13"/>
  <c r="BT15" i="13"/>
  <c r="BS15" i="13"/>
  <c r="BQ15" i="13"/>
  <c r="BP15" i="13"/>
  <c r="BN15" i="13"/>
  <c r="BE15" i="13"/>
  <c r="BB15" i="13"/>
  <c r="AY15" i="13"/>
  <c r="AX15" i="13"/>
  <c r="CJ14" i="13"/>
  <c r="BM14" i="13"/>
  <c r="BD14" i="13"/>
  <c r="CI14" i="13"/>
  <c r="BA14" i="13"/>
  <c r="CE14" i="13"/>
  <c r="BT14" i="13"/>
  <c r="BS14" i="13"/>
  <c r="BQ14" i="13"/>
  <c r="BP14" i="13"/>
  <c r="BN14" i="13"/>
  <c r="BE14" i="13"/>
  <c r="BB14" i="13"/>
  <c r="AY14" i="13"/>
  <c r="AX14" i="13"/>
  <c r="CJ13" i="13"/>
  <c r="BM13" i="13"/>
  <c r="BD13" i="13"/>
  <c r="CI13" i="13"/>
  <c r="BA13" i="13"/>
  <c r="CE13" i="13"/>
  <c r="BW13" i="13"/>
  <c r="BV13" i="13"/>
  <c r="BT13" i="13"/>
  <c r="BS13" i="13"/>
  <c r="BQ13" i="13"/>
  <c r="BP13" i="13"/>
  <c r="BN13" i="13"/>
  <c r="BE13" i="13"/>
  <c r="BB13" i="13"/>
  <c r="AY13" i="13"/>
  <c r="AX13" i="13"/>
  <c r="CJ12" i="13"/>
  <c r="BM12" i="13"/>
  <c r="BD12" i="13"/>
  <c r="CI12" i="13"/>
  <c r="BA12" i="13"/>
  <c r="CE12" i="13"/>
  <c r="BW12" i="13"/>
  <c r="BV12" i="13"/>
  <c r="BT12" i="13"/>
  <c r="BS12" i="13"/>
  <c r="BQ12" i="13"/>
  <c r="BP12" i="13"/>
  <c r="BN12" i="13"/>
  <c r="BE12" i="13"/>
  <c r="BB12" i="13"/>
  <c r="AY12" i="13"/>
  <c r="AX12" i="13"/>
  <c r="CJ11" i="13"/>
  <c r="BM11" i="13"/>
  <c r="BD11" i="13"/>
  <c r="CI11" i="13"/>
  <c r="BA11" i="13"/>
  <c r="CE11" i="13"/>
  <c r="BT11" i="13"/>
  <c r="BS11" i="13"/>
  <c r="BQ11" i="13"/>
  <c r="BP11" i="13"/>
  <c r="BN11" i="13"/>
  <c r="BE11" i="13"/>
  <c r="BB11" i="13"/>
  <c r="AY11" i="13"/>
  <c r="AX11" i="13"/>
  <c r="CJ10" i="13"/>
  <c r="BM10" i="13"/>
  <c r="BD10" i="13"/>
  <c r="CI10" i="13"/>
  <c r="BA10" i="13"/>
  <c r="CE10" i="13"/>
  <c r="BT10" i="13"/>
  <c r="BS10" i="13"/>
  <c r="BQ10" i="13"/>
  <c r="BP10" i="13"/>
  <c r="BN10" i="13"/>
  <c r="BE10" i="13"/>
  <c r="BB10" i="13"/>
  <c r="AY10" i="13"/>
  <c r="AX10" i="13"/>
  <c r="CJ9" i="13"/>
  <c r="BM9" i="13"/>
  <c r="BD9" i="13"/>
  <c r="CI9" i="13"/>
  <c r="BA9" i="13"/>
  <c r="CE9" i="13"/>
  <c r="BT9" i="13"/>
  <c r="BS9" i="13"/>
  <c r="BQ9" i="13"/>
  <c r="BP9" i="13"/>
  <c r="BN9" i="13"/>
  <c r="BE9" i="13"/>
  <c r="BB9" i="13"/>
  <c r="AY9" i="13"/>
  <c r="AX9" i="13"/>
  <c r="CJ8" i="13"/>
  <c r="BM8" i="13"/>
  <c r="BD8" i="13"/>
  <c r="CI8" i="13"/>
  <c r="BA8" i="13"/>
  <c r="CE8" i="13"/>
  <c r="BT8" i="13"/>
  <c r="BS8" i="13"/>
  <c r="BQ8" i="13"/>
  <c r="BP8" i="13"/>
  <c r="BN8" i="13"/>
  <c r="BE8" i="13"/>
  <c r="BB8" i="13"/>
  <c r="AY8" i="13"/>
  <c r="AX8" i="13"/>
  <c r="CJ7" i="13"/>
  <c r="BM7" i="13"/>
  <c r="BD7" i="13"/>
  <c r="CI7" i="13"/>
  <c r="BA7" i="13"/>
  <c r="CE7" i="13"/>
  <c r="BW7" i="13"/>
  <c r="BV7" i="13"/>
  <c r="BT7" i="13"/>
  <c r="BS7" i="13"/>
  <c r="BQ7" i="13"/>
  <c r="BP7" i="13"/>
  <c r="BN7" i="13"/>
  <c r="BE7" i="13"/>
  <c r="BB7" i="13"/>
  <c r="AY7" i="13"/>
  <c r="AX7" i="13"/>
  <c r="CJ6" i="13"/>
  <c r="BM6" i="13"/>
  <c r="BD6" i="13"/>
  <c r="CI6" i="13"/>
  <c r="BA6" i="13"/>
  <c r="CE6" i="13"/>
  <c r="BW6" i="13"/>
  <c r="BV6" i="13"/>
  <c r="BT6" i="13"/>
  <c r="BS6" i="13"/>
  <c r="BQ6" i="13"/>
  <c r="BP6" i="13"/>
  <c r="BN6" i="13"/>
  <c r="BE6" i="13"/>
  <c r="BB6" i="13"/>
  <c r="AY6" i="13"/>
  <c r="AX6" i="13"/>
  <c r="CJ5" i="13"/>
  <c r="BM5" i="13"/>
  <c r="BD5" i="13"/>
  <c r="CI5" i="13"/>
  <c r="BA5" i="13"/>
  <c r="CE5" i="13"/>
  <c r="BT5" i="13"/>
  <c r="BS5" i="13"/>
  <c r="BQ5" i="13"/>
  <c r="BP5" i="13"/>
  <c r="BN5" i="13"/>
  <c r="BE5" i="13"/>
  <c r="BB5" i="13"/>
  <c r="AY5" i="13"/>
  <c r="AX5" i="13"/>
  <c r="CJ4" i="13"/>
  <c r="BM4" i="13"/>
  <c r="BD4" i="13"/>
  <c r="CI4" i="13"/>
  <c r="BA4" i="13"/>
  <c r="CE4" i="13"/>
  <c r="BT4" i="13"/>
  <c r="BS4" i="13"/>
  <c r="BQ4" i="13"/>
  <c r="BP4" i="13"/>
  <c r="BN4" i="13"/>
  <c r="BE4" i="13"/>
  <c r="BB4" i="13"/>
  <c r="AY4" i="13"/>
  <c r="AX4" i="13"/>
  <c r="Z174" i="13"/>
  <c r="G174" i="13"/>
  <c r="C174" i="13"/>
  <c r="B174" i="13"/>
  <c r="F174" i="13"/>
  <c r="D174" i="13"/>
  <c r="O174" i="13"/>
  <c r="L174" i="13"/>
  <c r="Y174" i="13"/>
  <c r="M174" i="13"/>
  <c r="X174" i="13"/>
  <c r="N174" i="13"/>
  <c r="K174" i="13"/>
  <c r="W174" i="13"/>
  <c r="V174" i="13"/>
  <c r="U174" i="13"/>
  <c r="T174" i="13"/>
  <c r="S174" i="13"/>
  <c r="R174" i="13"/>
  <c r="Q174" i="13"/>
  <c r="P174" i="13"/>
  <c r="J174" i="13"/>
  <c r="Z173" i="13"/>
  <c r="G173" i="13"/>
  <c r="C173" i="13"/>
  <c r="B173" i="13"/>
  <c r="F173" i="13"/>
  <c r="D173" i="13"/>
  <c r="O173" i="13"/>
  <c r="L173" i="13"/>
  <c r="Y173" i="13"/>
  <c r="M173" i="13"/>
  <c r="X173" i="13"/>
  <c r="N173" i="13"/>
  <c r="K173" i="13"/>
  <c r="W173" i="13"/>
  <c r="V173" i="13"/>
  <c r="U173" i="13"/>
  <c r="T173" i="13"/>
  <c r="S173" i="13"/>
  <c r="R173" i="13"/>
  <c r="Q173" i="13"/>
  <c r="P173" i="13"/>
  <c r="J173" i="13"/>
  <c r="Z172" i="13"/>
  <c r="G172" i="13"/>
  <c r="C172" i="13"/>
  <c r="B172" i="13"/>
  <c r="F172" i="13"/>
  <c r="D172" i="13"/>
  <c r="O172" i="13"/>
  <c r="L172" i="13"/>
  <c r="Y172" i="13"/>
  <c r="M172" i="13"/>
  <c r="X172" i="13"/>
  <c r="N172" i="13"/>
  <c r="K172" i="13"/>
  <c r="W172" i="13"/>
  <c r="V172" i="13"/>
  <c r="U172" i="13"/>
  <c r="T172" i="13"/>
  <c r="S172" i="13"/>
  <c r="R172" i="13"/>
  <c r="Q172" i="13"/>
  <c r="P172" i="13"/>
  <c r="J172" i="13"/>
  <c r="Z171" i="13"/>
  <c r="G171" i="13"/>
  <c r="C171" i="13"/>
  <c r="B171" i="13"/>
  <c r="F171" i="13"/>
  <c r="D171" i="13"/>
  <c r="O171" i="13"/>
  <c r="L171" i="13"/>
  <c r="Y171" i="13"/>
  <c r="M171" i="13"/>
  <c r="X171" i="13"/>
  <c r="N171" i="13"/>
  <c r="K171" i="13"/>
  <c r="W171" i="13"/>
  <c r="V171" i="13"/>
  <c r="U171" i="13"/>
  <c r="T171" i="13"/>
  <c r="S171" i="13"/>
  <c r="R171" i="13"/>
  <c r="Q171" i="13"/>
  <c r="P171" i="13"/>
  <c r="J171" i="13"/>
  <c r="Z170" i="13"/>
  <c r="G170" i="13"/>
  <c r="C170" i="13"/>
  <c r="B170" i="13"/>
  <c r="F170" i="13"/>
  <c r="D170" i="13"/>
  <c r="O170" i="13"/>
  <c r="L170" i="13"/>
  <c r="Y170" i="13"/>
  <c r="M170" i="13"/>
  <c r="X170" i="13"/>
  <c r="N170" i="13"/>
  <c r="K170" i="13"/>
  <c r="W170" i="13"/>
  <c r="V170" i="13"/>
  <c r="U170" i="13"/>
  <c r="T170" i="13"/>
  <c r="S170" i="13"/>
  <c r="R170" i="13"/>
  <c r="Q170" i="13"/>
  <c r="P170" i="13"/>
  <c r="J170" i="13"/>
  <c r="Z169" i="13"/>
  <c r="G169" i="13"/>
  <c r="C169" i="13"/>
  <c r="B169" i="13"/>
  <c r="F169" i="13"/>
  <c r="D169" i="13"/>
  <c r="O169" i="13"/>
  <c r="L169" i="13"/>
  <c r="Y169" i="13"/>
  <c r="M169" i="13"/>
  <c r="X169" i="13"/>
  <c r="N169" i="13"/>
  <c r="K169" i="13"/>
  <c r="W169" i="13"/>
  <c r="V169" i="13"/>
  <c r="U169" i="13"/>
  <c r="T169" i="13"/>
  <c r="S169" i="13"/>
  <c r="R169" i="13"/>
  <c r="Q169" i="13"/>
  <c r="P169" i="13"/>
  <c r="J169" i="13"/>
  <c r="Z168" i="13"/>
  <c r="G168" i="13"/>
  <c r="C168" i="13"/>
  <c r="B168" i="13"/>
  <c r="F168" i="13"/>
  <c r="D168" i="13"/>
  <c r="O168" i="13"/>
  <c r="L168" i="13"/>
  <c r="Y168" i="13"/>
  <c r="M168" i="13"/>
  <c r="X168" i="13"/>
  <c r="N168" i="13"/>
  <c r="K168" i="13"/>
  <c r="W168" i="13"/>
  <c r="V168" i="13"/>
  <c r="U168" i="13"/>
  <c r="T168" i="13"/>
  <c r="S168" i="13"/>
  <c r="R168" i="13"/>
  <c r="Q168" i="13"/>
  <c r="P168" i="13"/>
  <c r="J168" i="13"/>
  <c r="Z167" i="13"/>
  <c r="H167" i="13"/>
  <c r="G167" i="13"/>
  <c r="C167" i="13"/>
  <c r="B167" i="13"/>
  <c r="D167" i="13"/>
  <c r="O167" i="13"/>
  <c r="L167" i="13"/>
  <c r="Y167" i="13"/>
  <c r="M167" i="13"/>
  <c r="X167" i="13"/>
  <c r="N167" i="13"/>
  <c r="K167" i="13"/>
  <c r="W167" i="13"/>
  <c r="V167" i="13"/>
  <c r="U167" i="13"/>
  <c r="T167" i="13"/>
  <c r="S167" i="13"/>
  <c r="R167" i="13"/>
  <c r="Q167" i="13"/>
  <c r="P167" i="13"/>
  <c r="J167" i="13"/>
  <c r="Z166" i="13"/>
  <c r="H166" i="13"/>
  <c r="G166" i="13"/>
  <c r="C166" i="13"/>
  <c r="B166" i="13"/>
  <c r="D166" i="13"/>
  <c r="O166" i="13"/>
  <c r="L166" i="13"/>
  <c r="Y166" i="13"/>
  <c r="M166" i="13"/>
  <c r="X166" i="13"/>
  <c r="N166" i="13"/>
  <c r="K166" i="13"/>
  <c r="W166" i="13"/>
  <c r="V166" i="13"/>
  <c r="U166" i="13"/>
  <c r="T166" i="13"/>
  <c r="S166" i="13"/>
  <c r="R166" i="13"/>
  <c r="Q166" i="13"/>
  <c r="P166" i="13"/>
  <c r="J166" i="13"/>
  <c r="Z165" i="13"/>
  <c r="H165" i="13"/>
  <c r="G165" i="13"/>
  <c r="C165" i="13"/>
  <c r="B165" i="13"/>
  <c r="D165" i="13"/>
  <c r="O165" i="13"/>
  <c r="L165" i="13"/>
  <c r="Y165" i="13"/>
  <c r="M165" i="13"/>
  <c r="X165" i="13"/>
  <c r="N165" i="13"/>
  <c r="K165" i="13"/>
  <c r="W165" i="13"/>
  <c r="V165" i="13"/>
  <c r="U165" i="13"/>
  <c r="T165" i="13"/>
  <c r="S165" i="13"/>
  <c r="R165" i="13"/>
  <c r="Q165" i="13"/>
  <c r="P165" i="13"/>
  <c r="J165" i="13"/>
  <c r="Z164" i="13"/>
  <c r="H164" i="13"/>
  <c r="G164" i="13"/>
  <c r="C164" i="13"/>
  <c r="B164" i="13"/>
  <c r="D164" i="13"/>
  <c r="O164" i="13"/>
  <c r="L164" i="13"/>
  <c r="Y164" i="13"/>
  <c r="M164" i="13"/>
  <c r="X164" i="13"/>
  <c r="N164" i="13"/>
  <c r="K164" i="13"/>
  <c r="W164" i="13"/>
  <c r="V164" i="13"/>
  <c r="U164" i="13"/>
  <c r="T164" i="13"/>
  <c r="S164" i="13"/>
  <c r="R164" i="13"/>
  <c r="Q164" i="13"/>
  <c r="P164" i="13"/>
  <c r="J164" i="13"/>
  <c r="Z163" i="13"/>
  <c r="H163" i="13"/>
  <c r="G163" i="13"/>
  <c r="C163" i="13"/>
  <c r="B163" i="13"/>
  <c r="D163" i="13"/>
  <c r="O163" i="13"/>
  <c r="L163" i="13"/>
  <c r="Y163" i="13"/>
  <c r="M163" i="13"/>
  <c r="X163" i="13"/>
  <c r="N163" i="13"/>
  <c r="K163" i="13"/>
  <c r="W163" i="13"/>
  <c r="V163" i="13"/>
  <c r="U163" i="13"/>
  <c r="T163" i="13"/>
  <c r="S163" i="13"/>
  <c r="R163" i="13"/>
  <c r="Q163" i="13"/>
  <c r="P163" i="13"/>
  <c r="J163" i="13"/>
  <c r="Z162" i="13"/>
  <c r="H162" i="13"/>
  <c r="G162" i="13"/>
  <c r="C162" i="13"/>
  <c r="B162" i="13"/>
  <c r="D162" i="13"/>
  <c r="O162" i="13"/>
  <c r="L162" i="13"/>
  <c r="Y162" i="13"/>
  <c r="M162" i="13"/>
  <c r="X162" i="13"/>
  <c r="N162" i="13"/>
  <c r="K162" i="13"/>
  <c r="W162" i="13"/>
  <c r="V162" i="13"/>
  <c r="U162" i="13"/>
  <c r="T162" i="13"/>
  <c r="S162" i="13"/>
  <c r="R162" i="13"/>
  <c r="Q162" i="13"/>
  <c r="P162" i="13"/>
  <c r="J162" i="13"/>
  <c r="Z161" i="13"/>
  <c r="H161" i="13"/>
  <c r="G161" i="13"/>
  <c r="C161" i="13"/>
  <c r="B161" i="13"/>
  <c r="D161" i="13"/>
  <c r="O161" i="13"/>
  <c r="L161" i="13"/>
  <c r="Y161" i="13"/>
  <c r="M161" i="13"/>
  <c r="X161" i="13"/>
  <c r="N161" i="13"/>
  <c r="K161" i="13"/>
  <c r="W161" i="13"/>
  <c r="V161" i="13"/>
  <c r="U161" i="13"/>
  <c r="T161" i="13"/>
  <c r="S161" i="13"/>
  <c r="R161" i="13"/>
  <c r="Q161" i="13"/>
  <c r="P161" i="13"/>
  <c r="J161" i="13"/>
  <c r="Z160" i="13"/>
  <c r="H160" i="13"/>
  <c r="G160" i="13"/>
  <c r="C160" i="13"/>
  <c r="B160" i="13"/>
  <c r="D160" i="13"/>
  <c r="O160" i="13"/>
  <c r="L160" i="13"/>
  <c r="Y160" i="13"/>
  <c r="M160" i="13"/>
  <c r="X160" i="13"/>
  <c r="N160" i="13"/>
  <c r="K160" i="13"/>
  <c r="W160" i="13"/>
  <c r="V160" i="13"/>
  <c r="U160" i="13"/>
  <c r="T160" i="13"/>
  <c r="S160" i="13"/>
  <c r="R160" i="13"/>
  <c r="Q160" i="13"/>
  <c r="P160" i="13"/>
  <c r="J160" i="13"/>
  <c r="Z159" i="13"/>
  <c r="H159" i="13"/>
  <c r="G159" i="13"/>
  <c r="C159" i="13"/>
  <c r="B159" i="13"/>
  <c r="D159" i="13"/>
  <c r="O159" i="13"/>
  <c r="L159" i="13"/>
  <c r="Y159" i="13"/>
  <c r="M159" i="13"/>
  <c r="X159" i="13"/>
  <c r="N159" i="13"/>
  <c r="K159" i="13"/>
  <c r="W159" i="13"/>
  <c r="V159" i="13"/>
  <c r="U159" i="13"/>
  <c r="T159" i="13"/>
  <c r="S159" i="13"/>
  <c r="R159" i="13"/>
  <c r="Q159" i="13"/>
  <c r="P159" i="13"/>
  <c r="J159" i="13"/>
  <c r="Z158" i="13"/>
  <c r="H158" i="13"/>
  <c r="G158" i="13"/>
  <c r="C158" i="13"/>
  <c r="B158" i="13"/>
  <c r="D158" i="13"/>
  <c r="O158" i="13"/>
  <c r="L158" i="13"/>
  <c r="Y158" i="13"/>
  <c r="M158" i="13"/>
  <c r="X158" i="13"/>
  <c r="N158" i="13"/>
  <c r="K158" i="13"/>
  <c r="W158" i="13"/>
  <c r="V158" i="13"/>
  <c r="U158" i="13"/>
  <c r="T158" i="13"/>
  <c r="S158" i="13"/>
  <c r="R158" i="13"/>
  <c r="Q158" i="13"/>
  <c r="P158" i="13"/>
  <c r="J158" i="13"/>
  <c r="Z157" i="13"/>
  <c r="H157" i="13"/>
  <c r="G157" i="13"/>
  <c r="C157" i="13"/>
  <c r="B157" i="13"/>
  <c r="D157" i="13"/>
  <c r="O157" i="13"/>
  <c r="L157" i="13"/>
  <c r="Y157" i="13"/>
  <c r="M157" i="13"/>
  <c r="X157" i="13"/>
  <c r="N157" i="13"/>
  <c r="K157" i="13"/>
  <c r="W157" i="13"/>
  <c r="V157" i="13"/>
  <c r="U157" i="13"/>
  <c r="T157" i="13"/>
  <c r="S157" i="13"/>
  <c r="R157" i="13"/>
  <c r="Q157" i="13"/>
  <c r="P157" i="13"/>
  <c r="J157" i="13"/>
  <c r="Z156" i="13"/>
  <c r="H156" i="13"/>
  <c r="G156" i="13"/>
  <c r="C156" i="13"/>
  <c r="B156" i="13"/>
  <c r="D156" i="13"/>
  <c r="O156" i="13"/>
  <c r="L156" i="13"/>
  <c r="Y156" i="13"/>
  <c r="M156" i="13"/>
  <c r="X156" i="13"/>
  <c r="N156" i="13"/>
  <c r="K156" i="13"/>
  <c r="W156" i="13"/>
  <c r="V156" i="13"/>
  <c r="U156" i="13"/>
  <c r="T156" i="13"/>
  <c r="S156" i="13"/>
  <c r="R156" i="13"/>
  <c r="Q156" i="13"/>
  <c r="P156" i="13"/>
  <c r="J156" i="13"/>
  <c r="Z155" i="13"/>
  <c r="H155" i="13"/>
  <c r="G155" i="13"/>
  <c r="C155" i="13"/>
  <c r="B155" i="13"/>
  <c r="D155" i="13"/>
  <c r="O155" i="13"/>
  <c r="L155" i="13"/>
  <c r="Y155" i="13"/>
  <c r="M155" i="13"/>
  <c r="X155" i="13"/>
  <c r="N155" i="13"/>
  <c r="K155" i="13"/>
  <c r="W155" i="13"/>
  <c r="V155" i="13"/>
  <c r="U155" i="13"/>
  <c r="T155" i="13"/>
  <c r="S155" i="13"/>
  <c r="R155" i="13"/>
  <c r="Q155" i="13"/>
  <c r="P155" i="13"/>
  <c r="J155" i="13"/>
  <c r="Z154" i="13"/>
  <c r="H154" i="13"/>
  <c r="G154" i="13"/>
  <c r="C154" i="13"/>
  <c r="B154" i="13"/>
  <c r="D154" i="13"/>
  <c r="O154" i="13"/>
  <c r="L154" i="13"/>
  <c r="Y154" i="13"/>
  <c r="M154" i="13"/>
  <c r="X154" i="13"/>
  <c r="N154" i="13"/>
  <c r="K154" i="13"/>
  <c r="W154" i="13"/>
  <c r="V154" i="13"/>
  <c r="U154" i="13"/>
  <c r="T154" i="13"/>
  <c r="S154" i="13"/>
  <c r="R154" i="13"/>
  <c r="Q154" i="13"/>
  <c r="P154" i="13"/>
  <c r="J154" i="13"/>
  <c r="Z153" i="13"/>
  <c r="H153" i="13"/>
  <c r="G153" i="13"/>
  <c r="C153" i="13"/>
  <c r="B153" i="13"/>
  <c r="D153" i="13"/>
  <c r="O153" i="13"/>
  <c r="L153" i="13"/>
  <c r="Y153" i="13"/>
  <c r="M153" i="13"/>
  <c r="X153" i="13"/>
  <c r="N153" i="13"/>
  <c r="K153" i="13"/>
  <c r="W153" i="13"/>
  <c r="V153" i="13"/>
  <c r="U153" i="13"/>
  <c r="T153" i="13"/>
  <c r="S153" i="13"/>
  <c r="R153" i="13"/>
  <c r="Q153" i="13"/>
  <c r="P153" i="13"/>
  <c r="J153" i="13"/>
  <c r="Z152" i="13"/>
  <c r="H152" i="13"/>
  <c r="G152" i="13"/>
  <c r="C152" i="13"/>
  <c r="B152" i="13"/>
  <c r="D152" i="13"/>
  <c r="O152" i="13"/>
  <c r="L152" i="13"/>
  <c r="Y152" i="13"/>
  <c r="M152" i="13"/>
  <c r="X152" i="13"/>
  <c r="N152" i="13"/>
  <c r="K152" i="13"/>
  <c r="W152" i="13"/>
  <c r="V152" i="13"/>
  <c r="U152" i="13"/>
  <c r="T152" i="13"/>
  <c r="S152" i="13"/>
  <c r="R152" i="13"/>
  <c r="Q152" i="13"/>
  <c r="P152" i="13"/>
  <c r="J152" i="13"/>
  <c r="Z151" i="13"/>
  <c r="C151" i="13"/>
  <c r="B151" i="13"/>
  <c r="E151" i="13"/>
  <c r="D151" i="13"/>
  <c r="O151" i="13"/>
  <c r="L151" i="13"/>
  <c r="Y151" i="13"/>
  <c r="M151" i="13"/>
  <c r="X151" i="13"/>
  <c r="N151" i="13"/>
  <c r="K151" i="13"/>
  <c r="W151" i="13"/>
  <c r="V151" i="13"/>
  <c r="U151" i="13"/>
  <c r="T151" i="13"/>
  <c r="S151" i="13"/>
  <c r="R151" i="13"/>
  <c r="Q151" i="13"/>
  <c r="P151" i="13"/>
  <c r="J151" i="13"/>
  <c r="Z150" i="13"/>
  <c r="C150" i="13"/>
  <c r="B150" i="13"/>
  <c r="E150" i="13"/>
  <c r="D150" i="13"/>
  <c r="O150" i="13"/>
  <c r="L150" i="13"/>
  <c r="Y150" i="13"/>
  <c r="M150" i="13"/>
  <c r="X150" i="13"/>
  <c r="N150" i="13"/>
  <c r="K150" i="13"/>
  <c r="W150" i="13"/>
  <c r="V150" i="13"/>
  <c r="U150" i="13"/>
  <c r="T150" i="13"/>
  <c r="S150" i="13"/>
  <c r="R150" i="13"/>
  <c r="Q150" i="13"/>
  <c r="P150" i="13"/>
  <c r="J150" i="13"/>
  <c r="Z149" i="13"/>
  <c r="C149" i="13"/>
  <c r="B149" i="13"/>
  <c r="E149" i="13"/>
  <c r="D149" i="13"/>
  <c r="O149" i="13"/>
  <c r="L149" i="13"/>
  <c r="Y149" i="13"/>
  <c r="M149" i="13"/>
  <c r="X149" i="13"/>
  <c r="N149" i="13"/>
  <c r="K149" i="13"/>
  <c r="W149" i="13"/>
  <c r="V149" i="13"/>
  <c r="U149" i="13"/>
  <c r="T149" i="13"/>
  <c r="S149" i="13"/>
  <c r="R149" i="13"/>
  <c r="Q149" i="13"/>
  <c r="P149" i="13"/>
  <c r="J149" i="13"/>
  <c r="Z148" i="13"/>
  <c r="C148" i="13"/>
  <c r="B148" i="13"/>
  <c r="E148" i="13"/>
  <c r="D148" i="13"/>
  <c r="O148" i="13"/>
  <c r="L148" i="13"/>
  <c r="Y148" i="13"/>
  <c r="M148" i="13"/>
  <c r="X148" i="13"/>
  <c r="N148" i="13"/>
  <c r="K148" i="13"/>
  <c r="W148" i="13"/>
  <c r="V148" i="13"/>
  <c r="U148" i="13"/>
  <c r="T148" i="13"/>
  <c r="S148" i="13"/>
  <c r="R148" i="13"/>
  <c r="Q148" i="13"/>
  <c r="P148" i="13"/>
  <c r="J148" i="13"/>
  <c r="Z147" i="13"/>
  <c r="C147" i="13"/>
  <c r="B147" i="13"/>
  <c r="E147" i="13"/>
  <c r="D147" i="13"/>
  <c r="O147" i="13"/>
  <c r="L147" i="13"/>
  <c r="Y147" i="13"/>
  <c r="M147" i="13"/>
  <c r="X147" i="13"/>
  <c r="N147" i="13"/>
  <c r="K147" i="13"/>
  <c r="W147" i="13"/>
  <c r="V147" i="13"/>
  <c r="U147" i="13"/>
  <c r="T147" i="13"/>
  <c r="S147" i="13"/>
  <c r="R147" i="13"/>
  <c r="Q147" i="13"/>
  <c r="P147" i="13"/>
  <c r="J147" i="13"/>
  <c r="Z146" i="13"/>
  <c r="C146" i="13"/>
  <c r="B146" i="13"/>
  <c r="E146" i="13"/>
  <c r="D146" i="13"/>
  <c r="O146" i="13"/>
  <c r="L146" i="13"/>
  <c r="Y146" i="13"/>
  <c r="M146" i="13"/>
  <c r="X146" i="13"/>
  <c r="N146" i="13"/>
  <c r="K146" i="13"/>
  <c r="W146" i="13"/>
  <c r="V146" i="13"/>
  <c r="U146" i="13"/>
  <c r="T146" i="13"/>
  <c r="S146" i="13"/>
  <c r="R146" i="13"/>
  <c r="Q146" i="13"/>
  <c r="P146" i="13"/>
  <c r="J146" i="13"/>
  <c r="Z145" i="13"/>
  <c r="C145" i="13"/>
  <c r="B145" i="13"/>
  <c r="E145" i="13"/>
  <c r="D145" i="13"/>
  <c r="O145" i="13"/>
  <c r="L145" i="13"/>
  <c r="Y145" i="13"/>
  <c r="M145" i="13"/>
  <c r="X145" i="13"/>
  <c r="N145" i="13"/>
  <c r="K145" i="13"/>
  <c r="W145" i="13"/>
  <c r="V145" i="13"/>
  <c r="U145" i="13"/>
  <c r="T145" i="13"/>
  <c r="S145" i="13"/>
  <c r="R145" i="13"/>
  <c r="Q145" i="13"/>
  <c r="P145" i="13"/>
  <c r="J145" i="13"/>
  <c r="Z144" i="13"/>
  <c r="H144" i="13"/>
  <c r="C144" i="13"/>
  <c r="B144" i="13"/>
  <c r="D144" i="13"/>
  <c r="O144" i="13"/>
  <c r="L144" i="13"/>
  <c r="Y144" i="13"/>
  <c r="M144" i="13"/>
  <c r="X144" i="13"/>
  <c r="N144" i="13"/>
  <c r="K144" i="13"/>
  <c r="W144" i="13"/>
  <c r="V144" i="13"/>
  <c r="U144" i="13"/>
  <c r="T144" i="13"/>
  <c r="S144" i="13"/>
  <c r="R144" i="13"/>
  <c r="Q144" i="13"/>
  <c r="P144" i="13"/>
  <c r="J144" i="13"/>
  <c r="Z143" i="13"/>
  <c r="H143" i="13"/>
  <c r="C143" i="13"/>
  <c r="B143" i="13"/>
  <c r="D143" i="13"/>
  <c r="O143" i="13"/>
  <c r="L143" i="13"/>
  <c r="Y143" i="13"/>
  <c r="M143" i="13"/>
  <c r="X143" i="13"/>
  <c r="N143" i="13"/>
  <c r="K143" i="13"/>
  <c r="W143" i="13"/>
  <c r="V143" i="13"/>
  <c r="U143" i="13"/>
  <c r="T143" i="13"/>
  <c r="S143" i="13"/>
  <c r="R143" i="13"/>
  <c r="Q143" i="13"/>
  <c r="P143" i="13"/>
  <c r="J143" i="13"/>
  <c r="Z142" i="13"/>
  <c r="H142" i="13"/>
  <c r="C142" i="13"/>
  <c r="B142" i="13"/>
  <c r="D142" i="13"/>
  <c r="O142" i="13"/>
  <c r="L142" i="13"/>
  <c r="Y142" i="13"/>
  <c r="M142" i="13"/>
  <c r="X142" i="13"/>
  <c r="N142" i="13"/>
  <c r="K142" i="13"/>
  <c r="W142" i="13"/>
  <c r="V142" i="13"/>
  <c r="U142" i="13"/>
  <c r="T142" i="13"/>
  <c r="S142" i="13"/>
  <c r="R142" i="13"/>
  <c r="Q142" i="13"/>
  <c r="P142" i="13"/>
  <c r="J142" i="13"/>
  <c r="Z141" i="13"/>
  <c r="H141" i="13"/>
  <c r="C141" i="13"/>
  <c r="B141" i="13"/>
  <c r="D141" i="13"/>
  <c r="O141" i="13"/>
  <c r="L141" i="13"/>
  <c r="Y141" i="13"/>
  <c r="M141" i="13"/>
  <c r="X141" i="13"/>
  <c r="N141" i="13"/>
  <c r="K141" i="13"/>
  <c r="W141" i="13"/>
  <c r="V141" i="13"/>
  <c r="U141" i="13"/>
  <c r="T141" i="13"/>
  <c r="S141" i="13"/>
  <c r="R141" i="13"/>
  <c r="Q141" i="13"/>
  <c r="P141" i="13"/>
  <c r="J141" i="13"/>
  <c r="Z140" i="13"/>
  <c r="H140" i="13"/>
  <c r="C140" i="13"/>
  <c r="B140" i="13"/>
  <c r="D140" i="13"/>
  <c r="O140" i="13"/>
  <c r="L140" i="13"/>
  <c r="Y140" i="13"/>
  <c r="M140" i="13"/>
  <c r="X140" i="13"/>
  <c r="N140" i="13"/>
  <c r="K140" i="13"/>
  <c r="W140" i="13"/>
  <c r="V140" i="13"/>
  <c r="U140" i="13"/>
  <c r="T140" i="13"/>
  <c r="S140" i="13"/>
  <c r="R140" i="13"/>
  <c r="Q140" i="13"/>
  <c r="P140" i="13"/>
  <c r="J140" i="13"/>
  <c r="Z139" i="13"/>
  <c r="H139" i="13"/>
  <c r="C139" i="13"/>
  <c r="B139" i="13"/>
  <c r="D139" i="13"/>
  <c r="O139" i="13"/>
  <c r="L139" i="13"/>
  <c r="Y139" i="13"/>
  <c r="M139" i="13"/>
  <c r="X139" i="13"/>
  <c r="N139" i="13"/>
  <c r="K139" i="13"/>
  <c r="W139" i="13"/>
  <c r="V139" i="13"/>
  <c r="U139" i="13"/>
  <c r="T139" i="13"/>
  <c r="S139" i="13"/>
  <c r="R139" i="13"/>
  <c r="Q139" i="13"/>
  <c r="P139" i="13"/>
  <c r="J139" i="13"/>
  <c r="Z138" i="13"/>
  <c r="H138" i="13"/>
  <c r="C138" i="13"/>
  <c r="B138" i="13"/>
  <c r="D138" i="13"/>
  <c r="O138" i="13"/>
  <c r="L138" i="13"/>
  <c r="Y138" i="13"/>
  <c r="M138" i="13"/>
  <c r="X138" i="13"/>
  <c r="N138" i="13"/>
  <c r="K138" i="13"/>
  <c r="W138" i="13"/>
  <c r="V138" i="13"/>
  <c r="U138" i="13"/>
  <c r="T138" i="13"/>
  <c r="S138" i="13"/>
  <c r="R138" i="13"/>
  <c r="Q138" i="13"/>
  <c r="P138" i="13"/>
  <c r="J138" i="13"/>
  <c r="Z137" i="13"/>
  <c r="C137" i="13"/>
  <c r="B137" i="13"/>
  <c r="O137" i="13"/>
  <c r="L137" i="13"/>
  <c r="Y137" i="13"/>
  <c r="M137" i="13"/>
  <c r="X137" i="13"/>
  <c r="N137" i="13"/>
  <c r="K137" i="13"/>
  <c r="W137" i="13"/>
  <c r="V137" i="13"/>
  <c r="U137" i="13"/>
  <c r="T137" i="13"/>
  <c r="S137" i="13"/>
  <c r="R137" i="13"/>
  <c r="Q137" i="13"/>
  <c r="P137" i="13"/>
  <c r="J137" i="13"/>
  <c r="Z136" i="13"/>
  <c r="C136" i="13"/>
  <c r="B136" i="13"/>
  <c r="O136" i="13"/>
  <c r="L136" i="13"/>
  <c r="Y136" i="13"/>
  <c r="M136" i="13"/>
  <c r="X136" i="13"/>
  <c r="N136" i="13"/>
  <c r="K136" i="13"/>
  <c r="W136" i="13"/>
  <c r="V136" i="13"/>
  <c r="U136" i="13"/>
  <c r="T136" i="13"/>
  <c r="S136" i="13"/>
  <c r="R136" i="13"/>
  <c r="Q136" i="13"/>
  <c r="P136" i="13"/>
  <c r="J136" i="13"/>
  <c r="Z135" i="13"/>
  <c r="C135" i="13"/>
  <c r="B135" i="13"/>
  <c r="O135" i="13"/>
  <c r="L135" i="13"/>
  <c r="Y135" i="13"/>
  <c r="M135" i="13"/>
  <c r="X135" i="13"/>
  <c r="N135" i="13"/>
  <c r="K135" i="13"/>
  <c r="W135" i="13"/>
  <c r="V135" i="13"/>
  <c r="U135" i="13"/>
  <c r="T135" i="13"/>
  <c r="S135" i="13"/>
  <c r="R135" i="13"/>
  <c r="Q135" i="13"/>
  <c r="P135" i="13"/>
  <c r="J135" i="13"/>
  <c r="Z134" i="13"/>
  <c r="C134" i="13"/>
  <c r="B134" i="13"/>
  <c r="O134" i="13"/>
  <c r="L134" i="13"/>
  <c r="Y134" i="13"/>
  <c r="M134" i="13"/>
  <c r="X134" i="13"/>
  <c r="N134" i="13"/>
  <c r="K134" i="13"/>
  <c r="W134" i="13"/>
  <c r="V134" i="13"/>
  <c r="U134" i="13"/>
  <c r="T134" i="13"/>
  <c r="S134" i="13"/>
  <c r="R134" i="13"/>
  <c r="Q134" i="13"/>
  <c r="P134" i="13"/>
  <c r="J134" i="13"/>
  <c r="Z133" i="13"/>
  <c r="C133" i="13"/>
  <c r="B133" i="13"/>
  <c r="O133" i="13"/>
  <c r="L133" i="13"/>
  <c r="Y133" i="13"/>
  <c r="M133" i="13"/>
  <c r="X133" i="13"/>
  <c r="N133" i="13"/>
  <c r="K133" i="13"/>
  <c r="W133" i="13"/>
  <c r="V133" i="13"/>
  <c r="U133" i="13"/>
  <c r="T133" i="13"/>
  <c r="S133" i="13"/>
  <c r="R133" i="13"/>
  <c r="Q133" i="13"/>
  <c r="P133" i="13"/>
  <c r="J133" i="13"/>
  <c r="Z132" i="13"/>
  <c r="C132" i="13"/>
  <c r="B132" i="13"/>
  <c r="O132" i="13"/>
  <c r="L132" i="13"/>
  <c r="Y132" i="13"/>
  <c r="M132" i="13"/>
  <c r="X132" i="13"/>
  <c r="N132" i="13"/>
  <c r="K132" i="13"/>
  <c r="W132" i="13"/>
  <c r="V132" i="13"/>
  <c r="U132" i="13"/>
  <c r="T132" i="13"/>
  <c r="S132" i="13"/>
  <c r="R132" i="13"/>
  <c r="Q132" i="13"/>
  <c r="P132" i="13"/>
  <c r="J132" i="13"/>
  <c r="Z131" i="13"/>
  <c r="C131" i="13"/>
  <c r="B131" i="13"/>
  <c r="O131" i="13"/>
  <c r="L131" i="13"/>
  <c r="Y131" i="13"/>
  <c r="M131" i="13"/>
  <c r="X131" i="13"/>
  <c r="N131" i="13"/>
  <c r="K131" i="13"/>
  <c r="W131" i="13"/>
  <c r="V131" i="13"/>
  <c r="U131" i="13"/>
  <c r="T131" i="13"/>
  <c r="S131" i="13"/>
  <c r="R131" i="13"/>
  <c r="Q131" i="13"/>
  <c r="P131" i="13"/>
  <c r="J131" i="13"/>
  <c r="Z130" i="13"/>
  <c r="C130" i="13"/>
  <c r="B130" i="13"/>
  <c r="O130" i="13"/>
  <c r="L130" i="13"/>
  <c r="Y130" i="13"/>
  <c r="M130" i="13"/>
  <c r="X130" i="13"/>
  <c r="N130" i="13"/>
  <c r="K130" i="13"/>
  <c r="W130" i="13"/>
  <c r="V130" i="13"/>
  <c r="U130" i="13"/>
  <c r="T130" i="13"/>
  <c r="S130" i="13"/>
  <c r="R130" i="13"/>
  <c r="Q130" i="13"/>
  <c r="P130" i="13"/>
  <c r="J130" i="13"/>
  <c r="Z129" i="13"/>
  <c r="C129" i="13"/>
  <c r="B129" i="13"/>
  <c r="O129" i="13"/>
  <c r="L129" i="13"/>
  <c r="Y129" i="13"/>
  <c r="M129" i="13"/>
  <c r="X129" i="13"/>
  <c r="N129" i="13"/>
  <c r="K129" i="13"/>
  <c r="W129" i="13"/>
  <c r="V129" i="13"/>
  <c r="U129" i="13"/>
  <c r="T129" i="13"/>
  <c r="S129" i="13"/>
  <c r="R129" i="13"/>
  <c r="Q129" i="13"/>
  <c r="P129" i="13"/>
  <c r="J129" i="13"/>
  <c r="Z128" i="13"/>
  <c r="C128" i="13"/>
  <c r="B128" i="13"/>
  <c r="O128" i="13"/>
  <c r="L128" i="13"/>
  <c r="Y128" i="13"/>
  <c r="M128" i="13"/>
  <c r="X128" i="13"/>
  <c r="N128" i="13"/>
  <c r="K128" i="13"/>
  <c r="W128" i="13"/>
  <c r="V128" i="13"/>
  <c r="U128" i="13"/>
  <c r="T128" i="13"/>
  <c r="S128" i="13"/>
  <c r="R128" i="13"/>
  <c r="Q128" i="13"/>
  <c r="P128" i="13"/>
  <c r="J128" i="13"/>
  <c r="Z127" i="13"/>
  <c r="C127" i="13"/>
  <c r="B127" i="13"/>
  <c r="O127" i="13"/>
  <c r="L127" i="13"/>
  <c r="Y127" i="13"/>
  <c r="M127" i="13"/>
  <c r="X127" i="13"/>
  <c r="N127" i="13"/>
  <c r="K127" i="13"/>
  <c r="W127" i="13"/>
  <c r="V127" i="13"/>
  <c r="U127" i="13"/>
  <c r="T127" i="13"/>
  <c r="S127" i="13"/>
  <c r="R127" i="13"/>
  <c r="Q127" i="13"/>
  <c r="P127" i="13"/>
  <c r="J127" i="13"/>
  <c r="Z126" i="13"/>
  <c r="C126" i="13"/>
  <c r="B126" i="13"/>
  <c r="O126" i="13"/>
  <c r="L126" i="13"/>
  <c r="Y126" i="13"/>
  <c r="M126" i="13"/>
  <c r="X126" i="13"/>
  <c r="N126" i="13"/>
  <c r="K126" i="13"/>
  <c r="W126" i="13"/>
  <c r="V126" i="13"/>
  <c r="U126" i="13"/>
  <c r="T126" i="13"/>
  <c r="S126" i="13"/>
  <c r="R126" i="13"/>
  <c r="Q126" i="13"/>
  <c r="P126" i="13"/>
  <c r="J126" i="13"/>
  <c r="Z125" i="13"/>
  <c r="C125" i="13"/>
  <c r="B125" i="13"/>
  <c r="O125" i="13"/>
  <c r="L125" i="13"/>
  <c r="Y125" i="13"/>
  <c r="M125" i="13"/>
  <c r="X125" i="13"/>
  <c r="N125" i="13"/>
  <c r="K125" i="13"/>
  <c r="W125" i="13"/>
  <c r="V125" i="13"/>
  <c r="U125" i="13"/>
  <c r="T125" i="13"/>
  <c r="S125" i="13"/>
  <c r="R125" i="13"/>
  <c r="Q125" i="13"/>
  <c r="P125" i="13"/>
  <c r="J125" i="13"/>
  <c r="Z124" i="13"/>
  <c r="C124" i="13"/>
  <c r="B124" i="13"/>
  <c r="O124" i="13"/>
  <c r="L124" i="13"/>
  <c r="Y124" i="13"/>
  <c r="M124" i="13"/>
  <c r="X124" i="13"/>
  <c r="N124" i="13"/>
  <c r="K124" i="13"/>
  <c r="W124" i="13"/>
  <c r="V124" i="13"/>
  <c r="U124" i="13"/>
  <c r="T124" i="13"/>
  <c r="S124" i="13"/>
  <c r="R124" i="13"/>
  <c r="Q124" i="13"/>
  <c r="P124" i="13"/>
  <c r="J124" i="13"/>
  <c r="Z123" i="13"/>
  <c r="C123" i="13"/>
  <c r="B123" i="13"/>
  <c r="O123" i="13"/>
  <c r="L123" i="13"/>
  <c r="Y123" i="13"/>
  <c r="M123" i="13"/>
  <c r="X123" i="13"/>
  <c r="N123" i="13"/>
  <c r="K123" i="13"/>
  <c r="W123" i="13"/>
  <c r="V123" i="13"/>
  <c r="U123" i="13"/>
  <c r="T123" i="13"/>
  <c r="S123" i="13"/>
  <c r="R123" i="13"/>
  <c r="Q123" i="13"/>
  <c r="P123" i="13"/>
  <c r="J123" i="13"/>
  <c r="Z122" i="13"/>
  <c r="C122" i="13"/>
  <c r="B122" i="13"/>
  <c r="O122" i="13"/>
  <c r="L122" i="13"/>
  <c r="Y122" i="13"/>
  <c r="M122" i="13"/>
  <c r="X122" i="13"/>
  <c r="N122" i="13"/>
  <c r="K122" i="13"/>
  <c r="W122" i="13"/>
  <c r="V122" i="13"/>
  <c r="U122" i="13"/>
  <c r="T122" i="13"/>
  <c r="S122" i="13"/>
  <c r="R122" i="13"/>
  <c r="Q122" i="13"/>
  <c r="P122" i="13"/>
  <c r="J122" i="13"/>
  <c r="Z121" i="13"/>
  <c r="C121" i="13"/>
  <c r="B121" i="13"/>
  <c r="O121" i="13"/>
  <c r="L121" i="13"/>
  <c r="Y121" i="13"/>
  <c r="M121" i="13"/>
  <c r="X121" i="13"/>
  <c r="N121" i="13"/>
  <c r="K121" i="13"/>
  <c r="W121" i="13"/>
  <c r="V121" i="13"/>
  <c r="U121" i="13"/>
  <c r="T121" i="13"/>
  <c r="S121" i="13"/>
  <c r="R121" i="13"/>
  <c r="Q121" i="13"/>
  <c r="P121" i="13"/>
  <c r="J121" i="13"/>
  <c r="Z120" i="13"/>
  <c r="C120" i="13"/>
  <c r="B120" i="13"/>
  <c r="O120" i="13"/>
  <c r="L120" i="13"/>
  <c r="Y120" i="13"/>
  <c r="M120" i="13"/>
  <c r="X120" i="13"/>
  <c r="N120" i="13"/>
  <c r="K120" i="13"/>
  <c r="W120" i="13"/>
  <c r="V120" i="13"/>
  <c r="U120" i="13"/>
  <c r="T120" i="13"/>
  <c r="S120" i="13"/>
  <c r="R120" i="13"/>
  <c r="Q120" i="13"/>
  <c r="P120" i="13"/>
  <c r="J120" i="13"/>
  <c r="Z119" i="13"/>
  <c r="C119" i="13"/>
  <c r="B119" i="13"/>
  <c r="O119" i="13"/>
  <c r="L119" i="13"/>
  <c r="Y119" i="13"/>
  <c r="M119" i="13"/>
  <c r="X119" i="13"/>
  <c r="N119" i="13"/>
  <c r="K119" i="13"/>
  <c r="W119" i="13"/>
  <c r="V119" i="13"/>
  <c r="U119" i="13"/>
  <c r="T119" i="13"/>
  <c r="S119" i="13"/>
  <c r="R119" i="13"/>
  <c r="Q119" i="13"/>
  <c r="P119" i="13"/>
  <c r="J119" i="13"/>
  <c r="Z118" i="13"/>
  <c r="C118" i="13"/>
  <c r="B118" i="13"/>
  <c r="O118" i="13"/>
  <c r="L118" i="13"/>
  <c r="Y118" i="13"/>
  <c r="M118" i="13"/>
  <c r="X118" i="13"/>
  <c r="N118" i="13"/>
  <c r="K118" i="13"/>
  <c r="W118" i="13"/>
  <c r="V118" i="13"/>
  <c r="U118" i="13"/>
  <c r="T118" i="13"/>
  <c r="S118" i="13"/>
  <c r="R118" i="13"/>
  <c r="Q118" i="13"/>
  <c r="P118" i="13"/>
  <c r="J118" i="13"/>
  <c r="Z117" i="13"/>
  <c r="C117" i="13"/>
  <c r="B117" i="13"/>
  <c r="O117" i="13"/>
  <c r="L117" i="13"/>
  <c r="Y117" i="13"/>
  <c r="M117" i="13"/>
  <c r="X117" i="13"/>
  <c r="N117" i="13"/>
  <c r="K117" i="13"/>
  <c r="W117" i="13"/>
  <c r="V117" i="13"/>
  <c r="U117" i="13"/>
  <c r="T117" i="13"/>
  <c r="S117" i="13"/>
  <c r="R117" i="13"/>
  <c r="Q117" i="13"/>
  <c r="P117" i="13"/>
  <c r="J117" i="13"/>
  <c r="Z116" i="13"/>
  <c r="C116" i="13"/>
  <c r="B116" i="13"/>
  <c r="O116" i="13"/>
  <c r="L116" i="13"/>
  <c r="Y116" i="13"/>
  <c r="M116" i="13"/>
  <c r="X116" i="13"/>
  <c r="N116" i="13"/>
  <c r="K116" i="13"/>
  <c r="W116" i="13"/>
  <c r="V116" i="13"/>
  <c r="U116" i="13"/>
  <c r="T116" i="13"/>
  <c r="S116" i="13"/>
  <c r="R116" i="13"/>
  <c r="Q116" i="13"/>
  <c r="P116" i="13"/>
  <c r="J116" i="13"/>
  <c r="Z115" i="13"/>
  <c r="C115" i="13"/>
  <c r="B115" i="13"/>
  <c r="O115" i="13"/>
  <c r="L115" i="13"/>
  <c r="Y115" i="13"/>
  <c r="M115" i="13"/>
  <c r="X115" i="13"/>
  <c r="N115" i="13"/>
  <c r="K115" i="13"/>
  <c r="W115" i="13"/>
  <c r="V115" i="13"/>
  <c r="U115" i="13"/>
  <c r="T115" i="13"/>
  <c r="S115" i="13"/>
  <c r="R115" i="13"/>
  <c r="Q115" i="13"/>
  <c r="P115" i="13"/>
  <c r="J115" i="13"/>
  <c r="Z114" i="13"/>
  <c r="C114" i="13"/>
  <c r="B114" i="13"/>
  <c r="O114" i="13"/>
  <c r="L114" i="13"/>
  <c r="Y114" i="13"/>
  <c r="M114" i="13"/>
  <c r="X114" i="13"/>
  <c r="N114" i="13"/>
  <c r="K114" i="13"/>
  <c r="W114" i="13"/>
  <c r="V114" i="13"/>
  <c r="U114" i="13"/>
  <c r="T114" i="13"/>
  <c r="S114" i="13"/>
  <c r="R114" i="13"/>
  <c r="Q114" i="13"/>
  <c r="P114" i="13"/>
  <c r="J114" i="13"/>
  <c r="Z113" i="13"/>
  <c r="C113" i="13"/>
  <c r="B113" i="13"/>
  <c r="O113" i="13"/>
  <c r="L113" i="13"/>
  <c r="Y113" i="13"/>
  <c r="M113" i="13"/>
  <c r="X113" i="13"/>
  <c r="N113" i="13"/>
  <c r="K113" i="13"/>
  <c r="W113" i="13"/>
  <c r="V113" i="13"/>
  <c r="U113" i="13"/>
  <c r="T113" i="13"/>
  <c r="S113" i="13"/>
  <c r="R113" i="13"/>
  <c r="Q113" i="13"/>
  <c r="P113" i="13"/>
  <c r="J113" i="13"/>
  <c r="Z112" i="13"/>
  <c r="C112" i="13"/>
  <c r="B112" i="13"/>
  <c r="O112" i="13"/>
  <c r="L112" i="13"/>
  <c r="Y112" i="13"/>
  <c r="M112" i="13"/>
  <c r="X112" i="13"/>
  <c r="N112" i="13"/>
  <c r="K112" i="13"/>
  <c r="W112" i="13"/>
  <c r="V112" i="13"/>
  <c r="U112" i="13"/>
  <c r="T112" i="13"/>
  <c r="S112" i="13"/>
  <c r="R112" i="13"/>
  <c r="Q112" i="13"/>
  <c r="P112" i="13"/>
  <c r="J112" i="13"/>
  <c r="Z111" i="13"/>
  <c r="C111" i="13"/>
  <c r="B111" i="13"/>
  <c r="O111" i="13"/>
  <c r="L111" i="13"/>
  <c r="Y111" i="13"/>
  <c r="M111" i="13"/>
  <c r="X111" i="13"/>
  <c r="N111" i="13"/>
  <c r="K111" i="13"/>
  <c r="W111" i="13"/>
  <c r="V111" i="13"/>
  <c r="U111" i="13"/>
  <c r="T111" i="13"/>
  <c r="S111" i="13"/>
  <c r="R111" i="13"/>
  <c r="Q111" i="13"/>
  <c r="P111" i="13"/>
  <c r="J111" i="13"/>
  <c r="Z110" i="13"/>
  <c r="C110" i="13"/>
  <c r="B110" i="13"/>
  <c r="O110" i="13"/>
  <c r="L110" i="13"/>
  <c r="Y110" i="13"/>
  <c r="M110" i="13"/>
  <c r="X110" i="13"/>
  <c r="N110" i="13"/>
  <c r="K110" i="13"/>
  <c r="W110" i="13"/>
  <c r="V110" i="13"/>
  <c r="U110" i="13"/>
  <c r="T110" i="13"/>
  <c r="S110" i="13"/>
  <c r="R110" i="13"/>
  <c r="Q110" i="13"/>
  <c r="P110" i="13"/>
  <c r="J110" i="13"/>
  <c r="Z109" i="13"/>
  <c r="C109" i="13"/>
  <c r="B109" i="13"/>
  <c r="O109" i="13"/>
  <c r="L109" i="13"/>
  <c r="Y109" i="13"/>
  <c r="M109" i="13"/>
  <c r="X109" i="13"/>
  <c r="N109" i="13"/>
  <c r="K109" i="13"/>
  <c r="W109" i="13"/>
  <c r="V109" i="13"/>
  <c r="U109" i="13"/>
  <c r="T109" i="13"/>
  <c r="S109" i="13"/>
  <c r="R109" i="13"/>
  <c r="Q109" i="13"/>
  <c r="P109" i="13"/>
  <c r="J109" i="13"/>
  <c r="Z108" i="13"/>
  <c r="C108" i="13"/>
  <c r="B108" i="13"/>
  <c r="O108" i="13"/>
  <c r="L108" i="13"/>
  <c r="Y108" i="13"/>
  <c r="M108" i="13"/>
  <c r="X108" i="13"/>
  <c r="N108" i="13"/>
  <c r="K108" i="13"/>
  <c r="W108" i="13"/>
  <c r="V108" i="13"/>
  <c r="U108" i="13"/>
  <c r="T108" i="13"/>
  <c r="S108" i="13"/>
  <c r="R108" i="13"/>
  <c r="Q108" i="13"/>
  <c r="P108" i="13"/>
  <c r="J108" i="13"/>
  <c r="N27" i="13"/>
  <c r="N26" i="13"/>
  <c r="N25" i="13"/>
  <c r="N24" i="13"/>
  <c r="N23" i="13"/>
  <c r="N22" i="13"/>
  <c r="N21" i="13"/>
  <c r="N20" i="13"/>
  <c r="N19" i="13"/>
  <c r="N18" i="13"/>
  <c r="N17" i="13"/>
  <c r="N16" i="13"/>
  <c r="N15" i="13"/>
  <c r="N14" i="13"/>
  <c r="N13" i="13"/>
  <c r="N12" i="13"/>
  <c r="N11" i="13"/>
  <c r="Z104" i="13"/>
  <c r="G104" i="13"/>
  <c r="C104" i="13"/>
  <c r="B104" i="13"/>
  <c r="F104" i="13"/>
  <c r="D104" i="13"/>
  <c r="O104" i="13"/>
  <c r="L104" i="13"/>
  <c r="Y104" i="13"/>
  <c r="M104" i="13"/>
  <c r="X104" i="13"/>
  <c r="N104" i="13"/>
  <c r="K104" i="13"/>
  <c r="W104" i="13"/>
  <c r="V104" i="13"/>
  <c r="U104" i="13"/>
  <c r="T104" i="13"/>
  <c r="S104" i="13"/>
  <c r="R104" i="13"/>
  <c r="Q104" i="13"/>
  <c r="P104" i="13"/>
  <c r="J104" i="13"/>
  <c r="Z103" i="13"/>
  <c r="G103" i="13"/>
  <c r="C103" i="13"/>
  <c r="B103" i="13"/>
  <c r="F103" i="13"/>
  <c r="D103" i="13"/>
  <c r="O103" i="13"/>
  <c r="L103" i="13"/>
  <c r="Y103" i="13"/>
  <c r="M103" i="13"/>
  <c r="X103" i="13"/>
  <c r="N103" i="13"/>
  <c r="K103" i="13"/>
  <c r="W103" i="13"/>
  <c r="V103" i="13"/>
  <c r="U103" i="13"/>
  <c r="T103" i="13"/>
  <c r="S103" i="13"/>
  <c r="R103" i="13"/>
  <c r="Q103" i="13"/>
  <c r="P103" i="13"/>
  <c r="J103" i="13"/>
  <c r="Z102" i="13"/>
  <c r="G102" i="13"/>
  <c r="C102" i="13"/>
  <c r="B102" i="13"/>
  <c r="F102" i="13"/>
  <c r="D102" i="13"/>
  <c r="O102" i="13"/>
  <c r="L102" i="13"/>
  <c r="Y102" i="13"/>
  <c r="M102" i="13"/>
  <c r="X102" i="13"/>
  <c r="N102" i="13"/>
  <c r="K102" i="13"/>
  <c r="W102" i="13"/>
  <c r="V102" i="13"/>
  <c r="U102" i="13"/>
  <c r="T102" i="13"/>
  <c r="S102" i="13"/>
  <c r="R102" i="13"/>
  <c r="Q102" i="13"/>
  <c r="P102" i="13"/>
  <c r="J102" i="13"/>
  <c r="Z101" i="13"/>
  <c r="G101" i="13"/>
  <c r="C101" i="13"/>
  <c r="B101" i="13"/>
  <c r="F101" i="13"/>
  <c r="D101" i="13"/>
  <c r="O101" i="13"/>
  <c r="L101" i="13"/>
  <c r="Y101" i="13"/>
  <c r="M101" i="13"/>
  <c r="X101" i="13"/>
  <c r="N101" i="13"/>
  <c r="K101" i="13"/>
  <c r="W101" i="13"/>
  <c r="V101" i="13"/>
  <c r="U101" i="13"/>
  <c r="T101" i="13"/>
  <c r="S101" i="13"/>
  <c r="R101" i="13"/>
  <c r="Q101" i="13"/>
  <c r="P101" i="13"/>
  <c r="J101" i="13"/>
  <c r="Z100" i="13"/>
  <c r="G100" i="13"/>
  <c r="C100" i="13"/>
  <c r="B100" i="13"/>
  <c r="F100" i="13"/>
  <c r="D100" i="13"/>
  <c r="O100" i="13"/>
  <c r="L100" i="13"/>
  <c r="Y100" i="13"/>
  <c r="M100" i="13"/>
  <c r="X100" i="13"/>
  <c r="N100" i="13"/>
  <c r="K100" i="13"/>
  <c r="W100" i="13"/>
  <c r="V100" i="13"/>
  <c r="U100" i="13"/>
  <c r="T100" i="13"/>
  <c r="S100" i="13"/>
  <c r="R100" i="13"/>
  <c r="Q100" i="13"/>
  <c r="P100" i="13"/>
  <c r="J100" i="13"/>
  <c r="Z99" i="13"/>
  <c r="G99" i="13"/>
  <c r="C99" i="13"/>
  <c r="B99" i="13"/>
  <c r="F99" i="13"/>
  <c r="D99" i="13"/>
  <c r="O99" i="13"/>
  <c r="L99" i="13"/>
  <c r="Y99" i="13"/>
  <c r="M99" i="13"/>
  <c r="X99" i="13"/>
  <c r="N99" i="13"/>
  <c r="K99" i="13"/>
  <c r="W99" i="13"/>
  <c r="V99" i="13"/>
  <c r="U99" i="13"/>
  <c r="T99" i="13"/>
  <c r="S99" i="13"/>
  <c r="R99" i="13"/>
  <c r="Q99" i="13"/>
  <c r="P99" i="13"/>
  <c r="J99" i="13"/>
  <c r="Z98" i="13"/>
  <c r="G98" i="13"/>
  <c r="C98" i="13"/>
  <c r="B98" i="13"/>
  <c r="F98" i="13"/>
  <c r="D98" i="13"/>
  <c r="O98" i="13"/>
  <c r="L98" i="13"/>
  <c r="Y98" i="13"/>
  <c r="M98" i="13"/>
  <c r="X98" i="13"/>
  <c r="N98" i="13"/>
  <c r="K98" i="13"/>
  <c r="W98" i="13"/>
  <c r="V98" i="13"/>
  <c r="U98" i="13"/>
  <c r="T98" i="13"/>
  <c r="S98" i="13"/>
  <c r="R98" i="13"/>
  <c r="Q98" i="13"/>
  <c r="P98" i="13"/>
  <c r="J98" i="13"/>
  <c r="Z97" i="13"/>
  <c r="H97" i="13"/>
  <c r="G97" i="13"/>
  <c r="C97" i="13"/>
  <c r="B97" i="13"/>
  <c r="D97" i="13"/>
  <c r="O97" i="13"/>
  <c r="L97" i="13"/>
  <c r="Y97" i="13"/>
  <c r="M97" i="13"/>
  <c r="X97" i="13"/>
  <c r="N97" i="13"/>
  <c r="K97" i="13"/>
  <c r="W97" i="13"/>
  <c r="V97" i="13"/>
  <c r="U97" i="13"/>
  <c r="T97" i="13"/>
  <c r="S97" i="13"/>
  <c r="R97" i="13"/>
  <c r="Q97" i="13"/>
  <c r="P97" i="13"/>
  <c r="J97" i="13"/>
  <c r="Z96" i="13"/>
  <c r="H96" i="13"/>
  <c r="G96" i="13"/>
  <c r="C96" i="13"/>
  <c r="B96" i="13"/>
  <c r="D96" i="13"/>
  <c r="O96" i="13"/>
  <c r="L96" i="13"/>
  <c r="Y96" i="13"/>
  <c r="M96" i="13"/>
  <c r="X96" i="13"/>
  <c r="N96" i="13"/>
  <c r="K96" i="13"/>
  <c r="W96" i="13"/>
  <c r="V96" i="13"/>
  <c r="U96" i="13"/>
  <c r="T96" i="13"/>
  <c r="S96" i="13"/>
  <c r="R96" i="13"/>
  <c r="Q96" i="13"/>
  <c r="P96" i="13"/>
  <c r="J96" i="13"/>
  <c r="Z95" i="13"/>
  <c r="H95" i="13"/>
  <c r="G95" i="13"/>
  <c r="C95" i="13"/>
  <c r="B95" i="13"/>
  <c r="D95" i="13"/>
  <c r="O95" i="13"/>
  <c r="L95" i="13"/>
  <c r="Y95" i="13"/>
  <c r="M95" i="13"/>
  <c r="X95" i="13"/>
  <c r="N95" i="13"/>
  <c r="K95" i="13"/>
  <c r="W95" i="13"/>
  <c r="V95" i="13"/>
  <c r="U95" i="13"/>
  <c r="T95" i="13"/>
  <c r="S95" i="13"/>
  <c r="R95" i="13"/>
  <c r="Q95" i="13"/>
  <c r="P95" i="13"/>
  <c r="J95" i="13"/>
  <c r="Z94" i="13"/>
  <c r="H94" i="13"/>
  <c r="G94" i="13"/>
  <c r="C94" i="13"/>
  <c r="B94" i="13"/>
  <c r="D94" i="13"/>
  <c r="O94" i="13"/>
  <c r="L94" i="13"/>
  <c r="Y94" i="13"/>
  <c r="M94" i="13"/>
  <c r="X94" i="13"/>
  <c r="N94" i="13"/>
  <c r="K94" i="13"/>
  <c r="W94" i="13"/>
  <c r="V94" i="13"/>
  <c r="U94" i="13"/>
  <c r="T94" i="13"/>
  <c r="S94" i="13"/>
  <c r="R94" i="13"/>
  <c r="Q94" i="13"/>
  <c r="P94" i="13"/>
  <c r="J94" i="13"/>
  <c r="Z93" i="13"/>
  <c r="H93" i="13"/>
  <c r="G93" i="13"/>
  <c r="C93" i="13"/>
  <c r="B93" i="13"/>
  <c r="D93" i="13"/>
  <c r="O93" i="13"/>
  <c r="L93" i="13"/>
  <c r="Y93" i="13"/>
  <c r="M93" i="13"/>
  <c r="X93" i="13"/>
  <c r="N93" i="13"/>
  <c r="K93" i="13"/>
  <c r="W93" i="13"/>
  <c r="V93" i="13"/>
  <c r="U93" i="13"/>
  <c r="T93" i="13"/>
  <c r="S93" i="13"/>
  <c r="R93" i="13"/>
  <c r="Q93" i="13"/>
  <c r="P93" i="13"/>
  <c r="J93" i="13"/>
  <c r="Z92" i="13"/>
  <c r="H92" i="13"/>
  <c r="G92" i="13"/>
  <c r="C92" i="13"/>
  <c r="B92" i="13"/>
  <c r="D92" i="13"/>
  <c r="O92" i="13"/>
  <c r="L92" i="13"/>
  <c r="Y92" i="13"/>
  <c r="M92" i="13"/>
  <c r="X92" i="13"/>
  <c r="N92" i="13"/>
  <c r="K92" i="13"/>
  <c r="W92" i="13"/>
  <c r="V92" i="13"/>
  <c r="U92" i="13"/>
  <c r="T92" i="13"/>
  <c r="S92" i="13"/>
  <c r="R92" i="13"/>
  <c r="Q92" i="13"/>
  <c r="P92" i="13"/>
  <c r="J92" i="13"/>
  <c r="Z91" i="13"/>
  <c r="H91" i="13"/>
  <c r="G91" i="13"/>
  <c r="C91" i="13"/>
  <c r="B91" i="13"/>
  <c r="D91" i="13"/>
  <c r="O91" i="13"/>
  <c r="L91" i="13"/>
  <c r="Y91" i="13"/>
  <c r="M91" i="13"/>
  <c r="X91" i="13"/>
  <c r="N91" i="13"/>
  <c r="K91" i="13"/>
  <c r="W91" i="13"/>
  <c r="V91" i="13"/>
  <c r="U91" i="13"/>
  <c r="T91" i="13"/>
  <c r="S91" i="13"/>
  <c r="R91" i="13"/>
  <c r="Q91" i="13"/>
  <c r="P91" i="13"/>
  <c r="J91" i="13"/>
  <c r="Z90" i="13"/>
  <c r="H90" i="13"/>
  <c r="G90" i="13"/>
  <c r="C90" i="13"/>
  <c r="B90" i="13"/>
  <c r="D90" i="13"/>
  <c r="O90" i="13"/>
  <c r="L90" i="13"/>
  <c r="Y90" i="13"/>
  <c r="M90" i="13"/>
  <c r="X90" i="13"/>
  <c r="N90" i="13"/>
  <c r="K90" i="13"/>
  <c r="W90" i="13"/>
  <c r="V90" i="13"/>
  <c r="U90" i="13"/>
  <c r="T90" i="13"/>
  <c r="S90" i="13"/>
  <c r="R90" i="13"/>
  <c r="Q90" i="13"/>
  <c r="P90" i="13"/>
  <c r="J90" i="13"/>
  <c r="Z89" i="13"/>
  <c r="H89" i="13"/>
  <c r="G89" i="13"/>
  <c r="C89" i="13"/>
  <c r="B89" i="13"/>
  <c r="D89" i="13"/>
  <c r="O89" i="13"/>
  <c r="L89" i="13"/>
  <c r="Y89" i="13"/>
  <c r="M89" i="13"/>
  <c r="X89" i="13"/>
  <c r="N89" i="13"/>
  <c r="K89" i="13"/>
  <c r="W89" i="13"/>
  <c r="V89" i="13"/>
  <c r="U89" i="13"/>
  <c r="T89" i="13"/>
  <c r="S89" i="13"/>
  <c r="R89" i="13"/>
  <c r="Q89" i="13"/>
  <c r="P89" i="13"/>
  <c r="J89" i="13"/>
  <c r="Z88" i="13"/>
  <c r="H88" i="13"/>
  <c r="G88" i="13"/>
  <c r="C88" i="13"/>
  <c r="B88" i="13"/>
  <c r="D88" i="13"/>
  <c r="O88" i="13"/>
  <c r="L88" i="13"/>
  <c r="Y88" i="13"/>
  <c r="M88" i="13"/>
  <c r="X88" i="13"/>
  <c r="N88" i="13"/>
  <c r="K88" i="13"/>
  <c r="W88" i="13"/>
  <c r="V88" i="13"/>
  <c r="U88" i="13"/>
  <c r="T88" i="13"/>
  <c r="S88" i="13"/>
  <c r="R88" i="13"/>
  <c r="Q88" i="13"/>
  <c r="P88" i="13"/>
  <c r="J88" i="13"/>
  <c r="Z87" i="13"/>
  <c r="H87" i="13"/>
  <c r="G87" i="13"/>
  <c r="C87" i="13"/>
  <c r="B87" i="13"/>
  <c r="D87" i="13"/>
  <c r="O87" i="13"/>
  <c r="L87" i="13"/>
  <c r="Y87" i="13"/>
  <c r="M87" i="13"/>
  <c r="X87" i="13"/>
  <c r="N87" i="13"/>
  <c r="K87" i="13"/>
  <c r="W87" i="13"/>
  <c r="V87" i="13"/>
  <c r="U87" i="13"/>
  <c r="T87" i="13"/>
  <c r="S87" i="13"/>
  <c r="R87" i="13"/>
  <c r="Q87" i="13"/>
  <c r="P87" i="13"/>
  <c r="J87" i="13"/>
  <c r="Z86" i="13"/>
  <c r="H86" i="13"/>
  <c r="G86" i="13"/>
  <c r="C86" i="13"/>
  <c r="B86" i="13"/>
  <c r="D86" i="13"/>
  <c r="O86" i="13"/>
  <c r="L86" i="13"/>
  <c r="Y86" i="13"/>
  <c r="M86" i="13"/>
  <c r="X86" i="13"/>
  <c r="N86" i="13"/>
  <c r="K86" i="13"/>
  <c r="W86" i="13"/>
  <c r="V86" i="13"/>
  <c r="U86" i="13"/>
  <c r="T86" i="13"/>
  <c r="S86" i="13"/>
  <c r="R86" i="13"/>
  <c r="Q86" i="13"/>
  <c r="P86" i="13"/>
  <c r="J86" i="13"/>
  <c r="Z85" i="13"/>
  <c r="H85" i="13"/>
  <c r="G85" i="13"/>
  <c r="C85" i="13"/>
  <c r="B85" i="13"/>
  <c r="D85" i="13"/>
  <c r="O85" i="13"/>
  <c r="L85" i="13"/>
  <c r="Y85" i="13"/>
  <c r="M85" i="13"/>
  <c r="X85" i="13"/>
  <c r="N85" i="13"/>
  <c r="K85" i="13"/>
  <c r="W85" i="13"/>
  <c r="V85" i="13"/>
  <c r="U85" i="13"/>
  <c r="T85" i="13"/>
  <c r="S85" i="13"/>
  <c r="R85" i="13"/>
  <c r="Q85" i="13"/>
  <c r="P85" i="13"/>
  <c r="J85" i="13"/>
  <c r="Z84" i="13"/>
  <c r="H84" i="13"/>
  <c r="G84" i="13"/>
  <c r="C84" i="13"/>
  <c r="B84" i="13"/>
  <c r="D84" i="13"/>
  <c r="O84" i="13"/>
  <c r="L84" i="13"/>
  <c r="Y84" i="13"/>
  <c r="M84" i="13"/>
  <c r="X84" i="13"/>
  <c r="N84" i="13"/>
  <c r="K84" i="13"/>
  <c r="W84" i="13"/>
  <c r="V84" i="13"/>
  <c r="U84" i="13"/>
  <c r="T84" i="13"/>
  <c r="S84" i="13"/>
  <c r="R84" i="13"/>
  <c r="Q84" i="13"/>
  <c r="P84" i="13"/>
  <c r="J84" i="13"/>
  <c r="Z83" i="13"/>
  <c r="H83" i="13"/>
  <c r="G83" i="13"/>
  <c r="C83" i="13"/>
  <c r="B83" i="13"/>
  <c r="D83" i="13"/>
  <c r="O83" i="13"/>
  <c r="L83" i="13"/>
  <c r="Y83" i="13"/>
  <c r="M83" i="13"/>
  <c r="X83" i="13"/>
  <c r="N83" i="13"/>
  <c r="K83" i="13"/>
  <c r="W83" i="13"/>
  <c r="V83" i="13"/>
  <c r="U83" i="13"/>
  <c r="T83" i="13"/>
  <c r="S83" i="13"/>
  <c r="R83" i="13"/>
  <c r="Q83" i="13"/>
  <c r="P83" i="13"/>
  <c r="J83" i="13"/>
  <c r="Z82" i="13"/>
  <c r="H82" i="13"/>
  <c r="G82" i="13"/>
  <c r="C82" i="13"/>
  <c r="B82" i="13"/>
  <c r="D82" i="13"/>
  <c r="O82" i="13"/>
  <c r="L82" i="13"/>
  <c r="Y82" i="13"/>
  <c r="M82" i="13"/>
  <c r="X82" i="13"/>
  <c r="N82" i="13"/>
  <c r="K82" i="13"/>
  <c r="W82" i="13"/>
  <c r="V82" i="13"/>
  <c r="U82" i="13"/>
  <c r="T82" i="13"/>
  <c r="S82" i="13"/>
  <c r="R82" i="13"/>
  <c r="Q82" i="13"/>
  <c r="P82" i="13"/>
  <c r="J82" i="13"/>
  <c r="Z81" i="13"/>
  <c r="C81" i="13"/>
  <c r="B81" i="13"/>
  <c r="E81" i="13"/>
  <c r="D81" i="13"/>
  <c r="O81" i="13"/>
  <c r="L81" i="13"/>
  <c r="Y81" i="13"/>
  <c r="M81" i="13"/>
  <c r="X81" i="13"/>
  <c r="N81" i="13"/>
  <c r="K81" i="13"/>
  <c r="W81" i="13"/>
  <c r="V81" i="13"/>
  <c r="U81" i="13"/>
  <c r="T81" i="13"/>
  <c r="S81" i="13"/>
  <c r="R81" i="13"/>
  <c r="Q81" i="13"/>
  <c r="P81" i="13"/>
  <c r="J81" i="13"/>
  <c r="Z80" i="13"/>
  <c r="C80" i="13"/>
  <c r="B80" i="13"/>
  <c r="E80" i="13"/>
  <c r="D80" i="13"/>
  <c r="O80" i="13"/>
  <c r="L80" i="13"/>
  <c r="Y80" i="13"/>
  <c r="M80" i="13"/>
  <c r="X80" i="13"/>
  <c r="N80" i="13"/>
  <c r="K80" i="13"/>
  <c r="W80" i="13"/>
  <c r="V80" i="13"/>
  <c r="U80" i="13"/>
  <c r="T80" i="13"/>
  <c r="S80" i="13"/>
  <c r="R80" i="13"/>
  <c r="Q80" i="13"/>
  <c r="P80" i="13"/>
  <c r="J80" i="13"/>
  <c r="Z79" i="13"/>
  <c r="C79" i="13"/>
  <c r="B79" i="13"/>
  <c r="E79" i="13"/>
  <c r="D79" i="13"/>
  <c r="O79" i="13"/>
  <c r="L79" i="13"/>
  <c r="Y79" i="13"/>
  <c r="M79" i="13"/>
  <c r="X79" i="13"/>
  <c r="N79" i="13"/>
  <c r="K79" i="13"/>
  <c r="W79" i="13"/>
  <c r="V79" i="13"/>
  <c r="U79" i="13"/>
  <c r="T79" i="13"/>
  <c r="S79" i="13"/>
  <c r="R79" i="13"/>
  <c r="Q79" i="13"/>
  <c r="P79" i="13"/>
  <c r="J79" i="13"/>
  <c r="Z78" i="13"/>
  <c r="C78" i="13"/>
  <c r="B78" i="13"/>
  <c r="E78" i="13"/>
  <c r="D78" i="13"/>
  <c r="O78" i="13"/>
  <c r="L78" i="13"/>
  <c r="Y78" i="13"/>
  <c r="M78" i="13"/>
  <c r="X78" i="13"/>
  <c r="N78" i="13"/>
  <c r="K78" i="13"/>
  <c r="W78" i="13"/>
  <c r="V78" i="13"/>
  <c r="U78" i="13"/>
  <c r="T78" i="13"/>
  <c r="S78" i="13"/>
  <c r="R78" i="13"/>
  <c r="Q78" i="13"/>
  <c r="P78" i="13"/>
  <c r="J78" i="13"/>
  <c r="Z77" i="13"/>
  <c r="C77" i="13"/>
  <c r="B77" i="13"/>
  <c r="E77" i="13"/>
  <c r="D77" i="13"/>
  <c r="O77" i="13"/>
  <c r="L77" i="13"/>
  <c r="Y77" i="13"/>
  <c r="M77" i="13"/>
  <c r="X77" i="13"/>
  <c r="N77" i="13"/>
  <c r="K77" i="13"/>
  <c r="W77" i="13"/>
  <c r="V77" i="13"/>
  <c r="U77" i="13"/>
  <c r="T77" i="13"/>
  <c r="S77" i="13"/>
  <c r="R77" i="13"/>
  <c r="Q77" i="13"/>
  <c r="P77" i="13"/>
  <c r="J77" i="13"/>
  <c r="Z76" i="13"/>
  <c r="C76" i="13"/>
  <c r="B76" i="13"/>
  <c r="E76" i="13"/>
  <c r="D76" i="13"/>
  <c r="O76" i="13"/>
  <c r="L76" i="13"/>
  <c r="Y76" i="13"/>
  <c r="M76" i="13"/>
  <c r="X76" i="13"/>
  <c r="N76" i="13"/>
  <c r="K76" i="13"/>
  <c r="W76" i="13"/>
  <c r="V76" i="13"/>
  <c r="U76" i="13"/>
  <c r="T76" i="13"/>
  <c r="S76" i="13"/>
  <c r="R76" i="13"/>
  <c r="Q76" i="13"/>
  <c r="P76" i="13"/>
  <c r="J76" i="13"/>
  <c r="Z75" i="13"/>
  <c r="C75" i="13"/>
  <c r="B75" i="13"/>
  <c r="E75" i="13"/>
  <c r="D75" i="13"/>
  <c r="O75" i="13"/>
  <c r="L75" i="13"/>
  <c r="Y75" i="13"/>
  <c r="M75" i="13"/>
  <c r="X75" i="13"/>
  <c r="N75" i="13"/>
  <c r="K75" i="13"/>
  <c r="W75" i="13"/>
  <c r="V75" i="13"/>
  <c r="U75" i="13"/>
  <c r="T75" i="13"/>
  <c r="S75" i="13"/>
  <c r="R75" i="13"/>
  <c r="Q75" i="13"/>
  <c r="P75" i="13"/>
  <c r="J75" i="13"/>
  <c r="Z74" i="13"/>
  <c r="H74" i="13"/>
  <c r="C74" i="13"/>
  <c r="B74" i="13"/>
  <c r="D74" i="13"/>
  <c r="O74" i="13"/>
  <c r="L74" i="13"/>
  <c r="Y74" i="13"/>
  <c r="M74" i="13"/>
  <c r="X74" i="13"/>
  <c r="N74" i="13"/>
  <c r="K74" i="13"/>
  <c r="W74" i="13"/>
  <c r="V74" i="13"/>
  <c r="U74" i="13"/>
  <c r="T74" i="13"/>
  <c r="S74" i="13"/>
  <c r="R74" i="13"/>
  <c r="Q74" i="13"/>
  <c r="P74" i="13"/>
  <c r="J74" i="13"/>
  <c r="Z73" i="13"/>
  <c r="H73" i="13"/>
  <c r="C73" i="13"/>
  <c r="B73" i="13"/>
  <c r="D73" i="13"/>
  <c r="O73" i="13"/>
  <c r="L73" i="13"/>
  <c r="Y73" i="13"/>
  <c r="M73" i="13"/>
  <c r="X73" i="13"/>
  <c r="N73" i="13"/>
  <c r="K73" i="13"/>
  <c r="W73" i="13"/>
  <c r="V73" i="13"/>
  <c r="U73" i="13"/>
  <c r="T73" i="13"/>
  <c r="S73" i="13"/>
  <c r="R73" i="13"/>
  <c r="Q73" i="13"/>
  <c r="P73" i="13"/>
  <c r="J73" i="13"/>
  <c r="Z72" i="13"/>
  <c r="H72" i="13"/>
  <c r="C72" i="13"/>
  <c r="B72" i="13"/>
  <c r="D72" i="13"/>
  <c r="O72" i="13"/>
  <c r="L72" i="13"/>
  <c r="Y72" i="13"/>
  <c r="M72" i="13"/>
  <c r="X72" i="13"/>
  <c r="N72" i="13"/>
  <c r="K72" i="13"/>
  <c r="W72" i="13"/>
  <c r="V72" i="13"/>
  <c r="U72" i="13"/>
  <c r="T72" i="13"/>
  <c r="S72" i="13"/>
  <c r="R72" i="13"/>
  <c r="Q72" i="13"/>
  <c r="P72" i="13"/>
  <c r="J72" i="13"/>
  <c r="Z71" i="13"/>
  <c r="H71" i="13"/>
  <c r="C71" i="13"/>
  <c r="B71" i="13"/>
  <c r="D71" i="13"/>
  <c r="O71" i="13"/>
  <c r="L71" i="13"/>
  <c r="Y71" i="13"/>
  <c r="M71" i="13"/>
  <c r="X71" i="13"/>
  <c r="N71" i="13"/>
  <c r="K71" i="13"/>
  <c r="W71" i="13"/>
  <c r="V71" i="13"/>
  <c r="U71" i="13"/>
  <c r="T71" i="13"/>
  <c r="S71" i="13"/>
  <c r="R71" i="13"/>
  <c r="Q71" i="13"/>
  <c r="P71" i="13"/>
  <c r="J71" i="13"/>
  <c r="Z70" i="13"/>
  <c r="H70" i="13"/>
  <c r="C70" i="13"/>
  <c r="B70" i="13"/>
  <c r="D70" i="13"/>
  <c r="O70" i="13"/>
  <c r="L70" i="13"/>
  <c r="Y70" i="13"/>
  <c r="M70" i="13"/>
  <c r="X70" i="13"/>
  <c r="N70" i="13"/>
  <c r="K70" i="13"/>
  <c r="W70" i="13"/>
  <c r="V70" i="13"/>
  <c r="U70" i="13"/>
  <c r="T70" i="13"/>
  <c r="S70" i="13"/>
  <c r="R70" i="13"/>
  <c r="Q70" i="13"/>
  <c r="P70" i="13"/>
  <c r="J70" i="13"/>
  <c r="Z69" i="13"/>
  <c r="H69" i="13"/>
  <c r="C69" i="13"/>
  <c r="B69" i="13"/>
  <c r="D69" i="13"/>
  <c r="O69" i="13"/>
  <c r="L69" i="13"/>
  <c r="Y69" i="13"/>
  <c r="M69" i="13"/>
  <c r="X69" i="13"/>
  <c r="N69" i="13"/>
  <c r="K69" i="13"/>
  <c r="W69" i="13"/>
  <c r="V69" i="13"/>
  <c r="U69" i="13"/>
  <c r="T69" i="13"/>
  <c r="S69" i="13"/>
  <c r="R69" i="13"/>
  <c r="Q69" i="13"/>
  <c r="P69" i="13"/>
  <c r="J69" i="13"/>
  <c r="Z68" i="13"/>
  <c r="H68" i="13"/>
  <c r="C68" i="13"/>
  <c r="B68" i="13"/>
  <c r="D68" i="13"/>
  <c r="O68" i="13"/>
  <c r="L68" i="13"/>
  <c r="Y68" i="13"/>
  <c r="M68" i="13"/>
  <c r="X68" i="13"/>
  <c r="N68" i="13"/>
  <c r="K68" i="13"/>
  <c r="W68" i="13"/>
  <c r="V68" i="13"/>
  <c r="U68" i="13"/>
  <c r="T68" i="13"/>
  <c r="S68" i="13"/>
  <c r="R68" i="13"/>
  <c r="Q68" i="13"/>
  <c r="P68" i="13"/>
  <c r="J68" i="13"/>
  <c r="Z67" i="13"/>
  <c r="C67" i="13"/>
  <c r="B67" i="13"/>
  <c r="O67" i="13"/>
  <c r="L67" i="13"/>
  <c r="Y67" i="13"/>
  <c r="M67" i="13"/>
  <c r="X67" i="13"/>
  <c r="N67" i="13"/>
  <c r="K67" i="13"/>
  <c r="W67" i="13"/>
  <c r="V67" i="13"/>
  <c r="U67" i="13"/>
  <c r="T67" i="13"/>
  <c r="S67" i="13"/>
  <c r="R67" i="13"/>
  <c r="Q67" i="13"/>
  <c r="P67" i="13"/>
  <c r="J67" i="13"/>
  <c r="Z66" i="13"/>
  <c r="C66" i="13"/>
  <c r="B66" i="13"/>
  <c r="O66" i="13"/>
  <c r="L66" i="13"/>
  <c r="Y66" i="13"/>
  <c r="M66" i="13"/>
  <c r="X66" i="13"/>
  <c r="N66" i="13"/>
  <c r="K66" i="13"/>
  <c r="W66" i="13"/>
  <c r="V66" i="13"/>
  <c r="U66" i="13"/>
  <c r="T66" i="13"/>
  <c r="S66" i="13"/>
  <c r="R66" i="13"/>
  <c r="Q66" i="13"/>
  <c r="P66" i="13"/>
  <c r="J66" i="13"/>
  <c r="Z65" i="13"/>
  <c r="C65" i="13"/>
  <c r="B65" i="13"/>
  <c r="O65" i="13"/>
  <c r="L65" i="13"/>
  <c r="Y65" i="13"/>
  <c r="M65" i="13"/>
  <c r="X65" i="13"/>
  <c r="N65" i="13"/>
  <c r="K65" i="13"/>
  <c r="W65" i="13"/>
  <c r="V65" i="13"/>
  <c r="U65" i="13"/>
  <c r="T65" i="13"/>
  <c r="S65" i="13"/>
  <c r="R65" i="13"/>
  <c r="Q65" i="13"/>
  <c r="P65" i="13"/>
  <c r="J65" i="13"/>
  <c r="Z64" i="13"/>
  <c r="C64" i="13"/>
  <c r="B64" i="13"/>
  <c r="O64" i="13"/>
  <c r="L64" i="13"/>
  <c r="Y64" i="13"/>
  <c r="M64" i="13"/>
  <c r="X64" i="13"/>
  <c r="N64" i="13"/>
  <c r="K64" i="13"/>
  <c r="W64" i="13"/>
  <c r="V64" i="13"/>
  <c r="U64" i="13"/>
  <c r="T64" i="13"/>
  <c r="S64" i="13"/>
  <c r="R64" i="13"/>
  <c r="Q64" i="13"/>
  <c r="P64" i="13"/>
  <c r="J64" i="13"/>
  <c r="Z63" i="13"/>
  <c r="C63" i="13"/>
  <c r="B63" i="13"/>
  <c r="O63" i="13"/>
  <c r="L63" i="13"/>
  <c r="Y63" i="13"/>
  <c r="M63" i="13"/>
  <c r="X63" i="13"/>
  <c r="N63" i="13"/>
  <c r="K63" i="13"/>
  <c r="W63" i="13"/>
  <c r="V63" i="13"/>
  <c r="U63" i="13"/>
  <c r="T63" i="13"/>
  <c r="S63" i="13"/>
  <c r="R63" i="13"/>
  <c r="Q63" i="13"/>
  <c r="P63" i="13"/>
  <c r="J63" i="13"/>
  <c r="Z62" i="13"/>
  <c r="C62" i="13"/>
  <c r="B62" i="13"/>
  <c r="O62" i="13"/>
  <c r="L62" i="13"/>
  <c r="Y62" i="13"/>
  <c r="M62" i="13"/>
  <c r="X62" i="13"/>
  <c r="N62" i="13"/>
  <c r="K62" i="13"/>
  <c r="W62" i="13"/>
  <c r="V62" i="13"/>
  <c r="U62" i="13"/>
  <c r="T62" i="13"/>
  <c r="S62" i="13"/>
  <c r="R62" i="13"/>
  <c r="Q62" i="13"/>
  <c r="P62" i="13"/>
  <c r="J62" i="13"/>
  <c r="Z61" i="13"/>
  <c r="C61" i="13"/>
  <c r="B61" i="13"/>
  <c r="O61" i="13"/>
  <c r="L61" i="13"/>
  <c r="Y61" i="13"/>
  <c r="M61" i="13"/>
  <c r="X61" i="13"/>
  <c r="N61" i="13"/>
  <c r="K61" i="13"/>
  <c r="W61" i="13"/>
  <c r="V61" i="13"/>
  <c r="U61" i="13"/>
  <c r="T61" i="13"/>
  <c r="S61" i="13"/>
  <c r="R61" i="13"/>
  <c r="Q61" i="13"/>
  <c r="P61" i="13"/>
  <c r="J61" i="13"/>
  <c r="Z60" i="13"/>
  <c r="C60" i="13"/>
  <c r="B60" i="13"/>
  <c r="O60" i="13"/>
  <c r="L60" i="13"/>
  <c r="Y60" i="13"/>
  <c r="M60" i="13"/>
  <c r="X60" i="13"/>
  <c r="N60" i="13"/>
  <c r="K60" i="13"/>
  <c r="W60" i="13"/>
  <c r="V60" i="13"/>
  <c r="U60" i="13"/>
  <c r="T60" i="13"/>
  <c r="S60" i="13"/>
  <c r="R60" i="13"/>
  <c r="Q60" i="13"/>
  <c r="P60" i="13"/>
  <c r="J60" i="13"/>
  <c r="Z59" i="13"/>
  <c r="C59" i="13"/>
  <c r="B59" i="13"/>
  <c r="O59" i="13"/>
  <c r="L59" i="13"/>
  <c r="Y59" i="13"/>
  <c r="M59" i="13"/>
  <c r="X59" i="13"/>
  <c r="N59" i="13"/>
  <c r="K59" i="13"/>
  <c r="W59" i="13"/>
  <c r="V59" i="13"/>
  <c r="U59" i="13"/>
  <c r="T59" i="13"/>
  <c r="S59" i="13"/>
  <c r="R59" i="13"/>
  <c r="Q59" i="13"/>
  <c r="P59" i="13"/>
  <c r="J59" i="13"/>
  <c r="Z58" i="13"/>
  <c r="C58" i="13"/>
  <c r="B58" i="13"/>
  <c r="O58" i="13"/>
  <c r="L58" i="13"/>
  <c r="Y58" i="13"/>
  <c r="M58" i="13"/>
  <c r="X58" i="13"/>
  <c r="N58" i="13"/>
  <c r="K58" i="13"/>
  <c r="W58" i="13"/>
  <c r="V58" i="13"/>
  <c r="U58" i="13"/>
  <c r="T58" i="13"/>
  <c r="S58" i="13"/>
  <c r="R58" i="13"/>
  <c r="Q58" i="13"/>
  <c r="P58" i="13"/>
  <c r="J58" i="13"/>
  <c r="Z57" i="13"/>
  <c r="C57" i="13"/>
  <c r="B57" i="13"/>
  <c r="O57" i="13"/>
  <c r="L57" i="13"/>
  <c r="Y57" i="13"/>
  <c r="M57" i="13"/>
  <c r="X57" i="13"/>
  <c r="N57" i="13"/>
  <c r="K57" i="13"/>
  <c r="W57" i="13"/>
  <c r="V57" i="13"/>
  <c r="U57" i="13"/>
  <c r="T57" i="13"/>
  <c r="S57" i="13"/>
  <c r="R57" i="13"/>
  <c r="Q57" i="13"/>
  <c r="P57" i="13"/>
  <c r="J57" i="13"/>
  <c r="Z56" i="13"/>
  <c r="C56" i="13"/>
  <c r="B56" i="13"/>
  <c r="O56" i="13"/>
  <c r="L56" i="13"/>
  <c r="Y56" i="13"/>
  <c r="M56" i="13"/>
  <c r="X56" i="13"/>
  <c r="N56" i="13"/>
  <c r="K56" i="13"/>
  <c r="W56" i="13"/>
  <c r="V56" i="13"/>
  <c r="U56" i="13"/>
  <c r="T56" i="13"/>
  <c r="S56" i="13"/>
  <c r="R56" i="13"/>
  <c r="Q56" i="13"/>
  <c r="P56" i="13"/>
  <c r="J56" i="13"/>
  <c r="Z55" i="13"/>
  <c r="C55" i="13"/>
  <c r="B55" i="13"/>
  <c r="O55" i="13"/>
  <c r="L55" i="13"/>
  <c r="Y55" i="13"/>
  <c r="M55" i="13"/>
  <c r="X55" i="13"/>
  <c r="N55" i="13"/>
  <c r="K55" i="13"/>
  <c r="W55" i="13"/>
  <c r="V55" i="13"/>
  <c r="U55" i="13"/>
  <c r="T55" i="13"/>
  <c r="S55" i="13"/>
  <c r="R55" i="13"/>
  <c r="Q55" i="13"/>
  <c r="P55" i="13"/>
  <c r="J55" i="13"/>
  <c r="Z54" i="13"/>
  <c r="C54" i="13"/>
  <c r="B54" i="13"/>
  <c r="O54" i="13"/>
  <c r="L54" i="13"/>
  <c r="Y54" i="13"/>
  <c r="M54" i="13"/>
  <c r="X54" i="13"/>
  <c r="N54" i="13"/>
  <c r="K54" i="13"/>
  <c r="W54" i="13"/>
  <c r="V54" i="13"/>
  <c r="U54" i="13"/>
  <c r="T54" i="13"/>
  <c r="S54" i="13"/>
  <c r="R54" i="13"/>
  <c r="Q54" i="13"/>
  <c r="P54" i="13"/>
  <c r="J54" i="13"/>
  <c r="Z53" i="13"/>
  <c r="C53" i="13"/>
  <c r="B53" i="13"/>
  <c r="O53" i="13"/>
  <c r="L53" i="13"/>
  <c r="Y53" i="13"/>
  <c r="M53" i="13"/>
  <c r="X53" i="13"/>
  <c r="N53" i="13"/>
  <c r="K53" i="13"/>
  <c r="W53" i="13"/>
  <c r="V53" i="13"/>
  <c r="U53" i="13"/>
  <c r="T53" i="13"/>
  <c r="S53" i="13"/>
  <c r="R53" i="13"/>
  <c r="Q53" i="13"/>
  <c r="P53" i="13"/>
  <c r="J53" i="13"/>
  <c r="Z52" i="13"/>
  <c r="C52" i="13"/>
  <c r="B52" i="13"/>
  <c r="O52" i="13"/>
  <c r="L52" i="13"/>
  <c r="Y52" i="13"/>
  <c r="M52" i="13"/>
  <c r="X52" i="13"/>
  <c r="N52" i="13"/>
  <c r="K52" i="13"/>
  <c r="W52" i="13"/>
  <c r="V52" i="13"/>
  <c r="U52" i="13"/>
  <c r="T52" i="13"/>
  <c r="S52" i="13"/>
  <c r="R52" i="13"/>
  <c r="Q52" i="13"/>
  <c r="P52" i="13"/>
  <c r="J52" i="13"/>
  <c r="Z51" i="13"/>
  <c r="C51" i="13"/>
  <c r="B51" i="13"/>
  <c r="O51" i="13"/>
  <c r="L51" i="13"/>
  <c r="Y51" i="13"/>
  <c r="M51" i="13"/>
  <c r="X51" i="13"/>
  <c r="N51" i="13"/>
  <c r="K51" i="13"/>
  <c r="W51" i="13"/>
  <c r="V51" i="13"/>
  <c r="U51" i="13"/>
  <c r="T51" i="13"/>
  <c r="S51" i="13"/>
  <c r="R51" i="13"/>
  <c r="Q51" i="13"/>
  <c r="P51" i="13"/>
  <c r="J51" i="13"/>
  <c r="Z50" i="13"/>
  <c r="C50" i="13"/>
  <c r="B50" i="13"/>
  <c r="O50" i="13"/>
  <c r="L50" i="13"/>
  <c r="Y50" i="13"/>
  <c r="M50" i="13"/>
  <c r="X50" i="13"/>
  <c r="N50" i="13"/>
  <c r="K50" i="13"/>
  <c r="W50" i="13"/>
  <c r="V50" i="13"/>
  <c r="U50" i="13"/>
  <c r="T50" i="13"/>
  <c r="S50" i="13"/>
  <c r="R50" i="13"/>
  <c r="Q50" i="13"/>
  <c r="P50" i="13"/>
  <c r="J50" i="13"/>
  <c r="Z49" i="13"/>
  <c r="C49" i="13"/>
  <c r="B49" i="13"/>
  <c r="O49" i="13"/>
  <c r="L49" i="13"/>
  <c r="Y49" i="13"/>
  <c r="M49" i="13"/>
  <c r="X49" i="13"/>
  <c r="N49" i="13"/>
  <c r="K49" i="13"/>
  <c r="W49" i="13"/>
  <c r="V49" i="13"/>
  <c r="U49" i="13"/>
  <c r="T49" i="13"/>
  <c r="S49" i="13"/>
  <c r="R49" i="13"/>
  <c r="Q49" i="13"/>
  <c r="P49" i="13"/>
  <c r="J49" i="13"/>
  <c r="Z48" i="13"/>
  <c r="C48" i="13"/>
  <c r="B48" i="13"/>
  <c r="O48" i="13"/>
  <c r="L48" i="13"/>
  <c r="Y48" i="13"/>
  <c r="M48" i="13"/>
  <c r="X48" i="13"/>
  <c r="N48" i="13"/>
  <c r="K48" i="13"/>
  <c r="W48" i="13"/>
  <c r="V48" i="13"/>
  <c r="U48" i="13"/>
  <c r="T48" i="13"/>
  <c r="S48" i="13"/>
  <c r="R48" i="13"/>
  <c r="Q48" i="13"/>
  <c r="P48" i="13"/>
  <c r="J48" i="13"/>
  <c r="Z47" i="13"/>
  <c r="C47" i="13"/>
  <c r="B47" i="13"/>
  <c r="O47" i="13"/>
  <c r="L47" i="13"/>
  <c r="Y47" i="13"/>
  <c r="M47" i="13"/>
  <c r="X47" i="13"/>
  <c r="N47" i="13"/>
  <c r="K47" i="13"/>
  <c r="W47" i="13"/>
  <c r="V47" i="13"/>
  <c r="U47" i="13"/>
  <c r="T47" i="13"/>
  <c r="S47" i="13"/>
  <c r="R47" i="13"/>
  <c r="Q47" i="13"/>
  <c r="P47" i="13"/>
  <c r="J47" i="13"/>
  <c r="Z46" i="13"/>
  <c r="C46" i="13"/>
  <c r="B46" i="13"/>
  <c r="O46" i="13"/>
  <c r="L46" i="13"/>
  <c r="Y46" i="13"/>
  <c r="M46" i="13"/>
  <c r="X46" i="13"/>
  <c r="N46" i="13"/>
  <c r="K46" i="13"/>
  <c r="W46" i="13"/>
  <c r="V46" i="13"/>
  <c r="U46" i="13"/>
  <c r="T46" i="13"/>
  <c r="S46" i="13"/>
  <c r="R46" i="13"/>
  <c r="Q46" i="13"/>
  <c r="P46" i="13"/>
  <c r="J46" i="13"/>
  <c r="Z45" i="13"/>
  <c r="C45" i="13"/>
  <c r="B45" i="13"/>
  <c r="O45" i="13"/>
  <c r="L45" i="13"/>
  <c r="Y45" i="13"/>
  <c r="M45" i="13"/>
  <c r="X45" i="13"/>
  <c r="N45" i="13"/>
  <c r="K45" i="13"/>
  <c r="W45" i="13"/>
  <c r="V45" i="13"/>
  <c r="U45" i="13"/>
  <c r="T45" i="13"/>
  <c r="S45" i="13"/>
  <c r="R45" i="13"/>
  <c r="Q45" i="13"/>
  <c r="P45" i="13"/>
  <c r="J45" i="13"/>
  <c r="Z44" i="13"/>
  <c r="C44" i="13"/>
  <c r="B44" i="13"/>
  <c r="O44" i="13"/>
  <c r="L44" i="13"/>
  <c r="Y44" i="13"/>
  <c r="M44" i="13"/>
  <c r="X44" i="13"/>
  <c r="N44" i="13"/>
  <c r="K44" i="13"/>
  <c r="W44" i="13"/>
  <c r="V44" i="13"/>
  <c r="U44" i="13"/>
  <c r="T44" i="13"/>
  <c r="S44" i="13"/>
  <c r="R44" i="13"/>
  <c r="Q44" i="13"/>
  <c r="P44" i="13"/>
  <c r="J44" i="13"/>
  <c r="Z43" i="13"/>
  <c r="C43" i="13"/>
  <c r="B43" i="13"/>
  <c r="O43" i="13"/>
  <c r="L43" i="13"/>
  <c r="Y43" i="13"/>
  <c r="M43" i="13"/>
  <c r="X43" i="13"/>
  <c r="N43" i="13"/>
  <c r="K43" i="13"/>
  <c r="W43" i="13"/>
  <c r="V43" i="13"/>
  <c r="U43" i="13"/>
  <c r="T43" i="13"/>
  <c r="S43" i="13"/>
  <c r="R43" i="13"/>
  <c r="Q43" i="13"/>
  <c r="P43" i="13"/>
  <c r="J43" i="13"/>
  <c r="Z42" i="13"/>
  <c r="C42" i="13"/>
  <c r="B42" i="13"/>
  <c r="O42" i="13"/>
  <c r="L42" i="13"/>
  <c r="Y42" i="13"/>
  <c r="M42" i="13"/>
  <c r="X42" i="13"/>
  <c r="N42" i="13"/>
  <c r="K42" i="13"/>
  <c r="W42" i="13"/>
  <c r="V42" i="13"/>
  <c r="U42" i="13"/>
  <c r="T42" i="13"/>
  <c r="S42" i="13"/>
  <c r="R42" i="13"/>
  <c r="Q42" i="13"/>
  <c r="P42" i="13"/>
  <c r="J42" i="13"/>
  <c r="Z41" i="13"/>
  <c r="C41" i="13"/>
  <c r="B41" i="13"/>
  <c r="O41" i="13"/>
  <c r="L41" i="13"/>
  <c r="Y41" i="13"/>
  <c r="M41" i="13"/>
  <c r="X41" i="13"/>
  <c r="N41" i="13"/>
  <c r="K41" i="13"/>
  <c r="W41" i="13"/>
  <c r="V41" i="13"/>
  <c r="U41" i="13"/>
  <c r="T41" i="13"/>
  <c r="S41" i="13"/>
  <c r="R41" i="13"/>
  <c r="Q41" i="13"/>
  <c r="P41" i="13"/>
  <c r="J41" i="13"/>
  <c r="Z40" i="13"/>
  <c r="C40" i="13"/>
  <c r="B40" i="13"/>
  <c r="O40" i="13"/>
  <c r="L40" i="13"/>
  <c r="Y40" i="13"/>
  <c r="M40" i="13"/>
  <c r="X40" i="13"/>
  <c r="N40" i="13"/>
  <c r="K40" i="13"/>
  <c r="W40" i="13"/>
  <c r="V40" i="13"/>
  <c r="U40" i="13"/>
  <c r="T40" i="13"/>
  <c r="S40" i="13"/>
  <c r="R40" i="13"/>
  <c r="Q40" i="13"/>
  <c r="P40" i="13"/>
  <c r="J40" i="13"/>
  <c r="Z39" i="13"/>
  <c r="C39" i="13"/>
  <c r="B39" i="13"/>
  <c r="O39" i="13"/>
  <c r="L39" i="13"/>
  <c r="Y39" i="13"/>
  <c r="M39" i="13"/>
  <c r="X39" i="13"/>
  <c r="N39" i="13"/>
  <c r="K39" i="13"/>
  <c r="W39" i="13"/>
  <c r="V39" i="13"/>
  <c r="U39" i="13"/>
  <c r="T39" i="13"/>
  <c r="S39" i="13"/>
  <c r="R39" i="13"/>
  <c r="Q39" i="13"/>
  <c r="P39" i="13"/>
  <c r="J39" i="13"/>
  <c r="Z38" i="13"/>
  <c r="C38" i="13"/>
  <c r="B38" i="13"/>
  <c r="O38" i="13"/>
  <c r="L38" i="13"/>
  <c r="Y38" i="13"/>
  <c r="M38" i="13"/>
  <c r="X38" i="13"/>
  <c r="N38" i="13"/>
  <c r="K38" i="13"/>
  <c r="W38" i="13"/>
  <c r="V38" i="13"/>
  <c r="U38" i="13"/>
  <c r="T38" i="13"/>
  <c r="S38" i="13"/>
  <c r="R38" i="13"/>
  <c r="Q38" i="13"/>
  <c r="P38" i="13"/>
  <c r="J38" i="13"/>
  <c r="C27" i="13"/>
  <c r="C26" i="13"/>
  <c r="C25" i="13"/>
  <c r="C24" i="13"/>
  <c r="C23" i="13"/>
  <c r="C22" i="13"/>
  <c r="C21" i="13"/>
  <c r="C20" i="13"/>
  <c r="C19" i="13"/>
  <c r="C18" i="13"/>
  <c r="C17" i="13"/>
  <c r="C16" i="13"/>
  <c r="C15" i="13"/>
  <c r="C14" i="13"/>
  <c r="C13" i="13"/>
  <c r="C12" i="13"/>
  <c r="C11" i="13"/>
  <c r="AA54" i="3"/>
  <c r="Y54" i="3"/>
  <c r="AA53" i="3"/>
  <c r="Y53" i="3"/>
  <c r="AA52" i="3"/>
  <c r="Y52" i="3"/>
  <c r="AA51" i="3"/>
  <c r="Y51" i="3"/>
  <c r="AA50" i="3"/>
  <c r="Y50" i="3"/>
  <c r="AA49" i="3"/>
  <c r="Y49" i="3"/>
  <c r="AA48" i="3"/>
  <c r="Y48" i="3"/>
  <c r="AA47" i="3"/>
  <c r="Y47" i="3"/>
  <c r="M47" i="3"/>
  <c r="AA46" i="3"/>
  <c r="Y46" i="3"/>
  <c r="M46" i="3"/>
  <c r="AA45" i="3"/>
  <c r="Y45" i="3"/>
  <c r="AA44" i="3"/>
  <c r="Y44" i="3"/>
  <c r="AA43" i="3"/>
  <c r="Y43" i="3"/>
  <c r="AA42" i="3"/>
  <c r="Y42" i="3"/>
  <c r="AA41" i="3"/>
  <c r="Y41" i="3"/>
  <c r="AA40" i="3"/>
  <c r="Y40" i="3"/>
  <c r="AA39" i="3"/>
  <c r="Y39" i="3"/>
  <c r="AA38" i="3"/>
  <c r="Y38" i="3"/>
  <c r="AA37" i="3"/>
  <c r="Y37" i="3"/>
  <c r="AA36" i="3"/>
  <c r="Y36" i="3"/>
  <c r="M36" i="3"/>
  <c r="AA35" i="3"/>
  <c r="Y35" i="3"/>
  <c r="M35" i="3"/>
  <c r="AA34" i="3"/>
  <c r="Y34" i="3"/>
  <c r="AA33" i="3"/>
  <c r="Y33" i="3"/>
  <c r="AA32" i="3"/>
  <c r="Y32" i="3"/>
  <c r="AA31" i="3"/>
  <c r="Y31" i="3"/>
  <c r="AA30" i="3"/>
  <c r="Y30" i="3"/>
  <c r="AA29" i="3"/>
  <c r="Y29" i="3"/>
  <c r="AA28" i="3"/>
  <c r="Y28" i="3"/>
  <c r="AA27" i="3"/>
  <c r="Y27" i="3"/>
  <c r="AA26" i="3"/>
  <c r="Y26" i="3"/>
  <c r="AA25" i="3"/>
  <c r="Y25" i="3"/>
  <c r="AA24" i="3"/>
  <c r="Y24" i="3"/>
  <c r="AA23" i="3"/>
  <c r="Y23" i="3"/>
  <c r="AA22" i="3"/>
  <c r="Y22" i="3"/>
  <c r="AA21" i="3"/>
  <c r="Y21" i="3"/>
  <c r="AA20" i="3"/>
  <c r="Y20" i="3"/>
  <c r="AA19" i="3"/>
  <c r="Y19" i="3"/>
  <c r="AA18" i="3"/>
  <c r="Y18" i="3"/>
  <c r="AA17" i="3"/>
  <c r="Y17" i="3"/>
  <c r="AA16" i="3"/>
  <c r="Y16" i="3"/>
  <c r="AA15" i="3"/>
  <c r="Y15" i="3"/>
  <c r="AA14" i="3"/>
  <c r="Y14" i="3"/>
  <c r="AA13" i="3"/>
  <c r="Y13" i="3"/>
  <c r="AA12" i="3"/>
  <c r="Y12" i="3"/>
  <c r="AA11" i="3"/>
  <c r="Y11" i="3"/>
  <c r="AA10" i="3"/>
  <c r="Y10" i="3"/>
  <c r="AA9" i="3"/>
  <c r="Y9" i="3"/>
  <c r="AA8" i="3"/>
  <c r="Y8" i="3"/>
  <c r="AA7" i="3"/>
  <c r="Y7" i="3"/>
  <c r="AA6" i="3"/>
  <c r="Y6" i="3"/>
  <c r="AA5" i="3"/>
  <c r="Y5" i="3"/>
  <c r="M5" i="3"/>
  <c r="AA4" i="3"/>
  <c r="Y4" i="3"/>
  <c r="M4" i="3"/>
  <c r="X47" i="4"/>
  <c r="X46" i="4"/>
  <c r="X45" i="4"/>
  <c r="X44" i="4"/>
  <c r="X43" i="4"/>
  <c r="X42" i="4"/>
  <c r="X41" i="4"/>
  <c r="X40" i="4"/>
  <c r="X39" i="4"/>
  <c r="X38" i="4"/>
  <c r="X37" i="4"/>
  <c r="X36" i="4"/>
  <c r="X35" i="4"/>
  <c r="X34" i="4"/>
  <c r="X33" i="4"/>
  <c r="X32" i="4"/>
  <c r="X31" i="4"/>
  <c r="X30" i="4"/>
  <c r="X29" i="4"/>
  <c r="X28" i="4"/>
  <c r="X27" i="4"/>
  <c r="X26" i="4"/>
  <c r="X25" i="4"/>
  <c r="X24" i="4"/>
  <c r="X23" i="4"/>
  <c r="X22" i="4"/>
  <c r="X21" i="4"/>
  <c r="X20" i="4"/>
  <c r="X19" i="4"/>
  <c r="X18" i="4"/>
  <c r="X17" i="4"/>
  <c r="X16" i="4"/>
  <c r="X15" i="4"/>
  <c r="X14" i="4"/>
  <c r="X13" i="4"/>
  <c r="X12" i="4"/>
  <c r="X11" i="4"/>
  <c r="X10" i="4"/>
  <c r="X9" i="4"/>
  <c r="X8" i="4"/>
  <c r="X7" i="4"/>
  <c r="X6" i="4"/>
  <c r="X5" i="4"/>
  <c r="X4" i="4"/>
  <c r="D64" i="2"/>
  <c r="C64" i="2"/>
  <c r="C49" i="2"/>
  <c r="C50" i="2"/>
  <c r="C51" i="2"/>
  <c r="C52" i="2"/>
  <c r="C53" i="2"/>
  <c r="C54" i="2"/>
  <c r="C55" i="2"/>
  <c r="C56" i="2"/>
  <c r="C57" i="2"/>
  <c r="C58" i="2"/>
  <c r="C59" i="2"/>
  <c r="C60" i="2"/>
  <c r="C61" i="2"/>
  <c r="C62" i="2"/>
  <c r="C63" i="2"/>
  <c r="C48" i="2"/>
  <c r="C47" i="2"/>
  <c r="C54" i="11" a="1"/>
  <c r="C54" i="11"/>
  <c r="L54" i="11" a="1"/>
  <c r="L54" i="11"/>
  <c r="C58" i="11" a="1"/>
  <c r="C58" i="11"/>
  <c r="P58" i="11" a="1"/>
  <c r="P58" i="11"/>
  <c r="M54" i="11" a="1"/>
  <c r="M54" i="11"/>
  <c r="C57" i="11" a="1"/>
  <c r="C57" i="11"/>
  <c r="N57" i="11" a="1"/>
  <c r="N57" i="11"/>
  <c r="M57" i="11" a="1"/>
  <c r="M57" i="11"/>
  <c r="L57" i="11" a="1"/>
  <c r="L57" i="11"/>
  <c r="C56" i="11" a="1"/>
  <c r="C56" i="11"/>
  <c r="N56" i="11" a="1"/>
  <c r="N56" i="11"/>
  <c r="M56" i="11" a="1"/>
  <c r="M56" i="11"/>
  <c r="L56" i="11" a="1"/>
  <c r="L56" i="11"/>
  <c r="C55" i="11" a="1"/>
  <c r="C55" i="11"/>
  <c r="N55" i="11" a="1"/>
  <c r="N55" i="11"/>
  <c r="M55" i="11" a="1"/>
  <c r="M55" i="11"/>
  <c r="L55" i="11" a="1"/>
  <c r="L55" i="11"/>
  <c r="N54" i="11" a="1"/>
  <c r="N54" i="11"/>
  <c r="B44" i="11"/>
  <c r="B43" i="11"/>
  <c r="B48" i="11"/>
  <c r="B49" i="11"/>
  <c r="B45" i="11"/>
  <c r="Y44" i="2"/>
  <c r="T35" i="2"/>
  <c r="W41" i="2"/>
  <c r="W40" i="2"/>
  <c r="W39" i="2"/>
  <c r="W38" i="2"/>
  <c r="W37" i="2"/>
  <c r="W36" i="2"/>
  <c r="T3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Jurgens, Bryant</author>
  </authors>
  <commentList>
    <comment ref="B6" authorId="0" shapeId="0" xr:uid="{7D254C89-2740-4F78-BAD7-85987AF3BABE}">
      <text>
        <r>
          <rPr>
            <b/>
            <sz val="9"/>
            <color indexed="81"/>
            <rFont val="Tahoma"/>
            <family val="2"/>
          </rPr>
          <t>Jurgens, Bryant:</t>
        </r>
        <r>
          <rPr>
            <sz val="9"/>
            <color indexed="81"/>
            <rFont val="Tahoma"/>
            <family val="2"/>
          </rPr>
          <t xml:space="preserve">
Used by the program to identify the excess air model used to calculate total gas concentrations. Can be used with worksheet functions GasModel, GasModelExcessAir, and GasDryAirMoleFraction - see example calculations using the worksheet functions at the bottom of this worksheet.</t>
        </r>
      </text>
    </comment>
    <comment ref="B23" authorId="0" shapeId="0" xr:uid="{D026F15D-487D-4C00-9D6B-E1E018070166}">
      <text>
        <r>
          <rPr>
            <b/>
            <sz val="9"/>
            <color indexed="81"/>
            <rFont val="Tahoma"/>
            <family val="2"/>
          </rPr>
          <t>Jurgens, Bryant:</t>
        </r>
        <r>
          <rPr>
            <sz val="9"/>
            <color indexed="81"/>
            <rFont val="Tahoma"/>
            <family val="2"/>
          </rPr>
          <t xml:space="preserve">
Used by the program to identify the polynomial formulation used to calculate solubility gas concentrations. The model integer is specified on the Database worksheet in column Q.</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Jurgens, Bryant</author>
    <author>tc={7F633FE0-C89D-426D-88C7-9F7D7F5A5B33}</author>
    <author>tc={3230F88D-BCBA-4FA3-ADC7-5B862FE4981F}</author>
  </authors>
  <commentList>
    <comment ref="E1" authorId="0" shapeId="0" xr:uid="{22D60544-8319-4C56-8601-A4C8DD35F3FC}">
      <text>
        <r>
          <rPr>
            <b/>
            <sz val="9"/>
            <color indexed="81"/>
            <rFont val="Tahoma"/>
            <family val="2"/>
          </rPr>
          <t>Jurgens, Bryant:</t>
        </r>
        <r>
          <rPr>
            <sz val="9"/>
            <color indexed="81"/>
            <rFont val="Tahoma"/>
            <family val="2"/>
          </rPr>
          <t xml:space="preserve">
Solubility coefficients used to define the gas solubility equation over a range of temperatures and salinities.</t>
        </r>
      </text>
    </comment>
    <comment ref="A2" authorId="0" shapeId="0" xr:uid="{EC18860F-3A22-4BE3-8C01-4E77C9423928}">
      <text>
        <r>
          <rPr>
            <b/>
            <sz val="9"/>
            <color indexed="81"/>
            <rFont val="Tahoma"/>
            <family val="2"/>
          </rPr>
          <t>Jurgens, Bryant:</t>
        </r>
        <r>
          <rPr>
            <sz val="9"/>
            <color indexed="81"/>
            <rFont val="Tahoma"/>
            <family val="2"/>
          </rPr>
          <t xml:space="preserve">
For gases with multiple solubility data, enter Yes to set the primary data used for modeling air-water equilibration conditions. Default values can be set from the DGMETA ribbon tab.</t>
        </r>
      </text>
    </comment>
    <comment ref="B2" authorId="0" shapeId="0" xr:uid="{3EED94B3-2AF1-4CDA-BEC4-FB0E8E5DA778}">
      <text>
        <r>
          <rPr>
            <b/>
            <sz val="9"/>
            <color indexed="81"/>
            <rFont val="Tahoma"/>
            <family val="2"/>
          </rPr>
          <t>Jurgens, Bryant:</t>
        </r>
        <r>
          <rPr>
            <sz val="9"/>
            <color indexed="81"/>
            <rFont val="Tahoma"/>
            <family val="2"/>
          </rPr>
          <t xml:space="preserve">
Full name of gas.</t>
        </r>
      </text>
    </comment>
    <comment ref="C2" authorId="0" shapeId="0" xr:uid="{6E6ED072-23C3-4ED2-A894-E0955251A304}">
      <text>
        <r>
          <rPr>
            <b/>
            <sz val="9"/>
            <color indexed="81"/>
            <rFont val="Tahoma"/>
            <family val="2"/>
          </rPr>
          <t>Jurgens, Bryant:</t>
        </r>
        <r>
          <rPr>
            <sz val="9"/>
            <color indexed="81"/>
            <rFont val="Tahoma"/>
            <family val="2"/>
          </rPr>
          <t xml:space="preserve">
Used by program for labeling graphs and certain field names on output worksheets</t>
        </r>
      </text>
    </comment>
    <comment ref="D2" authorId="0" shapeId="0" xr:uid="{45D55D44-28AB-436D-A3B3-89CCDE9487C1}">
      <text>
        <r>
          <rPr>
            <b/>
            <sz val="9"/>
            <color indexed="81"/>
            <rFont val="Tahoma"/>
            <family val="2"/>
          </rPr>
          <t>Jurgens, Bryant:</t>
        </r>
        <r>
          <rPr>
            <sz val="9"/>
            <color indexed="81"/>
            <rFont val="Tahoma"/>
            <family val="2"/>
          </rPr>
          <t xml:space="preserve">
Used by the program to identify the gas, so the name must be unique. The unique gas name can be used with worksheet functions ModelGasConc, ModelGasSolConc, and DryAirMixingRatio</t>
        </r>
      </text>
    </comment>
    <comment ref="P2" authorId="0" shapeId="0" xr:uid="{FC521F9A-837C-45A1-9E6E-5002DAB34AD9}">
      <text>
        <r>
          <rPr>
            <b/>
            <sz val="9"/>
            <color indexed="81"/>
            <rFont val="Tahoma"/>
            <family val="2"/>
          </rPr>
          <t>Jurgens, Bryant:</t>
        </r>
        <r>
          <rPr>
            <sz val="9"/>
            <color indexed="81"/>
            <rFont val="Tahoma"/>
            <family val="2"/>
          </rPr>
          <t xml:space="preserve">
Units of gas concentration of the  solubility equation, which is usually taken from the original publication. These units are used to internally convert to cc/g. Units assume the solubility concentration is per atmosphere.</t>
        </r>
      </text>
    </comment>
    <comment ref="Q2" authorId="0" shapeId="0" xr:uid="{72EBF784-1036-4072-B67D-87B711800E99}">
      <text>
        <r>
          <rPr>
            <b/>
            <sz val="9"/>
            <color indexed="81"/>
            <rFont val="Tahoma"/>
            <family val="2"/>
          </rPr>
          <t>Jurgens, Bryant:</t>
        </r>
        <r>
          <rPr>
            <sz val="9"/>
            <color indexed="81"/>
            <rFont val="Tahoma"/>
            <family val="2"/>
          </rPr>
          <t xml:space="preserve">
Solublity formula to use (integer 1 to 6). See list of equations on the supporting information worksheet (SuppInfo).</t>
        </r>
      </text>
    </comment>
    <comment ref="R2" authorId="0" shapeId="0" xr:uid="{112E20A1-CE85-4781-89BE-F23C08C8F59C}">
      <text>
        <r>
          <rPr>
            <b/>
            <sz val="9"/>
            <color indexed="81"/>
            <rFont val="Tahoma"/>
            <family val="2"/>
          </rPr>
          <t>Jurgens, Bryant:</t>
        </r>
        <r>
          <rPr>
            <sz val="9"/>
            <color indexed="81"/>
            <rFont val="Tahoma"/>
            <family val="2"/>
          </rPr>
          <t xml:space="preserve">
Used by the program to include/exclude the mixing ratio in the solubility calculation. If No, the program assumes it is included in the solubility equation and is therefore ommitted from the calculation.</t>
        </r>
      </text>
    </comment>
    <comment ref="S2" authorId="0" shapeId="0" xr:uid="{B5048AC6-7DA6-4F0A-A5F6-46F9E5A6EF9F}">
      <text>
        <r>
          <rPr>
            <b/>
            <sz val="9"/>
            <color indexed="81"/>
            <rFont val="Tahoma"/>
            <family val="2"/>
          </rPr>
          <t>Jurgens, Bryant:</t>
        </r>
        <r>
          <rPr>
            <sz val="9"/>
            <color indexed="81"/>
            <rFont val="Tahoma"/>
            <family val="2"/>
          </rPr>
          <t xml:space="preserve">
Used by the program to include/exclude the mixing ratio in the solubility calculation. If No, the program assumes it is included in the solubility equation and is therefore ommitted from the calculation.</t>
        </r>
      </text>
    </comment>
    <comment ref="T2" authorId="1" shapeId="0" xr:uid="{7F633FE0-C89D-426D-88C7-9F7D7F5A5B33}">
      <text>
        <t>[Threaded comment]
Your version of Excel allows you to read this threaded comment; however, any edits to it will get removed if the file is opened in a newer version of Excel. Learn more: https://go.microsoft.com/fwlink/?linkid=870924
Comment:
    Molar volumes are computed from gas density and molar mass.</t>
      </text>
    </comment>
    <comment ref="W2" authorId="2" shapeId="0" xr:uid="{3230F88D-BCBA-4FA3-ADC7-5B862FE4981F}">
      <text>
        <t>[Threaded comment]
Your version of Excel allows you to read this threaded comment; however, any edits to it will get removed if the file is opened in a newer version of Excel. Learn more: https://go.microsoft.com/fwlink/?linkid=870924
Comment:
    For transient gas tracer such as SF6, CFCs, or Halon-1301, these values change and are dependent on the year the water equilibrated with the atmosphere.</t>
      </text>
    </comment>
    <comment ref="T9" authorId="0" shapeId="0" xr:uid="{24A70333-F277-4393-9980-BEBBE788F174}">
      <text>
        <r>
          <rPr>
            <b/>
            <sz val="9"/>
            <color indexed="81"/>
            <rFont val="Tahoma"/>
            <family val="2"/>
          </rPr>
          <t>Jurgens, Bryant:</t>
        </r>
        <r>
          <rPr>
            <sz val="9"/>
            <color indexed="81"/>
            <rFont val="Tahoma"/>
            <family val="2"/>
          </rPr>
          <t xml:space="preserve">
Hamme and Emerson use 22.425</t>
        </r>
      </text>
    </comment>
    <comment ref="T12" authorId="0" shapeId="0" xr:uid="{A0251F10-A2BD-4828-A30F-749418CFF152}">
      <text>
        <r>
          <rPr>
            <b/>
            <sz val="9"/>
            <color indexed="81"/>
            <rFont val="Tahoma"/>
            <family val="2"/>
          </rPr>
          <t>Jurgens, Bryant:</t>
        </r>
        <r>
          <rPr>
            <sz val="9"/>
            <color indexed="81"/>
            <rFont val="Tahoma"/>
            <family val="2"/>
          </rPr>
          <t xml:space="preserve">
Hamme and Emerson use 22.393</t>
        </r>
      </text>
    </comment>
    <comment ref="T22" authorId="0" shapeId="0" xr:uid="{CCD2185A-2C09-4F41-ADE1-9AB5C377144B}">
      <text>
        <r>
          <rPr>
            <b/>
            <sz val="9"/>
            <color indexed="81"/>
            <rFont val="Tahoma"/>
            <family val="2"/>
          </rPr>
          <t>Jurgens, Bryant:</t>
        </r>
        <r>
          <rPr>
            <sz val="9"/>
            <color indexed="81"/>
            <rFont val="Tahoma"/>
            <family val="2"/>
          </rPr>
          <t xml:space="preserve">
Hamme and Emerson use 22.404</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<sst xmlns="http://schemas.openxmlformats.org/spreadsheetml/2006/main" count="15027" uniqueCount="994">
  <si>
    <t>Program Implementation</t>
  </si>
  <si>
    <t>Approach</t>
  </si>
  <si>
    <t>Aeschbach-Hertig et al., 1999, Water Resources Research, vol. 35, pp. 2779-2792</t>
  </si>
  <si>
    <t>Numerical solution technique</t>
  </si>
  <si>
    <t>Johnson and Faunt, 1992, Methods in Enzymology, v. 210, pp. 201-216.</t>
  </si>
  <si>
    <t>Models of Excess Air</t>
  </si>
  <si>
    <t>Model name</t>
  </si>
  <si>
    <t>Model Short Name</t>
  </si>
  <si>
    <t>Reference</t>
  </si>
  <si>
    <t>Unfractionated excess air</t>
  </si>
  <si>
    <t>UA</t>
  </si>
  <si>
    <t>Heaton and Vogel, 1981, Jounal of Hydrology, vol. 50, pp. 201-216</t>
  </si>
  <si>
    <t>Partial re-equilibration</t>
  </si>
  <si>
    <t>PR</t>
  </si>
  <si>
    <t>Stute et al., 1995. Science 269: 379-383.</t>
  </si>
  <si>
    <t>Closed-system equilibration</t>
  </si>
  <si>
    <t>CE</t>
  </si>
  <si>
    <t>Aeschbach-Hertig et al., 2000. Nature 405: 1040-1044</t>
  </si>
  <si>
    <t>Pressure, Water density, and Vapour Pressure Equations</t>
  </si>
  <si>
    <t>Function</t>
  </si>
  <si>
    <t>Water density</t>
  </si>
  <si>
    <t>Saturated water vapor pressure</t>
  </si>
  <si>
    <t>Weiss, R.F. and Price, B.A., 1980 Nitrous oxide solubility in water and seawater, Marine Chemistry 8 347-359.</t>
  </si>
  <si>
    <t>Conversion Factors</t>
  </si>
  <si>
    <t>Convert cc/g to tritium units</t>
  </si>
  <si>
    <t>Dissolved Gas Solubility Formulations</t>
  </si>
  <si>
    <t>Model Integer</t>
  </si>
  <si>
    <t>Formula</t>
  </si>
  <si>
    <t>Weiss, R.F.,  1970</t>
  </si>
  <si>
    <r>
      <t>ln(</t>
    </r>
    <r>
      <rPr>
        <i/>
        <sz val="11"/>
        <color theme="1"/>
        <rFont val="Symbol"/>
        <family val="1"/>
        <charset val="2"/>
      </rPr>
      <t>b</t>
    </r>
    <r>
      <rPr>
        <sz val="10"/>
        <color theme="1"/>
        <rFont val="Times New Roman"/>
        <family val="2"/>
      </rPr>
      <t>, C</t>
    </r>
    <r>
      <rPr>
        <i/>
        <sz val="11"/>
        <color theme="1"/>
        <rFont val="Calibri"/>
        <family val="2"/>
        <scheme val="minor"/>
      </rPr>
      <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 xml:space="preserve">/100)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0"/>
        <color theme="1"/>
        <rFont val="Times New Roman"/>
        <family val="2"/>
      </rPr>
      <t>)</t>
    </r>
  </si>
  <si>
    <t>Weiss and Price, 1980</t>
  </si>
  <si>
    <r>
      <t>ln(</t>
    </r>
    <r>
      <rPr>
        <i/>
        <sz val="11"/>
        <color theme="1"/>
        <rFont val="Calibri"/>
        <family val="2"/>
        <scheme val="minor"/>
      </rPr>
      <t>K</t>
    </r>
    <r>
      <rPr>
        <i/>
        <vertAlign val="subscript"/>
        <sz val="11"/>
        <color theme="1"/>
        <rFont val="Calibri"/>
        <family val="2"/>
        <scheme val="minor"/>
      </rPr>
      <t>o</t>
    </r>
    <r>
      <rPr>
        <sz val="10"/>
        <color theme="1"/>
        <rFont val="Times New Roman"/>
        <family val="2"/>
      </rPr>
      <t xml:space="preserve">, </t>
    </r>
    <r>
      <rPr>
        <i/>
        <sz val="11"/>
        <color theme="1"/>
        <rFont val="Calibri"/>
        <family val="2"/>
        <scheme val="minor"/>
      </rPr>
      <t>F</t>
    </r>
    <r>
      <rPr>
        <i/>
        <vertAlign val="superscript"/>
        <sz val="11"/>
        <color theme="1"/>
        <rFont val="Calibri"/>
        <family val="2"/>
        <scheme val="minor"/>
      </rPr>
      <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 xml:space="preserve">/100)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0"/>
        <color theme="1"/>
        <rFont val="Times New Roman"/>
        <family val="2"/>
      </rPr>
      <t>)</t>
    </r>
  </si>
  <si>
    <t>Clever, 1979; Smith and Kennedy, 1982</t>
  </si>
  <si>
    <r>
      <t>ln(</t>
    </r>
    <r>
      <rPr>
        <i/>
        <sz val="11"/>
        <color theme="1"/>
        <rFont val="Calibri"/>
        <family val="2"/>
        <scheme val="minor"/>
      </rPr>
      <t>X</t>
    </r>
    <r>
      <rPr>
        <sz val="10"/>
        <color theme="1"/>
        <rFont val="Times New Roman"/>
        <family val="2"/>
      </rPr>
      <t>)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/100)) - NaCl(</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i/>
        <sz val="11"/>
        <color theme="1"/>
        <rFont val="Calibri"/>
        <family val="2"/>
        <scheme val="minor"/>
      </rPr>
      <t>ln(T/100)</t>
    </r>
    <r>
      <rPr>
        <sz val="10"/>
        <color theme="1"/>
        <rFont val="Times New Roman"/>
        <family val="2"/>
      </rPr>
      <t>)]ln(</t>
    </r>
    <r>
      <rPr>
        <sz val="11"/>
        <color theme="1"/>
        <rFont val="Symbol"/>
        <family val="1"/>
        <charset val="2"/>
      </rPr>
      <t>r</t>
    </r>
    <r>
      <rPr>
        <sz val="10"/>
        <color theme="1"/>
        <rFont val="Times New Roman"/>
        <family val="2"/>
      </rPr>
      <t>(T,S)/</t>
    </r>
    <r>
      <rPr>
        <sz val="11"/>
        <color theme="1"/>
        <rFont val="Symbol"/>
        <family val="1"/>
        <charset val="2"/>
      </rPr>
      <t>r</t>
    </r>
    <r>
      <rPr>
        <sz val="10"/>
        <color theme="1"/>
        <rFont val="Times New Roman"/>
        <family val="2"/>
      </rPr>
      <t>(T)/M</t>
    </r>
    <r>
      <rPr>
        <vertAlign val="subscript"/>
        <sz val="11"/>
        <color theme="1"/>
        <rFont val="Calibri"/>
        <family val="2"/>
        <scheme val="minor"/>
      </rPr>
      <t>H2O</t>
    </r>
    <r>
      <rPr>
        <sz val="10"/>
        <color theme="1"/>
        <rFont val="Times New Roman"/>
        <family val="2"/>
      </rPr>
      <t>)</t>
    </r>
  </si>
  <si>
    <t>Benson and Krause, 1984</t>
  </si>
  <si>
    <r>
      <t>ln(</t>
    </r>
    <r>
      <rPr>
        <i/>
        <sz val="11"/>
        <color theme="1"/>
        <rFont val="Calibri"/>
        <family val="2"/>
        <scheme val="minor"/>
      </rPr>
      <t>C*</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t>
    </r>
    <r>
      <rPr>
        <i/>
        <sz val="11"/>
        <color theme="1"/>
        <rFont val="Calibri"/>
        <family val="2"/>
        <scheme val="minor"/>
      </rPr>
      <t>T</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i/>
        <vertAlign val="superscript"/>
        <sz val="11"/>
        <color theme="1"/>
        <rFont val="Calibri"/>
        <family val="2"/>
        <scheme val="minor"/>
      </rPr>
      <t>3</t>
    </r>
    <r>
      <rPr>
        <i/>
        <sz val="11"/>
        <color theme="1"/>
        <rFont val="Calibri"/>
        <family val="2"/>
        <scheme val="minor"/>
      </rPr>
      <t xml:space="preserve"> + A</t>
    </r>
    <r>
      <rPr>
        <i/>
        <vertAlign val="subscript"/>
        <sz val="11"/>
        <color theme="1"/>
        <rFont val="Calibri"/>
        <family val="2"/>
        <scheme val="minor"/>
      </rPr>
      <t>5</t>
    </r>
    <r>
      <rPr>
        <sz val="10"/>
        <color theme="1"/>
        <rFont val="Times New Roman"/>
        <family val="2"/>
      </rPr>
      <t>/</t>
    </r>
    <r>
      <rPr>
        <i/>
        <sz val="11"/>
        <color theme="1"/>
        <rFont val="Calibri"/>
        <family val="2"/>
        <scheme val="minor"/>
      </rPr>
      <t>T</t>
    </r>
    <r>
      <rPr>
        <i/>
        <vertAlign val="superscript"/>
        <sz val="11"/>
        <color theme="1"/>
        <rFont val="Calibri"/>
        <family val="2"/>
        <scheme val="minor"/>
      </rPr>
      <t>4</t>
    </r>
    <r>
      <rPr>
        <sz val="10"/>
        <color theme="1"/>
        <rFont val="Times New Roman"/>
        <family val="2"/>
      </rPr>
      <t xml:space="preserve">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i/>
        <sz val="11"/>
        <color theme="1"/>
        <rFont val="Calibri"/>
        <family val="2"/>
        <scheme val="minor"/>
      </rPr>
      <t>T</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vertAlign val="superscript"/>
        <sz val="11"/>
        <color theme="1"/>
        <rFont val="Calibri"/>
        <family val="2"/>
        <scheme val="minor"/>
      </rPr>
      <t>2</t>
    </r>
    <r>
      <rPr>
        <sz val="10"/>
        <color theme="1"/>
        <rFont val="Times New Roman"/>
        <family val="2"/>
      </rPr>
      <t>)</t>
    </r>
  </si>
  <si>
    <t>Garcia &amp; Gordon, 1992</t>
  </si>
  <si>
    <r>
      <t>ln(</t>
    </r>
    <r>
      <rPr>
        <i/>
        <sz val="11"/>
        <color theme="1"/>
        <rFont val="Calibri"/>
        <family val="2"/>
        <scheme val="minor"/>
      </rPr>
      <t>C*</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t>
    </r>
    <r>
      <rPr>
        <i/>
        <sz val="11"/>
        <color theme="1"/>
        <rFont val="Calibri"/>
        <family val="2"/>
        <scheme val="minor"/>
      </rPr>
      <t>T</t>
    </r>
    <r>
      <rPr>
        <i/>
        <vertAlign val="subscript"/>
        <sz val="11"/>
        <color theme="1"/>
        <rFont val="Calibri"/>
        <family val="2"/>
        <scheme val="minor"/>
      </rPr>
      <t>s</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t>
    </r>
    <r>
      <rPr>
        <i/>
        <sz val="11"/>
        <color theme="1"/>
        <rFont val="Calibri"/>
        <family val="2"/>
        <scheme val="minor"/>
      </rPr>
      <t>T</t>
    </r>
    <r>
      <rPr>
        <i/>
        <vertAlign val="subscript"/>
        <sz val="11"/>
        <color theme="1"/>
        <rFont val="Calibri"/>
        <family val="2"/>
        <scheme val="minor"/>
      </rPr>
      <t>s</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i/>
        <vertAlign val="subscript"/>
        <sz val="11"/>
        <color theme="1"/>
        <rFont val="Calibri"/>
        <family val="2"/>
        <scheme val="minor"/>
      </rPr>
      <t>s</t>
    </r>
    <r>
      <rPr>
        <i/>
        <vertAlign val="superscript"/>
        <sz val="11"/>
        <color theme="1"/>
        <rFont val="Calibri"/>
        <family val="2"/>
        <scheme val="minor"/>
      </rPr>
      <t>3</t>
    </r>
    <r>
      <rPr>
        <i/>
        <sz val="11"/>
        <color theme="1"/>
        <rFont val="Calibri"/>
        <family val="2"/>
        <scheme val="minor"/>
      </rPr>
      <t xml:space="preserve"> + A</t>
    </r>
    <r>
      <rPr>
        <i/>
        <vertAlign val="subscript"/>
        <sz val="11"/>
        <color theme="1"/>
        <rFont val="Calibri"/>
        <family val="2"/>
        <scheme val="minor"/>
      </rPr>
      <t>5</t>
    </r>
    <r>
      <rPr>
        <sz val="10"/>
        <color theme="1"/>
        <rFont val="Times New Roman"/>
        <family val="2"/>
      </rPr>
      <t>/</t>
    </r>
    <r>
      <rPr>
        <i/>
        <sz val="11"/>
        <color theme="1"/>
        <rFont val="Calibri"/>
        <family val="2"/>
        <scheme val="minor"/>
      </rPr>
      <t>T</t>
    </r>
    <r>
      <rPr>
        <i/>
        <vertAlign val="subscript"/>
        <sz val="11"/>
        <color theme="1"/>
        <rFont val="Calibri"/>
        <family val="2"/>
        <scheme val="minor"/>
      </rPr>
      <t>s</t>
    </r>
    <r>
      <rPr>
        <i/>
        <vertAlign val="superscript"/>
        <sz val="11"/>
        <color theme="1"/>
        <rFont val="Calibri"/>
        <family val="2"/>
        <scheme val="minor"/>
      </rPr>
      <t>4</t>
    </r>
    <r>
      <rPr>
        <i/>
        <sz val="11"/>
        <color theme="1"/>
        <rFont val="Calibri"/>
        <family val="2"/>
        <scheme val="minor"/>
      </rPr>
      <t xml:space="preserve"> + A</t>
    </r>
    <r>
      <rPr>
        <i/>
        <vertAlign val="subscript"/>
        <sz val="11"/>
        <color theme="1"/>
        <rFont val="Calibri"/>
        <family val="2"/>
        <scheme val="minor"/>
      </rPr>
      <t>6</t>
    </r>
    <r>
      <rPr>
        <i/>
        <sz val="11"/>
        <color theme="1"/>
        <rFont val="Calibri"/>
        <family val="2"/>
        <scheme val="minor"/>
      </rPr>
      <t>/T</t>
    </r>
    <r>
      <rPr>
        <i/>
        <vertAlign val="subscript"/>
        <sz val="11"/>
        <color theme="1"/>
        <rFont val="Calibri"/>
        <family val="2"/>
        <scheme val="minor"/>
      </rPr>
      <t>s</t>
    </r>
    <r>
      <rPr>
        <i/>
        <vertAlign val="superscript"/>
        <sz val="11"/>
        <color theme="1"/>
        <rFont val="Calibri"/>
        <family val="2"/>
        <scheme val="minor"/>
      </rPr>
      <t>5</t>
    </r>
    <r>
      <rPr>
        <sz val="10"/>
        <color theme="1"/>
        <rFont val="Times New Roman"/>
        <family val="2"/>
      </rPr>
      <t xml:space="preserve">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i/>
        <sz val="11"/>
        <color theme="1"/>
        <rFont val="Calibri"/>
        <family val="2"/>
        <scheme val="minor"/>
      </rPr>
      <t>T</t>
    </r>
    <r>
      <rPr>
        <i/>
        <vertAlign val="subscript"/>
        <sz val="11"/>
        <color theme="1"/>
        <rFont val="Calibri"/>
        <family val="2"/>
        <scheme val="minor"/>
      </rPr>
      <t>s</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i/>
        <vertAlign val="subscript"/>
        <sz val="11"/>
        <color theme="1"/>
        <rFont val="Calibri"/>
        <family val="2"/>
        <scheme val="minor"/>
      </rPr>
      <t>s</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4</t>
    </r>
    <r>
      <rPr>
        <sz val="10"/>
        <color theme="1"/>
        <rFont val="Times New Roman"/>
        <family val="2"/>
      </rPr>
      <t>/</t>
    </r>
    <r>
      <rPr>
        <i/>
        <sz val="11"/>
        <color theme="1"/>
        <rFont val="Calibri"/>
        <family val="2"/>
        <scheme val="minor"/>
      </rPr>
      <t>T</t>
    </r>
    <r>
      <rPr>
        <i/>
        <vertAlign val="subscript"/>
        <sz val="11"/>
        <color theme="1"/>
        <rFont val="Calibri"/>
        <family val="2"/>
        <scheme val="minor"/>
      </rPr>
      <t>s</t>
    </r>
    <r>
      <rPr>
        <vertAlign val="superscript"/>
        <sz val="11"/>
        <color theme="1"/>
        <rFont val="Calibri"/>
        <family val="2"/>
        <scheme val="minor"/>
      </rPr>
      <t>3</t>
    </r>
    <r>
      <rPr>
        <sz val="10"/>
        <color theme="1"/>
        <rFont val="Times New Roman"/>
        <family val="2"/>
      </rPr>
      <t xml:space="preserve">) + </t>
    </r>
    <r>
      <rPr>
        <i/>
        <sz val="11"/>
        <color theme="1"/>
        <rFont val="Calibri"/>
        <family val="2"/>
        <scheme val="minor"/>
      </rPr>
      <t>C</t>
    </r>
    <r>
      <rPr>
        <i/>
        <vertAlign val="subscript"/>
        <sz val="11"/>
        <color theme="1"/>
        <rFont val="Calibri"/>
        <family val="2"/>
        <scheme val="minor"/>
      </rPr>
      <t>1</t>
    </r>
    <r>
      <rPr>
        <i/>
        <sz val="11"/>
        <color theme="1"/>
        <rFont val="Calibri"/>
        <family val="2"/>
        <scheme val="minor"/>
      </rPr>
      <t>S</t>
    </r>
    <r>
      <rPr>
        <i/>
        <vertAlign val="superscript"/>
        <sz val="11"/>
        <color theme="1"/>
        <rFont val="Calibri"/>
        <family val="2"/>
        <scheme val="minor"/>
      </rPr>
      <t>2</t>
    </r>
    <r>
      <rPr>
        <i/>
        <sz val="11"/>
        <color theme="1"/>
        <rFont val="Calibri"/>
        <family val="2"/>
        <scheme val="minor"/>
      </rPr>
      <t>; where T</t>
    </r>
    <r>
      <rPr>
        <i/>
        <vertAlign val="subscript"/>
        <sz val="11"/>
        <color theme="1"/>
        <rFont val="Calibri"/>
        <family val="2"/>
        <scheme val="minor"/>
      </rPr>
      <t>s</t>
    </r>
    <r>
      <rPr>
        <i/>
        <sz val="11"/>
        <color theme="1"/>
        <rFont val="Calibri"/>
        <family val="2"/>
        <scheme val="minor"/>
      </rPr>
      <t xml:space="preserve"> = </t>
    </r>
    <r>
      <rPr>
        <sz val="10"/>
        <color theme="1"/>
        <rFont val="Times New Roman"/>
        <family val="2"/>
      </rPr>
      <t xml:space="preserve">ln[(298.15 - </t>
    </r>
    <r>
      <rPr>
        <i/>
        <sz val="11"/>
        <color theme="1"/>
        <rFont val="Calibri"/>
        <family val="2"/>
        <scheme val="minor"/>
      </rPr>
      <t>t</t>
    </r>
    <r>
      <rPr>
        <sz val="10"/>
        <color theme="1"/>
        <rFont val="Times New Roman"/>
        <family val="2"/>
      </rPr>
      <t xml:space="preserve">)/(273.15 + </t>
    </r>
    <r>
      <rPr>
        <i/>
        <sz val="11"/>
        <color theme="1"/>
        <rFont val="Calibri"/>
        <family val="2"/>
        <scheme val="minor"/>
      </rPr>
      <t>t</t>
    </r>
    <r>
      <rPr>
        <sz val="10"/>
        <color theme="1"/>
        <rFont val="Times New Roman"/>
        <family val="2"/>
      </rPr>
      <t>)]</t>
    </r>
  </si>
  <si>
    <r>
      <t xml:space="preserve">where, </t>
    </r>
    <r>
      <rPr>
        <i/>
        <sz val="11"/>
        <color theme="1"/>
        <rFont val="Calibri"/>
        <family val="2"/>
        <scheme val="minor"/>
      </rPr>
      <t>T</t>
    </r>
    <r>
      <rPr>
        <sz val="10"/>
        <color theme="1"/>
        <rFont val="Times New Roman"/>
        <family val="2"/>
      </rPr>
      <t xml:space="preserve"> is temperature in degrees Kelvin, </t>
    </r>
    <r>
      <rPr>
        <i/>
        <sz val="11"/>
        <color theme="1"/>
        <rFont val="Calibri"/>
        <family val="2"/>
        <scheme val="minor"/>
      </rPr>
      <t>t</t>
    </r>
    <r>
      <rPr>
        <sz val="10"/>
        <color theme="1"/>
        <rFont val="Times New Roman"/>
        <family val="2"/>
      </rPr>
      <t xml:space="preserve"> is temperature in degrees Celsius, </t>
    </r>
    <r>
      <rPr>
        <sz val="11"/>
        <color theme="1"/>
        <rFont val="Symbol"/>
        <family val="1"/>
        <charset val="2"/>
      </rPr>
      <t>r</t>
    </r>
    <r>
      <rPr>
        <sz val="10"/>
        <color theme="1"/>
        <rFont val="Times New Roman"/>
        <family val="2"/>
      </rPr>
      <t xml:space="preserve">(T,S) and </t>
    </r>
    <r>
      <rPr>
        <sz val="11"/>
        <color theme="1"/>
        <rFont val="Symbol"/>
        <family val="1"/>
        <charset val="2"/>
      </rPr>
      <t>r</t>
    </r>
    <r>
      <rPr>
        <sz val="10"/>
        <color theme="1"/>
        <rFont val="Times New Roman"/>
        <family val="2"/>
      </rPr>
      <t xml:space="preserve">(T) is the density of water, </t>
    </r>
    <r>
      <rPr>
        <i/>
        <sz val="11"/>
        <color theme="1"/>
        <rFont val="Calibri"/>
        <family val="2"/>
        <scheme val="minor"/>
      </rPr>
      <t>M</t>
    </r>
    <r>
      <rPr>
        <i/>
        <vertAlign val="subscript"/>
        <sz val="11"/>
        <color theme="1"/>
        <rFont val="Calibri"/>
        <family val="2"/>
        <scheme val="minor"/>
      </rPr>
      <t>H2O</t>
    </r>
    <r>
      <rPr>
        <sz val="10"/>
        <color theme="1"/>
        <rFont val="Times New Roman"/>
        <family val="2"/>
      </rPr>
      <t xml:space="preserve"> is the molar mass of water: 18.016 g/mol</t>
    </r>
  </si>
  <si>
    <t>Gas Solubility and Properties</t>
  </si>
  <si>
    <t>Non-Ideal Formulations</t>
  </si>
  <si>
    <t>Is primary solubility data?</t>
  </si>
  <si>
    <t>Gas Name</t>
  </si>
  <si>
    <t>Gas Short Name</t>
  </si>
  <si>
    <t>A1</t>
  </si>
  <si>
    <t>A2</t>
  </si>
  <si>
    <t>A3</t>
  </si>
  <si>
    <t>A4</t>
  </si>
  <si>
    <t>A5</t>
  </si>
  <si>
    <t>A6</t>
  </si>
  <si>
    <t>B1</t>
  </si>
  <si>
    <t>B2</t>
  </si>
  <si>
    <t>B3</t>
  </si>
  <si>
    <t>B4</t>
  </si>
  <si>
    <t>C1</t>
  </si>
  <si>
    <t>Solubility reference</t>
  </si>
  <si>
    <t>Treat Non-ideal</t>
  </si>
  <si>
    <t>Non-Ideal Formula</t>
  </si>
  <si>
    <t>B_A1</t>
  </si>
  <si>
    <t>B_A2</t>
  </si>
  <si>
    <t>B_A3</t>
  </si>
  <si>
    <t>B_A4</t>
  </si>
  <si>
    <t>Yes</t>
  </si>
  <si>
    <t>Helium</t>
  </si>
  <si>
    <t>He</t>
  </si>
  <si>
    <t>He_Weiss</t>
  </si>
  <si>
    <t>--</t>
  </si>
  <si>
    <t>No</t>
  </si>
  <si>
    <t>Weiss, R.F, 1971: Journal of Chemical and Engineering Data, vol., 16, pp. 235-241.</t>
  </si>
  <si>
    <t>He_Clvr</t>
  </si>
  <si>
    <t>mol/g</t>
  </si>
  <si>
    <t>Clever H.L. (ed.), 1979. Helium and Neon: gas solubilities, Pergamon Press, Oxford; Salt dependency from Smith and Kennedy (1983), The solubiliy of noble gases in water and in NaCl Brine</t>
  </si>
  <si>
    <t>Neon</t>
  </si>
  <si>
    <t>Ne</t>
  </si>
  <si>
    <t>Ne_Weiss</t>
  </si>
  <si>
    <t>Ne_WeissB</t>
  </si>
  <si>
    <t>Ne_Clvr</t>
  </si>
  <si>
    <t>CO2</t>
  </si>
  <si>
    <t>N2O</t>
  </si>
  <si>
    <t>Ne_H&amp;E</t>
  </si>
  <si>
    <t>nmol/kg</t>
  </si>
  <si>
    <t>Argon</t>
  </si>
  <si>
    <t>Ar</t>
  </si>
  <si>
    <t>Ar_Weiss</t>
  </si>
  <si>
    <t>Ar_H&amp;E</t>
  </si>
  <si>
    <t>umol/kg</t>
  </si>
  <si>
    <t>Ar_Clvr</t>
  </si>
  <si>
    <t>Clever H.L. (ed.), 1980. Argon, Pergamon Press, Oxford; Salt dependency from Smith and Kennedy (1983), The solubiliy of noble gases in water and in NaCl Brine</t>
  </si>
  <si>
    <t>Krypton</t>
  </si>
  <si>
    <t>Kr</t>
  </si>
  <si>
    <t>Kr_Weiss</t>
  </si>
  <si>
    <t>Kr_Clvr</t>
  </si>
  <si>
    <t>Clever H.L. (ed.), 1979. Krypton, xenon, and radon: gas solubilities, Pergamon Press, Oxford; Salt dependency from Smith and Kennedy (1983), The solubiliy of noble gases in water and in NaCl Brine</t>
  </si>
  <si>
    <t>Xenon</t>
  </si>
  <si>
    <t>Xe</t>
  </si>
  <si>
    <t>Xe_Clvr</t>
  </si>
  <si>
    <t>**Salt coef</t>
  </si>
  <si>
    <t>Nitrogen</t>
  </si>
  <si>
    <t>N2</t>
  </si>
  <si>
    <t>N2_WeissB</t>
  </si>
  <si>
    <t>N2_H&amp;E</t>
  </si>
  <si>
    <t>Oxygen</t>
  </si>
  <si>
    <t>O2</t>
  </si>
  <si>
    <t>O2_Weiss</t>
  </si>
  <si>
    <t>O2_B&amp;K</t>
  </si>
  <si>
    <t>O2_G&amp;G</t>
  </si>
  <si>
    <t>Carbon dioxide</t>
  </si>
  <si>
    <t>mol/kg</t>
  </si>
  <si>
    <t>Weiss, R.F. and B.A. Price, 1980, Nitrous oxide solubility in water and seawater, Marine Chemistry, vol. 8, 347-359.</t>
  </si>
  <si>
    <t>Methane</t>
  </si>
  <si>
    <t>CH4</t>
  </si>
  <si>
    <t>CH4_Wies</t>
  </si>
  <si>
    <t>nL/kg</t>
  </si>
  <si>
    <t>Wiesenburg D.A. and N.L. Guinasso, 1979, Equilibrium solubilities of methane, carbon monoxide, and hydrogen in water and sea water, J. Chem. And Eng. Data, vol. 24, n. 4, pp. 356 - 360.</t>
  </si>
  <si>
    <t>Carbon monoxide</t>
  </si>
  <si>
    <t>CO</t>
  </si>
  <si>
    <t>CO_Wies</t>
  </si>
  <si>
    <t>Hydrogen</t>
  </si>
  <si>
    <t>H2</t>
  </si>
  <si>
    <t>H2_Wies</t>
  </si>
  <si>
    <t>Nitrous Oxide</t>
  </si>
  <si>
    <r>
      <t>Chlorofluorocarbon-11 (CCl</t>
    </r>
    <r>
      <rPr>
        <vertAlign val="subscript"/>
        <sz val="11"/>
        <color theme="1"/>
        <rFont val="Calibri"/>
        <family val="2"/>
        <scheme val="minor"/>
      </rPr>
      <t>3</t>
    </r>
    <r>
      <rPr>
        <sz val="10"/>
        <color theme="1"/>
        <rFont val="Times New Roman"/>
        <family val="2"/>
      </rPr>
      <t>F)</t>
    </r>
  </si>
  <si>
    <t>CFC-11</t>
  </si>
  <si>
    <t>CFC11_Warner</t>
  </si>
  <si>
    <t>Warner, M. J., and R. F. Weiss, 1985, Solubilities of chlorofluorocarbons 11 and 12 in water and seawater, Deep Sea Research, Part A, 32, pp. 1485-1497.</t>
  </si>
  <si>
    <r>
      <t>Chlorofluorocarbon-12 (CCl</t>
    </r>
    <r>
      <rPr>
        <vertAlign val="subscript"/>
        <sz val="11"/>
        <color theme="1"/>
        <rFont val="Calibri"/>
        <family val="2"/>
        <scheme val="minor"/>
      </rPr>
      <t>2</t>
    </r>
    <r>
      <rPr>
        <sz val="10"/>
        <color theme="1"/>
        <rFont val="Times New Roman"/>
        <family val="2"/>
      </rPr>
      <t>F</t>
    </r>
    <r>
      <rPr>
        <vertAlign val="subscript"/>
        <sz val="11"/>
        <color theme="1"/>
        <rFont val="Calibri"/>
        <family val="2"/>
        <scheme val="minor"/>
      </rPr>
      <t>2</t>
    </r>
    <r>
      <rPr>
        <sz val="10"/>
        <color theme="1"/>
        <rFont val="Times New Roman"/>
        <family val="2"/>
      </rPr>
      <t>)</t>
    </r>
  </si>
  <si>
    <t>CFC-12</t>
  </si>
  <si>
    <t>CFC12_Warner</t>
  </si>
  <si>
    <r>
      <t>Chlorofluorocarbon-113 (Cl</t>
    </r>
    <r>
      <rPr>
        <vertAlign val="subscript"/>
        <sz val="11"/>
        <color theme="1"/>
        <rFont val="Calibri"/>
        <family val="2"/>
        <scheme val="minor"/>
      </rPr>
      <t>2</t>
    </r>
    <r>
      <rPr>
        <sz val="10"/>
        <color theme="1"/>
        <rFont val="Times New Roman"/>
        <family val="2"/>
      </rPr>
      <t>FC-CClF</t>
    </r>
    <r>
      <rPr>
        <vertAlign val="subscript"/>
        <sz val="11"/>
        <color theme="1"/>
        <rFont val="Calibri"/>
        <family val="2"/>
        <scheme val="minor"/>
      </rPr>
      <t>2</t>
    </r>
    <r>
      <rPr>
        <sz val="10"/>
        <color theme="1"/>
        <rFont val="Times New Roman"/>
        <family val="2"/>
      </rPr>
      <t>)</t>
    </r>
  </si>
  <si>
    <t>CFC-113</t>
  </si>
  <si>
    <t>CFC113_Bu</t>
  </si>
  <si>
    <t>Sulfur Hexafluoride</t>
  </si>
  <si>
    <t>SF6</t>
  </si>
  <si>
    <t>SF6_Bull</t>
  </si>
  <si>
    <t>Bullister, J.L., Wisegarver, D.P., and F.A. Menzia, 2002, The solubility of sulfur hexafluoride in water and seawater, Deep Sea Research, part 1, 49(1), pp 175-187.</t>
  </si>
  <si>
    <r>
      <t>Bromotrifluoromethane (CBrF</t>
    </r>
    <r>
      <rPr>
        <vertAlign val="subscript"/>
        <sz val="11"/>
        <color theme="1"/>
        <rFont val="Calibri"/>
        <family val="2"/>
        <scheme val="minor"/>
      </rPr>
      <t>3</t>
    </r>
    <r>
      <rPr>
        <sz val="10"/>
        <color theme="1"/>
        <rFont val="Times New Roman"/>
        <family val="2"/>
      </rPr>
      <t>)</t>
    </r>
  </si>
  <si>
    <t>Halon-1301</t>
  </si>
  <si>
    <t>H1301_D</t>
  </si>
  <si>
    <t>H1301_B</t>
  </si>
  <si>
    <t>mol/L</t>
  </si>
  <si>
    <t>Beyer, M. Characterization of Groundwater with complementary age tracers. Ph.D thesis, 2015, Victoria University of Wellington</t>
  </si>
  <si>
    <t>Sample Information</t>
  </si>
  <si>
    <t>Study Unit</t>
  </si>
  <si>
    <t>Study Area</t>
  </si>
  <si>
    <t>Sample ID</t>
  </si>
  <si>
    <t>Sample Date</t>
  </si>
  <si>
    <t>Record Number / Lab ID</t>
  </si>
  <si>
    <t>Fractionation</t>
  </si>
  <si>
    <t>errHe</t>
  </si>
  <si>
    <t>errNe</t>
  </si>
  <si>
    <t>errAr</t>
  </si>
  <si>
    <t>errKr</t>
  </si>
  <si>
    <t>errXe</t>
  </si>
  <si>
    <t>errN2</t>
  </si>
  <si>
    <t>errO2</t>
  </si>
  <si>
    <t>errCO2</t>
  </si>
  <si>
    <t>errCH4</t>
  </si>
  <si>
    <t>errH2</t>
  </si>
  <si>
    <t>errCFC-11</t>
  </si>
  <si>
    <t>(‰)</t>
  </si>
  <si>
    <t>(m asl)</t>
  </si>
  <si>
    <t>(°C)</t>
  </si>
  <si>
    <t>(cc/kg)</t>
  </si>
  <si>
    <t>(unitless)</t>
  </si>
  <si>
    <t>(mg/L as N)</t>
  </si>
  <si>
    <t>mg/L</t>
  </si>
  <si>
    <t>Tritium-Helium analysis</t>
  </si>
  <si>
    <t>Select Atmospheric Gas Tracers To Compute Dry Air Mixing Ratios</t>
  </si>
  <si>
    <r>
      <rPr>
        <b/>
        <vertAlign val="superscript"/>
        <sz val="10"/>
        <rFont val="Arial"/>
        <family val="2"/>
      </rPr>
      <t>3</t>
    </r>
    <r>
      <rPr>
        <b/>
        <sz val="10"/>
        <rFont val="Arial"/>
        <family val="2"/>
      </rPr>
      <t>H</t>
    </r>
  </si>
  <si>
    <r>
      <rPr>
        <b/>
        <sz val="10"/>
        <rFont val="Symbol"/>
        <family val="1"/>
        <charset val="2"/>
      </rPr>
      <t>d</t>
    </r>
    <r>
      <rPr>
        <b/>
        <vertAlign val="superscript"/>
        <sz val="10"/>
        <rFont val="Arial"/>
        <family val="2"/>
      </rPr>
      <t>3</t>
    </r>
    <r>
      <rPr>
        <b/>
        <sz val="10"/>
        <rFont val="Arial"/>
        <family val="2"/>
      </rPr>
      <t>He</t>
    </r>
  </si>
  <si>
    <r>
      <rPr>
        <b/>
        <vertAlign val="superscript"/>
        <sz val="10"/>
        <rFont val="Arial"/>
        <family val="2"/>
      </rPr>
      <t>3</t>
    </r>
    <r>
      <rPr>
        <b/>
        <sz val="10"/>
        <rFont val="Arial"/>
        <family val="2"/>
      </rPr>
      <t>He/</t>
    </r>
    <r>
      <rPr>
        <b/>
        <vertAlign val="superscript"/>
        <sz val="10"/>
        <rFont val="Arial"/>
        <family val="2"/>
      </rPr>
      <t>4</t>
    </r>
    <r>
      <rPr>
        <b/>
        <sz val="10"/>
        <rFont val="Arial"/>
        <family val="2"/>
      </rPr>
      <t>He</t>
    </r>
  </si>
  <si>
    <t>Noble Gas Analysis Date</t>
  </si>
  <si>
    <t>errCFC-12</t>
  </si>
  <si>
    <t>errCFC-113</t>
  </si>
  <si>
    <t>errSF6</t>
  </si>
  <si>
    <t>errHalon-1301</t>
  </si>
  <si>
    <t>pCi/L</t>
  </si>
  <si>
    <t>%</t>
  </si>
  <si>
    <t>atom ratio</t>
  </si>
  <si>
    <t>pmol/kg</t>
  </si>
  <si>
    <t>fmol/kg</t>
  </si>
  <si>
    <t>N2_Weiss</t>
  </si>
  <si>
    <r>
      <t>err_</t>
    </r>
    <r>
      <rPr>
        <b/>
        <sz val="10"/>
        <rFont val="Symbol"/>
        <family val="1"/>
        <charset val="2"/>
      </rPr>
      <t>d</t>
    </r>
    <r>
      <rPr>
        <b/>
        <vertAlign val="superscript"/>
        <sz val="10"/>
        <rFont val="Arial"/>
        <family val="2"/>
      </rPr>
      <t>3</t>
    </r>
    <r>
      <rPr>
        <b/>
        <sz val="10"/>
        <rFont val="Arial"/>
        <family val="2"/>
      </rPr>
      <t>He</t>
    </r>
  </si>
  <si>
    <r>
      <t>err_</t>
    </r>
    <r>
      <rPr>
        <b/>
        <vertAlign val="superscript"/>
        <sz val="10"/>
        <rFont val="Arial"/>
        <family val="2"/>
      </rPr>
      <t>3</t>
    </r>
    <r>
      <rPr>
        <b/>
        <sz val="10"/>
        <rFont val="Arial"/>
        <family val="2"/>
      </rPr>
      <t>He/</t>
    </r>
    <r>
      <rPr>
        <b/>
        <vertAlign val="superscript"/>
        <sz val="10"/>
        <rFont val="Arial"/>
        <family val="2"/>
      </rPr>
      <t>4</t>
    </r>
    <r>
      <rPr>
        <b/>
        <sz val="10"/>
        <rFont val="Arial"/>
        <family val="2"/>
      </rPr>
      <t>He</t>
    </r>
  </si>
  <si>
    <r>
      <t>err_</t>
    </r>
    <r>
      <rPr>
        <b/>
        <vertAlign val="superscript"/>
        <sz val="10"/>
        <rFont val="Arial"/>
        <family val="2"/>
      </rPr>
      <t>3</t>
    </r>
    <r>
      <rPr>
        <b/>
        <sz val="10"/>
        <rFont val="Arial"/>
        <family val="2"/>
      </rPr>
      <t>H</t>
    </r>
  </si>
  <si>
    <t>Molar Volume at STP, mol/L</t>
  </si>
  <si>
    <t>Gas Density at STP, g/L</t>
  </si>
  <si>
    <t>Molar Mass, g/mol</t>
  </si>
  <si>
    <t>Activation energy (Ea), J/mol</t>
  </si>
  <si>
    <t>Diffusion Coefficients</t>
  </si>
  <si>
    <t>Diffusion Coefficient Reference</t>
  </si>
  <si>
    <t>Elevation, meters above sea level</t>
  </si>
  <si>
    <t>Temp, celsius</t>
  </si>
  <si>
    <t>Excess N2, mg/L as N</t>
  </si>
  <si>
    <t>Jenkins et al., 2019</t>
  </si>
  <si>
    <r>
      <t>ln(</t>
    </r>
    <r>
      <rPr>
        <sz val="10"/>
        <color theme="1"/>
        <rFont val="Times New Roman"/>
        <family val="2"/>
      </rPr>
      <t>C</t>
    </r>
    <r>
      <rPr>
        <i/>
        <sz val="11"/>
        <color theme="1"/>
        <rFont val="Calibri"/>
        <family val="2"/>
        <scheme val="minor"/>
      </rPr>
      <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 xml:space="preserve">/100)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1"/>
        <color theme="1"/>
        <rFont val="Calibri"/>
        <family val="2"/>
        <scheme val="minor"/>
      </rPr>
      <t xml:space="preserve">) + </t>
    </r>
    <r>
      <rPr>
        <i/>
        <sz val="11"/>
        <color theme="1"/>
        <rFont val="Calibri"/>
        <family val="2"/>
        <scheme val="minor"/>
      </rPr>
      <t>C</t>
    </r>
    <r>
      <rPr>
        <vertAlign val="subscript"/>
        <sz val="11"/>
        <color theme="1"/>
        <rFont val="Calibri"/>
        <family val="2"/>
        <scheme val="minor"/>
      </rPr>
      <t>1</t>
    </r>
    <r>
      <rPr>
        <i/>
        <sz val="11"/>
        <color theme="1"/>
        <rFont val="Calibri"/>
        <family val="2"/>
        <scheme val="minor"/>
      </rPr>
      <t>S</t>
    </r>
    <r>
      <rPr>
        <vertAlign val="superscript"/>
        <sz val="11"/>
        <color theme="1"/>
        <rFont val="Calibri"/>
        <family val="2"/>
        <scheme val="minor"/>
      </rPr>
      <t>2</t>
    </r>
  </si>
  <si>
    <r>
      <t>B-intercept (maximal diffusion coefficient),
1E-09m</t>
    </r>
    <r>
      <rPr>
        <b/>
        <vertAlign val="superscript"/>
        <sz val="11"/>
        <color theme="1"/>
        <rFont val="Calibri"/>
        <family val="2"/>
        <scheme val="minor"/>
      </rPr>
      <t>2</t>
    </r>
    <r>
      <rPr>
        <b/>
        <sz val="11"/>
        <color theme="1"/>
        <rFont val="Calibri"/>
        <family val="2"/>
        <scheme val="minor"/>
      </rPr>
      <t>/s</t>
    </r>
  </si>
  <si>
    <t>Jenkins, W.J., Lott, D., III and Cahill, K.L., 2019. A Determination of Atmospheric Helium, Neon, Argon, Krypton, and Xenon Solubility Concentrations in Water and Seawater. Marine Chemistry, In Press.</t>
  </si>
  <si>
    <t>cm3/g</t>
  </si>
  <si>
    <r>
      <t xml:space="preserve">Dry-air Mole Fraction, parts per million by volume,
</t>
    </r>
    <r>
      <rPr>
        <b/>
        <i/>
        <sz val="11"/>
        <color theme="1"/>
        <rFont val="Calibri"/>
        <family val="2"/>
        <scheme val="minor"/>
      </rPr>
      <t>x</t>
    </r>
  </si>
  <si>
    <r>
      <t xml:space="preserve">Solubility formula,
</t>
    </r>
    <r>
      <rPr>
        <b/>
        <i/>
        <sz val="11"/>
        <color theme="1"/>
        <rFont val="Calibri"/>
        <family val="2"/>
        <scheme val="minor"/>
      </rPr>
      <t>G</t>
    </r>
    <r>
      <rPr>
        <b/>
        <i/>
        <vertAlign val="subscript"/>
        <sz val="11"/>
        <color theme="1"/>
        <rFont val="Calibri"/>
        <family val="2"/>
        <scheme val="minor"/>
      </rPr>
      <t>(T,S)</t>
    </r>
  </si>
  <si>
    <t>cm3/kg</t>
  </si>
  <si>
    <t>cm3/mL</t>
  </si>
  <si>
    <t>CO2_Weiss_NonIdeal</t>
  </si>
  <si>
    <t>N2O_Weiss_NonIdeal</t>
  </si>
  <si>
    <t>Initial or Fixed Air-Water Model Parameters</t>
  </si>
  <si>
    <t>Neon-20</t>
  </si>
  <si>
    <t>Neon-22</t>
  </si>
  <si>
    <t>Ne_20_WeissB</t>
  </si>
  <si>
    <t>Ne_22_WeissB</t>
  </si>
  <si>
    <t>20Ne</t>
  </si>
  <si>
    <t>22Ne</t>
  </si>
  <si>
    <t>Ne_Jenk</t>
  </si>
  <si>
    <t>He_Jenk</t>
  </si>
  <si>
    <t>Ar_Jenk</t>
  </si>
  <si>
    <t>Kr_Jenk</t>
  </si>
  <si>
    <t>Xe_Jenk</t>
  </si>
  <si>
    <t>Excess Air, cm3/kg</t>
  </si>
  <si>
    <t>Units</t>
  </si>
  <si>
    <t>Salinity, per mil or g/kg</t>
  </si>
  <si>
    <t>Select and Enter Gases Below to Model Air-Water Equilibrium Conditions or Graph</t>
  </si>
  <si>
    <t xml:space="preserve"> Solubility Equation Coefficients</t>
  </si>
  <si>
    <t>Weiss, R.F., 1974, Carbon dioxide in water and seawater: The solubility of a non-ideal gas, Marine Chemistry, vol. 2, 203-215.</t>
  </si>
  <si>
    <t>Millero and Poisson, 1981, International one atmosphere equation of state of seawater. Deep-Sea Res. 28: 625-629.</t>
  </si>
  <si>
    <t>Description</t>
  </si>
  <si>
    <t>Value</t>
  </si>
  <si>
    <t>g</t>
  </si>
  <si>
    <t>Earth-surface gravitational acceleration</t>
  </si>
  <si>
    <t>M</t>
  </si>
  <si>
    <t>Molar mass of dry air</t>
  </si>
  <si>
    <t>Universal gas constant</t>
  </si>
  <si>
    <t>K/m</t>
  </si>
  <si>
    <t>K</t>
  </si>
  <si>
    <t>m/s2</t>
  </si>
  <si>
    <t>kg/mol</t>
  </si>
  <si>
    <t>J/(mol·K)</t>
  </si>
  <si>
    <t>Lb</t>
  </si>
  <si>
    <t>Standard temperature lapse rate (K/m)</t>
  </si>
  <si>
    <t>Tb</t>
  </si>
  <si>
    <t>Standard temperature, K</t>
  </si>
  <si>
    <t>hb</t>
  </si>
  <si>
    <t>Height of bottom layer b</t>
  </si>
  <si>
    <t>meters</t>
  </si>
  <si>
    <t>U.S. Standard Atmosphere, 1976, U.S. Government Printing Office, Washington, D.C., 1976.</t>
  </si>
  <si>
    <t>U.S. Standard Atmosphere, 1976</t>
  </si>
  <si>
    <t>Symbol</t>
  </si>
  <si>
    <t>Calculation</t>
  </si>
  <si>
    <t>Height, meters above sea level</t>
  </si>
  <si>
    <t>result</t>
  </si>
  <si>
    <t>atmospheres</t>
  </si>
  <si>
    <t>Exponent</t>
  </si>
  <si>
    <t>Pressure, atmospheres</t>
  </si>
  <si>
    <t>Enter a pressure to compute elevation, in meters</t>
  </si>
  <si>
    <t>Enter an elevation to compute pressure, in atmospheres</t>
  </si>
  <si>
    <t>Bracketed quantity</t>
  </si>
  <si>
    <t>Tritium half-life</t>
  </si>
  <si>
    <t>Picocuries to tritium units</t>
  </si>
  <si>
    <r>
      <t xml:space="preserve">Use Water Vapor Pressure correction, </t>
    </r>
    <r>
      <rPr>
        <i/>
        <sz val="11"/>
        <color theme="1"/>
        <rFont val="Calibri"/>
        <family val="2"/>
        <scheme val="minor"/>
      </rPr>
      <t>P</t>
    </r>
    <r>
      <rPr>
        <i/>
        <vertAlign val="subscript"/>
        <sz val="11"/>
        <color theme="1"/>
        <rFont val="Calibri"/>
        <family val="2"/>
        <scheme val="minor"/>
      </rPr>
      <t>c</t>
    </r>
  </si>
  <si>
    <t>R*</t>
  </si>
  <si>
    <t>Atmospheric pressure</t>
  </si>
  <si>
    <t>Example Calculations Using Gas Formulas</t>
  </si>
  <si>
    <t>Salinity</t>
  </si>
  <si>
    <t>Elevation</t>
  </si>
  <si>
    <t>g/kg</t>
  </si>
  <si>
    <t>Temperature</t>
  </si>
  <si>
    <t>Excess air</t>
  </si>
  <si>
    <t>Excess N2</t>
  </si>
  <si>
    <t>mg/L as N</t>
  </si>
  <si>
    <t>name</t>
  </si>
  <si>
    <t>Celsius</t>
  </si>
  <si>
    <t>na</t>
  </si>
  <si>
    <t>Solubiliy</t>
  </si>
  <si>
    <t>concentration</t>
  </si>
  <si>
    <t>Total</t>
  </si>
  <si>
    <t>gas model</t>
  </si>
  <si>
    <t>Gas</t>
  </si>
  <si>
    <t>Dry-Air Mole Fraction</t>
  </si>
  <si>
    <t>Measured</t>
  </si>
  <si>
    <t>Dry-Air mole</t>
  </si>
  <si>
    <t>circa 1980</t>
  </si>
  <si>
    <t xml:space="preserve">          Gas Model          </t>
  </si>
  <si>
    <t>Partial Molal Volume, cm3/mole</t>
  </si>
  <si>
    <t>N2O_Weiss_F</t>
  </si>
  <si>
    <t>CO2_Weiss_F</t>
  </si>
  <si>
    <t>fraction, pptv</t>
  </si>
  <si>
    <t>Specific</t>
  </si>
  <si>
    <t>Conductance, uS/cm</t>
  </si>
  <si>
    <t>solubility</t>
  </si>
  <si>
    <t>units</t>
  </si>
  <si>
    <t>Concentration</t>
  </si>
  <si>
    <t>Solubility name</t>
  </si>
  <si>
    <t>Units of solubility formula, per atmosphere</t>
  </si>
  <si>
    <t>errN2O</t>
  </si>
  <si>
    <t>Weiss moist-air solubility</t>
  </si>
  <si>
    <t>Deeds, 2008, The Natural Geochemistry of Tetrafluoromethane and Sulfur Hexafluoride: Studies of Ancient Mojave Desert Groundwaters, North Pacific Seawaters and the Summit Emissions of Kilauea Volcano, PhD Dissertation, University of California, San Diego, 2008, Scripps Institution of Oceanography Technical Report, UC, San Diego</t>
  </si>
  <si>
    <t>Bu, X., and M. J. Warner, 1995, Solubility of chlorofluorocarbon 113 in water and seawater, Deep Sea Research, Vol. 42, no. 7, pp 1151-1161.</t>
  </si>
  <si>
    <t>Hamme, R.C., and S.R. Emerson, 2004, The solubility of neon, nitrogen, and argon in distilled water and seawater: Deep-Sea Research I vol. 51, 1517-1528.</t>
  </si>
  <si>
    <t>Weiss, R. F., 1970, The solubility of nitrogen, oxygen, and argon in water and seawater, Deep Sea Research, vol. 17, pp. 721-735.</t>
  </si>
  <si>
    <t>Weiss, R.F., 1971, Solubility of helium and neon in water and seawater. J Chem Eng Data 16:235-241</t>
  </si>
  <si>
    <t>Weiss, R.F. and T.K. Kyser, 1978, Solubility of krypton in water and seawater. J Chem Eng Data 23:69-72.</t>
  </si>
  <si>
    <t>Garcia, H.E., and L.I. Gordon, 1992, Oxygen solubility in seawater: better fitting equations. Limnology and Oceanography 37 (6), 1307–1312.</t>
  </si>
  <si>
    <t>Benson, B.B., and D. Krause Jr., 1984. The concentration and isotopic fractionation of oxygen dissolved in freshwater and seawater inequilibrium with the atmosphere. Limnology and Oceanography 29 (3), 620–632.</t>
  </si>
  <si>
    <t>Holocher, J., Peeters, F., Aeschbach-Hertig, W., Hofer, M., Brennwald, M., Kinzelbach, W., Kipfer, R., 2002. Experimental investigations on the formation of excess air in quasi-saturated porous media. Geochimica et Cosmochimica Acta 66, 4103–4117</t>
  </si>
  <si>
    <t>Jähne, B., Heinz, G., and W. Dietrich, 1987, Measurement of the diffusion coefficients of sparingly soluble gases in water, J. Geophys. Res.. 92, 10,767-10,776</t>
  </si>
  <si>
    <t>Ferrell, R.T., and D.M. Himmelblau, 1967, Diffusion coefficients of hydrogen and helium in water: Journal of Chemical and Engineering Data, vol. 12, no. 1 -- calculated from table V.</t>
  </si>
  <si>
    <t>Zheng, M., De Bruyn, W.J., Saltzman, E.S., 1998. Measurements of the diffusion coefficients of CFC-11 and CFC-12 in pure water and seawater. J. Geophys. Res. 103, 1375–1379</t>
  </si>
  <si>
    <t>King, D.B., Saltzman, E.S., 1995. Measurement of the diffusion coefficient of sulfur hexafluoride in water. J. Geophys. Res. 100, 7083.</t>
  </si>
  <si>
    <t>Weiss solubility using Bunsen coefficients</t>
  </si>
  <si>
    <t>CH4_Wies_B</t>
  </si>
  <si>
    <t>CO_Wies_B</t>
  </si>
  <si>
    <t>H2_Wies_B</t>
  </si>
  <si>
    <t>Wiesenburg solubility using Bunsen coefficiencts</t>
  </si>
  <si>
    <t>Weiss and Price(1980) fugacity moist-air solubility concentration</t>
  </si>
  <si>
    <t>Weiss (1974) solubility using fugacity solubility constant, Ko</t>
  </si>
  <si>
    <t>Weiss and Price solubility using fugacity solubility constant, Ko</t>
  </si>
  <si>
    <t>Warner and Weiss solubility using partial pressure equilibrium constant, K'</t>
  </si>
  <si>
    <t>Bu and Warner solubility using partial pressure equilibrium constant, K'</t>
  </si>
  <si>
    <t>Bullister solubility using partial pressure equilibrium constant, K'</t>
  </si>
  <si>
    <t>Beyer solubility; no salinity correction</t>
  </si>
  <si>
    <t>Deeds solubility; no salinity correction</t>
  </si>
  <si>
    <t>Garcia and Gordon with 3 part polynomial</t>
  </si>
  <si>
    <t>Benson and Krause with real gas adjustment</t>
  </si>
  <si>
    <t>Weiss moist-air solubility concentration</t>
  </si>
  <si>
    <t>Jenkins moist-air solubility concentration</t>
  </si>
  <si>
    <t>Clever mole fraction solubility plus Smith and Kennedy salt coefficients</t>
  </si>
  <si>
    <t>Hamme and Emmerson moist-air solublity concentration</t>
  </si>
  <si>
    <t>Wiesenburg  moist-air solubility concentration</t>
  </si>
  <si>
    <r>
      <t xml:space="preserve">Include Mole Fraction, </t>
    </r>
    <r>
      <rPr>
        <b/>
        <i/>
        <sz val="11"/>
        <color theme="1"/>
        <rFont val="Calibri"/>
        <family val="2"/>
        <scheme val="minor"/>
      </rPr>
      <t>x</t>
    </r>
  </si>
  <si>
    <t>Initial Model Values</t>
  </si>
  <si>
    <t>Dissolved Gas Modeling Results</t>
  </si>
  <si>
    <t>Deviation from Solubility Equilibrium (Sample/Equil - 1)</t>
  </si>
  <si>
    <t>Measured Gases, cm3/g</t>
  </si>
  <si>
    <t>Measured Gases, mmol/L</t>
  </si>
  <si>
    <t>Measured Gases, mg/L</t>
  </si>
  <si>
    <t>Recharge Conditions</t>
  </si>
  <si>
    <t>Gas Solubilities, cm3/g</t>
  </si>
  <si>
    <t>Gas Excess Air, cm3/g</t>
  </si>
  <si>
    <t>Total Gas Concentration, cm3/g</t>
  </si>
  <si>
    <t>Gas Solubilities, mmol/L</t>
  </si>
  <si>
    <t>Gas Excess Air, mmol/L</t>
  </si>
  <si>
    <t>Total Gas Concentration, mmol/L</t>
  </si>
  <si>
    <t>Gas Solubilities, mg/L</t>
  </si>
  <si>
    <t>Gas Excess Air, mg/L</t>
  </si>
  <si>
    <t>Total Gas Concentration, mg/L</t>
  </si>
  <si>
    <t>Excess air for CE model, cm3/kg</t>
  </si>
  <si>
    <t>Monte Carlo Simulation results</t>
  </si>
  <si>
    <t>Monte Carlo Gas Concentrations, cm3/g</t>
  </si>
  <si>
    <t>Monte Carlo Gas Concentrations, mmol/L</t>
  </si>
  <si>
    <t>Monte Carlo Gas Concentrations, mg/L</t>
  </si>
  <si>
    <t>Salinity, per mil</t>
  </si>
  <si>
    <t>Elevation, meters</t>
  </si>
  <si>
    <t>Excess Air</t>
  </si>
  <si>
    <t>Excess Nitrogen Gas</t>
  </si>
  <si>
    <t>Noble Gas Model</t>
  </si>
  <si>
    <t>Model Parameters</t>
  </si>
  <si>
    <t>Chi-Square</t>
  </si>
  <si>
    <t>Probability</t>
  </si>
  <si>
    <t>Recharge Temp, degrees Celsius</t>
  </si>
  <si>
    <t>Recharge Temp Err, 1-Sigma</t>
  </si>
  <si>
    <t>Excess Air Err, 1-Sigma</t>
  </si>
  <si>
    <t>Entrapped Air, cm3/kg</t>
  </si>
  <si>
    <t>Entrapped Air Err, 1-Sigma</t>
  </si>
  <si>
    <t>Fractionation, dimensionless</t>
  </si>
  <si>
    <t>Fractionation Err, 1-Sigma</t>
  </si>
  <si>
    <t>Excess Nitrogen, mg/L as N</t>
  </si>
  <si>
    <t>Excess Nitrogen Err, 1-Sigma</t>
  </si>
  <si>
    <t>Salinity Err, 1-Sigma</t>
  </si>
  <si>
    <t>Elevation Err, 1-Sigma</t>
  </si>
  <si>
    <t>Gases Modeled</t>
  </si>
  <si>
    <t>HiGas</t>
  </si>
  <si>
    <t>Hi Gas Chi-Sqr</t>
  </si>
  <si>
    <t>Number of iterations</t>
  </si>
  <si>
    <t>Model date stamp</t>
  </si>
  <si>
    <t>Model Comments</t>
  </si>
  <si>
    <t>Model ID</t>
  </si>
  <si>
    <t>Delta Helium (cm3/g), percent</t>
  </si>
  <si>
    <t>Delta Neon (cm3/g), percent</t>
  </si>
  <si>
    <t>Delta Argon (cm3/g), percent</t>
  </si>
  <si>
    <t>Delta Krypton (cm3/g), percent</t>
  </si>
  <si>
    <t>Delta Xenon (cm3/g), percent</t>
  </si>
  <si>
    <t>Delta Nitrogen (cm3/g), percent</t>
  </si>
  <si>
    <t>Delta Argon (mg/L), percent</t>
  </si>
  <si>
    <t>Delta Nitrogen (mg/L), percent</t>
  </si>
  <si>
    <t>Delta Oxygen (mg/L), percent</t>
  </si>
  <si>
    <t>Delta Carbon dioxide (mg/L), percent</t>
  </si>
  <si>
    <t>Delta Methane (mg/L), percent</t>
  </si>
  <si>
    <t>Delta Hydrogen (mg/L), percent</t>
  </si>
  <si>
    <t>Helium measured, cm3/g</t>
  </si>
  <si>
    <t>Helium error, cm3/g</t>
  </si>
  <si>
    <t>Neon measured, cm3/g</t>
  </si>
  <si>
    <t>Neon error, cm3/g</t>
  </si>
  <si>
    <t>Argon measured, cm3/g</t>
  </si>
  <si>
    <t>Argon error, cm3/g</t>
  </si>
  <si>
    <t>Krypton measured, cm3/g</t>
  </si>
  <si>
    <t>Krypton error, cm3/g</t>
  </si>
  <si>
    <t>Xenon measured, cm3/g</t>
  </si>
  <si>
    <t>Xenon error, cm3/g</t>
  </si>
  <si>
    <t>Nitrogen measured, cm3/g</t>
  </si>
  <si>
    <t>Nitrogen error, cm3/g</t>
  </si>
  <si>
    <t>Oxygen measured, cm3/g</t>
  </si>
  <si>
    <t>Oxygen error, cm3/g</t>
  </si>
  <si>
    <t>Carbon dioxide measured, cm3/g</t>
  </si>
  <si>
    <t>Carbon dioxide error, cm3/g</t>
  </si>
  <si>
    <t>Methane measured, cm3/g</t>
  </si>
  <si>
    <t>Methane error, cm3/g</t>
  </si>
  <si>
    <t>Hydrogen measured, cm3/g</t>
  </si>
  <si>
    <t>Hydrogen error, cm3/g</t>
  </si>
  <si>
    <t>Helium measured, mmol/L</t>
  </si>
  <si>
    <t>Helium error, mmol/L</t>
  </si>
  <si>
    <t>Neon measured, mmol/L</t>
  </si>
  <si>
    <t>Neon error, mmol/L</t>
  </si>
  <si>
    <t>Argon measured, mmol/L</t>
  </si>
  <si>
    <t>Argon error, mmol/L</t>
  </si>
  <si>
    <t>Krypton measured, mmol/L</t>
  </si>
  <si>
    <t>Krypton error, mmol/L</t>
  </si>
  <si>
    <t>Xenon measured, mmol/L</t>
  </si>
  <si>
    <t>Xenon error, mmol/L</t>
  </si>
  <si>
    <t>Nitrogen measured, mmol/L</t>
  </si>
  <si>
    <t>Nitrogen error, mmol/L</t>
  </si>
  <si>
    <t>Oxygen measured, mmol/L</t>
  </si>
  <si>
    <t>Oxygen error, mmol/L</t>
  </si>
  <si>
    <t>Carbon dioxide measured, mmol/L</t>
  </si>
  <si>
    <t>Carbon dioxide error, mmol/L</t>
  </si>
  <si>
    <t>Methane measured, mmol/L</t>
  </si>
  <si>
    <t>Methane error, mmol/L</t>
  </si>
  <si>
    <t>Hydrogen measured, mmol/L</t>
  </si>
  <si>
    <t>Hydrogen error, mmol/L</t>
  </si>
  <si>
    <t>Helium measured, mg/L</t>
  </si>
  <si>
    <t>Helium error, mg/L</t>
  </si>
  <si>
    <t>Neon measured, mg/L</t>
  </si>
  <si>
    <t>Neon error, mg/L</t>
  </si>
  <si>
    <t>Argon measured, mg/L</t>
  </si>
  <si>
    <t>Argon error, mg/L</t>
  </si>
  <si>
    <t>Krypton measured, mg/L</t>
  </si>
  <si>
    <t>Krypton error, mg/L</t>
  </si>
  <si>
    <t>Xenon measured, mg/L</t>
  </si>
  <si>
    <t>Xenon error, mg/L</t>
  </si>
  <si>
    <t>Nitrogen measured, mg/L</t>
  </si>
  <si>
    <t>Nitrogen error, mg/L</t>
  </si>
  <si>
    <t>Oxygen measured, mg/L</t>
  </si>
  <si>
    <t>Oxygen error, mg/L</t>
  </si>
  <si>
    <t>Carbon dioxide measured, mg/L</t>
  </si>
  <si>
    <t>Carbon dioxide error, mg/L</t>
  </si>
  <si>
    <t>Methane measured, mg/L</t>
  </si>
  <si>
    <t>Methane error, mg/L</t>
  </si>
  <si>
    <t>Hydrogen measured, mg/L</t>
  </si>
  <si>
    <t>Hydrogen error, mg/L</t>
  </si>
  <si>
    <t>Density (T,S), kg/L</t>
  </si>
  <si>
    <t>Pressure (local elevation), atm.</t>
  </si>
  <si>
    <t>P H2O (T,S), atm.</t>
  </si>
  <si>
    <t>P corr. for H2O vapor, atm</t>
  </si>
  <si>
    <t>Helium solubility, cm3/g</t>
  </si>
  <si>
    <t>Neon solubility, cm3/g</t>
  </si>
  <si>
    <t>Argon solubility, cm3/g</t>
  </si>
  <si>
    <t>Krypton solubility, cm3/g</t>
  </si>
  <si>
    <t>Xenon solubility, cm3/g</t>
  </si>
  <si>
    <t>Nitrogen solubility, cm3/g</t>
  </si>
  <si>
    <t>Oxygen solubility, cm3/g</t>
  </si>
  <si>
    <t>Carbon dioxide solubility, cm3/g</t>
  </si>
  <si>
    <t>Methane solubility, cm3/g</t>
  </si>
  <si>
    <t>Hydrogen solubility, cm3/g</t>
  </si>
  <si>
    <t>Helium excess air, cm3/g</t>
  </si>
  <si>
    <t>Neon excess air, cm3/g</t>
  </si>
  <si>
    <t>Argon excess air, cm3/g</t>
  </si>
  <si>
    <t>Krypton excess air, cm3/g</t>
  </si>
  <si>
    <t>Xenon excess air, cm3/g</t>
  </si>
  <si>
    <t>Nitrogen excess air, cm3/g</t>
  </si>
  <si>
    <t>Oxygen excess air, cm3/g</t>
  </si>
  <si>
    <t>Carbon dioxide excess air, cm3/g</t>
  </si>
  <si>
    <t>Methane excess air, cm3/g</t>
  </si>
  <si>
    <t>Hydrogen excess air, cm3/g</t>
  </si>
  <si>
    <t>Helium total, cm3/g</t>
  </si>
  <si>
    <t>Neon total, cm3/g</t>
  </si>
  <si>
    <t>Argon total, cm3/g</t>
  </si>
  <si>
    <t>Krypton total, cm3/g</t>
  </si>
  <si>
    <t>Xenon total, cm3/g</t>
  </si>
  <si>
    <t>Nitrogen total, cm3/g</t>
  </si>
  <si>
    <t>Oxygen total, cm3/g</t>
  </si>
  <si>
    <t>Carbon dioxide total, cm3/g</t>
  </si>
  <si>
    <t>Methane total, cm3/g</t>
  </si>
  <si>
    <t>Hydrogen total, cm3/g</t>
  </si>
  <si>
    <t>Helium solubility, mmol/L</t>
  </si>
  <si>
    <t>Neon solubility, mmol/L</t>
  </si>
  <si>
    <t>Argon solubility, mmol/L</t>
  </si>
  <si>
    <t>Krypton solubility, mmol/L</t>
  </si>
  <si>
    <t>Xenon solubility, mmol/L</t>
  </si>
  <si>
    <t>Nitrogen solubility, mmol/L</t>
  </si>
  <si>
    <t>Oxygen solubility, mmol/L</t>
  </si>
  <si>
    <t>Carbon dioxide solubility, mmol/L</t>
  </si>
  <si>
    <t>Methane solubility, mmol/L</t>
  </si>
  <si>
    <t>Hydrogen solubility, mmol/L</t>
  </si>
  <si>
    <t>Helium excess air, mmol/L</t>
  </si>
  <si>
    <t>Neon excess air, mmol/L</t>
  </si>
  <si>
    <t>Argon excess air, mmol/L</t>
  </si>
  <si>
    <t>Krypton excess air, mmol/L</t>
  </si>
  <si>
    <t>Xenon excess air, mmol/L</t>
  </si>
  <si>
    <t>Nitrogen excess air, mmol/L</t>
  </si>
  <si>
    <t>Oxygen excess air, mmol/L</t>
  </si>
  <si>
    <t>Carbon dioxide excess air, mmol/L</t>
  </si>
  <si>
    <t>Methane excess air, mmol/L</t>
  </si>
  <si>
    <t>Hydrogen excess air, mmol/L</t>
  </si>
  <si>
    <t>Helium total, mmol/L</t>
  </si>
  <si>
    <t>Neon total, mmol/L</t>
  </si>
  <si>
    <t>Argon total, mmol/L</t>
  </si>
  <si>
    <t>Krypton total, mmol/L</t>
  </si>
  <si>
    <t>Xenon total, mmol/L</t>
  </si>
  <si>
    <t>Nitrogen total, mmol/L</t>
  </si>
  <si>
    <t>Oxygen total, mmol/L</t>
  </si>
  <si>
    <t>Carbon dioxide total, mmol/L</t>
  </si>
  <si>
    <t>Methane total, mmol/L</t>
  </si>
  <si>
    <t>Hydrogen total, mmol/L</t>
  </si>
  <si>
    <t>Helium solubility, mg/L</t>
  </si>
  <si>
    <t>Neon solubility, mg/L</t>
  </si>
  <si>
    <t>Argon solubility, mg/L</t>
  </si>
  <si>
    <t>Krypton solubility, mg/L</t>
  </si>
  <si>
    <t>Xenon solubility, mg/L</t>
  </si>
  <si>
    <t>Nitrogen solubility, mg/L</t>
  </si>
  <si>
    <t>Oxygen solubility, mg/L</t>
  </si>
  <si>
    <t>Carbon dioxide solubility, mg/L</t>
  </si>
  <si>
    <t>Methane solubility, mg/L</t>
  </si>
  <si>
    <t>Hydrogen solubility, mg/L</t>
  </si>
  <si>
    <t>Helium excess air, mg/L</t>
  </si>
  <si>
    <t>Neon excess air, mg/L</t>
  </si>
  <si>
    <t>Argon excess air, mg/L</t>
  </si>
  <si>
    <t>Krypton excess air, mg/L</t>
  </si>
  <si>
    <t>Xenon excess air, mg/L</t>
  </si>
  <si>
    <t>Nitrogen excess air, mg/L</t>
  </si>
  <si>
    <t>Oxygen excess air, mg/L</t>
  </si>
  <si>
    <t>Carbon dioxide excess air, mg/L</t>
  </si>
  <si>
    <t>Methane excess air, mg/L</t>
  </si>
  <si>
    <t>Hydrogen excess air, mg/L</t>
  </si>
  <si>
    <t>Helium total, mg/L</t>
  </si>
  <si>
    <t>Neon total, mg/L</t>
  </si>
  <si>
    <t>Argon total, mg/L</t>
  </si>
  <si>
    <t>Krypton total, mg/L</t>
  </si>
  <si>
    <t>Xenon total, mg/L</t>
  </si>
  <si>
    <t>Nitrogen total, mg/L</t>
  </si>
  <si>
    <t>Oxygen total, mg/L</t>
  </si>
  <si>
    <t>Carbon dioxide total, mg/L</t>
  </si>
  <si>
    <t>Methane total, mg/L</t>
  </si>
  <si>
    <t>Hydrogen total, mg/L</t>
  </si>
  <si>
    <t>Helium excess air for CE model, cm3/kg</t>
  </si>
  <si>
    <t>Neon excess air for CE model, cm3/kg</t>
  </si>
  <si>
    <t>Argon excess air for CE model, cm3/kg</t>
  </si>
  <si>
    <t>Krypton excess air for CE model, cm3/kg</t>
  </si>
  <si>
    <t>Xenon excess air for CE model, cm3/kg</t>
  </si>
  <si>
    <t>Nitrogen excess air for CE model, cm3/kg</t>
  </si>
  <si>
    <t>Oxygen excess air for CE model, cm3/kg</t>
  </si>
  <si>
    <t>Carbon dioxide excess air for CE model, cm3/kg</t>
  </si>
  <si>
    <t>Methane excess air for CE model, cm3/kg</t>
  </si>
  <si>
    <t>Hydrogen excess air for CE model, cm3/kg</t>
  </si>
  <si>
    <t>Number of simulations</t>
  </si>
  <si>
    <t>MC Avg Recharge Temp, degrees Celsius</t>
  </si>
  <si>
    <t>MC Recharge Temp Err, 1-Sigma</t>
  </si>
  <si>
    <t>MC Avg Excess Air, cm3/kg</t>
  </si>
  <si>
    <t>MC Excess Air Err, 1-Sigma</t>
  </si>
  <si>
    <t>MC Avg Entrapped Air, cm3/kg</t>
  </si>
  <si>
    <t>MC Entrapped Air Err, 1-Sigma</t>
  </si>
  <si>
    <t>MC Avg Fractionation, dimensionless</t>
  </si>
  <si>
    <t>MC Fractionation Err, 1-Sigma</t>
  </si>
  <si>
    <t>MC Avg Excess Nitrogen, mg/L as N</t>
  </si>
  <si>
    <t>MC Excess Nitrogen Err, 1-Sigma</t>
  </si>
  <si>
    <t>MC Avg Salinity, per mil</t>
  </si>
  <si>
    <t>MC Salinity Err, 1-Sigma</t>
  </si>
  <si>
    <t>MC Avg Elevation, meters</t>
  </si>
  <si>
    <t>MC Elevation Err, 1-Sigma</t>
  </si>
  <si>
    <t>MC Avg. Helium, cm3/g</t>
  </si>
  <si>
    <t>MC Helium 1-sigma error, cm3/g</t>
  </si>
  <si>
    <t>MC Avg. Neon, cm3/g</t>
  </si>
  <si>
    <t>MC Neon 1-sigma error, cm3/g</t>
  </si>
  <si>
    <t>MC Avg. Argon, cm3/g</t>
  </si>
  <si>
    <t>MC Argon 1-sigma error, cm3/g</t>
  </si>
  <si>
    <t>MC Avg. Krypton, cm3/g</t>
  </si>
  <si>
    <t>MC Krypton 1-sigma error, cm3/g</t>
  </si>
  <si>
    <t>MC Avg. Xenon, cm3/g</t>
  </si>
  <si>
    <t>MC Xenon 1-sigma error, cm3/g</t>
  </si>
  <si>
    <t>MC Avg. Nitrogen, cm3/g</t>
  </si>
  <si>
    <t>MC Nitrogen 1-sigma error, cm3/g</t>
  </si>
  <si>
    <t>MC Avg. Oxygen, cm3/g</t>
  </si>
  <si>
    <t>MC Oxygen 1-sigma error, cm3/g</t>
  </si>
  <si>
    <t>MC Avg. Carbon dioxide, cm3/g</t>
  </si>
  <si>
    <t>MC Carbon dioxide 1-sigma error, cm3/g</t>
  </si>
  <si>
    <t>MC Avg. Methane, cm3/g</t>
  </si>
  <si>
    <t>MC Methane 1-sigma error, cm3/g</t>
  </si>
  <si>
    <t>MC Avg. Hydrogen, cm3/g</t>
  </si>
  <si>
    <t>MC Hydrogen 1-sigma error, cm3/g</t>
  </si>
  <si>
    <t>MC Avg. Helium, mmol/L</t>
  </si>
  <si>
    <t>MC Helium 1-sigma error, mmol/L</t>
  </si>
  <si>
    <t>MC Avg. Neon, mmol/L</t>
  </si>
  <si>
    <t>MC Neon 1-sigma error, mmol/L</t>
  </si>
  <si>
    <t>MC Avg. Argon, mmol/L</t>
  </si>
  <si>
    <t>MC Argon 1-sigma error, mmol/L</t>
  </si>
  <si>
    <t>MC Avg. Krypton, mmol/L</t>
  </si>
  <si>
    <t>MC Krypton 1-sigma error, mmol/L</t>
  </si>
  <si>
    <t>MC Avg. Xenon, mmol/L</t>
  </si>
  <si>
    <t>MC Xenon 1-sigma error, mmol/L</t>
  </si>
  <si>
    <t>MC Avg. Nitrogen, mmol/L</t>
  </si>
  <si>
    <t>MC Nitrogen 1-sigma error, mmol/L</t>
  </si>
  <si>
    <t>MC Avg. Oxygen, mmol/L</t>
  </si>
  <si>
    <t>MC Oxygen 1-sigma error, mmol/L</t>
  </si>
  <si>
    <t>MC Avg. Carbon dioxide, mmol/L</t>
  </si>
  <si>
    <t>MC Carbon dioxide 1-sigma error, mmol/L</t>
  </si>
  <si>
    <t>MC Avg. Methane, mmol/L</t>
  </si>
  <si>
    <t>MC Methane 1-sigma error, mmol/L</t>
  </si>
  <si>
    <t>MC Avg. Hydrogen, mmol/L</t>
  </si>
  <si>
    <t>MC Hydrogen 1-sigma error, mmol/L</t>
  </si>
  <si>
    <t>MC Avg. Helium, mg/L</t>
  </si>
  <si>
    <t>MC Helium 1-sigma error, mg/L</t>
  </si>
  <si>
    <t>MC Avg. Neon, mg/L</t>
  </si>
  <si>
    <t>MC Neon 1-sigma error, mg/L</t>
  </si>
  <si>
    <t>MC Avg. Argon, mg/L</t>
  </si>
  <si>
    <t>MC Argon 1-sigma error, mg/L</t>
  </si>
  <si>
    <t>MC Avg. Krypton, mg/L</t>
  </si>
  <si>
    <t>MC Krypton 1-sigma error, mg/L</t>
  </si>
  <si>
    <t>MC Avg. Xenon, mg/L</t>
  </si>
  <si>
    <t>MC Xenon 1-sigma error, mg/L</t>
  </si>
  <si>
    <t>MC Avg. Nitrogen, mg/L</t>
  </si>
  <si>
    <t>MC Nitrogen 1-sigma error, mg/L</t>
  </si>
  <si>
    <t>MC Avg. Oxygen, mg/L</t>
  </si>
  <si>
    <t>MC Oxygen 1-sigma error, mg/L</t>
  </si>
  <si>
    <t>MC Avg. Carbon dioxide, mg/L</t>
  </si>
  <si>
    <t>MC Carbon dioxide 1-sigma error, mg/L</t>
  </si>
  <si>
    <t>MC Avg. Methane, mg/L</t>
  </si>
  <si>
    <t>MC Methane 1-sigma error, mg/L</t>
  </si>
  <si>
    <t>MC Avg. Hydrogen, mg/L</t>
  </si>
  <si>
    <t>MC Hydrogen 1-sigma error, mg/L</t>
  </si>
  <si>
    <t>TX</t>
  </si>
  <si>
    <t>N2 &lt; 0.5</t>
  </si>
  <si>
    <t>291949095024801</t>
  </si>
  <si>
    <t>480130310201</t>
  </si>
  <si>
    <t>Unfractionated excess air (UA)</t>
  </si>
  <si>
    <t>tan</t>
  </si>
  <si>
    <t>init. val.</t>
  </si>
  <si>
    <t>Ne, Ar, N2</t>
  </si>
  <si>
    <t>2017052513470728</t>
  </si>
  <si>
    <t>480130312901</t>
  </si>
  <si>
    <t>2017052513470727</t>
  </si>
  <si>
    <t>292923095091601</t>
  </si>
  <si>
    <t>480130310301</t>
  </si>
  <si>
    <t>2017052513470725</t>
  </si>
  <si>
    <t>480130313001</t>
  </si>
  <si>
    <t>2017052513470726</t>
  </si>
  <si>
    <t>292944095550101</t>
  </si>
  <si>
    <t>480130307801</t>
  </si>
  <si>
    <t>Ar, N2</t>
  </si>
  <si>
    <t>Results based on averages from 11 models with excess air between 1.5 and 3.5</t>
  </si>
  <si>
    <t>2017052513303251</t>
  </si>
  <si>
    <t>480130310501</t>
  </si>
  <si>
    <t>2017052513303250</t>
  </si>
  <si>
    <t>300413094402101</t>
  </si>
  <si>
    <t>480130308501</t>
  </si>
  <si>
    <t>Results based on averages from 3 models with excess air between 1.5 and 3.5</t>
  </si>
  <si>
    <t>2017052513302913</t>
  </si>
  <si>
    <t>480130311201</t>
  </si>
  <si>
    <t>Results based on averages from 2 models with excess air between 1.5 and 3.5</t>
  </si>
  <si>
    <t>2017052513302914</t>
  </si>
  <si>
    <t>300932094005301</t>
  </si>
  <si>
    <t>480130310101</t>
  </si>
  <si>
    <t>2017052513470723</t>
  </si>
  <si>
    <t>480130312801</t>
  </si>
  <si>
    <t>2017052513470724</t>
  </si>
  <si>
    <t>301420095093201</t>
  </si>
  <si>
    <t>480130308401</t>
  </si>
  <si>
    <t>2017052513470705</t>
  </si>
  <si>
    <t>480130311101</t>
  </si>
  <si>
    <t>2017052513470706</t>
  </si>
  <si>
    <t>302145095473901</t>
  </si>
  <si>
    <t>480130308201</t>
  </si>
  <si>
    <t>Results based on averages from 7 models with excess air between 1.5 and 3.5</t>
  </si>
  <si>
    <t>2017052513303244</t>
  </si>
  <si>
    <t>480130310901</t>
  </si>
  <si>
    <t>2017052513303245</t>
  </si>
  <si>
    <t>303000095002001</t>
  </si>
  <si>
    <t>480130308301</t>
  </si>
  <si>
    <t>Results based on averages from 5 models with excess air between 1.5 and 3.5</t>
  </si>
  <si>
    <t>2017052513303248</t>
  </si>
  <si>
    <t>480130311001</t>
  </si>
  <si>
    <t>2017052513303247</t>
  </si>
  <si>
    <t>304603094101801</t>
  </si>
  <si>
    <t>480130309001</t>
  </si>
  <si>
    <t>2017052513470721</t>
  </si>
  <si>
    <t>480130311701</t>
  </si>
  <si>
    <t>2017052513470722</t>
  </si>
  <si>
    <t>305947093395001</t>
  </si>
  <si>
    <t>480130309101</t>
  </si>
  <si>
    <t>2017052513470729</t>
  </si>
  <si>
    <t>480130311801</t>
  </si>
  <si>
    <t>2017052513470730</t>
  </si>
  <si>
    <t>N2 &gt; 2</t>
  </si>
  <si>
    <t>271315097473201</t>
  </si>
  <si>
    <t>480130309401</t>
  </si>
  <si>
    <t>2017052513302911</t>
  </si>
  <si>
    <t>480130312101</t>
  </si>
  <si>
    <t>Results based on averages from 12 models with excess air between 1.5 and 3.5</t>
  </si>
  <si>
    <t>2017052513302912</t>
  </si>
  <si>
    <t>271505098073401</t>
  </si>
  <si>
    <t>480130310001</t>
  </si>
  <si>
    <t>2017052513303239</t>
  </si>
  <si>
    <t>271843098401101</t>
  </si>
  <si>
    <t>480130309901</t>
  </si>
  <si>
    <t>2017052513470718</t>
  </si>
  <si>
    <t>480130312601</t>
  </si>
  <si>
    <t>2017052513470717</t>
  </si>
  <si>
    <t>272638098532301</t>
  </si>
  <si>
    <t>480130309801</t>
  </si>
  <si>
    <t>2017052513302902</t>
  </si>
  <si>
    <t>480130312501</t>
  </si>
  <si>
    <t>2017052513302901</t>
  </si>
  <si>
    <t>274439098144401</t>
  </si>
  <si>
    <t>480130309701</t>
  </si>
  <si>
    <t>2017052513470704</t>
  </si>
  <si>
    <t>480130312401</t>
  </si>
  <si>
    <t>2017052513470703</t>
  </si>
  <si>
    <t>280951096593801</t>
  </si>
  <si>
    <t>480130308801</t>
  </si>
  <si>
    <t>2017052513470720</t>
  </si>
  <si>
    <t>480130311501</t>
  </si>
  <si>
    <t>2017052513470719</t>
  </si>
  <si>
    <t>281433097191300</t>
  </si>
  <si>
    <t>480130309601</t>
  </si>
  <si>
    <t>2017052513303243</t>
  </si>
  <si>
    <t>480130312301</t>
  </si>
  <si>
    <t>2017052513303242</t>
  </si>
  <si>
    <t>291639097093901</t>
  </si>
  <si>
    <t>480130308601</t>
  </si>
  <si>
    <t>2017052513303249</t>
  </si>
  <si>
    <t>480130311301</t>
  </si>
  <si>
    <t>2017052513302909</t>
  </si>
  <si>
    <t>302207096050600</t>
  </si>
  <si>
    <t>480130308101</t>
  </si>
  <si>
    <t>2017052513303240</t>
  </si>
  <si>
    <t>480130310801</t>
  </si>
  <si>
    <t>2017052513303241</t>
  </si>
  <si>
    <t>310935093352701</t>
  </si>
  <si>
    <t>480130309201</t>
  </si>
  <si>
    <t>2017052513303238</t>
  </si>
  <si>
    <t>480130311901</t>
  </si>
  <si>
    <t>2017052513303237</t>
  </si>
  <si>
    <t>N2 0.5 - 2</t>
  </si>
  <si>
    <t>260204097443701</t>
  </si>
  <si>
    <t>480130309301</t>
  </si>
  <si>
    <t>2017052513470712</t>
  </si>
  <si>
    <t>480130312001</t>
  </si>
  <si>
    <t>2017052513470711</t>
  </si>
  <si>
    <t>275725097562701</t>
  </si>
  <si>
    <t>480130309501</t>
  </si>
  <si>
    <t>2017052513303246</t>
  </si>
  <si>
    <t>480130312201</t>
  </si>
  <si>
    <t>2017052513302907</t>
  </si>
  <si>
    <t>284749097503201</t>
  </si>
  <si>
    <t>480130308701</t>
  </si>
  <si>
    <t>2017052513302910</t>
  </si>
  <si>
    <t>480130311401</t>
  </si>
  <si>
    <t>2017052513302908</t>
  </si>
  <si>
    <t>290028095594700</t>
  </si>
  <si>
    <t>480130307901</t>
  </si>
  <si>
    <t>2017052513470716</t>
  </si>
  <si>
    <t>480130310601</t>
  </si>
  <si>
    <t>2017052513470715</t>
  </si>
  <si>
    <t>293938095561301</t>
  </si>
  <si>
    <t>480130307701</t>
  </si>
  <si>
    <t>2017052513470713</t>
  </si>
  <si>
    <t>480130310401</t>
  </si>
  <si>
    <t>2017052513470714</t>
  </si>
  <si>
    <t>294040096542401</t>
  </si>
  <si>
    <t>480130308001</t>
  </si>
  <si>
    <t>2017052513470731</t>
  </si>
  <si>
    <t>480130310701</t>
  </si>
  <si>
    <t>2017052513470732</t>
  </si>
  <si>
    <t>clowpas1</t>
  </si>
  <si>
    <t>7/30/2014</t>
  </si>
  <si>
    <t>8/6/2014</t>
  </si>
  <si>
    <t>8/11/2014</t>
  </si>
  <si>
    <t>480130312701</t>
  </si>
  <si>
    <t>4/23/2014</t>
  </si>
  <si>
    <t>8/7/2014</t>
  </si>
  <si>
    <t>7/29/2014</t>
  </si>
  <si>
    <t>4/25/2014</t>
  </si>
  <si>
    <t>7/31/2014</t>
  </si>
  <si>
    <t>480130262101</t>
  </si>
  <si>
    <t>480130267801</t>
  </si>
  <si>
    <t>Gas units</t>
  </si>
  <si>
    <t>mmol/L</t>
  </si>
  <si>
    <t>mmol/kg</t>
  </si>
  <si>
    <t>Set units for Graph 1</t>
  </si>
  <si>
    <t>He units</t>
  </si>
  <si>
    <t>Ne units</t>
  </si>
  <si>
    <t>Ar units</t>
  </si>
  <si>
    <t>Kr units</t>
  </si>
  <si>
    <t>Xe units</t>
  </si>
  <si>
    <t>N2 units</t>
  </si>
  <si>
    <t>O2 units</t>
  </si>
  <si>
    <t>CO2 units</t>
  </si>
  <si>
    <t>CH4 units</t>
  </si>
  <si>
    <t>H2 units</t>
  </si>
  <si>
    <t>N2O units</t>
  </si>
  <si>
    <t>Ar/Ne</t>
  </si>
  <si>
    <t>Kr/Xe</t>
  </si>
  <si>
    <t>Xe/Ne</t>
  </si>
  <si>
    <t>Kr/Ar</t>
  </si>
  <si>
    <t>N2/Ar</t>
  </si>
  <si>
    <t>20Ne/22Ne</t>
  </si>
  <si>
    <t>Graph 1 Control Variables</t>
  </si>
  <si>
    <t>All Models</t>
  </si>
  <si>
    <t>CE Model</t>
  </si>
  <si>
    <t>Excess N2 Model</t>
  </si>
  <si>
    <t>Elevation, masl</t>
  </si>
  <si>
    <t>Temperature, deg. C</t>
  </si>
  <si>
    <t>Excess N2, mg/L</t>
  </si>
  <si>
    <t>Init. excess air (UA), cm3/kg</t>
  </si>
  <si>
    <t>Init. entrapped air (CE), cm3/kg</t>
  </si>
  <si>
    <t>Model line, point on graph</t>
  </si>
  <si>
    <t>Excess air, cm3/kg</t>
  </si>
  <si>
    <t>Entrapped air, cm3/kg</t>
  </si>
  <si>
    <t>Excess N2 gas, mg/L</t>
  </si>
  <si>
    <t>Gas model</t>
  </si>
  <si>
    <t>Graph 1 model scenarios</t>
  </si>
  <si>
    <t>Model output for various scenarios listed in first column</t>
  </si>
  <si>
    <t>Excess air boundary line 1</t>
  </si>
  <si>
    <t>Excess air boundary line 2</t>
  </si>
  <si>
    <t>Temperature boundary line 1</t>
  </si>
  <si>
    <t>Temperature boundary line 2</t>
  </si>
  <si>
    <t>UA model, green line</t>
  </si>
  <si>
    <t>UA + excess N2</t>
  </si>
  <si>
    <t>CE model, red line</t>
  </si>
  <si>
    <t>CE + excess N2</t>
  </si>
  <si>
    <t>Set units for Graph 2</t>
  </si>
  <si>
    <t>Graph 2 Control Variables</t>
  </si>
  <si>
    <t>Graph 2 model scenarios</t>
  </si>
  <si>
    <t>Graph to plot</t>
  </si>
  <si>
    <t>Gas Modeling Results</t>
  </si>
  <si>
    <t>Temperature, degrees Celsius</t>
  </si>
  <si>
    <t>Temperature Err, 1-Sigma</t>
  </si>
  <si>
    <t>Excess Air / Entrapped Air, cm3/kg</t>
  </si>
  <si>
    <t>Excess Air / Entrapped Air Err, 1-Sigma</t>
  </si>
  <si>
    <t>He Err</t>
  </si>
  <si>
    <t>Original He Units</t>
  </si>
  <si>
    <t>Ne Err</t>
  </si>
  <si>
    <t>Original Ne Units</t>
  </si>
  <si>
    <t>Ar Err</t>
  </si>
  <si>
    <t>Original Ar Units</t>
  </si>
  <si>
    <t>Kr Err</t>
  </si>
  <si>
    <t>Original Kr Units</t>
  </si>
  <si>
    <t>Xe Err</t>
  </si>
  <si>
    <t>Original Xe Units</t>
  </si>
  <si>
    <t>N2 Err</t>
  </si>
  <si>
    <t>Original N2 Units</t>
  </si>
  <si>
    <t>O2 Err</t>
  </si>
  <si>
    <t>Original O2 Units</t>
  </si>
  <si>
    <t>CO2 Err</t>
  </si>
  <si>
    <t>Original CO2 Units</t>
  </si>
  <si>
    <t>CH4 Err</t>
  </si>
  <si>
    <t>Original CH4 Units</t>
  </si>
  <si>
    <t>H2 Err</t>
  </si>
  <si>
    <t>Original H2 Units</t>
  </si>
  <si>
    <t>N2O Err</t>
  </si>
  <si>
    <t>Original N2O Units</t>
  </si>
  <si>
    <t>Sample Data</t>
  </si>
  <si>
    <t>Graph 1</t>
  </si>
  <si>
    <t>Graph 2</t>
  </si>
  <si>
    <t>CFC-11 sample, pmol/kg</t>
  </si>
  <si>
    <t>Atmospheric Gas Tracers</t>
  </si>
  <si>
    <t>CFC-11 sample error, pmol/kg</t>
  </si>
  <si>
    <t>CFC-11, pptv</t>
  </si>
  <si>
    <t>CFC-11 error, pptv</t>
  </si>
  <si>
    <t>CFC-12 sample, pmol/kg</t>
  </si>
  <si>
    <t>CFC-12 sample error, pmol/kg</t>
  </si>
  <si>
    <t>CFC-12, pptv</t>
  </si>
  <si>
    <t>CFC-12 error, pptv</t>
  </si>
  <si>
    <t>CFC-113 sample, pmol/kg</t>
  </si>
  <si>
    <t>CFC-113 sample error, pmol/kg</t>
  </si>
  <si>
    <t>CFC-113, pptv</t>
  </si>
  <si>
    <t>CFC-113 error, pptv</t>
  </si>
  <si>
    <t>SF6 sample, fmol/kg</t>
  </si>
  <si>
    <t>SF6 sample error, fmol/kg</t>
  </si>
  <si>
    <t>SF6, pptv</t>
  </si>
  <si>
    <t>SF6 error, pptv</t>
  </si>
  <si>
    <t>Halon-1301 sample, pmol/kg</t>
  </si>
  <si>
    <t>Halon-1301 sample error, pmol/kg</t>
  </si>
  <si>
    <t>Halon-1301, pptv</t>
  </si>
  <si>
    <t>Halon-1301 error, pptv</t>
  </si>
  <si>
    <t>Tritium, TU</t>
  </si>
  <si>
    <t>Tritium - Helium-3</t>
  </si>
  <si>
    <t>Tritium error, TU</t>
  </si>
  <si>
    <t>3He/4He sample: R(s), atom ratio</t>
  </si>
  <si>
    <t>3He/4He sample error, atom ratio</t>
  </si>
  <si>
    <t>Helium measured: He(s), cm3/g</t>
  </si>
  <si>
    <t>Helium measured error, cm3/g</t>
  </si>
  <si>
    <t>Neon measured error, cm3/g</t>
  </si>
  <si>
    <t>Helium solubility: He(eq), cm3/g</t>
  </si>
  <si>
    <t>Helium solubility error, cm3/g</t>
  </si>
  <si>
    <t>Helium excess air: He(a), cm3/g</t>
  </si>
  <si>
    <t>Helium excess air error, cm3/g</t>
  </si>
  <si>
    <t>Delta helium, percent</t>
  </si>
  <si>
    <t>Delta neon, percent</t>
  </si>
  <si>
    <t>Terrigenic Helium: He(terr), cm3/g</t>
  </si>
  <si>
    <t>Terrigenic Helium error, cm3/g</t>
  </si>
  <si>
    <t>Rs/Ra - air corr., ratio</t>
  </si>
  <si>
    <t>Rs/Ra - air corr. error, ratio</t>
  </si>
  <si>
    <t>He(terr) / (He(s) - He(a))</t>
  </si>
  <si>
    <t>He(terr) / (He(s) - He(a)) error</t>
  </si>
  <si>
    <t>3He/4He Terr (Rterr)</t>
  </si>
  <si>
    <t>3He/4He Terr Error</t>
  </si>
  <si>
    <t>3He tritiogenic, TU</t>
  </si>
  <si>
    <t>3He tritiogenic error, TU</t>
  </si>
  <si>
    <t>Reported 3He trit., TU</t>
  </si>
  <si>
    <t>Reported 3He trit. error, TU</t>
  </si>
  <si>
    <t>3He Comments</t>
  </si>
  <si>
    <t>Tritium Category</t>
  </si>
  <si>
    <t>Mantle helium, %</t>
  </si>
  <si>
    <t>Rterr</t>
  </si>
  <si>
    <t>Rterr/Ra</t>
  </si>
  <si>
    <t>He-3 (trit)</t>
  </si>
  <si>
    <t>Data in this worksheet</t>
  </si>
  <si>
    <t>Radiogenic helium evolution</t>
  </si>
  <si>
    <t>Mantle helium evolution</t>
  </si>
  <si>
    <t>Mixture of radiogenic and mantle helium</t>
  </si>
  <si>
    <t>R/Ra</t>
  </si>
  <si>
    <t>=Req</t>
  </si>
  <si>
    <t>=Rterr</t>
  </si>
  <si>
    <t>High terrigenic helium</t>
  </si>
  <si>
    <t>Terrigenic helium in sample</t>
  </si>
  <si>
    <t>High D-Ne indicates air inclusion.High terrigenic helium</t>
  </si>
  <si>
    <t>&lt;1</t>
  </si>
  <si>
    <t>Not Quantifiable</t>
  </si>
  <si>
    <t>StudyUnit</t>
  </si>
  <si>
    <t>StudyArea</t>
  </si>
  <si>
    <t>SampleID</t>
  </si>
  <si>
    <t>SampleDate</t>
  </si>
  <si>
    <t>RecordNum</t>
  </si>
  <si>
    <t>DGM_Name</t>
  </si>
  <si>
    <t>DGM_Parms</t>
  </si>
  <si>
    <t>DGM_ChiSqr</t>
  </si>
  <si>
    <t>DGM_Prob</t>
  </si>
  <si>
    <t>DGM_Salinity_permil</t>
  </si>
  <si>
    <t>DGM_Salinity_Err_permil</t>
  </si>
  <si>
    <t>DGM_Elev_masl</t>
  </si>
  <si>
    <t>DGM_Elev_Err_masl</t>
  </si>
  <si>
    <t>DGM_Temp_C</t>
  </si>
  <si>
    <t>DGM_Temp_Err_C</t>
  </si>
  <si>
    <t>DGM_ExcEntAir_cm3kg</t>
  </si>
  <si>
    <t>DGM_ExcEntAir_Err_cm3kg</t>
  </si>
  <si>
    <t>DGM_Fractionation</t>
  </si>
  <si>
    <t>DGM_Fractionation_Err</t>
  </si>
  <si>
    <t>DGM_ExcN2_mgL</t>
  </si>
  <si>
    <t>DGM_ExcN2_Err_mgL</t>
  </si>
  <si>
    <t>CFC-11_s_pmol/kg</t>
  </si>
  <si>
    <t>CFC-11_s_Err_pmol/kg</t>
  </si>
  <si>
    <t>TRC_CFC-11_pmol/kg</t>
  </si>
  <si>
    <t>TRC_CFC-11_Err_pmol/kg</t>
  </si>
  <si>
    <t>CFC-12_s_pmol/kg</t>
  </si>
  <si>
    <t>CFC-12_s_Err_pmol/kg</t>
  </si>
  <si>
    <t>TRC_CFC-12_pmol/kg</t>
  </si>
  <si>
    <t>TRC_CFC-12_Err_pmol/kg</t>
  </si>
  <si>
    <t>CFC-113_s_pmol/kg</t>
  </si>
  <si>
    <t>CFC-113_s_Err_pmol/kg</t>
  </si>
  <si>
    <t>TRC_CFC-113_pmol/kg</t>
  </si>
  <si>
    <t>TRC_CFC-113_Err_pmol/kg</t>
  </si>
  <si>
    <t>SF6_s_fmol/kg</t>
  </si>
  <si>
    <t>SF6_s_Err_fmol/kg</t>
  </si>
  <si>
    <t>TRC_SF6_fmol/kg</t>
  </si>
  <si>
    <t>TRC_SF6_Err_fmol/kg</t>
  </si>
  <si>
    <t>Halon-1301_s_pmol/kg</t>
  </si>
  <si>
    <t>Halon-1301_s_Err_pmol/kg</t>
  </si>
  <si>
    <t>TRC_Halon-1301_pmol/kg</t>
  </si>
  <si>
    <t>TRC_Halon-1301_Err_pmol/kg</t>
  </si>
  <si>
    <t>TRC_3H_TU</t>
  </si>
  <si>
    <t>TRC_3H_Err_TU</t>
  </si>
  <si>
    <t>3He_4He_s</t>
  </si>
  <si>
    <t>3He_4He_s_Err</t>
  </si>
  <si>
    <t>He_s_ccpg</t>
  </si>
  <si>
    <t>He_s_Err_ccpg</t>
  </si>
  <si>
    <t>Ne_s_ccpg</t>
  </si>
  <si>
    <t>Ne_s_Err_ccpg</t>
  </si>
  <si>
    <t>3He_4He_AnaylsisDate</t>
  </si>
  <si>
    <t>TRC_He_eq_ccpg</t>
  </si>
  <si>
    <t>TRC_He_eq_Err_ccpg</t>
  </si>
  <si>
    <t>TRC_He_a_ccpg</t>
  </si>
  <si>
    <t>TRC_He_a_Err_ccpg</t>
  </si>
  <si>
    <t>TRC_DeltaHe_pct</t>
  </si>
  <si>
    <t>TRC_DeltaNe_pct</t>
  </si>
  <si>
    <t>TRC_He_terr_ccpg</t>
  </si>
  <si>
    <t>TRC_He_terr_Err_ccpg</t>
  </si>
  <si>
    <t>TRC_Rs_Ra_AirCorr</t>
  </si>
  <si>
    <t>TRC_Rs_Ra_AirCorr_Err</t>
  </si>
  <si>
    <t>TRC_fHe_terr_AirCorr</t>
  </si>
  <si>
    <t>TRC_fHe_terr_AirCorr_Err</t>
  </si>
  <si>
    <t>TRC_3He_4He_terr</t>
  </si>
  <si>
    <t>TRC_3He_4He_terr_Err</t>
  </si>
  <si>
    <t>TRC_3HeTrit_TU</t>
  </si>
  <si>
    <t>TRC_3HeTrit_Err_TU</t>
  </si>
  <si>
    <t>TRC_Rept_3HeTrit_TU</t>
  </si>
  <si>
    <t>TRC_Rept_3HeTrit_Err_TU</t>
  </si>
  <si>
    <t>TRC_3H_3HeTrit_Comm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</si>
</sst>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00E+00"/>
    <numFmt numFmtId="166" formatCode="0.0%"/>
    <numFmt numFmtId="167" formatCode="mm/dd/yyyy"/>
  </numFmts>
  <fonts count="41">
    <font>
      <sz val="10"/>
      <color theme="1"/>
      <name val="Times New Roman"/>
      <family val="2"/>
    </font>
    <font>
      <sz val="11"/>
      <color theme="1"/>
      <name val="Calibri"/>
      <family val="2"/>
      <scheme val="minor"/>
    </font>
    <font>
      <sz val="11"/>
      <color theme="1"/>
      <name val="Calibri"/>
      <family val="2"/>
      <scheme val="minor"/>
    </font>
    <font>
      <b/>
      <i/>
      <sz val="12"/>
      <name val="Arial"/>
      <family val="2"/>
    </font>
    <font>
      <b/>
      <sz val="11"/>
      <color theme="1"/>
      <name val="Calibri"/>
      <family val="2"/>
      <scheme val="minor"/>
    </font>
    <font>
      <i/>
      <sz val="11"/>
      <color theme="1"/>
      <name val="Symbol"/>
      <family val="1"/>
      <charset val="2"/>
    </font>
    <font>
      <i/>
      <sz val="11"/>
      <color theme="1"/>
      <name val="Calibri"/>
      <family val="2"/>
      <scheme val="minor"/>
    </font>
    <font>
      <i/>
      <vertAlign val="subscript"/>
      <sz val="11"/>
      <color theme="1"/>
      <name val="Calibri"/>
      <family val="2"/>
      <scheme val="minor"/>
    </font>
    <font>
      <vertAlign val="superscript"/>
      <sz val="11"/>
      <color theme="1"/>
      <name val="Calibri"/>
      <family val="2"/>
      <scheme val="minor"/>
    </font>
    <font>
      <i/>
      <vertAlign val="superscript"/>
      <sz val="11"/>
      <color theme="1"/>
      <name val="Calibri"/>
      <family val="2"/>
      <scheme val="minor"/>
    </font>
    <font>
      <sz val="11"/>
      <color theme="1"/>
      <name val="Symbol"/>
      <family val="1"/>
      <charset val="2"/>
    </font>
    <font>
      <vertAlign val="subscript"/>
      <sz val="11"/>
      <color theme="1"/>
      <name val="Calibri"/>
      <family val="2"/>
      <scheme val="minor"/>
    </font>
    <font>
      <b/>
      <i/>
      <sz val="12"/>
      <color theme="1"/>
      <name val="Calibri"/>
      <family val="2"/>
      <scheme val="minor"/>
    </font>
    <font>
      <b/>
      <i/>
      <sz val="11"/>
      <color theme="1"/>
      <name val="Calibri"/>
      <family val="2"/>
      <scheme val="minor"/>
    </font>
    <font>
      <sz val="11"/>
      <name val="Calibri"/>
      <family val="2"/>
      <scheme val="minor"/>
    </font>
    <font>
      <sz val="10"/>
      <name val="Arial"/>
      <family val="2"/>
    </font>
    <font>
      <b/>
      <sz val="9"/>
      <color indexed="81"/>
      <name val="Tahoma"/>
      <family val="2"/>
    </font>
    <font>
      <sz val="9"/>
      <color indexed="81"/>
      <name val="Tahoma"/>
      <family val="2"/>
    </font>
    <font>
      <sz val="12"/>
      <name val="Arial"/>
      <family val="2"/>
    </font>
    <font>
      <b/>
      <sz val="10"/>
      <name val="Arial"/>
      <family val="2"/>
    </font>
    <font>
      <b/>
      <sz val="10"/>
      <color rgb="FF0000FF"/>
      <name val="Arial"/>
      <family val="2"/>
    </font>
    <font>
      <b/>
      <vertAlign val="superscript"/>
      <sz val="10"/>
      <name val="Arial"/>
      <family val="2"/>
    </font>
    <font>
      <b/>
      <sz val="10"/>
      <name val="Symbol"/>
      <family val="1"/>
      <charset val="2"/>
    </font>
    <font>
      <b/>
      <sz val="10"/>
      <color rgb="FF0000FF"/>
      <name val="Geneva"/>
      <family val="2"/>
    </font>
    <font>
      <b/>
      <vertAlign val="superscript"/>
      <sz val="11"/>
      <color theme="1"/>
      <name val="Calibri"/>
      <family val="2"/>
      <scheme val="minor"/>
    </font>
    <font>
      <b/>
      <i/>
      <vertAlign val="subscript"/>
      <sz val="11"/>
      <color theme="1"/>
      <name val="Calibri"/>
      <family val="2"/>
      <scheme val="minor"/>
    </font>
    <font>
      <sz val="10"/>
      <color indexed="8"/>
      <name val="Arial"/>
      <family val="2"/>
    </font>
    <font>
      <sz val="11"/>
      <color indexed="8"/>
      <name val="Calibri"/>
      <family val="2"/>
    </font>
    <font>
      <b/>
      <sz val="10"/>
      <color theme="1"/>
      <name val="Times New Roman"/>
      <family val="1"/>
    </font>
    <font>
      <b/>
      <i/>
      <u/>
      <sz val="10"/>
      <color theme="1"/>
      <name val="Times New Roman"/>
      <family val="1"/>
    </font>
    <font>
      <sz val="10"/>
      <color theme="1"/>
      <name val="Times"/>
    </font>
    <font>
      <sz val="8"/>
      <name val="Times New Roman"/>
      <family val="2"/>
    </font>
    <font>
      <b/>
      <sz val="10"/>
      <color theme="1"/>
      <name val="Times New Roman"/>
      <family val="2"/>
    </font>
    <font>
      <b/>
      <i/>
      <sz val="10"/>
      <color theme="1"/>
      <name val="Times"/>
    </font>
    <font>
      <b/>
      <sz val="10"/>
      <color theme="1"/>
      <name val="Times"/>
    </font>
    <font>
      <i/>
      <sz val="10"/>
      <color theme="1"/>
      <name val="Times New Roman"/>
      <family val="2"/>
    </font>
    <font>
      <b/>
      <i/>
      <sz val="12"/>
      <color theme="1"/>
      <name val="Times"/>
    </font>
    <font>
      <i/>
      <sz val="12"/>
      <color theme="1"/>
      <name val="Times New Roman"/>
      <family val="2"/>
    </font>
    <font>
      <b/>
      <i/>
      <sz val="12"/>
      <color theme="1"/>
      <name val="Times New Roman"/>
      <family val="2"/>
    </font>
    <font>
      <b/>
      <i/>
      <sz val="10"/>
      <color theme="1"/>
      <name val="Times New Roman"/>
      <family val="2"/>
    </font>
    <font>
      <sz val="10"/>
      <color theme="1"/>
      <name val="Times New Roman"/>
      <family val="2"/>
    </font>
  </fonts>
  <fills count="8">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
      <patternFill patternType="solid">
        <fgColor theme="0" tint="-0.14996795556505021"/>
        <bgColor indexed="64"/>
      </patternFill>
    </fill>
    <fill>
      <patternFill patternType="solid">
        <fgColor theme="3" tint="0.79995117038483843"/>
        <bgColor indexed="64"/>
      </patternFill>
    </fill>
    <fill>
      <patternFill patternType="solid">
        <fgColor rgb="FFFFC000"/>
        <bgColor indexed="64"/>
      </patternFill>
    </fill>
    <fill>
      <patternFill patternType="solid">
        <fgColor rgb="FF95B3D7"/>
        <bgColor indexed="64"/>
      </patternFill>
    </fill>
  </fills>
  <borders count="12">
    <border>
      <left/>
      <right/>
      <top/>
      <bottom/>
      <diagonal/>
    </border>
    <border>
      <left/>
      <right/>
      <top/>
      <bottom style="thin">
        <color auto="1"/>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style="thin">
        <color indexed="22"/>
      </left>
      <right style="thin">
        <color indexed="22"/>
      </right>
      <top style="thin">
        <color indexed="22"/>
      </top>
      <bottom style="thin">
        <color indexed="22"/>
      </bottom>
      <diagonal/>
    </border>
    <border>
      <left/>
      <right/>
      <top/>
      <bottom style="thin">
        <color auto="1"/>
      </bottom>
      <diagonal/>
    </border>
    <border>
      <left/>
      <right/>
      <top/>
      <bottom style="thin">
        <color auto="1"/>
      </bottom>
      <diagonal/>
    </border>
    <border>
      <left/>
      <right/>
      <top/>
      <bottom style="thin">
        <color auto="1"/>
      </bottom>
      <diagonal/>
    </border>
  </borders>
  <cellStyleXfs count="17">
    <xf numFmtId="0" fontId="0" fillId="0" borderId="0"/>
    <xf numFmtId="0" fontId="2" fillId="0" borderId="0"/>
    <xf numFmtId="0" fontId="15" fillId="0" borderId="0"/>
    <xf numFmtId="0" fontId="18" fillId="0" borderId="0"/>
    <xf numFmtId="0" fontId="18" fillId="0" borderId="0"/>
    <xf numFmtId="9" fontId="18" fillId="0" borderId="0" applyFont="0" applyFill="0" applyBorder="0" applyAlignment="0" applyProtection="0"/>
    <xf numFmtId="0" fontId="15" fillId="0" borderId="0"/>
    <xf numFmtId="0" fontId="18" fillId="0" borderId="0"/>
    <xf numFmtId="0" fontId="18" fillId="0" borderId="0"/>
    <xf numFmtId="9" fontId="2" fillId="0" borderId="0" applyFont="0" applyFill="0" applyBorder="0" applyAlignment="0" applyProtection="0"/>
    <xf numFmtId="0" fontId="15" fillId="0" borderId="0"/>
    <xf numFmtId="0" fontId="26" fillId="0" borderId="0"/>
    <xf numFmtId="0" fontId="1" fillId="0" borderId="0"/>
    <xf numFmtId="0" fontId="1" fillId="0" borderId="0"/>
    <xf numFmtId="9" fontId="1" fillId="0" borderId="0" applyFont="0" applyFill="0" applyBorder="0" applyAlignment="0" applyProtection="0"/>
    <xf numFmtId="0" fontId="26" fillId="0" borderId="0"/>
    <xf numFmtId="9" fontId="40" fillId="0" borderId="0" applyFont="0" applyFill="0" applyBorder="0" applyAlignment="0" applyProtection="0"/>
  </cellStyleXfs>
  <cellXfs count="175">
    <xf numFmtId="0" fontId="0" fillId="0" borderId="0" xfId="0"/>
    <xf numFmtId="0" fontId="3" fillId="0" borderId="0" xfId="1" applyNumberFormat="1" applyFont="1"/>
    <xf numFmtId="0" fontId="2" fillId="0" borderId="0" xfId="1" applyNumberFormat="1"/>
    <xf numFmtId="0" fontId="2" fillId="0" borderId="0" xfId="1" applyNumberFormat="1" applyAlignment="1"/>
    <xf numFmtId="0" fontId="4" fillId="0" borderId="1" xfId="1" applyNumberFormat="1" applyFont="1" applyBorder="1" applyAlignment="1">
      <alignment horizontal="center"/>
    </xf>
    <xf numFmtId="0" fontId="4" fillId="0" borderId="1" xfId="1" applyNumberFormat="1" applyFont="1" applyBorder="1" applyAlignment="1">
      <alignment horizontal="center" wrapText="1"/>
    </xf>
    <xf numFmtId="0" fontId="2" fillId="0" borderId="0" xfId="1" applyNumberFormat="1" applyAlignment="1">
      <alignment horizontal="center"/>
    </xf>
    <xf numFmtId="0" fontId="2" fillId="0" borderId="0" xfId="1" applyNumberFormat="1" applyAlignment="1">
      <alignment wrapText="1"/>
    </xf>
    <xf numFmtId="0" fontId="2" fillId="0" borderId="0" xfId="1" applyNumberFormat="1" applyBorder="1" applyAlignment="1">
      <alignment horizontal="left"/>
    </xf>
    <xf numFmtId="0" fontId="2" fillId="0" borderId="0" xfId="1" applyNumberFormat="1" applyFill="1"/>
    <xf numFmtId="0" fontId="4" fillId="0" borderId="1" xfId="1" applyNumberFormat="1" applyFont="1" applyBorder="1"/>
    <xf numFmtId="0" fontId="2" fillId="0" borderId="0" xfId="1" applyNumberFormat="1" applyBorder="1" applyAlignment="1">
      <alignment wrapText="1"/>
    </xf>
    <xf numFmtId="0" fontId="2" fillId="0" borderId="0" xfId="1" quotePrefix="1" applyNumberFormat="1"/>
    <xf numFmtId="0" fontId="14" fillId="0" borderId="0" xfId="1" applyNumberFormat="1" applyFont="1" applyFill="1"/>
    <xf numFmtId="11" fontId="2" fillId="0" borderId="0" xfId="1" applyNumberFormat="1"/>
    <xf numFmtId="164" fontId="2" fillId="0" borderId="0" xfId="1" applyNumberFormat="1"/>
    <xf numFmtId="0" fontId="2" fillId="0" borderId="0" xfId="1"/>
    <xf numFmtId="14" fontId="2" fillId="0" borderId="0" xfId="1" applyNumberFormat="1"/>
    <xf numFmtId="0" fontId="19" fillId="2" borderId="2" xfId="1" applyFont="1" applyFill="1" applyBorder="1" applyAlignment="1">
      <alignment horizontal="center"/>
    </xf>
    <xf numFmtId="0" fontId="19" fillId="2" borderId="3" xfId="1" applyFont="1" applyFill="1" applyBorder="1" applyAlignment="1">
      <alignment horizontal="center"/>
    </xf>
    <xf numFmtId="165" fontId="19" fillId="2" borderId="7" xfId="1" applyNumberFormat="1" applyFont="1" applyFill="1" applyBorder="1" applyAlignment="1">
      <alignment horizontal="center" wrapText="1"/>
    </xf>
    <xf numFmtId="165" fontId="19" fillId="2" borderId="0" xfId="1" applyNumberFormat="1" applyFont="1" applyFill="1" applyBorder="1" applyAlignment="1">
      <alignment horizontal="center" wrapText="1"/>
    </xf>
    <xf numFmtId="165" fontId="20" fillId="2" borderId="0" xfId="1" applyNumberFormat="1" applyFont="1" applyFill="1" applyBorder="1" applyAlignment="1">
      <alignment horizontal="center" wrapText="1"/>
    </xf>
    <xf numFmtId="165" fontId="23" fillId="2" borderId="0" xfId="3" applyNumberFormat="1" applyFont="1" applyFill="1" applyBorder="1" applyAlignment="1">
      <alignment horizontal="center" wrapText="1"/>
    </xf>
    <xf numFmtId="165" fontId="19" fillId="2" borderId="4" xfId="1" applyNumberFormat="1" applyFont="1" applyFill="1" applyBorder="1" applyAlignment="1">
      <alignment horizontal="center" wrapText="1"/>
    </xf>
    <xf numFmtId="165" fontId="19" fillId="2" borderId="2" xfId="1" applyNumberFormat="1" applyFont="1" applyFill="1" applyBorder="1" applyAlignment="1">
      <alignment horizontal="center" wrapText="1"/>
    </xf>
    <xf numFmtId="165" fontId="20" fillId="2" borderId="4" xfId="1" applyNumberFormat="1" applyFont="1" applyFill="1" applyBorder="1" applyAlignment="1">
      <alignment horizontal="center" wrapText="1"/>
    </xf>
    <xf numFmtId="165" fontId="20" fillId="2" borderId="2" xfId="1" applyNumberFormat="1" applyFont="1" applyFill="1" applyBorder="1" applyAlignment="1">
      <alignment horizontal="center" wrapText="1"/>
    </xf>
    <xf numFmtId="165" fontId="23" fillId="2" borderId="2" xfId="3" applyNumberFormat="1" applyFont="1" applyFill="1" applyBorder="1" applyAlignment="1">
      <alignment horizontal="center" wrapText="1"/>
    </xf>
    <xf numFmtId="1" fontId="19" fillId="2" borderId="2" xfId="3" applyNumberFormat="1" applyFont="1" applyFill="1" applyBorder="1" applyAlignment="1">
      <alignment horizontal="left"/>
    </xf>
    <xf numFmtId="1" fontId="19" fillId="2" borderId="2" xfId="3" applyNumberFormat="1" applyFont="1" applyFill="1" applyBorder="1" applyAlignment="1">
      <alignment horizontal="center"/>
    </xf>
    <xf numFmtId="1" fontId="20" fillId="2" borderId="0" xfId="3" applyNumberFormat="1" applyFont="1" applyFill="1" applyBorder="1" applyAlignment="1">
      <alignment horizontal="center"/>
    </xf>
    <xf numFmtId="1" fontId="20" fillId="2" borderId="2" xfId="3" applyNumberFormat="1" applyFont="1" applyFill="1" applyBorder="1" applyAlignment="1">
      <alignment horizontal="center"/>
    </xf>
    <xf numFmtId="0" fontId="19" fillId="2" borderId="4" xfId="1" applyFont="1" applyFill="1" applyBorder="1" applyAlignment="1">
      <alignment horizontal="left"/>
    </xf>
    <xf numFmtId="14" fontId="19" fillId="2" borderId="3" xfId="1" applyNumberFormat="1" applyFont="1" applyFill="1" applyBorder="1" applyAlignment="1">
      <alignment horizontal="center"/>
    </xf>
    <xf numFmtId="14" fontId="19" fillId="2" borderId="2" xfId="1" applyNumberFormat="1" applyFont="1" applyFill="1" applyBorder="1" applyAlignment="1">
      <alignment horizontal="center"/>
    </xf>
    <xf numFmtId="0" fontId="2" fillId="0" borderId="0" xfId="1" applyNumberFormat="1" applyBorder="1" applyAlignment="1"/>
    <xf numFmtId="0" fontId="1" fillId="0" borderId="0" xfId="1" applyNumberFormat="1" applyFont="1" applyAlignment="1">
      <alignment horizontal="center"/>
    </xf>
    <xf numFmtId="0" fontId="1" fillId="0" borderId="0" xfId="1" applyNumberFormat="1" applyFont="1"/>
    <xf numFmtId="0" fontId="1" fillId="0" borderId="0" xfId="1" quotePrefix="1" applyNumberFormat="1" applyFont="1"/>
    <xf numFmtId="0" fontId="14" fillId="0" borderId="0" xfId="3" applyFont="1" applyFill="1" applyBorder="1"/>
    <xf numFmtId="11" fontId="14" fillId="0" borderId="0" xfId="3" applyNumberFormat="1" applyFont="1" applyFill="1" applyBorder="1"/>
    <xf numFmtId="0" fontId="14" fillId="0" borderId="0" xfId="3" applyNumberFormat="1" applyFont="1" applyFill="1" applyBorder="1"/>
    <xf numFmtId="0" fontId="27" fillId="0" borderId="8" xfId="11" applyFont="1" applyFill="1" applyBorder="1" applyAlignment="1"/>
    <xf numFmtId="0" fontId="14" fillId="0" borderId="0" xfId="4" applyFont="1" applyFill="1" applyBorder="1"/>
    <xf numFmtId="14" fontId="14" fillId="0" borderId="0" xfId="3" applyNumberFormat="1" applyFont="1" applyFill="1" applyBorder="1"/>
    <xf numFmtId="0" fontId="1" fillId="0" borderId="0" xfId="1" applyFont="1"/>
    <xf numFmtId="0" fontId="2" fillId="0" borderId="0" xfId="1" applyNumberFormat="1" applyBorder="1" applyAlignment="1"/>
    <xf numFmtId="0" fontId="1" fillId="0" borderId="0" xfId="1" applyNumberFormat="1" applyFont="1" applyBorder="1" applyAlignment="1"/>
    <xf numFmtId="0" fontId="4" fillId="0" borderId="0" xfId="1" applyNumberFormat="1" applyFont="1" applyBorder="1" applyAlignment="1">
      <alignment horizontal="center"/>
    </xf>
    <xf numFmtId="0" fontId="1" fillId="0" borderId="9" xfId="1" applyNumberFormat="1" applyFont="1" applyBorder="1"/>
    <xf numFmtId="0" fontId="1" fillId="0" borderId="0" xfId="1" applyNumberFormat="1" applyFont="1" applyAlignment="1">
      <alignment horizontal="right"/>
    </xf>
    <xf numFmtId="0" fontId="1" fillId="0" borderId="0" xfId="1" applyNumberFormat="1" applyFont="1" applyFill="1" applyBorder="1"/>
    <xf numFmtId="0" fontId="0" fillId="0" borderId="9" xfId="0" applyBorder="1"/>
    <xf numFmtId="0" fontId="28" fillId="3" borderId="0" xfId="0" applyFont="1" applyFill="1" applyBorder="1"/>
    <xf numFmtId="0" fontId="4" fillId="0" borderId="0" xfId="1" applyNumberFormat="1" applyFont="1" applyBorder="1"/>
    <xf numFmtId="0" fontId="1" fillId="0" borderId="0" xfId="1" applyNumberFormat="1" applyFont="1" applyBorder="1"/>
    <xf numFmtId="0" fontId="4" fillId="3" borderId="0" xfId="1" applyNumberFormat="1" applyFont="1" applyFill="1" applyBorder="1"/>
    <xf numFmtId="0" fontId="2" fillId="0" borderId="9" xfId="1" applyNumberFormat="1" applyBorder="1"/>
    <xf numFmtId="0" fontId="0" fillId="0" borderId="0" xfId="0" applyAlignment="1">
      <alignment horizontal="right"/>
    </xf>
    <xf numFmtId="0" fontId="3" fillId="0" borderId="9" xfId="1" applyNumberFormat="1" applyFont="1" applyBorder="1"/>
    <xf numFmtId="0" fontId="2" fillId="0" borderId="0" xfId="1" applyNumberFormat="1" applyBorder="1" applyAlignment="1"/>
    <xf numFmtId="0" fontId="3" fillId="0" borderId="0" xfId="1" applyFont="1"/>
    <xf numFmtId="0" fontId="12" fillId="0" borderId="0" xfId="1" applyFont="1"/>
    <xf numFmtId="0" fontId="4" fillId="0" borderId="10" xfId="1" applyFont="1" applyBorder="1" applyAlignment="1">
      <alignment horizontal="center" wrapText="1"/>
    </xf>
    <xf numFmtId="0" fontId="13" fillId="0" borderId="10" xfId="1" applyFont="1" applyBorder="1" applyAlignment="1">
      <alignment horizontal="center" wrapText="1"/>
    </xf>
    <xf numFmtId="1" fontId="2" fillId="0" borderId="0" xfId="1" applyNumberFormat="1"/>
    <xf numFmtId="0" fontId="14" fillId="0" borderId="0" xfId="1" applyFont="1"/>
    <xf numFmtId="2" fontId="0" fillId="0" borderId="0" xfId="0" applyNumberFormat="1"/>
    <xf numFmtId="0" fontId="28" fillId="0" borderId="0" xfId="0" applyFont="1" applyAlignment="1">
      <alignment horizontal="center"/>
    </xf>
    <xf numFmtId="0" fontId="28" fillId="0" borderId="0" xfId="0" applyFont="1" applyAlignment="1">
      <alignment horizontal="left"/>
    </xf>
    <xf numFmtId="0" fontId="28" fillId="0" borderId="10" xfId="0" applyFont="1" applyBorder="1" applyAlignment="1">
      <alignment horizontal="left"/>
    </xf>
    <xf numFmtId="0" fontId="28" fillId="0" borderId="10" xfId="0" applyFont="1" applyBorder="1" applyAlignment="1">
      <alignment horizontal="center"/>
    </xf>
    <xf numFmtId="14" fontId="27" fillId="0" borderId="8" xfId="11" applyNumberFormat="1" applyFont="1" applyFill="1" applyBorder="1" applyAlignment="1">
      <alignment horizontal="right"/>
    </xf>
    <xf numFmtId="0" fontId="19" fillId="2" borderId="2" xfId="1" applyFont="1" applyFill="1" applyBorder="1" applyAlignment="1">
      <alignment horizontal="left"/>
    </xf>
    <xf numFmtId="14" fontId="14" fillId="0" borderId="0" xfId="1" applyNumberFormat="1" applyFont="1" applyAlignment="1">
      <alignment horizontal="left"/>
    </xf>
    <xf numFmtId="0" fontId="2" fillId="0" borderId="0" xfId="1" applyAlignment="1">
      <alignment horizontal="left"/>
    </xf>
    <xf numFmtId="49" fontId="2" fillId="0" borderId="0" xfId="1" applyNumberFormat="1" applyAlignment="1">
      <alignment horizontal="left"/>
    </xf>
    <xf numFmtId="0" fontId="14" fillId="0" borderId="0" xfId="6" applyFont="1"/>
    <xf numFmtId="14" fontId="14" fillId="0" borderId="0" xfId="6" applyNumberFormat="1" applyFont="1"/>
    <xf numFmtId="0" fontId="14" fillId="0" borderId="0" xfId="3" applyFont="1"/>
    <xf numFmtId="0" fontId="14" fillId="0" borderId="0" xfId="8" applyFont="1"/>
    <xf numFmtId="11" fontId="14" fillId="0" borderId="0" xfId="3" applyNumberFormat="1" applyFont="1"/>
    <xf numFmtId="11" fontId="14" fillId="0" borderId="0" xfId="0" applyNumberFormat="1" applyFont="1"/>
    <xf numFmtId="11" fontId="14" fillId="0" borderId="0" xfId="6" applyNumberFormat="1" applyFont="1"/>
    <xf numFmtId="0" fontId="14" fillId="0" borderId="0" xfId="5" applyNumberFormat="1" applyFont="1"/>
    <xf numFmtId="0" fontId="18" fillId="0" borderId="0" xfId="3"/>
    <xf numFmtId="9" fontId="18" fillId="0" borderId="0" xfId="5"/>
    <xf numFmtId="2" fontId="18" fillId="0" borderId="0" xfId="5" applyNumberFormat="1"/>
    <xf numFmtId="0" fontId="30" fillId="0" borderId="0" xfId="0" applyNumberFormat="1" applyFont="1"/>
    <xf numFmtId="0" fontId="28" fillId="0" borderId="11" xfId="0" applyFont="1" applyBorder="1" applyAlignment="1">
      <alignment horizontal="left"/>
    </xf>
    <xf numFmtId="0" fontId="28" fillId="0" borderId="11" xfId="0" applyFont="1" applyBorder="1" applyAlignment="1">
      <alignment horizontal="center"/>
    </xf>
    <xf numFmtId="0" fontId="14" fillId="0" borderId="0" xfId="3" applyNumberFormat="1" applyFont="1"/>
    <xf numFmtId="0" fontId="30" fillId="0" borderId="0" xfId="0" applyFont="1" applyAlignment="1">
      <alignment horizontal="center"/>
    </xf>
    <xf numFmtId="0" fontId="30" fillId="0" borderId="0" xfId="13" applyFont="1" applyAlignment="1">
      <alignment horizontal="center"/>
    </xf>
    <xf numFmtId="167" fontId="30" fillId="0" borderId="0" xfId="13" applyNumberFormat="1" applyFont="1" applyAlignment="1">
      <alignment horizontal="center"/>
    </xf>
    <xf numFmtId="166" fontId="30" fillId="0" borderId="0" xfId="13" applyNumberFormat="1" applyFont="1" applyAlignment="1">
      <alignment horizontal="center"/>
    </xf>
    <xf numFmtId="22" fontId="30" fillId="0" borderId="0" xfId="13" applyNumberFormat="1" applyFont="1" applyAlignment="1">
      <alignment horizontal="center"/>
    </xf>
    <xf numFmtId="49" fontId="30" fillId="0" borderId="0" xfId="13" applyNumberFormat="1" applyFont="1" applyAlignment="1">
      <alignment horizontal="center"/>
    </xf>
    <xf numFmtId="0" fontId="1" fillId="0" borderId="0" xfId="13"/>
    <xf numFmtId="14" fontId="1" fillId="0" borderId="0" xfId="13" applyNumberFormat="1"/>
    <xf numFmtId="11" fontId="1" fillId="0" borderId="0" xfId="13" applyNumberFormat="1"/>
    <xf numFmtId="0" fontId="14" fillId="0" borderId="0" xfId="13" applyFont="1"/>
    <xf numFmtId="0" fontId="27" fillId="0" borderId="8" xfId="15" applyFont="1" applyBorder="1"/>
    <xf numFmtId="14" fontId="14" fillId="0" borderId="0" xfId="3" applyNumberFormat="1" applyFont="1"/>
    <xf numFmtId="0" fontId="18" fillId="0" borderId="0" xfId="5" applyNumberFormat="1"/>
    <xf numFmtId="11" fontId="14" fillId="0" borderId="0" xfId="13" applyNumberFormat="1" applyFont="1"/>
    <xf numFmtId="0" fontId="14" fillId="0" borderId="0" xfId="6" quotePrefix="1" applyFont="1"/>
    <xf numFmtId="0" fontId="30" fillId="4" borderId="0" xfId="0" applyFont="1" applyFill="1"/>
    <xf numFmtId="0" fontId="34" fillId="4" borderId="0" xfId="0" applyFont="1" applyFill="1"/>
    <xf numFmtId="0" fontId="30" fillId="0" borderId="0" xfId="0" applyFont="1" applyFill="1" applyAlignment="1">
      <alignment horizontal="center"/>
    </xf>
    <xf numFmtId="0" fontId="33" fillId="4" borderId="0" xfId="0" applyFont="1" applyFill="1" applyAlignment="1">
      <alignment horizontal="center"/>
    </xf>
    <xf numFmtId="0" fontId="30" fillId="0" borderId="0" xfId="0" applyFont="1" applyFill="1"/>
    <xf numFmtId="0" fontId="34" fillId="4" borderId="11" xfId="0" applyFont="1" applyFill="1" applyBorder="1" applyAlignment="1">
      <alignment horizontal="center" wrapText="1"/>
    </xf>
    <xf numFmtId="0" fontId="30" fillId="5" borderId="0" xfId="0" applyFont="1" applyFill="1"/>
    <xf numFmtId="167" fontId="30" fillId="4" borderId="0" xfId="0" applyNumberFormat="1" applyFont="1" applyFill="1"/>
    <xf numFmtId="166" fontId="30" fillId="4" borderId="0" xfId="0" applyNumberFormat="1" applyFont="1" applyFill="1"/>
    <xf numFmtId="0" fontId="14" fillId="5" borderId="0" xfId="6" applyFont="1" applyFill="1"/>
    <xf numFmtId="14" fontId="14" fillId="5" borderId="0" xfId="6" applyNumberFormat="1" applyFont="1" applyFill="1"/>
    <xf numFmtId="166" fontId="30" fillId="5" borderId="0" xfId="0" applyNumberFormat="1" applyFont="1" applyFill="1"/>
    <xf numFmtId="0" fontId="14" fillId="5" borderId="0" xfId="3" applyFont="1" applyFill="1"/>
    <xf numFmtId="14" fontId="14" fillId="5" borderId="0" xfId="3" applyNumberFormat="1" applyFont="1" applyFill="1"/>
    <xf numFmtId="0" fontId="29" fillId="0" borderId="0" xfId="0" applyFont="1" applyAlignment="1">
      <alignment horizontal="center"/>
    </xf>
    <xf numFmtId="0" fontId="2" fillId="0" borderId="0" xfId="1" applyNumberFormat="1" applyBorder="1" applyAlignment="1"/>
    <xf numFmtId="0" fontId="4" fillId="0" borderId="1" xfId="1" applyNumberFormat="1" applyFont="1" applyBorder="1" applyAlignment="1">
      <alignment horizontal="center"/>
    </xf>
    <xf numFmtId="0" fontId="4" fillId="0" borderId="9" xfId="1" applyNumberFormat="1" applyFont="1" applyBorder="1" applyAlignment="1">
      <alignment horizontal="center"/>
    </xf>
    <xf numFmtId="0" fontId="4" fillId="0" borderId="10" xfId="1" applyNumberFormat="1" applyFont="1" applyBorder="1" applyAlignment="1">
      <alignment horizontal="center"/>
    </xf>
    <xf numFmtId="0" fontId="12" fillId="0" borderId="0" xfId="1" applyFont="1" applyAlignment="1">
      <alignment horizontal="center"/>
    </xf>
    <xf numFmtId="0" fontId="19" fillId="2" borderId="2" xfId="3" applyFont="1" applyFill="1" applyBorder="1" applyAlignment="1">
      <alignment horizontal="center"/>
    </xf>
    <xf numFmtId="0" fontId="19" fillId="2" borderId="5" xfId="3" applyFont="1" applyFill="1" applyBorder="1" applyAlignment="1">
      <alignment horizontal="center" wrapText="1"/>
    </xf>
    <xf numFmtId="0" fontId="19" fillId="2" borderId="2" xfId="3" applyFont="1" applyFill="1" applyBorder="1" applyAlignment="1">
      <alignment horizontal="center" wrapText="1"/>
    </xf>
    <xf numFmtId="14" fontId="19" fillId="2" borderId="5" xfId="3" applyNumberFormat="1" applyFont="1" applyFill="1" applyBorder="1" applyAlignment="1">
      <alignment horizontal="center" wrapText="1"/>
    </xf>
    <xf numFmtId="14" fontId="19" fillId="2" borderId="2" xfId="3" applyNumberFormat="1" applyFont="1" applyFill="1" applyBorder="1" applyAlignment="1">
      <alignment horizontal="center" wrapText="1"/>
    </xf>
    <xf numFmtId="14" fontId="19" fillId="2" borderId="6" xfId="1" applyNumberFormat="1" applyFont="1" applyFill="1" applyBorder="1" applyAlignment="1">
      <alignment horizontal="center" wrapText="1"/>
    </xf>
    <xf numFmtId="14" fontId="19" fillId="2" borderId="3" xfId="1" applyNumberFormat="1" applyFont="1" applyFill="1" applyBorder="1" applyAlignment="1">
      <alignment horizontal="center" wrapText="1"/>
    </xf>
    <xf numFmtId="0" fontId="19" fillId="2" borderId="5" xfId="1" applyFont="1" applyFill="1" applyBorder="1" applyAlignment="1">
      <alignment horizontal="center" wrapText="1"/>
    </xf>
    <xf numFmtId="0" fontId="19" fillId="2" borderId="2" xfId="1" applyFont="1" applyFill="1" applyBorder="1" applyAlignment="1">
      <alignment horizontal="center" wrapText="1"/>
    </xf>
    <xf numFmtId="14" fontId="19" fillId="2" borderId="5" xfId="1" applyNumberFormat="1" applyFont="1" applyFill="1" applyBorder="1" applyAlignment="1">
      <alignment horizontal="center" wrapText="1"/>
    </xf>
    <xf numFmtId="14" fontId="19" fillId="2" borderId="2" xfId="1" applyNumberFormat="1" applyFont="1" applyFill="1" applyBorder="1" applyAlignment="1">
      <alignment horizontal="center" wrapText="1"/>
    </xf>
    <xf numFmtId="0" fontId="33" fillId="4" borderId="0" xfId="0" applyFont="1" applyFill="1" applyAlignment="1">
      <alignment horizontal="center"/>
    </xf>
    <xf numFmtId="0" fontId="32" fillId="0" borderId="11" xfId="0" applyFont="1" applyBorder="1" applyAlignment="1">
      <alignment horizontal="center" wrapText="1"/>
    </xf>
    <xf numFmtId="0" fontId="36" fillId="4" borderId="0" xfId="0" applyFont="1" applyFill="1" applyAlignment="1">
      <alignment horizontal="center"/>
    </xf>
    <xf numFmtId="0" fontId="38" fillId="0" borderId="0" xfId="0" applyFont="1" applyAlignment="1">
      <alignment horizontal="center"/>
    </xf>
    <xf numFmtId="0" fontId="33" fillId="4" borderId="0" xfId="0" applyFont="1" applyFill="1" applyAlignment="1">
      <alignment horizontal="center" wrapText="1"/>
    </xf>
    <xf numFmtId="166" fontId="33" fillId="4" borderId="0" xfId="0" applyNumberFormat="1" applyFont="1" applyFill="1" applyAlignment="1">
      <alignment horizontal="center" wrapText="1"/>
    </xf>
    <xf numFmtId="166" fontId="32" fillId="0" borderId="11" xfId="0" applyNumberFormat="1" applyFont="1" applyBorder="1" applyAlignment="1">
      <alignment horizontal="center" wrapText="1"/>
    </xf>
    <xf numFmtId="0" fontId="39" fillId="0" borderId="0" xfId="0" applyFont="1" applyAlignment="1">
      <alignment horizontal="center"/>
    </xf>
    <xf numFmtId="167" fontId="33" fillId="4" borderId="0" xfId="0" applyNumberFormat="1" applyFont="1" applyFill="1" applyAlignment="1">
      <alignment horizontal="center" wrapText="1"/>
    </xf>
    <xf numFmtId="167" fontId="32" fillId="0" borderId="11" xfId="0" applyNumberFormat="1" applyFont="1" applyBorder="1" applyAlignment="1">
      <alignment horizontal="center" wrapText="1"/>
    </xf>
    <xf numFmtId="0" fontId="33" fillId="4" borderId="11" xfId="0" applyFont="1" applyFill="1" applyBorder="1" applyAlignment="1"/>
    <xf numFmtId="0" fontId="35" fillId="0" borderId="11" xfId="0" applyFont="1" applyBorder="1" applyAlignment="1"/>
    <xf numFmtId="0" fontId="37" fillId="0" borderId="0" xfId="0" applyFont="1" applyAlignment="1">
      <alignment horizontal="center"/>
    </xf>
    <xf numFmtId="0" fontId="0" fillId="0" borderId="0" xfId="0" applyAlignment="1">
      <alignment horizontal="center"/>
    </xf>
    <xf numFmtId="0" fontId="34" fillId="0" borderId="0" xfId="0" applyFont="1" applyAlignment="1">
      <alignment horizontal="center" wrapText="1"/>
    </xf>
    <xf numFmtId="166" fontId="34" fillId="0" borderId="0" xfId="0" applyNumberFormat="1" applyFont="1" applyAlignment="1">
      <alignment horizontal="center" wrapText="1"/>
    </xf>
    <xf numFmtId="0" fontId="33" fillId="0" borderId="0" xfId="0" applyFont="1" applyAlignment="1">
      <alignment horizontal="center"/>
    </xf>
    <xf numFmtId="167" fontId="34" fillId="0" borderId="0" xfId="0" applyNumberFormat="1" applyFont="1" applyAlignment="1">
      <alignment horizontal="center" wrapText="1"/>
    </xf>
    <xf numFmtId="166" fontId="33" fillId="0" borderId="0" xfId="0" applyNumberFormat="1" applyFont="1" applyAlignment="1">
      <alignment horizontal="center"/>
    </xf>
    <xf numFmtId="0" fontId="30" fillId="0" borderId="0" xfId="0" applyFont="1" applyAlignment="1">
      <alignment horizontal="center"/>
    </xf>
    <xf numFmtId="0" fontId="30" fillId="0" borderId="0" xfId="0" applyFont="1" applyAlignment="1">
      <alignment horizontal="center" wrapText="1"/>
    </xf>
    <xf numFmtId="0" fontId="0" fillId="0" borderId="0" xfId="0" applyAlignment="1">
      <alignment horizontal="center" wrapText="1"/>
    </xf>
    <xf numFmtId="167" fontId="30" fillId="0" borderId="0" xfId="0" applyNumberFormat="1" applyFont="1" applyAlignment="1">
      <alignment horizontal="center"/>
    </xf>
    <xf numFmtId="166" fontId="30" fillId="0" borderId="0" xfId="0" applyNumberFormat="1" applyFont="1" applyAlignment="1">
      <alignment horizontal="center"/>
    </xf>
    <xf numFmtId="0" fontId="34" fillId="0" borderId="0" xfId="0" applyFont="1" applyAlignment="1">
      <alignment horizontal="center"/>
    </xf>
    <xf numFmtId="0" fontId="34" fillId="6" borderId="0" xfId="0" applyFont="1" applyFill="1" applyAlignment="1">
      <alignment horizontal="center"/>
    </xf>
    <xf numFmtId="0" fontId="32" fillId="0" borderId="0" xfId="0" applyFont="1" applyAlignment="1">
      <alignment horizontal="center" wrapText="1"/>
    </xf>
    <xf numFmtId="0" fontId="34" fillId="0" borderId="11" xfId="0" applyFont="1" applyBorder="1" applyAlignment="1">
      <alignment horizontal="center" wrapText="1"/>
    </xf>
    <xf numFmtId="0" fontId="34" fillId="0" borderId="0" xfId="0" applyFont="1" applyAlignment="1">
      <alignment horizontal="right"/>
    </xf>
    <xf numFmtId="0" fontId="34" fillId="0" borderId="0" xfId="0" quotePrefix="1" applyFont="1" applyAlignment="1">
      <alignment horizontal="center"/>
    </xf>
    <xf numFmtId="0" fontId="30" fillId="7" borderId="0" xfId="0" applyFont="1" applyFill="1" applyAlignment="1">
      <alignment horizontal="center"/>
    </xf>
    <xf numFmtId="0" fontId="32" fillId="0" borderId="0" xfId="0" applyFont="1" applyAlignment="1">
      <alignment horizontal="center"/>
    </xf>
    <xf numFmtId="9" fontId="30" fillId="7" borderId="0" xfId="16" applyFont="1" applyFill="1" applyAlignment="1">
      <alignment horizontal="center"/>
    </xf>
    <xf numFmtId="0" fontId="34" fillId="0" borderId="11" xfId="0" applyFont="1" applyBorder="1" applyAlignment="1">
      <alignment horizontal="center" wrapText="1"/>
    </xf>
    <xf numFmtId="167" fontId="34" fillId="0" borderId="11" xfId="0" applyNumberFormat="1" applyFont="1" applyBorder="1" applyAlignment="1">
      <alignment horizontal="center" wrapText="1"/>
    </xf>
    <xf numFmtId="166" fontId="34" fillId="0" borderId="11" xfId="0" applyNumberFormat="1" applyFont="1" applyBorder="1" applyAlignment="1">
      <alignment horizontal="center" wrapText="1"/>
    </xf>
  </cellXfs>
  <cellStyles count="17">
    <cellStyle name="Normal" xfId="0" builtinId="0"/>
    <cellStyle name="Normal 10" xfId="3" xr:uid="{C963C178-804C-4D4A-8BFD-6E2EA2DC8DDB}"/>
    <cellStyle name="Normal 2" xfId="1" xr:uid="{23C29A73-0BC0-4314-BBC1-41DD2EAF51FB}"/>
    <cellStyle name="Normal 2 10 2" xfId="8" xr:uid="{069C1B48-996D-4BED-8A43-48AF70A2F208}"/>
    <cellStyle name="Normal 2 11" xfId="7" xr:uid="{FC5E13DE-E5B6-4738-A4E0-AA5B4CC88994}"/>
    <cellStyle name="Normal 2 2" xfId="4" xr:uid="{885B062A-247B-42B6-BEE3-33D6806AF604}"/>
    <cellStyle name="Normal 2 2 2" xfId="6" xr:uid="{ED307260-1EDD-485A-8CBE-27F21C12E26B}"/>
    <cellStyle name="Normal 2 3" xfId="13" xr:uid="{10A7BC01-24C1-40DA-AB4B-E2881B0C0607}"/>
    <cellStyle name="Normal 3" xfId="2" xr:uid="{3FE6D1B3-03F9-46FD-A014-2DCDAC2892BC}"/>
    <cellStyle name="Normal 4" xfId="12" xr:uid="{C8073233-696E-4296-8225-890FADCAFBFF}"/>
    <cellStyle name="Normal_Sheet1" xfId="11" xr:uid="{58C3E2FB-DB2F-4A8F-919F-E16BF19F45EA}"/>
    <cellStyle name="Normal_Sheet3" xfId="15" xr:uid="{C6AA6CCE-1078-42D9-A893-49A8CCD5BB41}"/>
    <cellStyle name="Percent" xfId="16" builtinId="5"/>
    <cellStyle name="Percent 2" xfId="5" xr:uid="{A58930ED-928F-4D0E-9C24-E8015B30BC41}"/>
    <cellStyle name="Percent 3" xfId="9" xr:uid="{1E034E1B-B4D7-4FB3-9D90-A7A2FAF4C44A}"/>
    <cellStyle name="Percent 3 2" xfId="14" xr:uid="{8184FC3A-BDA0-4070-B166-24093DA13ED1}"/>
    <cellStyle name="Style 1" xfId="10" xr:uid="{00000000-0005-0000-0000-000005000000}"/>
  </cellStyles>
  <dxfs count="15">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s>
  <tableStyles count="0" defaultTableStyle="TableStyleMedium2" defaultPivotStyle="PivotStyleLight16"/>
  <colors>
    <mruColors>
      <color rgb="FFFF9999"/>
      <color rgb="FFFFCCCC"/>
      <color rgb="FFFF99FF"/>
      <color rgb="FFFF7C80"/>
      <color rgb="FFFF0066"/>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Excess air boundary line 1</c:v>
          </c:tx>
          <c:spPr>
            <a:ln w="0">
              <a:solidFill>
                <a:srgbClr val="080808"/>
              </a:solidFill>
            </a:ln>
          </c:spPr>
          <c:marker>
            <c:symbol val="plus"/>
            <c:size val="7"/>
            <c:spPr>
              <a:ln w="0">
                <a:solidFill>
                  <a:srgbClr val="080808"/>
                </a:solidFill>
              </a:ln>
            </c:spPr>
          </c:marker>
          <c:dLbls>
            <c:dLbl>
              <c:idx val="0"/>
              <c:tx>
                <c:rich>
                  <a:bodyPr/>
                  <a:lstStyle/>
                  <a:p>
                    <a:r>
                      <a:rPr lang="en-US"/>
                      <a:t>0</a:t>
                    </a:r>
                  </a:p>
                </c:rich>
              </c:tx>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283-405F-B259-F3B483F50B6E}"/>
                </c:ext>
              </c:extLst>
            </c:dLbl>
            <c:dLbl>
              <c:idx val="1"/>
              <c:tx>
                <c:rich>
                  <a:bodyPr/>
                  <a:lstStyle/>
                  <a:p>
                    <a:r>
                      <a:rPr lang="en-US"/>
                      <a:t>2</a:t>
                    </a:r>
                  </a:p>
                </c:rich>
              </c:tx>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283-405F-B259-F3B483F50B6E}"/>
                </c:ext>
              </c:extLst>
            </c:dLbl>
            <c:dLbl>
              <c:idx val="2"/>
              <c:tx>
                <c:rich>
                  <a:bodyPr/>
                  <a:lstStyle/>
                  <a:p>
                    <a:r>
                      <a:rPr lang="en-US"/>
                      <a:t>4</a:t>
                    </a:r>
                  </a:p>
                </c:rich>
              </c:tx>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283-405F-B259-F3B483F50B6E}"/>
                </c:ext>
              </c:extLst>
            </c:dLbl>
            <c:dLbl>
              <c:idx val="3"/>
              <c:tx>
                <c:rich>
                  <a:bodyPr/>
                  <a:lstStyle/>
                  <a:p>
                    <a:r>
                      <a:rPr lang="en-US"/>
                      <a:t>6</a:t>
                    </a:r>
                  </a:p>
                </c:rich>
              </c:tx>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283-405F-B259-F3B483F50B6E}"/>
                </c:ext>
              </c:extLst>
            </c:dLbl>
            <c:dLbl>
              <c:idx val="4"/>
              <c:tx>
                <c:rich>
                  <a:bodyPr/>
                  <a:lstStyle/>
                  <a:p>
                    <a:r>
                      <a:rPr lang="en-US"/>
                      <a:t>8</a:t>
                    </a:r>
                  </a:p>
                </c:rich>
              </c:tx>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283-405F-B259-F3B483F50B6E}"/>
                </c:ext>
              </c:extLst>
            </c:dLbl>
            <c:dLbl>
              <c:idx val="5"/>
              <c:tx>
                <c:rich>
                  <a:bodyPr/>
                  <a:lstStyle/>
                  <a:p>
                    <a:r>
                      <a:rPr lang="en-US"/>
                      <a:t>10</a:t>
                    </a:r>
                  </a:p>
                </c:rich>
              </c:tx>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283-405F-B259-F3B483F50B6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TX_Graphs!$U$38:$U$43</c:f>
              <c:numCache>
                <c:formatCode>General</c:formatCode>
                <c:ptCount val="6"/>
                <c:pt idx="0">
                  <c:v>2212.4304734559241</c:v>
                </c:pt>
                <c:pt idx="1">
                  <c:v>1973.7152598549917</c:v>
                </c:pt>
                <c:pt idx="2">
                  <c:v>1793.8264326576452</c:v>
                </c:pt>
                <c:pt idx="3">
                  <c:v>1653.4045526017298</c:v>
                </c:pt>
                <c:pt idx="4">
                  <c:v>1540.7452165919635</c:v>
                </c:pt>
                <c:pt idx="5">
                  <c:v>1448.3557826291758</c:v>
                </c:pt>
              </c:numCache>
            </c:numRef>
          </c:xVal>
          <c:yVal>
            <c:numRef>
              <c:f>TX_Graphs!$O$38:$O$43</c:f>
              <c:numCache>
                <c:formatCode>General</c:formatCode>
                <c:ptCount val="6"/>
                <c:pt idx="0">
                  <c:v>1.8199635160810284E-2</c:v>
                </c:pt>
                <c:pt idx="1">
                  <c:v>1.9761315160810283E-2</c:v>
                </c:pt>
                <c:pt idx="2">
                  <c:v>2.1322995160810283E-2</c:v>
                </c:pt>
                <c:pt idx="3">
                  <c:v>2.2884675160810282E-2</c:v>
                </c:pt>
                <c:pt idx="4">
                  <c:v>2.4446355160810285E-2</c:v>
                </c:pt>
                <c:pt idx="5">
                  <c:v>2.6008035160810284E-2</c:v>
                </c:pt>
              </c:numCache>
            </c:numRef>
          </c:yVal>
          <c:smooth val="0"/>
          <c:extLst>
            <c:ext xmlns:c16="http://schemas.microsoft.com/office/drawing/2014/chart" uri="{C3380CC4-5D6E-409C-BE32-E72D297353CC}">
              <c16:uniqueId val="{00000000-1283-405F-B259-F3B483F50B6E}"/>
            </c:ext>
          </c:extLst>
        </c:ser>
        <c:ser>
          <c:idx val="1"/>
          <c:order val="1"/>
          <c:tx>
            <c:v>Excess air boundary line 2</c:v>
          </c:tx>
          <c:spPr>
            <a:ln w="0">
              <a:solidFill>
                <a:srgbClr val="080808"/>
              </a:solidFill>
            </a:ln>
          </c:spPr>
          <c:marker>
            <c:symbol val="plus"/>
            <c:size val="7"/>
            <c:spPr>
              <a:ln w="0">
                <a:solidFill>
                  <a:srgbClr val="080808"/>
                </a:solidFill>
              </a:ln>
            </c:spPr>
          </c:marker>
          <c:dLbls>
            <c:dLbl>
              <c:idx val="0"/>
              <c:tx>
                <c:rich>
                  <a:bodyPr/>
                  <a:lstStyle/>
                  <a:p>
                    <a:r>
                      <a:rPr lang="en-US"/>
                      <a:t>0</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283-405F-B259-F3B483F50B6E}"/>
                </c:ext>
              </c:extLst>
            </c:dLbl>
            <c:dLbl>
              <c:idx val="1"/>
              <c:tx>
                <c:rich>
                  <a:bodyPr/>
                  <a:lstStyle/>
                  <a:p>
                    <a:r>
                      <a:rPr lang="en-US"/>
                      <a:t>2</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283-405F-B259-F3B483F50B6E}"/>
                </c:ext>
              </c:extLst>
            </c:dLbl>
            <c:dLbl>
              <c:idx val="2"/>
              <c:tx>
                <c:rich>
                  <a:bodyPr/>
                  <a:lstStyle/>
                  <a:p>
                    <a:r>
                      <a:rPr lang="en-US"/>
                      <a:t>4</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1283-405F-B259-F3B483F50B6E}"/>
                </c:ext>
              </c:extLst>
            </c:dLbl>
            <c:dLbl>
              <c:idx val="3"/>
              <c:tx>
                <c:rich>
                  <a:bodyPr/>
                  <a:lstStyle/>
                  <a:p>
                    <a:r>
                      <a:rPr lang="en-US"/>
                      <a:t>6</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1283-405F-B259-F3B483F50B6E}"/>
                </c:ext>
              </c:extLst>
            </c:dLbl>
            <c:dLbl>
              <c:idx val="4"/>
              <c:tx>
                <c:rich>
                  <a:bodyPr/>
                  <a:lstStyle/>
                  <a:p>
                    <a:r>
                      <a:rPr lang="en-US"/>
                      <a:t>8</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1283-405F-B259-F3B483F50B6E}"/>
                </c:ext>
              </c:extLst>
            </c:dLbl>
            <c:dLbl>
              <c:idx val="5"/>
              <c:tx>
                <c:rich>
                  <a:bodyPr/>
                  <a:lstStyle/>
                  <a:p>
                    <a:r>
                      <a:rPr lang="en-US"/>
                      <a:t>10</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1283-405F-B259-F3B483F50B6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TX_Graphs!$U$44:$U$49</c:f>
              <c:numCache>
                <c:formatCode>General</c:formatCode>
                <c:ptCount val="6"/>
                <c:pt idx="0">
                  <c:v>1368.1106269349057</c:v>
                </c:pt>
                <c:pt idx="1">
                  <c:v>1210.0055157707068</c:v>
                </c:pt>
                <c:pt idx="2">
                  <c:v>1101.2793794933345</c:v>
                </c:pt>
                <c:pt idx="3">
                  <c:v>1021.9238329033893</c:v>
                </c:pt>
                <c:pt idx="4">
                  <c:v>961.4540505991522</c:v>
                </c:pt>
                <c:pt idx="5">
                  <c:v>913.84505954204815</c:v>
                </c:pt>
              </c:numCache>
            </c:numRef>
          </c:xVal>
          <c:yVal>
            <c:numRef>
              <c:f>TX_Graphs!$O$44:$O$49</c:f>
              <c:numCache>
                <c:formatCode>General</c:formatCode>
                <c:ptCount val="6"/>
                <c:pt idx="0">
                  <c:v>8.6732956461058556E-3</c:v>
                </c:pt>
                <c:pt idx="1">
                  <c:v>1.0234975646105855E-2</c:v>
                </c:pt>
                <c:pt idx="2">
                  <c:v>1.1796655646105856E-2</c:v>
                </c:pt>
                <c:pt idx="3">
                  <c:v>1.3358335646105855E-2</c:v>
                </c:pt>
                <c:pt idx="4">
                  <c:v>1.4920015646105855E-2</c:v>
                </c:pt>
                <c:pt idx="5">
                  <c:v>1.6481695646105854E-2</c:v>
                </c:pt>
              </c:numCache>
            </c:numRef>
          </c:yVal>
          <c:smooth val="0"/>
          <c:extLst>
            <c:ext xmlns:c16="http://schemas.microsoft.com/office/drawing/2014/chart" uri="{C3380CC4-5D6E-409C-BE32-E72D297353CC}">
              <c16:uniqueId val="{00000007-1283-405F-B259-F3B483F50B6E}"/>
            </c:ext>
          </c:extLst>
        </c:ser>
        <c:ser>
          <c:idx val="2"/>
          <c:order val="2"/>
          <c:tx>
            <c:v>Temperature boundary line 1</c:v>
          </c:tx>
          <c:spPr>
            <a:ln w="0">
              <a:solidFill>
                <a:srgbClr val="080808"/>
              </a:solidFill>
            </a:ln>
          </c:spPr>
          <c:marker>
            <c:symbol val="plus"/>
            <c:size val="7"/>
            <c:spPr>
              <a:ln w="0">
                <a:solidFill>
                  <a:srgbClr val="080808"/>
                </a:solidFill>
              </a:ln>
            </c:spPr>
          </c:marker>
          <c:dLbls>
            <c:dLbl>
              <c:idx val="0"/>
              <c:tx>
                <c:rich>
                  <a:bodyPr/>
                  <a:lstStyle/>
                  <a:p>
                    <a:r>
                      <a:rPr lang="en-US"/>
                      <a:t>0</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1283-405F-B259-F3B483F50B6E}"/>
                </c:ext>
              </c:extLst>
            </c:dLbl>
            <c:dLbl>
              <c:idx val="1"/>
              <c:tx>
                <c:rich>
                  <a:bodyPr/>
                  <a:lstStyle/>
                  <a:p>
                    <a:r>
                      <a:rPr lang="en-US"/>
                      <a:t>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1283-405F-B259-F3B483F50B6E}"/>
                </c:ext>
              </c:extLst>
            </c:dLbl>
            <c:dLbl>
              <c:idx val="2"/>
              <c:tx>
                <c:rich>
                  <a:bodyPr/>
                  <a:lstStyle/>
                  <a:p>
                    <a:r>
                      <a:rPr lang="en-US"/>
                      <a:t>10</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1283-405F-B259-F3B483F50B6E}"/>
                </c:ext>
              </c:extLst>
            </c:dLbl>
            <c:dLbl>
              <c:idx val="3"/>
              <c:tx>
                <c:rich>
                  <a:bodyPr/>
                  <a:lstStyle/>
                  <a:p>
                    <a:r>
                      <a:rPr lang="en-US"/>
                      <a:t>15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1283-405F-B259-F3B483F50B6E}"/>
                </c:ext>
              </c:extLst>
            </c:dLbl>
            <c:dLbl>
              <c:idx val="4"/>
              <c:tx>
                <c:rich>
                  <a:bodyPr/>
                  <a:lstStyle/>
                  <a:p>
                    <a:r>
                      <a:rPr lang="en-US"/>
                      <a:t>20</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1283-405F-B259-F3B483F50B6E}"/>
                </c:ext>
              </c:extLst>
            </c:dLbl>
            <c:dLbl>
              <c:idx val="5"/>
              <c:tx>
                <c:rich>
                  <a:bodyPr/>
                  <a:lstStyle/>
                  <a:p>
                    <a:r>
                      <a:rPr lang="en-US"/>
                      <a:t>25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1283-405F-B259-F3B483F50B6E}"/>
                </c:ext>
              </c:extLst>
            </c:dLbl>
            <c:dLbl>
              <c:idx val="6"/>
              <c:tx>
                <c:rich>
                  <a:bodyPr/>
                  <a:lstStyle/>
                  <a:p>
                    <a:r>
                      <a:rPr lang="en-US"/>
                      <a:t>30</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1283-405F-B259-F3B483F50B6E}"/>
                </c:ext>
              </c:extLst>
            </c:dLbl>
            <c:dLbl>
              <c:idx val="7"/>
              <c:tx>
                <c:rich>
                  <a:bodyPr/>
                  <a:lstStyle/>
                  <a:p>
                    <a:r>
                      <a:rPr lang="en-US"/>
                      <a:t>35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1283-405F-B259-F3B483F50B6E}"/>
                </c:ext>
              </c:extLst>
            </c:dLbl>
            <c:dLbl>
              <c:idx val="8"/>
              <c:tx>
                <c:rich>
                  <a:bodyPr/>
                  <a:lstStyle/>
                  <a:p>
                    <a:r>
                      <a:rPr lang="en-US"/>
                      <a:t>40</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1283-405F-B259-F3B483F50B6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TX_Graphs!$U$50:$U$58</c:f>
              <c:numCache>
                <c:formatCode>General</c:formatCode>
                <c:ptCount val="9"/>
                <c:pt idx="0">
                  <c:v>2212.4304734559241</c:v>
                </c:pt>
                <c:pt idx="1">
                  <c:v>2052.1941086145853</c:v>
                </c:pt>
                <c:pt idx="2">
                  <c:v>1912.749729908578</c:v>
                </c:pt>
                <c:pt idx="3">
                  <c:v>1790.8955715609648</c:v>
                </c:pt>
                <c:pt idx="4">
                  <c:v>1684.0101651295172</c:v>
                </c:pt>
                <c:pt idx="5">
                  <c:v>1589.9341388704152</c:v>
                </c:pt>
                <c:pt idx="6">
                  <c:v>1506.878543126676</c:v>
                </c:pt>
                <c:pt idx="7">
                  <c:v>1433.3532458015272</c:v>
                </c:pt>
                <c:pt idx="8">
                  <c:v>1368.1106269349057</c:v>
                </c:pt>
              </c:numCache>
            </c:numRef>
          </c:xVal>
          <c:yVal>
            <c:numRef>
              <c:f>TX_Graphs!$O$50:$O$58</c:f>
              <c:numCache>
                <c:formatCode>General</c:formatCode>
                <c:ptCount val="9"/>
                <c:pt idx="0">
                  <c:v>1.8199635160810284E-2</c:v>
                </c:pt>
                <c:pt idx="1">
                  <c:v>1.6058600426786095E-2</c:v>
                </c:pt>
                <c:pt idx="2">
                  <c:v>1.4338424292386444E-2</c:v>
                </c:pt>
                <c:pt idx="3">
                  <c:v>1.2936723931810223E-2</c:v>
                </c:pt>
                <c:pt idx="4">
                  <c:v>1.1779060344723601E-2</c:v>
                </c:pt>
                <c:pt idx="5">
                  <c:v>1.0810440917076718E-2</c:v>
                </c:pt>
                <c:pt idx="6">
                  <c:v>9.9896328748572474E-3</c:v>
                </c:pt>
                <c:pt idx="7">
                  <c:v>9.2852935711921943E-3</c:v>
                </c:pt>
                <c:pt idx="8">
                  <c:v>8.6732956461058556E-3</c:v>
                </c:pt>
              </c:numCache>
            </c:numRef>
          </c:yVal>
          <c:smooth val="0"/>
          <c:extLst>
            <c:ext xmlns:c16="http://schemas.microsoft.com/office/drawing/2014/chart" uri="{C3380CC4-5D6E-409C-BE32-E72D297353CC}">
              <c16:uniqueId val="{0000000E-1283-405F-B259-F3B483F50B6E}"/>
            </c:ext>
          </c:extLst>
        </c:ser>
        <c:ser>
          <c:idx val="3"/>
          <c:order val="3"/>
          <c:tx>
            <c:v>Temperature boundary line 2</c:v>
          </c:tx>
          <c:spPr>
            <a:ln w="0">
              <a:solidFill>
                <a:srgbClr val="080808"/>
              </a:solidFill>
            </a:ln>
          </c:spPr>
          <c:marker>
            <c:symbol val="plus"/>
            <c:size val="7"/>
            <c:spPr>
              <a:ln w="0">
                <a:solidFill>
                  <a:srgbClr val="080808"/>
                </a:solidFill>
              </a:ln>
            </c:spPr>
          </c:marker>
          <c:dLbls>
            <c:dLbl>
              <c:idx val="0"/>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1283-405F-B259-F3B483F50B6E}"/>
                </c:ext>
              </c:extLst>
            </c:dLbl>
            <c:dLbl>
              <c:idx val="1"/>
              <c:tx>
                <c:rich>
                  <a:bodyPr/>
                  <a:lstStyle/>
                  <a:p>
                    <a:r>
                      <a:rPr lang="en-US"/>
                      <a:t>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1283-405F-B259-F3B483F50B6E}"/>
                </c:ext>
              </c:extLst>
            </c:dLbl>
            <c:dLbl>
              <c:idx val="2"/>
              <c:tx>
                <c:rich>
                  <a:bodyPr/>
                  <a:lstStyle/>
                  <a:p>
                    <a:r>
                      <a:rPr lang="en-US"/>
                      <a:t>10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1283-405F-B259-F3B483F50B6E}"/>
                </c:ext>
              </c:extLst>
            </c:dLbl>
            <c:dLbl>
              <c:idx val="3"/>
              <c:tx>
                <c:rich>
                  <a:bodyPr/>
                  <a:lstStyle/>
                  <a:p>
                    <a:r>
                      <a:rPr lang="en-US"/>
                      <a:t>15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1283-405F-B259-F3B483F50B6E}"/>
                </c:ext>
              </c:extLst>
            </c:dLbl>
            <c:dLbl>
              <c:idx val="4"/>
              <c:tx>
                <c:rich>
                  <a:bodyPr/>
                  <a:lstStyle/>
                  <a:p>
                    <a:r>
                      <a:rPr lang="en-US"/>
                      <a:t>20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1283-405F-B259-F3B483F50B6E}"/>
                </c:ext>
              </c:extLst>
            </c:dLbl>
            <c:dLbl>
              <c:idx val="5"/>
              <c:tx>
                <c:rich>
                  <a:bodyPr/>
                  <a:lstStyle/>
                  <a:p>
                    <a:r>
                      <a:rPr lang="en-US"/>
                      <a:t>25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1283-405F-B259-F3B483F50B6E}"/>
                </c:ext>
              </c:extLst>
            </c:dLbl>
            <c:dLbl>
              <c:idx val="6"/>
              <c:tx>
                <c:rich>
                  <a:bodyPr/>
                  <a:lstStyle/>
                  <a:p>
                    <a:r>
                      <a:rPr lang="en-US"/>
                      <a:t>30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1283-405F-B259-F3B483F50B6E}"/>
                </c:ext>
              </c:extLst>
            </c:dLbl>
            <c:dLbl>
              <c:idx val="7"/>
              <c:tx>
                <c:rich>
                  <a:bodyPr/>
                  <a:lstStyle/>
                  <a:p>
                    <a:r>
                      <a:rPr lang="en-US"/>
                      <a:t>35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1283-405F-B259-F3B483F50B6E}"/>
                </c:ext>
              </c:extLst>
            </c:dLbl>
            <c:dLbl>
              <c:idx val="8"/>
              <c:tx>
                <c:rich>
                  <a:bodyPr/>
                  <a:lstStyle/>
                  <a:p>
                    <a:r>
                      <a:rPr lang="en-US"/>
                      <a:t>40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1283-405F-B259-F3B483F50B6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TX_Graphs!$U$59:$U$67</c:f>
              <c:numCache>
                <c:formatCode>General</c:formatCode>
                <c:ptCount val="9"/>
                <c:pt idx="0">
                  <c:v>1448.3557826291758</c:v>
                </c:pt>
                <c:pt idx="1">
                  <c:v>1338.197932028527</c:v>
                </c:pt>
                <c:pt idx="2">
                  <c:v>1245.7443167537422</c:v>
                </c:pt>
                <c:pt idx="3">
                  <c:v>1167.5630001937307</c:v>
                </c:pt>
                <c:pt idx="4">
                  <c:v>1100.9591682157327</c:v>
                </c:pt>
                <c:pt idx="5">
                  <c:v>1043.8071841399246</c:v>
                </c:pt>
                <c:pt idx="6">
                  <c:v>994.42190777262249</c:v>
                </c:pt>
                <c:pt idx="7">
                  <c:v>951.46014093281224</c:v>
                </c:pt>
                <c:pt idx="8">
                  <c:v>913.84505954204815</c:v>
                </c:pt>
              </c:numCache>
            </c:numRef>
          </c:xVal>
          <c:yVal>
            <c:numRef>
              <c:f>TX_Graphs!$O$59:$O$67</c:f>
              <c:numCache>
                <c:formatCode>General</c:formatCode>
                <c:ptCount val="9"/>
                <c:pt idx="0">
                  <c:v>2.6008035160810284E-2</c:v>
                </c:pt>
                <c:pt idx="1">
                  <c:v>2.3867000426786095E-2</c:v>
                </c:pt>
                <c:pt idx="2">
                  <c:v>2.2146824292386444E-2</c:v>
                </c:pt>
                <c:pt idx="3">
                  <c:v>2.0745123931810223E-2</c:v>
                </c:pt>
                <c:pt idx="4">
                  <c:v>1.9587460344723601E-2</c:v>
                </c:pt>
                <c:pt idx="5">
                  <c:v>1.8618840917076718E-2</c:v>
                </c:pt>
                <c:pt idx="6">
                  <c:v>1.7798032874857247E-2</c:v>
                </c:pt>
                <c:pt idx="7">
                  <c:v>1.7093693571192194E-2</c:v>
                </c:pt>
                <c:pt idx="8">
                  <c:v>1.6481695646105854E-2</c:v>
                </c:pt>
              </c:numCache>
            </c:numRef>
          </c:yVal>
          <c:smooth val="0"/>
          <c:extLst>
            <c:ext xmlns:c16="http://schemas.microsoft.com/office/drawing/2014/chart" uri="{C3380CC4-5D6E-409C-BE32-E72D297353CC}">
              <c16:uniqueId val="{00000018-1283-405F-B259-F3B483F50B6E}"/>
            </c:ext>
          </c:extLst>
        </c:ser>
        <c:ser>
          <c:idx val="4"/>
          <c:order val="4"/>
          <c:tx>
            <c:v>UA model, green line</c:v>
          </c:tx>
          <c:spPr>
            <a:ln w="0">
              <a:solidFill>
                <a:srgbClr val="008000"/>
              </a:solidFill>
            </a:ln>
          </c:spPr>
          <c:marker>
            <c:symbol val="plus"/>
            <c:size val="7"/>
            <c:spPr>
              <a:ln w="0">
                <a:solidFill>
                  <a:srgbClr val="008000"/>
                </a:solidFill>
              </a:ln>
            </c:spPr>
          </c:marker>
          <c:xVal>
            <c:numRef>
              <c:f>TX_Graphs!$U$68:$U$74</c:f>
              <c:numCache>
                <c:formatCode>General</c:formatCode>
                <c:ptCount val="7"/>
                <c:pt idx="0">
                  <c:v>1668.3439854543456</c:v>
                </c:pt>
                <c:pt idx="1">
                  <c:v>1563.4803683990344</c:v>
                </c:pt>
                <c:pt idx="2">
                  <c:v>1476.0788559297107</c:v>
                </c:pt>
                <c:pt idx="3">
                  <c:v>1402.1129594137483</c:v>
                </c:pt>
                <c:pt idx="4">
                  <c:v>1338.7057598212789</c:v>
                </c:pt>
                <c:pt idx="5">
                  <c:v>1283.7469838970392</c:v>
                </c:pt>
                <c:pt idx="6">
                  <c:v>1091.3483345970189</c:v>
                </c:pt>
              </c:numCache>
            </c:numRef>
          </c:xVal>
          <c:yVal>
            <c:numRef>
              <c:f>TX_Graphs!$O$68:$O$74</c:f>
              <c:numCache>
                <c:formatCode>General</c:formatCode>
                <c:ptCount val="7"/>
                <c:pt idx="0">
                  <c:v>1.1614641520744965E-2</c:v>
                </c:pt>
                <c:pt idx="1">
                  <c:v>1.2395481520744964E-2</c:v>
                </c:pt>
                <c:pt idx="2">
                  <c:v>1.3176321520744964E-2</c:v>
                </c:pt>
                <c:pt idx="3">
                  <c:v>1.3957161520744964E-2</c:v>
                </c:pt>
                <c:pt idx="4">
                  <c:v>1.4738001520744965E-2</c:v>
                </c:pt>
                <c:pt idx="5">
                  <c:v>1.5518841520744965E-2</c:v>
                </c:pt>
                <c:pt idx="6">
                  <c:v>1.9423041520744963E-2</c:v>
                </c:pt>
              </c:numCache>
            </c:numRef>
          </c:yVal>
          <c:smooth val="0"/>
          <c:extLst>
            <c:ext xmlns:c16="http://schemas.microsoft.com/office/drawing/2014/chart" uri="{C3380CC4-5D6E-409C-BE32-E72D297353CC}">
              <c16:uniqueId val="{00000022-1283-405F-B259-F3B483F50B6E}"/>
            </c:ext>
          </c:extLst>
        </c:ser>
        <c:ser>
          <c:idx val="5"/>
          <c:order val="5"/>
          <c:tx>
            <c:v>UA + excess N2</c:v>
          </c:tx>
          <c:spPr>
            <a:ln w="0">
              <a:solidFill>
                <a:srgbClr val="F0720A"/>
              </a:solidFill>
            </a:ln>
          </c:spPr>
          <c:marker>
            <c:symbol val="plus"/>
            <c:size val="7"/>
            <c:spPr>
              <a:ln w="0">
                <a:solidFill>
                  <a:srgbClr val="F0720A"/>
                </a:solidFill>
              </a:ln>
            </c:spPr>
          </c:marker>
          <c:xVal>
            <c:numRef>
              <c:f>TX_Graphs!$U$75:$U$81</c:f>
              <c:numCache>
                <c:formatCode>General</c:formatCode>
                <c:ptCount val="7"/>
                <c:pt idx="0">
                  <c:v>1563.4803683990344</c:v>
                </c:pt>
                <c:pt idx="1">
                  <c:v>1563.4803683990344</c:v>
                </c:pt>
                <c:pt idx="2">
                  <c:v>1563.4803683990344</c:v>
                </c:pt>
                <c:pt idx="3">
                  <c:v>1563.4803683990344</c:v>
                </c:pt>
                <c:pt idx="4">
                  <c:v>1563.4803683990344</c:v>
                </c:pt>
                <c:pt idx="5">
                  <c:v>1563.4803683990344</c:v>
                </c:pt>
                <c:pt idx="6">
                  <c:v>1563.4803683990344</c:v>
                </c:pt>
              </c:numCache>
            </c:numRef>
          </c:xVal>
          <c:yVal>
            <c:numRef>
              <c:f>TX_Graphs!$O$75:$O$81</c:f>
              <c:numCache>
                <c:formatCode>General</c:formatCode>
                <c:ptCount val="7"/>
                <c:pt idx="0">
                  <c:v>1.2395481520744964E-2</c:v>
                </c:pt>
                <c:pt idx="1">
                  <c:v>1.3194842032335693E-2</c:v>
                </c:pt>
                <c:pt idx="2">
                  <c:v>1.399420254392642E-2</c:v>
                </c:pt>
                <c:pt idx="3">
                  <c:v>1.4793563055517149E-2</c:v>
                </c:pt>
                <c:pt idx="4">
                  <c:v>1.5592923567107876E-2</c:v>
                </c:pt>
                <c:pt idx="5">
                  <c:v>1.6392284078698603E-2</c:v>
                </c:pt>
                <c:pt idx="6">
                  <c:v>2.0389086636652246E-2</c:v>
                </c:pt>
              </c:numCache>
            </c:numRef>
          </c:yVal>
          <c:smooth val="0"/>
          <c:extLst>
            <c:ext xmlns:c16="http://schemas.microsoft.com/office/drawing/2014/chart" uri="{C3380CC4-5D6E-409C-BE32-E72D297353CC}">
              <c16:uniqueId val="{00000023-1283-405F-B259-F3B483F50B6E}"/>
            </c:ext>
          </c:extLst>
        </c:ser>
        <c:ser>
          <c:idx val="6"/>
          <c:order val="6"/>
          <c:tx>
            <c:v>CE model, red line</c:v>
          </c:tx>
          <c:spPr>
            <a:ln w="19050" cap="rnd" cmpd="sng" algn="ctr">
              <a:solidFill>
                <a:srgbClr val="FF0000"/>
              </a:solidFill>
              <a:prstDash val="dot"/>
              <a:round/>
              <a:headEnd type="none" w="med" len="med"/>
              <a:tailEnd type="none" w="med" len="med"/>
            </a:ln>
          </c:spPr>
          <c:marker>
            <c:symbol val="none"/>
          </c:marker>
          <c:xVal>
            <c:numRef>
              <c:f>TX_Graphs!$U$82:$U$97</c:f>
              <c:numCache>
                <c:formatCode>General</c:formatCode>
                <c:ptCount val="16"/>
                <c:pt idx="0">
                  <c:v>1668.3439854543456</c:v>
                </c:pt>
                <c:pt idx="1">
                  <c:v>1513.0774983455717</c:v>
                </c:pt>
                <c:pt idx="2">
                  <c:v>1470.2775621332416</c:v>
                </c:pt>
                <c:pt idx="3">
                  <c:v>1440.0121220773638</c:v>
                </c:pt>
                <c:pt idx="4">
                  <c:v>1418.3047383163967</c:v>
                </c:pt>
                <c:pt idx="5">
                  <c:v>1387.0169652751415</c:v>
                </c:pt>
                <c:pt idx="6">
                  <c:v>1374.1220723646961</c:v>
                </c:pt>
                <c:pt idx="7">
                  <c:v>1370.6017011745068</c:v>
                </c:pt>
                <c:pt idx="8">
                  <c:v>1372.155111549333</c:v>
                </c:pt>
                <c:pt idx="9">
                  <c:v>1376.5323143300341</c:v>
                </c:pt>
                <c:pt idx="10">
                  <c:v>1382.4789659950907</c:v>
                </c:pt>
                <c:pt idx="11">
                  <c:v>1389.2640894194035</c:v>
                </c:pt>
                <c:pt idx="12">
                  <c:v>1396.4486271849453</c:v>
                </c:pt>
                <c:pt idx="13">
                  <c:v>1431.8459054667524</c:v>
                </c:pt>
                <c:pt idx="14">
                  <c:v>1461.5890262156729</c:v>
                </c:pt>
                <c:pt idx="15">
                  <c:v>1533.4687899100893</c:v>
                </c:pt>
              </c:numCache>
            </c:numRef>
          </c:xVal>
          <c:yVal>
            <c:numRef>
              <c:f>TX_Graphs!$O$82:$O$97</c:f>
              <c:numCache>
                <c:formatCode>General</c:formatCode>
                <c:ptCount val="16"/>
                <c:pt idx="0">
                  <c:v>1.1614641520744965E-2</c:v>
                </c:pt>
                <c:pt idx="1">
                  <c:v>1.2991228555416193E-2</c:v>
                </c:pt>
                <c:pt idx="2">
                  <c:v>1.3564001354027405E-2</c:v>
                </c:pt>
                <c:pt idx="3">
                  <c:v>1.4076081539540696E-2</c:v>
                </c:pt>
                <c:pt idx="4">
                  <c:v>1.4536630469770311E-2</c:v>
                </c:pt>
                <c:pt idx="5">
                  <c:v>1.5507896217818578E-2</c:v>
                </c:pt>
                <c:pt idx="6">
                  <c:v>1.6283929116805592E-2</c:v>
                </c:pt>
                <c:pt idx="7">
                  <c:v>1.6918218503063829E-2</c:v>
                </c:pt>
                <c:pt idx="8">
                  <c:v>1.7446349061257155E-2</c:v>
                </c:pt>
                <c:pt idx="9">
                  <c:v>1.7892913913966964E-2</c:v>
                </c:pt>
                <c:pt idx="10">
                  <c:v>1.8275454300817281E-2</c:v>
                </c:pt>
                <c:pt idx="11">
                  <c:v>1.8606818096324858E-2</c:v>
                </c:pt>
                <c:pt idx="12">
                  <c:v>1.8896631100930678E-2</c:v>
                </c:pt>
                <c:pt idx="13">
                  <c:v>1.9930685847742845E-2</c:v>
                </c:pt>
                <c:pt idx="14">
                  <c:v>2.056625814276725E-2</c:v>
                </c:pt>
                <c:pt idx="15">
                  <c:v>2.1725359510783904E-2</c:v>
                </c:pt>
              </c:numCache>
            </c:numRef>
          </c:yVal>
          <c:smooth val="0"/>
          <c:extLst>
            <c:ext xmlns:c16="http://schemas.microsoft.com/office/drawing/2014/chart" uri="{C3380CC4-5D6E-409C-BE32-E72D297353CC}">
              <c16:uniqueId val="{00000024-1283-405F-B259-F3B483F50B6E}"/>
            </c:ext>
          </c:extLst>
        </c:ser>
        <c:ser>
          <c:idx val="7"/>
          <c:order val="7"/>
          <c:tx>
            <c:v>301420095093201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6"/>
            <c:spPr>
              <a:solidFill>
                <a:srgbClr val="3399FF"/>
              </a:solidFill>
              <a:ln w="3175">
                <a:solidFill>
                  <a:srgbClr val="080808"/>
                </a:solidFill>
                <a:prstDash val="solid"/>
              </a:ln>
              <a:effectLst/>
            </c:spPr>
          </c:marker>
          <c:xVal>
            <c:numRef>
              <c:f>TX_Graphs!$CE$4</c:f>
              <c:numCache>
                <c:formatCode>General</c:formatCode>
                <c:ptCount val="1"/>
                <c:pt idx="0">
                  <c:v>1520.2259787150699</c:v>
                </c:pt>
              </c:numCache>
            </c:numRef>
          </c:xVal>
          <c:yVal>
            <c:numRef>
              <c:f>TX_Graphs!$BM$4</c:f>
              <c:numCache>
                <c:formatCode>General</c:formatCode>
                <c:ptCount val="1"/>
                <c:pt idx="0">
                  <c:v>1.4309376265223543E-2</c:v>
                </c:pt>
              </c:numCache>
            </c:numRef>
          </c:yVal>
          <c:smooth val="0"/>
          <c:extLst>
            <c:ext xmlns:c16="http://schemas.microsoft.com/office/drawing/2014/chart" uri="{C3380CC4-5D6E-409C-BE32-E72D297353CC}">
              <c16:uniqueId val="{00000025-1283-405F-B259-F3B483F50B6E}"/>
            </c:ext>
          </c:extLst>
        </c:ser>
        <c:ser>
          <c:idx val="8"/>
          <c:order val="8"/>
          <c:tx>
            <c:v>301420095093201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6"/>
            <c:spPr>
              <a:solidFill>
                <a:srgbClr val="3399FF"/>
              </a:solidFill>
              <a:ln w="3175">
                <a:solidFill>
                  <a:srgbClr val="080808"/>
                </a:solidFill>
                <a:prstDash val="solid"/>
              </a:ln>
              <a:effectLst/>
            </c:spPr>
          </c:marker>
          <c:xVal>
            <c:numRef>
              <c:f>TX_Graphs!$CE$5</c:f>
              <c:numCache>
                <c:formatCode>General</c:formatCode>
                <c:ptCount val="1"/>
                <c:pt idx="0">
                  <c:v>1502.5833667786403</c:v>
                </c:pt>
              </c:numCache>
            </c:numRef>
          </c:xVal>
          <c:yVal>
            <c:numRef>
              <c:f>TX_Graphs!$BM$5</c:f>
              <c:numCache>
                <c:formatCode>General</c:formatCode>
                <c:ptCount val="1"/>
                <c:pt idx="0">
                  <c:v>1.4107788039165386E-2</c:v>
                </c:pt>
              </c:numCache>
            </c:numRef>
          </c:yVal>
          <c:smooth val="0"/>
          <c:extLst>
            <c:ext xmlns:c16="http://schemas.microsoft.com/office/drawing/2014/chart" uri="{C3380CC4-5D6E-409C-BE32-E72D297353CC}">
              <c16:uniqueId val="{00000026-1283-405F-B259-F3B483F50B6E}"/>
            </c:ext>
          </c:extLst>
        </c:ser>
        <c:ser>
          <c:idx val="9"/>
          <c:order val="9"/>
          <c:tx>
            <c:v>300413094402101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6"/>
            <c:spPr>
              <a:solidFill>
                <a:srgbClr val="3399FF"/>
              </a:solidFill>
              <a:ln w="3175">
                <a:solidFill>
                  <a:srgbClr val="080808"/>
                </a:solidFill>
                <a:prstDash val="solid"/>
              </a:ln>
              <a:effectLst/>
            </c:spPr>
          </c:marker>
          <c:xVal>
            <c:numRef>
              <c:f>TX_Graphs!$CE$6</c:f>
              <c:numCache>
                <c:formatCode>General</c:formatCode>
                <c:ptCount val="1"/>
                <c:pt idx="0">
                  <c:v>1810.77010445459</c:v>
                </c:pt>
              </c:numCache>
            </c:numRef>
          </c:xVal>
          <c:yVal>
            <c:numRef>
              <c:f>TX_Graphs!$BM$6</c:f>
              <c:numCache>
                <c:formatCode>General</c:formatCode>
                <c:ptCount val="1"/>
                <c:pt idx="0">
                  <c:v>1.5061516174202195E-2</c:v>
                </c:pt>
              </c:numCache>
            </c:numRef>
          </c:yVal>
          <c:smooth val="0"/>
          <c:extLst>
            <c:ext xmlns:c16="http://schemas.microsoft.com/office/drawing/2014/chart" uri="{C3380CC4-5D6E-409C-BE32-E72D297353CC}">
              <c16:uniqueId val="{00000027-1283-405F-B259-F3B483F50B6E}"/>
            </c:ext>
          </c:extLst>
        </c:ser>
        <c:ser>
          <c:idx val="10"/>
          <c:order val="10"/>
          <c:tx>
            <c:v>300413094402101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6"/>
            <c:spPr>
              <a:solidFill>
                <a:srgbClr val="3399FF"/>
              </a:solidFill>
              <a:ln w="3175">
                <a:solidFill>
                  <a:srgbClr val="080808"/>
                </a:solidFill>
                <a:prstDash val="solid"/>
              </a:ln>
              <a:effectLst/>
            </c:spPr>
          </c:marker>
          <c:xVal>
            <c:numRef>
              <c:f>TX_Graphs!$CE$7</c:f>
              <c:numCache>
                <c:formatCode>General</c:formatCode>
                <c:ptCount val="1"/>
                <c:pt idx="0">
                  <c:v>1816.2536707132638</c:v>
                </c:pt>
              </c:numCache>
            </c:numRef>
          </c:xVal>
          <c:yVal>
            <c:numRef>
              <c:f>TX_Graphs!$BM$7</c:f>
              <c:numCache>
                <c:formatCode>General</c:formatCode>
                <c:ptCount val="1"/>
                <c:pt idx="0">
                  <c:v>1.5063863650151051E-2</c:v>
                </c:pt>
              </c:numCache>
            </c:numRef>
          </c:yVal>
          <c:smooth val="0"/>
          <c:extLst>
            <c:ext xmlns:c16="http://schemas.microsoft.com/office/drawing/2014/chart" uri="{C3380CC4-5D6E-409C-BE32-E72D297353CC}">
              <c16:uniqueId val="{00000028-1283-405F-B259-F3B483F50B6E}"/>
            </c:ext>
          </c:extLst>
        </c:ser>
        <c:ser>
          <c:idx val="11"/>
          <c:order val="11"/>
          <c:tx>
            <c:v>304603094101801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6"/>
            <c:spPr>
              <a:solidFill>
                <a:srgbClr val="3399FF"/>
              </a:solidFill>
              <a:ln w="3175">
                <a:solidFill>
                  <a:srgbClr val="080808"/>
                </a:solidFill>
                <a:prstDash val="solid"/>
              </a:ln>
              <a:effectLst/>
            </c:spPr>
          </c:marker>
          <c:xVal>
            <c:numRef>
              <c:f>TX_Graphs!$CE$8</c:f>
              <c:numCache>
                <c:formatCode>General</c:formatCode>
                <c:ptCount val="1"/>
                <c:pt idx="0">
                  <c:v>1624.725401111478</c:v>
                </c:pt>
              </c:numCache>
            </c:numRef>
          </c:xVal>
          <c:yVal>
            <c:numRef>
              <c:f>TX_Graphs!$BM$8</c:f>
              <c:numCache>
                <c:formatCode>General</c:formatCode>
                <c:ptCount val="1"/>
                <c:pt idx="0">
                  <c:v>1.6004913288418389E-2</c:v>
                </c:pt>
              </c:numCache>
            </c:numRef>
          </c:yVal>
          <c:smooth val="0"/>
          <c:extLst>
            <c:ext xmlns:c16="http://schemas.microsoft.com/office/drawing/2014/chart" uri="{C3380CC4-5D6E-409C-BE32-E72D297353CC}">
              <c16:uniqueId val="{00000029-1283-405F-B259-F3B483F50B6E}"/>
            </c:ext>
          </c:extLst>
        </c:ser>
        <c:ser>
          <c:idx val="12"/>
          <c:order val="12"/>
          <c:tx>
            <c:v>304603094101801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6"/>
            <c:spPr>
              <a:solidFill>
                <a:srgbClr val="3399FF"/>
              </a:solidFill>
              <a:ln w="3175">
                <a:solidFill>
                  <a:srgbClr val="080808"/>
                </a:solidFill>
                <a:prstDash val="solid"/>
              </a:ln>
              <a:effectLst/>
            </c:spPr>
          </c:marker>
          <c:xVal>
            <c:numRef>
              <c:f>TX_Graphs!$CE$9</c:f>
              <c:numCache>
                <c:formatCode>General</c:formatCode>
                <c:ptCount val="1"/>
                <c:pt idx="0">
                  <c:v>1625.09052641167</c:v>
                </c:pt>
              </c:numCache>
            </c:numRef>
          </c:xVal>
          <c:yVal>
            <c:numRef>
              <c:f>TX_Graphs!$BM$9</c:f>
              <c:numCache>
                <c:formatCode>General</c:formatCode>
                <c:ptCount val="1"/>
                <c:pt idx="0">
                  <c:v>1.600114579388379E-2</c:v>
                </c:pt>
              </c:numCache>
            </c:numRef>
          </c:yVal>
          <c:smooth val="0"/>
          <c:extLst>
            <c:ext xmlns:c16="http://schemas.microsoft.com/office/drawing/2014/chart" uri="{C3380CC4-5D6E-409C-BE32-E72D297353CC}">
              <c16:uniqueId val="{0000002A-1283-405F-B259-F3B483F50B6E}"/>
            </c:ext>
          </c:extLst>
        </c:ser>
        <c:dLbls>
          <c:showLegendKey val="0"/>
          <c:showVal val="0"/>
          <c:showCatName val="0"/>
          <c:showSerName val="0"/>
          <c:showPercent val="0"/>
          <c:showBubbleSize val="0"/>
        </c:dLbls>
        <c:axId val="1998595088"/>
        <c:axId val="1992238624"/>
      </c:scatterChart>
      <c:valAx>
        <c:axId val="1998595088"/>
        <c:scaling>
          <c:orientation val="minMax"/>
        </c:scaling>
        <c:delete val="0"/>
        <c:axPos val="b"/>
        <c:title>
          <c:tx>
            <c:strRef>
              <c:f>TX_Graphs!$C$22</c:f>
              <c:strCache>
                <c:ptCount val="1"/>
                <c:pt idx="0">
                  <c:v>Ar to Ne ratio</c:v>
                </c:pt>
              </c:strCache>
            </c:strRef>
          </c:tx>
          <c:overlay val="0"/>
        </c:title>
        <c:numFmt formatCode="General" sourceLinked="1"/>
        <c:majorTickMark val="none"/>
        <c:minorTickMark val="none"/>
        <c:tickLblPos val="nextTo"/>
        <c:crossAx val="1992238624"/>
        <c:crosses val="autoZero"/>
        <c:crossBetween val="midCat"/>
      </c:valAx>
      <c:valAx>
        <c:axId val="1992238624"/>
        <c:scaling>
          <c:orientation val="minMax"/>
        </c:scaling>
        <c:delete val="0"/>
        <c:axPos val="l"/>
        <c:title>
          <c:tx>
            <c:strRef>
              <c:f>TX_Graphs!$C$16</c:f>
              <c:strCache>
                <c:ptCount val="1"/>
                <c:pt idx="0">
                  <c:v>N2, cm3/g</c:v>
                </c:pt>
              </c:strCache>
            </c:strRef>
          </c:tx>
          <c:overlay val="0"/>
        </c:title>
        <c:numFmt formatCode="General" sourceLinked="1"/>
        <c:majorTickMark val="none"/>
        <c:minorTickMark val="none"/>
        <c:tickLblPos val="nextTo"/>
        <c:crossAx val="1998595088"/>
        <c:crosses val="autoZero"/>
        <c:crossBetween val="midCat"/>
      </c:valAx>
    </c:plotArea>
    <c:legend>
      <c:legendPos val="b"/>
      <c:layout>
        <c:manualLayout>
          <c:xMode val="edge"/>
          <c:yMode val="edge"/>
          <c:x val="0.11278798483522894"/>
          <c:y val="0.68154639215570856"/>
          <c:w val="0.81314354936402178"/>
          <c:h val="0.19931676828334202"/>
        </c:manualLayout>
      </c:layout>
      <c:overlay val="1"/>
      <c:spPr>
        <a:effectLst>
          <a:outerShdw blurRad="50800" dist="38100" dir="2700000" algn="tl">
            <a:prstClr val="black">
              <a:alpha val="40000"/>
            </a:prstClr>
          </a:outerShdw>
        </a:effectLst>
      </c:spPr>
      <c:txPr>
        <a:bodyPr/>
        <a:lstStyle/>
        <a:p>
          <a:pPr>
            <a:defRPr sz="800"/>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Excess air boundary line 1</c:v>
          </c:tx>
          <c:spPr>
            <a:ln w="0">
              <a:solidFill>
                <a:srgbClr val="080808"/>
              </a:solidFill>
            </a:ln>
          </c:spPr>
          <c:marker>
            <c:symbol val="plus"/>
            <c:size val="7"/>
            <c:spPr>
              <a:ln w="0">
                <a:solidFill>
                  <a:srgbClr val="080808"/>
                </a:solidFill>
              </a:ln>
            </c:spPr>
          </c:marker>
          <c:dLbls>
            <c:dLbl>
              <c:idx val="0"/>
              <c:tx>
                <c:rich>
                  <a:bodyPr/>
                  <a:lstStyle/>
                  <a:p>
                    <a:r>
                      <a:rPr lang="en-US"/>
                      <a:t>0</a:t>
                    </a:r>
                  </a:p>
                </c:rich>
              </c:tx>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1EA-4219-A3D9-8DE5FC918791}"/>
                </c:ext>
              </c:extLst>
            </c:dLbl>
            <c:dLbl>
              <c:idx val="1"/>
              <c:tx>
                <c:rich>
                  <a:bodyPr/>
                  <a:lstStyle/>
                  <a:p>
                    <a:r>
                      <a:rPr lang="en-US"/>
                      <a:t>2</a:t>
                    </a:r>
                  </a:p>
                </c:rich>
              </c:tx>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1EA-4219-A3D9-8DE5FC918791}"/>
                </c:ext>
              </c:extLst>
            </c:dLbl>
            <c:dLbl>
              <c:idx val="2"/>
              <c:tx>
                <c:rich>
                  <a:bodyPr/>
                  <a:lstStyle/>
                  <a:p>
                    <a:r>
                      <a:rPr lang="en-US"/>
                      <a:t>4</a:t>
                    </a:r>
                  </a:p>
                </c:rich>
              </c:tx>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1EA-4219-A3D9-8DE5FC918791}"/>
                </c:ext>
              </c:extLst>
            </c:dLbl>
            <c:dLbl>
              <c:idx val="3"/>
              <c:tx>
                <c:rich>
                  <a:bodyPr/>
                  <a:lstStyle/>
                  <a:p>
                    <a:r>
                      <a:rPr lang="en-US"/>
                      <a:t>6</a:t>
                    </a:r>
                  </a:p>
                </c:rich>
              </c:tx>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1EA-4219-A3D9-8DE5FC918791}"/>
                </c:ext>
              </c:extLst>
            </c:dLbl>
            <c:dLbl>
              <c:idx val="4"/>
              <c:tx>
                <c:rich>
                  <a:bodyPr/>
                  <a:lstStyle/>
                  <a:p>
                    <a:r>
                      <a:rPr lang="en-US"/>
                      <a:t>8</a:t>
                    </a:r>
                  </a:p>
                </c:rich>
              </c:tx>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1EA-4219-A3D9-8DE5FC918791}"/>
                </c:ext>
              </c:extLst>
            </c:dLbl>
            <c:dLbl>
              <c:idx val="5"/>
              <c:tx>
                <c:rich>
                  <a:bodyPr/>
                  <a:lstStyle/>
                  <a:p>
                    <a:r>
                      <a:rPr lang="en-US"/>
                      <a:t>10</a:t>
                    </a:r>
                  </a:p>
                </c:rich>
              </c:tx>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1EA-4219-A3D9-8DE5FC918791}"/>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TX_Graphs!$L$108:$L$113</c:f>
              <c:numCache>
                <c:formatCode>General</c:formatCode>
                <c:ptCount val="6"/>
                <c:pt idx="0">
                  <c:v>4.9198914519646886E-4</c:v>
                </c:pt>
                <c:pt idx="1">
                  <c:v>5.1066914519646883E-4</c:v>
                </c:pt>
                <c:pt idx="2">
                  <c:v>5.2934914519646881E-4</c:v>
                </c:pt>
                <c:pt idx="3">
                  <c:v>5.480291451964689E-4</c:v>
                </c:pt>
                <c:pt idx="4">
                  <c:v>5.6670914519646887E-4</c:v>
                </c:pt>
                <c:pt idx="5">
                  <c:v>5.8538914519646885E-4</c:v>
                </c:pt>
              </c:numCache>
            </c:numRef>
          </c:xVal>
          <c:yVal>
            <c:numRef>
              <c:f>TX_Graphs!$O$108:$O$113</c:f>
              <c:numCache>
                <c:formatCode>General</c:formatCode>
                <c:ptCount val="6"/>
                <c:pt idx="0">
                  <c:v>1.8199635160810284E-2</c:v>
                </c:pt>
                <c:pt idx="1">
                  <c:v>1.9761315160810283E-2</c:v>
                </c:pt>
                <c:pt idx="2">
                  <c:v>2.1322995160810283E-2</c:v>
                </c:pt>
                <c:pt idx="3">
                  <c:v>2.2884675160810282E-2</c:v>
                </c:pt>
                <c:pt idx="4">
                  <c:v>2.4446355160810285E-2</c:v>
                </c:pt>
                <c:pt idx="5">
                  <c:v>2.6008035160810284E-2</c:v>
                </c:pt>
              </c:numCache>
            </c:numRef>
          </c:yVal>
          <c:smooth val="0"/>
          <c:extLst>
            <c:ext xmlns:c16="http://schemas.microsoft.com/office/drawing/2014/chart" uri="{C3380CC4-5D6E-409C-BE32-E72D297353CC}">
              <c16:uniqueId val="{00000000-91EA-4219-A3D9-8DE5FC918791}"/>
            </c:ext>
          </c:extLst>
        </c:ser>
        <c:ser>
          <c:idx val="1"/>
          <c:order val="1"/>
          <c:tx>
            <c:v>Excess air boundary line 2</c:v>
          </c:tx>
          <c:spPr>
            <a:ln w="0">
              <a:solidFill>
                <a:srgbClr val="080808"/>
              </a:solidFill>
            </a:ln>
          </c:spPr>
          <c:marker>
            <c:symbol val="plus"/>
            <c:size val="7"/>
            <c:spPr>
              <a:ln w="0">
                <a:solidFill>
                  <a:srgbClr val="080808"/>
                </a:solidFill>
              </a:ln>
            </c:spPr>
          </c:marker>
          <c:dLbls>
            <c:dLbl>
              <c:idx val="0"/>
              <c:tx>
                <c:rich>
                  <a:bodyPr/>
                  <a:lstStyle/>
                  <a:p>
                    <a:r>
                      <a:rPr lang="en-US"/>
                      <a:t>0</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1EA-4219-A3D9-8DE5FC918791}"/>
                </c:ext>
              </c:extLst>
            </c:dLbl>
            <c:dLbl>
              <c:idx val="1"/>
              <c:tx>
                <c:rich>
                  <a:bodyPr/>
                  <a:lstStyle/>
                  <a:p>
                    <a:r>
                      <a:rPr lang="en-US"/>
                      <a:t>2</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91EA-4219-A3D9-8DE5FC918791}"/>
                </c:ext>
              </c:extLst>
            </c:dLbl>
            <c:dLbl>
              <c:idx val="2"/>
              <c:tx>
                <c:rich>
                  <a:bodyPr/>
                  <a:lstStyle/>
                  <a:p>
                    <a:r>
                      <a:rPr lang="en-US"/>
                      <a:t>4</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91EA-4219-A3D9-8DE5FC918791}"/>
                </c:ext>
              </c:extLst>
            </c:dLbl>
            <c:dLbl>
              <c:idx val="3"/>
              <c:tx>
                <c:rich>
                  <a:bodyPr/>
                  <a:lstStyle/>
                  <a:p>
                    <a:r>
                      <a:rPr lang="en-US"/>
                      <a:t>6</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91EA-4219-A3D9-8DE5FC918791}"/>
                </c:ext>
              </c:extLst>
            </c:dLbl>
            <c:dLbl>
              <c:idx val="4"/>
              <c:tx>
                <c:rich>
                  <a:bodyPr/>
                  <a:lstStyle/>
                  <a:p>
                    <a:r>
                      <a:rPr lang="en-US"/>
                      <a:t>8</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91EA-4219-A3D9-8DE5FC918791}"/>
                </c:ext>
              </c:extLst>
            </c:dLbl>
            <c:dLbl>
              <c:idx val="5"/>
              <c:tx>
                <c:rich>
                  <a:bodyPr/>
                  <a:lstStyle/>
                  <a:p>
                    <a:r>
                      <a:rPr lang="en-US"/>
                      <a:t>10</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91EA-4219-A3D9-8DE5FC918791}"/>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TX_Graphs!$L$114:$L$119</c:f>
              <c:numCache>
                <c:formatCode>General</c:formatCode>
                <c:ptCount val="6"/>
                <c:pt idx="0">
                  <c:v>2.1906196144748735E-4</c:v>
                </c:pt>
                <c:pt idx="1">
                  <c:v>2.3774196144748735E-4</c:v>
                </c:pt>
                <c:pt idx="2">
                  <c:v>2.5642196144748733E-4</c:v>
                </c:pt>
                <c:pt idx="3">
                  <c:v>2.7510196144748736E-4</c:v>
                </c:pt>
                <c:pt idx="4">
                  <c:v>2.9378196144748734E-4</c:v>
                </c:pt>
                <c:pt idx="5">
                  <c:v>3.1246196144748737E-4</c:v>
                </c:pt>
              </c:numCache>
            </c:numRef>
          </c:xVal>
          <c:yVal>
            <c:numRef>
              <c:f>TX_Graphs!$O$114:$O$119</c:f>
              <c:numCache>
                <c:formatCode>General</c:formatCode>
                <c:ptCount val="6"/>
                <c:pt idx="0">
                  <c:v>8.6732956461058556E-3</c:v>
                </c:pt>
                <c:pt idx="1">
                  <c:v>1.0234975646105855E-2</c:v>
                </c:pt>
                <c:pt idx="2">
                  <c:v>1.1796655646105856E-2</c:v>
                </c:pt>
                <c:pt idx="3">
                  <c:v>1.3358335646105855E-2</c:v>
                </c:pt>
                <c:pt idx="4">
                  <c:v>1.4920015646105855E-2</c:v>
                </c:pt>
                <c:pt idx="5">
                  <c:v>1.6481695646105854E-2</c:v>
                </c:pt>
              </c:numCache>
            </c:numRef>
          </c:yVal>
          <c:smooth val="0"/>
          <c:extLst>
            <c:ext xmlns:c16="http://schemas.microsoft.com/office/drawing/2014/chart" uri="{C3380CC4-5D6E-409C-BE32-E72D297353CC}">
              <c16:uniqueId val="{00000007-91EA-4219-A3D9-8DE5FC918791}"/>
            </c:ext>
          </c:extLst>
        </c:ser>
        <c:ser>
          <c:idx val="2"/>
          <c:order val="2"/>
          <c:tx>
            <c:v>Temperature boundary line 1</c:v>
          </c:tx>
          <c:spPr>
            <a:ln w="0">
              <a:solidFill>
                <a:srgbClr val="080808"/>
              </a:solidFill>
            </a:ln>
          </c:spPr>
          <c:marker>
            <c:symbol val="plus"/>
            <c:size val="7"/>
            <c:spPr>
              <a:ln w="0">
                <a:solidFill>
                  <a:srgbClr val="080808"/>
                </a:solidFill>
              </a:ln>
            </c:spPr>
          </c:marker>
          <c:dLbls>
            <c:dLbl>
              <c:idx val="0"/>
              <c:tx>
                <c:rich>
                  <a:bodyPr/>
                  <a:lstStyle/>
                  <a:p>
                    <a:r>
                      <a:rPr lang="en-US"/>
                      <a:t>0</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91EA-4219-A3D9-8DE5FC918791}"/>
                </c:ext>
              </c:extLst>
            </c:dLbl>
            <c:dLbl>
              <c:idx val="1"/>
              <c:tx>
                <c:rich>
                  <a:bodyPr/>
                  <a:lstStyle/>
                  <a:p>
                    <a:r>
                      <a:rPr lang="en-US"/>
                      <a:t>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91EA-4219-A3D9-8DE5FC918791}"/>
                </c:ext>
              </c:extLst>
            </c:dLbl>
            <c:dLbl>
              <c:idx val="2"/>
              <c:tx>
                <c:rich>
                  <a:bodyPr/>
                  <a:lstStyle/>
                  <a:p>
                    <a:r>
                      <a:rPr lang="en-US"/>
                      <a:t>10</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91EA-4219-A3D9-8DE5FC918791}"/>
                </c:ext>
              </c:extLst>
            </c:dLbl>
            <c:dLbl>
              <c:idx val="3"/>
              <c:tx>
                <c:rich>
                  <a:bodyPr/>
                  <a:lstStyle/>
                  <a:p>
                    <a:r>
                      <a:rPr lang="en-US"/>
                      <a:t>15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91EA-4219-A3D9-8DE5FC918791}"/>
                </c:ext>
              </c:extLst>
            </c:dLbl>
            <c:dLbl>
              <c:idx val="4"/>
              <c:tx>
                <c:rich>
                  <a:bodyPr/>
                  <a:lstStyle/>
                  <a:p>
                    <a:r>
                      <a:rPr lang="en-US"/>
                      <a:t>20</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91EA-4219-A3D9-8DE5FC918791}"/>
                </c:ext>
              </c:extLst>
            </c:dLbl>
            <c:dLbl>
              <c:idx val="5"/>
              <c:tx>
                <c:rich>
                  <a:bodyPr/>
                  <a:lstStyle/>
                  <a:p>
                    <a:r>
                      <a:rPr lang="en-US"/>
                      <a:t>25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91EA-4219-A3D9-8DE5FC918791}"/>
                </c:ext>
              </c:extLst>
            </c:dLbl>
            <c:dLbl>
              <c:idx val="6"/>
              <c:tx>
                <c:rich>
                  <a:bodyPr/>
                  <a:lstStyle/>
                  <a:p>
                    <a:r>
                      <a:rPr lang="en-US"/>
                      <a:t>30</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91EA-4219-A3D9-8DE5FC918791}"/>
                </c:ext>
              </c:extLst>
            </c:dLbl>
            <c:dLbl>
              <c:idx val="7"/>
              <c:tx>
                <c:rich>
                  <a:bodyPr/>
                  <a:lstStyle/>
                  <a:p>
                    <a:r>
                      <a:rPr lang="en-US"/>
                      <a:t>35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91EA-4219-A3D9-8DE5FC918791}"/>
                </c:ext>
              </c:extLst>
            </c:dLbl>
            <c:dLbl>
              <c:idx val="8"/>
              <c:tx>
                <c:rich>
                  <a:bodyPr/>
                  <a:lstStyle/>
                  <a:p>
                    <a:r>
                      <a:rPr lang="en-US"/>
                      <a:t>40</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91EA-4219-A3D9-8DE5FC918791}"/>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TX_Graphs!$L$120:$L$128</c:f>
              <c:numCache>
                <c:formatCode>General</c:formatCode>
                <c:ptCount val="9"/>
                <c:pt idx="0">
                  <c:v>4.9198914519646886E-4</c:v>
                </c:pt>
                <c:pt idx="1">
                  <c:v>4.3080321714980194E-4</c:v>
                </c:pt>
                <c:pt idx="2">
                  <c:v>3.8161862553016057E-4</c:v>
                </c:pt>
                <c:pt idx="3">
                  <c:v>3.4150491520582016E-4</c:v>
                </c:pt>
                <c:pt idx="4">
                  <c:v>3.0833573156362909E-4</c:v>
                </c:pt>
                <c:pt idx="5">
                  <c:v>2.8054400956267051E-4</c:v>
                </c:pt>
                <c:pt idx="6">
                  <c:v>2.5695821434708902E-4</c:v>
                </c:pt>
                <c:pt idx="7">
                  <c:v>2.3669094573515885E-4</c:v>
                </c:pt>
                <c:pt idx="8">
                  <c:v>2.1906196144748735E-4</c:v>
                </c:pt>
              </c:numCache>
            </c:numRef>
          </c:xVal>
          <c:yVal>
            <c:numRef>
              <c:f>TX_Graphs!$O$120:$O$128</c:f>
              <c:numCache>
                <c:formatCode>General</c:formatCode>
                <c:ptCount val="9"/>
                <c:pt idx="0">
                  <c:v>1.8199635160810284E-2</c:v>
                </c:pt>
                <c:pt idx="1">
                  <c:v>1.6058600426786095E-2</c:v>
                </c:pt>
                <c:pt idx="2">
                  <c:v>1.4338424292386444E-2</c:v>
                </c:pt>
                <c:pt idx="3">
                  <c:v>1.2936723931810223E-2</c:v>
                </c:pt>
                <c:pt idx="4">
                  <c:v>1.1779060344723601E-2</c:v>
                </c:pt>
                <c:pt idx="5">
                  <c:v>1.0810440917076718E-2</c:v>
                </c:pt>
                <c:pt idx="6">
                  <c:v>9.9896328748572474E-3</c:v>
                </c:pt>
                <c:pt idx="7">
                  <c:v>9.2852935711921943E-3</c:v>
                </c:pt>
                <c:pt idx="8">
                  <c:v>8.6732956461058556E-3</c:v>
                </c:pt>
              </c:numCache>
            </c:numRef>
          </c:yVal>
          <c:smooth val="0"/>
          <c:extLst>
            <c:ext xmlns:c16="http://schemas.microsoft.com/office/drawing/2014/chart" uri="{C3380CC4-5D6E-409C-BE32-E72D297353CC}">
              <c16:uniqueId val="{0000000E-91EA-4219-A3D9-8DE5FC918791}"/>
            </c:ext>
          </c:extLst>
        </c:ser>
        <c:ser>
          <c:idx val="3"/>
          <c:order val="3"/>
          <c:tx>
            <c:v>Temperature boundary line 2</c:v>
          </c:tx>
          <c:spPr>
            <a:ln w="0">
              <a:solidFill>
                <a:srgbClr val="080808"/>
              </a:solidFill>
            </a:ln>
          </c:spPr>
          <c:marker>
            <c:symbol val="plus"/>
            <c:size val="7"/>
            <c:spPr>
              <a:ln w="0">
                <a:solidFill>
                  <a:srgbClr val="080808"/>
                </a:solidFill>
              </a:ln>
            </c:spPr>
          </c:marker>
          <c:dLbls>
            <c:dLbl>
              <c:idx val="0"/>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91EA-4219-A3D9-8DE5FC918791}"/>
                </c:ext>
              </c:extLst>
            </c:dLbl>
            <c:dLbl>
              <c:idx val="1"/>
              <c:tx>
                <c:rich>
                  <a:bodyPr/>
                  <a:lstStyle/>
                  <a:p>
                    <a:r>
                      <a:rPr lang="en-US"/>
                      <a:t>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91EA-4219-A3D9-8DE5FC918791}"/>
                </c:ext>
              </c:extLst>
            </c:dLbl>
            <c:dLbl>
              <c:idx val="2"/>
              <c:tx>
                <c:rich>
                  <a:bodyPr/>
                  <a:lstStyle/>
                  <a:p>
                    <a:r>
                      <a:rPr lang="en-US"/>
                      <a:t>10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91EA-4219-A3D9-8DE5FC918791}"/>
                </c:ext>
              </c:extLst>
            </c:dLbl>
            <c:dLbl>
              <c:idx val="3"/>
              <c:tx>
                <c:rich>
                  <a:bodyPr/>
                  <a:lstStyle/>
                  <a:p>
                    <a:r>
                      <a:rPr lang="en-US"/>
                      <a:t>15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91EA-4219-A3D9-8DE5FC918791}"/>
                </c:ext>
              </c:extLst>
            </c:dLbl>
            <c:dLbl>
              <c:idx val="4"/>
              <c:tx>
                <c:rich>
                  <a:bodyPr/>
                  <a:lstStyle/>
                  <a:p>
                    <a:r>
                      <a:rPr lang="en-US"/>
                      <a:t>20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91EA-4219-A3D9-8DE5FC918791}"/>
                </c:ext>
              </c:extLst>
            </c:dLbl>
            <c:dLbl>
              <c:idx val="5"/>
              <c:tx>
                <c:rich>
                  <a:bodyPr/>
                  <a:lstStyle/>
                  <a:p>
                    <a:r>
                      <a:rPr lang="en-US"/>
                      <a:t>25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91EA-4219-A3D9-8DE5FC918791}"/>
                </c:ext>
              </c:extLst>
            </c:dLbl>
            <c:dLbl>
              <c:idx val="6"/>
              <c:tx>
                <c:rich>
                  <a:bodyPr/>
                  <a:lstStyle/>
                  <a:p>
                    <a:r>
                      <a:rPr lang="en-US"/>
                      <a:t>30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91EA-4219-A3D9-8DE5FC918791}"/>
                </c:ext>
              </c:extLst>
            </c:dLbl>
            <c:dLbl>
              <c:idx val="7"/>
              <c:tx>
                <c:rich>
                  <a:bodyPr/>
                  <a:lstStyle/>
                  <a:p>
                    <a:r>
                      <a:rPr lang="en-US"/>
                      <a:t>35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91EA-4219-A3D9-8DE5FC918791}"/>
                </c:ext>
              </c:extLst>
            </c:dLbl>
            <c:dLbl>
              <c:idx val="8"/>
              <c:tx>
                <c:rich>
                  <a:bodyPr/>
                  <a:lstStyle/>
                  <a:p>
                    <a:r>
                      <a:rPr lang="en-US"/>
                      <a:t>40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91EA-4219-A3D9-8DE5FC918791}"/>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TX_Graphs!$L$129:$L$137</c:f>
              <c:numCache>
                <c:formatCode>General</c:formatCode>
                <c:ptCount val="9"/>
                <c:pt idx="0">
                  <c:v>5.8538914519646885E-4</c:v>
                </c:pt>
                <c:pt idx="1">
                  <c:v>5.2420321714980193E-4</c:v>
                </c:pt>
                <c:pt idx="2">
                  <c:v>4.7501862553016056E-4</c:v>
                </c:pt>
                <c:pt idx="3">
                  <c:v>4.3490491520582015E-4</c:v>
                </c:pt>
                <c:pt idx="4">
                  <c:v>4.0173573156362908E-4</c:v>
                </c:pt>
                <c:pt idx="5">
                  <c:v>3.739440095626705E-4</c:v>
                </c:pt>
                <c:pt idx="6">
                  <c:v>3.5035821434708901E-4</c:v>
                </c:pt>
                <c:pt idx="7">
                  <c:v>3.3009094573515881E-4</c:v>
                </c:pt>
                <c:pt idx="8">
                  <c:v>3.1246196144748737E-4</c:v>
                </c:pt>
              </c:numCache>
            </c:numRef>
          </c:xVal>
          <c:yVal>
            <c:numRef>
              <c:f>TX_Graphs!$O$129:$O$137</c:f>
              <c:numCache>
                <c:formatCode>General</c:formatCode>
                <c:ptCount val="9"/>
                <c:pt idx="0">
                  <c:v>2.6008035160810284E-2</c:v>
                </c:pt>
                <c:pt idx="1">
                  <c:v>2.3867000426786095E-2</c:v>
                </c:pt>
                <c:pt idx="2">
                  <c:v>2.2146824292386444E-2</c:v>
                </c:pt>
                <c:pt idx="3">
                  <c:v>2.0745123931810223E-2</c:v>
                </c:pt>
                <c:pt idx="4">
                  <c:v>1.9587460344723601E-2</c:v>
                </c:pt>
                <c:pt idx="5">
                  <c:v>1.8618840917076718E-2</c:v>
                </c:pt>
                <c:pt idx="6">
                  <c:v>1.7798032874857247E-2</c:v>
                </c:pt>
                <c:pt idx="7">
                  <c:v>1.7093693571192194E-2</c:v>
                </c:pt>
                <c:pt idx="8">
                  <c:v>1.6481695646105854E-2</c:v>
                </c:pt>
              </c:numCache>
            </c:numRef>
          </c:yVal>
          <c:smooth val="0"/>
          <c:extLst>
            <c:ext xmlns:c16="http://schemas.microsoft.com/office/drawing/2014/chart" uri="{C3380CC4-5D6E-409C-BE32-E72D297353CC}">
              <c16:uniqueId val="{00000018-91EA-4219-A3D9-8DE5FC918791}"/>
            </c:ext>
          </c:extLst>
        </c:ser>
        <c:ser>
          <c:idx val="4"/>
          <c:order val="4"/>
          <c:tx>
            <c:v>UA model, green line</c:v>
          </c:tx>
          <c:spPr>
            <a:ln w="0">
              <a:solidFill>
                <a:srgbClr val="008000"/>
              </a:solidFill>
            </a:ln>
          </c:spPr>
          <c:marker>
            <c:symbol val="plus"/>
            <c:size val="7"/>
            <c:spPr>
              <a:ln w="0">
                <a:solidFill>
                  <a:srgbClr val="008000"/>
                </a:solidFill>
              </a:ln>
            </c:spPr>
          </c:marker>
          <c:xVal>
            <c:numRef>
              <c:f>TX_Graphs!$L$138:$L$144</c:f>
              <c:numCache>
                <c:formatCode>General</c:formatCode>
                <c:ptCount val="7"/>
                <c:pt idx="0">
                  <c:v>3.0362102189725415E-4</c:v>
                </c:pt>
                <c:pt idx="1">
                  <c:v>3.1296102189725414E-4</c:v>
                </c:pt>
                <c:pt idx="2">
                  <c:v>3.2230102189725413E-4</c:v>
                </c:pt>
                <c:pt idx="3">
                  <c:v>3.3164102189725417E-4</c:v>
                </c:pt>
                <c:pt idx="4">
                  <c:v>3.4098102189725416E-4</c:v>
                </c:pt>
                <c:pt idx="5">
                  <c:v>3.5032102189725415E-4</c:v>
                </c:pt>
                <c:pt idx="6">
                  <c:v>3.9702102189725414E-4</c:v>
                </c:pt>
              </c:numCache>
            </c:numRef>
          </c:xVal>
          <c:yVal>
            <c:numRef>
              <c:f>TX_Graphs!$O$138:$O$144</c:f>
              <c:numCache>
                <c:formatCode>General</c:formatCode>
                <c:ptCount val="7"/>
                <c:pt idx="0">
                  <c:v>1.1614641520744965E-2</c:v>
                </c:pt>
                <c:pt idx="1">
                  <c:v>1.2395481520744964E-2</c:v>
                </c:pt>
                <c:pt idx="2">
                  <c:v>1.3176321520744964E-2</c:v>
                </c:pt>
                <c:pt idx="3">
                  <c:v>1.3957161520744964E-2</c:v>
                </c:pt>
                <c:pt idx="4">
                  <c:v>1.4738001520744965E-2</c:v>
                </c:pt>
                <c:pt idx="5">
                  <c:v>1.5518841520744965E-2</c:v>
                </c:pt>
                <c:pt idx="6">
                  <c:v>1.9423041520744963E-2</c:v>
                </c:pt>
              </c:numCache>
            </c:numRef>
          </c:yVal>
          <c:smooth val="0"/>
          <c:extLst>
            <c:ext xmlns:c16="http://schemas.microsoft.com/office/drawing/2014/chart" uri="{C3380CC4-5D6E-409C-BE32-E72D297353CC}">
              <c16:uniqueId val="{00000022-91EA-4219-A3D9-8DE5FC918791}"/>
            </c:ext>
          </c:extLst>
        </c:ser>
        <c:ser>
          <c:idx val="5"/>
          <c:order val="5"/>
          <c:tx>
            <c:v>UA + excess N2</c:v>
          </c:tx>
          <c:spPr>
            <a:ln w="0">
              <a:solidFill>
                <a:srgbClr val="F0720A"/>
              </a:solidFill>
            </a:ln>
          </c:spPr>
          <c:marker>
            <c:symbol val="plus"/>
            <c:size val="7"/>
            <c:spPr>
              <a:ln w="0">
                <a:solidFill>
                  <a:srgbClr val="F0720A"/>
                </a:solidFill>
              </a:ln>
            </c:spPr>
          </c:marker>
          <c:xVal>
            <c:numRef>
              <c:f>TX_Graphs!$L$145:$L$151</c:f>
              <c:numCache>
                <c:formatCode>General</c:formatCode>
                <c:ptCount val="7"/>
                <c:pt idx="0">
                  <c:v>3.1296102189725414E-4</c:v>
                </c:pt>
                <c:pt idx="1">
                  <c:v>3.1296102189725414E-4</c:v>
                </c:pt>
                <c:pt idx="2">
                  <c:v>3.1296102189725414E-4</c:v>
                </c:pt>
                <c:pt idx="3">
                  <c:v>3.1296102189725414E-4</c:v>
                </c:pt>
                <c:pt idx="4">
                  <c:v>3.1296102189725414E-4</c:v>
                </c:pt>
                <c:pt idx="5">
                  <c:v>3.1296102189725414E-4</c:v>
                </c:pt>
                <c:pt idx="6">
                  <c:v>3.1296102189725414E-4</c:v>
                </c:pt>
              </c:numCache>
            </c:numRef>
          </c:xVal>
          <c:yVal>
            <c:numRef>
              <c:f>TX_Graphs!$O$145:$O$151</c:f>
              <c:numCache>
                <c:formatCode>General</c:formatCode>
                <c:ptCount val="7"/>
                <c:pt idx="0">
                  <c:v>1.2395481520744964E-2</c:v>
                </c:pt>
                <c:pt idx="1">
                  <c:v>1.3194842032335693E-2</c:v>
                </c:pt>
                <c:pt idx="2">
                  <c:v>1.399420254392642E-2</c:v>
                </c:pt>
                <c:pt idx="3">
                  <c:v>1.4793563055517149E-2</c:v>
                </c:pt>
                <c:pt idx="4">
                  <c:v>1.5592923567107876E-2</c:v>
                </c:pt>
                <c:pt idx="5">
                  <c:v>1.6392284078698603E-2</c:v>
                </c:pt>
                <c:pt idx="6">
                  <c:v>2.0389086636652246E-2</c:v>
                </c:pt>
              </c:numCache>
            </c:numRef>
          </c:yVal>
          <c:smooth val="0"/>
          <c:extLst>
            <c:ext xmlns:c16="http://schemas.microsoft.com/office/drawing/2014/chart" uri="{C3380CC4-5D6E-409C-BE32-E72D297353CC}">
              <c16:uniqueId val="{00000023-91EA-4219-A3D9-8DE5FC918791}"/>
            </c:ext>
          </c:extLst>
        </c:ser>
        <c:ser>
          <c:idx val="6"/>
          <c:order val="6"/>
          <c:tx>
            <c:v>CE model, red line</c:v>
          </c:tx>
          <c:spPr>
            <a:ln w="19050" cap="rnd" cmpd="sng" algn="ctr">
              <a:solidFill>
                <a:srgbClr val="FF0000"/>
              </a:solidFill>
              <a:prstDash val="dot"/>
              <a:round/>
              <a:headEnd type="none" w="med" len="med"/>
              <a:tailEnd type="none" w="med" len="med"/>
            </a:ln>
          </c:spPr>
          <c:marker>
            <c:symbol val="none"/>
          </c:marker>
          <c:xVal>
            <c:numRef>
              <c:f>TX_Graphs!$L$152:$L$167</c:f>
              <c:numCache>
                <c:formatCode>General</c:formatCode>
                <c:ptCount val="16"/>
                <c:pt idx="0">
                  <c:v>3.0362102189725415E-4</c:v>
                </c:pt>
                <c:pt idx="1">
                  <c:v>3.2121836197285828E-4</c:v>
                </c:pt>
                <c:pt idx="2">
                  <c:v>3.2927364166332386E-4</c:v>
                </c:pt>
                <c:pt idx="3">
                  <c:v>3.3688762810004573E-4</c:v>
                </c:pt>
                <c:pt idx="4">
                  <c:v>3.4409561758612026E-4</c:v>
                </c:pt>
                <c:pt idx="5">
                  <c:v>3.6053914328626236E-4</c:v>
                </c:pt>
                <c:pt idx="6">
                  <c:v>3.7504848261378623E-4</c:v>
                </c:pt>
                <c:pt idx="7">
                  <c:v>3.8794594550050021E-4</c:v>
                </c:pt>
                <c:pt idx="8">
                  <c:v>3.9948599801653984E-4</c:v>
                </c:pt>
                <c:pt idx="9">
                  <c:v>4.0987222075673525E-4</c:v>
                </c:pt>
                <c:pt idx="10">
                  <c:v>4.1926942267541138E-4</c:v>
                </c:pt>
                <c:pt idx="11">
                  <c:v>4.2781245160476326E-4</c:v>
                </c:pt>
                <c:pt idx="12">
                  <c:v>4.3561270668104288E-4</c:v>
                </c:pt>
                <c:pt idx="13">
                  <c:v>4.6625747367171966E-4</c:v>
                </c:pt>
                <c:pt idx="14">
                  <c:v>4.876168034773244E-4</c:v>
                </c:pt>
                <c:pt idx="15">
                  <c:v>5.3275581310927511E-4</c:v>
                </c:pt>
              </c:numCache>
            </c:numRef>
          </c:xVal>
          <c:yVal>
            <c:numRef>
              <c:f>TX_Graphs!$O$152:$O$167</c:f>
              <c:numCache>
                <c:formatCode>General</c:formatCode>
                <c:ptCount val="16"/>
                <c:pt idx="0">
                  <c:v>1.1614641520744965E-2</c:v>
                </c:pt>
                <c:pt idx="1">
                  <c:v>1.2991228555416193E-2</c:v>
                </c:pt>
                <c:pt idx="2">
                  <c:v>1.3564001354027405E-2</c:v>
                </c:pt>
                <c:pt idx="3">
                  <c:v>1.4076081539540696E-2</c:v>
                </c:pt>
                <c:pt idx="4">
                  <c:v>1.4536630469770311E-2</c:v>
                </c:pt>
                <c:pt idx="5">
                  <c:v>1.5507896217818578E-2</c:v>
                </c:pt>
                <c:pt idx="6">
                  <c:v>1.6283929116805592E-2</c:v>
                </c:pt>
                <c:pt idx="7">
                  <c:v>1.6918218503063829E-2</c:v>
                </c:pt>
                <c:pt idx="8">
                  <c:v>1.7446349061257155E-2</c:v>
                </c:pt>
                <c:pt idx="9">
                  <c:v>1.7892913913966964E-2</c:v>
                </c:pt>
                <c:pt idx="10">
                  <c:v>1.8275454300817281E-2</c:v>
                </c:pt>
                <c:pt idx="11">
                  <c:v>1.8606818096324858E-2</c:v>
                </c:pt>
                <c:pt idx="12">
                  <c:v>1.8896631100930678E-2</c:v>
                </c:pt>
                <c:pt idx="13">
                  <c:v>1.9930685847742845E-2</c:v>
                </c:pt>
                <c:pt idx="14">
                  <c:v>2.056625814276725E-2</c:v>
                </c:pt>
                <c:pt idx="15">
                  <c:v>2.1725359510783904E-2</c:v>
                </c:pt>
              </c:numCache>
            </c:numRef>
          </c:yVal>
          <c:smooth val="0"/>
          <c:extLst>
            <c:ext xmlns:c16="http://schemas.microsoft.com/office/drawing/2014/chart" uri="{C3380CC4-5D6E-409C-BE32-E72D297353CC}">
              <c16:uniqueId val="{00000024-91EA-4219-A3D9-8DE5FC918791}"/>
            </c:ext>
          </c:extLst>
        </c:ser>
        <c:ser>
          <c:idx val="7"/>
          <c:order val="7"/>
          <c:tx>
            <c:v>301420095093201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6"/>
            <c:spPr>
              <a:solidFill>
                <a:srgbClr val="3399FF"/>
              </a:solidFill>
              <a:ln w="3175">
                <a:solidFill>
                  <a:srgbClr val="080808"/>
                </a:solidFill>
                <a:prstDash val="solid"/>
              </a:ln>
              <a:effectLst/>
            </c:spPr>
          </c:marker>
          <c:xVal>
            <c:numRef>
              <c:f>TX_Graphs!$BD$10</c:f>
              <c:numCache>
                <c:formatCode>General</c:formatCode>
                <c:ptCount val="1"/>
                <c:pt idx="0">
                  <c:v>3.5360456264912525E-4</c:v>
                </c:pt>
              </c:numCache>
            </c:numRef>
          </c:xVal>
          <c:yVal>
            <c:numRef>
              <c:f>TX_Graphs!$BM$10</c:f>
              <c:numCache>
                <c:formatCode>General</c:formatCode>
                <c:ptCount val="1"/>
                <c:pt idx="0">
                  <c:v>1.4309376265223543E-2</c:v>
                </c:pt>
              </c:numCache>
            </c:numRef>
          </c:yVal>
          <c:smooth val="0"/>
          <c:extLst>
            <c:ext xmlns:c16="http://schemas.microsoft.com/office/drawing/2014/chart" uri="{C3380CC4-5D6E-409C-BE32-E72D297353CC}">
              <c16:uniqueId val="{00000025-91EA-4219-A3D9-8DE5FC918791}"/>
            </c:ext>
          </c:extLst>
        </c:ser>
        <c:ser>
          <c:idx val="8"/>
          <c:order val="8"/>
          <c:tx>
            <c:v>301420095093201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6"/>
            <c:spPr>
              <a:solidFill>
                <a:srgbClr val="3399FF"/>
              </a:solidFill>
              <a:ln w="3175">
                <a:solidFill>
                  <a:srgbClr val="080808"/>
                </a:solidFill>
                <a:prstDash val="solid"/>
              </a:ln>
              <a:effectLst/>
            </c:spPr>
          </c:marker>
          <c:xVal>
            <c:numRef>
              <c:f>TX_Graphs!$BD$11</c:f>
              <c:numCache>
                <c:formatCode>General</c:formatCode>
                <c:ptCount val="1"/>
                <c:pt idx="0">
                  <c:v>3.4950089111271176E-4</c:v>
                </c:pt>
              </c:numCache>
            </c:numRef>
          </c:xVal>
          <c:yVal>
            <c:numRef>
              <c:f>TX_Graphs!$BM$11</c:f>
              <c:numCache>
                <c:formatCode>General</c:formatCode>
                <c:ptCount val="1"/>
                <c:pt idx="0">
                  <c:v>1.4107788039165386E-2</c:v>
                </c:pt>
              </c:numCache>
            </c:numRef>
          </c:yVal>
          <c:smooth val="0"/>
          <c:extLst>
            <c:ext xmlns:c16="http://schemas.microsoft.com/office/drawing/2014/chart" uri="{C3380CC4-5D6E-409C-BE32-E72D297353CC}">
              <c16:uniqueId val="{00000026-91EA-4219-A3D9-8DE5FC918791}"/>
            </c:ext>
          </c:extLst>
        </c:ser>
        <c:ser>
          <c:idx val="9"/>
          <c:order val="9"/>
          <c:tx>
            <c:v>300413094402101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6"/>
            <c:spPr>
              <a:solidFill>
                <a:srgbClr val="3399FF"/>
              </a:solidFill>
              <a:ln w="3175">
                <a:solidFill>
                  <a:srgbClr val="080808"/>
                </a:solidFill>
                <a:prstDash val="solid"/>
              </a:ln>
              <a:effectLst/>
            </c:spPr>
          </c:marker>
          <c:xVal>
            <c:numRef>
              <c:f>TX_Graphs!$BD$12</c:f>
              <c:numCache>
                <c:formatCode>General</c:formatCode>
                <c:ptCount val="1"/>
                <c:pt idx="0">
                  <c:v>3.7736448976833655E-4</c:v>
                </c:pt>
              </c:numCache>
            </c:numRef>
          </c:xVal>
          <c:yVal>
            <c:numRef>
              <c:f>TX_Graphs!$BM$12</c:f>
              <c:numCache>
                <c:formatCode>General</c:formatCode>
                <c:ptCount val="1"/>
                <c:pt idx="0">
                  <c:v>1.5061516174202195E-2</c:v>
                </c:pt>
              </c:numCache>
            </c:numRef>
          </c:yVal>
          <c:smooth val="0"/>
          <c:extLst>
            <c:ext xmlns:c16="http://schemas.microsoft.com/office/drawing/2014/chart" uri="{C3380CC4-5D6E-409C-BE32-E72D297353CC}">
              <c16:uniqueId val="{00000027-91EA-4219-A3D9-8DE5FC918791}"/>
            </c:ext>
          </c:extLst>
        </c:ser>
        <c:ser>
          <c:idx val="10"/>
          <c:order val="10"/>
          <c:tx>
            <c:v>300413094402101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6"/>
            <c:spPr>
              <a:solidFill>
                <a:srgbClr val="3399FF"/>
              </a:solidFill>
              <a:ln w="3175">
                <a:solidFill>
                  <a:srgbClr val="080808"/>
                </a:solidFill>
                <a:prstDash val="solid"/>
              </a:ln>
              <a:effectLst/>
            </c:spPr>
          </c:marker>
          <c:xVal>
            <c:numRef>
              <c:f>TX_Graphs!$BD$13</c:f>
              <c:numCache>
                <c:formatCode>General</c:formatCode>
                <c:ptCount val="1"/>
                <c:pt idx="0">
                  <c:v>3.7850726497664418E-4</c:v>
                </c:pt>
              </c:numCache>
            </c:numRef>
          </c:xVal>
          <c:yVal>
            <c:numRef>
              <c:f>TX_Graphs!$BM$13</c:f>
              <c:numCache>
                <c:formatCode>General</c:formatCode>
                <c:ptCount val="1"/>
                <c:pt idx="0">
                  <c:v>1.5063863650151051E-2</c:v>
                </c:pt>
              </c:numCache>
            </c:numRef>
          </c:yVal>
          <c:smooth val="0"/>
          <c:extLst>
            <c:ext xmlns:c16="http://schemas.microsoft.com/office/drawing/2014/chart" uri="{C3380CC4-5D6E-409C-BE32-E72D297353CC}">
              <c16:uniqueId val="{00000028-91EA-4219-A3D9-8DE5FC918791}"/>
            </c:ext>
          </c:extLst>
        </c:ser>
        <c:ser>
          <c:idx val="11"/>
          <c:order val="11"/>
          <c:tx>
            <c:v>304603094101801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6"/>
            <c:spPr>
              <a:solidFill>
                <a:srgbClr val="3399FF"/>
              </a:solidFill>
              <a:ln w="3175">
                <a:solidFill>
                  <a:srgbClr val="080808"/>
                </a:solidFill>
                <a:prstDash val="solid"/>
              </a:ln>
              <a:effectLst/>
            </c:spPr>
          </c:marker>
          <c:xVal>
            <c:numRef>
              <c:f>TX_Graphs!$BD$14</c:f>
              <c:numCache>
                <c:formatCode>General</c:formatCode>
                <c:ptCount val="1"/>
                <c:pt idx="0">
                  <c:v>3.94645799929978E-4</c:v>
                </c:pt>
              </c:numCache>
            </c:numRef>
          </c:xVal>
          <c:yVal>
            <c:numRef>
              <c:f>TX_Graphs!$BM$14</c:f>
              <c:numCache>
                <c:formatCode>General</c:formatCode>
                <c:ptCount val="1"/>
                <c:pt idx="0">
                  <c:v>1.6004913288418389E-2</c:v>
                </c:pt>
              </c:numCache>
            </c:numRef>
          </c:yVal>
          <c:smooth val="0"/>
          <c:extLst>
            <c:ext xmlns:c16="http://schemas.microsoft.com/office/drawing/2014/chart" uri="{C3380CC4-5D6E-409C-BE32-E72D297353CC}">
              <c16:uniqueId val="{00000029-91EA-4219-A3D9-8DE5FC918791}"/>
            </c:ext>
          </c:extLst>
        </c:ser>
        <c:ser>
          <c:idx val="12"/>
          <c:order val="12"/>
          <c:tx>
            <c:v>304603094101801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6"/>
            <c:spPr>
              <a:solidFill>
                <a:srgbClr val="3399FF"/>
              </a:solidFill>
              <a:ln w="3175">
                <a:solidFill>
                  <a:srgbClr val="080808"/>
                </a:solidFill>
                <a:prstDash val="solid"/>
              </a:ln>
              <a:effectLst/>
            </c:spPr>
          </c:marker>
          <c:xVal>
            <c:numRef>
              <c:f>TX_Graphs!$BD$15</c:f>
              <c:numCache>
                <c:formatCode>General</c:formatCode>
                <c:ptCount val="1"/>
                <c:pt idx="0">
                  <c:v>3.9473448886539461E-4</c:v>
                </c:pt>
              </c:numCache>
            </c:numRef>
          </c:xVal>
          <c:yVal>
            <c:numRef>
              <c:f>TX_Graphs!$BM$15</c:f>
              <c:numCache>
                <c:formatCode>General</c:formatCode>
                <c:ptCount val="1"/>
                <c:pt idx="0">
                  <c:v>1.600114579388379E-2</c:v>
                </c:pt>
              </c:numCache>
            </c:numRef>
          </c:yVal>
          <c:smooth val="0"/>
          <c:extLst>
            <c:ext xmlns:c16="http://schemas.microsoft.com/office/drawing/2014/chart" uri="{C3380CC4-5D6E-409C-BE32-E72D297353CC}">
              <c16:uniqueId val="{0000002A-91EA-4219-A3D9-8DE5FC918791}"/>
            </c:ext>
          </c:extLst>
        </c:ser>
        <c:dLbls>
          <c:showLegendKey val="0"/>
          <c:showVal val="0"/>
          <c:showCatName val="0"/>
          <c:showSerName val="0"/>
          <c:showPercent val="0"/>
          <c:showBubbleSize val="0"/>
        </c:dLbls>
        <c:axId val="1998595888"/>
        <c:axId val="1992233216"/>
      </c:scatterChart>
      <c:valAx>
        <c:axId val="1998595888"/>
        <c:scaling>
          <c:orientation val="minMax"/>
        </c:scaling>
        <c:delete val="0"/>
        <c:axPos val="b"/>
        <c:title>
          <c:tx>
            <c:strRef>
              <c:f>TX_Graphs!$N$13</c:f>
              <c:strCache>
                <c:ptCount val="1"/>
                <c:pt idx="0">
                  <c:v>Ar, cm3/g</c:v>
                </c:pt>
              </c:strCache>
            </c:strRef>
          </c:tx>
          <c:overlay val="0"/>
        </c:title>
        <c:numFmt formatCode="General" sourceLinked="1"/>
        <c:majorTickMark val="none"/>
        <c:minorTickMark val="none"/>
        <c:tickLblPos val="nextTo"/>
        <c:crossAx val="1992233216"/>
        <c:crosses val="autoZero"/>
        <c:crossBetween val="midCat"/>
      </c:valAx>
      <c:valAx>
        <c:axId val="1992233216"/>
        <c:scaling>
          <c:orientation val="minMax"/>
        </c:scaling>
        <c:delete val="0"/>
        <c:axPos val="l"/>
        <c:title>
          <c:tx>
            <c:strRef>
              <c:f>TX_Graphs!$N$16</c:f>
              <c:strCache>
                <c:ptCount val="1"/>
                <c:pt idx="0">
                  <c:v>N2, cm3/g</c:v>
                </c:pt>
              </c:strCache>
            </c:strRef>
          </c:tx>
          <c:overlay val="0"/>
        </c:title>
        <c:numFmt formatCode="General" sourceLinked="1"/>
        <c:majorTickMark val="none"/>
        <c:minorTickMark val="none"/>
        <c:tickLblPos val="nextTo"/>
        <c:crossAx val="1998595888"/>
        <c:crosses val="autoZero"/>
        <c:crossBetween val="midCat"/>
      </c:valAx>
    </c:plotArea>
    <c:legend>
      <c:legendPos val="b"/>
      <c:layout>
        <c:manualLayout>
          <c:xMode val="edge"/>
          <c:yMode val="edge"/>
          <c:x val="0.11510279965004375"/>
          <c:y val="0.68938771990447989"/>
          <c:w val="0.86735311932162329"/>
          <c:h val="0.19931676828334202"/>
        </c:manualLayout>
      </c:layout>
      <c:overlay val="1"/>
      <c:spPr>
        <a:effectLst>
          <a:outerShdw blurRad="50800" dist="38100" dir="2700000" algn="tl">
            <a:prstClr val="black">
              <a:alpha val="40000"/>
            </a:prstClr>
          </a:outerShdw>
        </a:effectLst>
      </c:spPr>
      <c:txPr>
        <a:bodyPr/>
        <a:lstStyle/>
        <a:p>
          <a:pPr>
            <a:defRPr sz="800"/>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291949095024801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TX_TrcOut!$BI$4</c:f>
              <c:numCache>
                <c:formatCode>General</c:formatCode>
                <c:ptCount val="1"/>
                <c:pt idx="0">
                  <c:v>0.99003076514378618</c:v>
                </c:pt>
              </c:numCache>
            </c:numRef>
          </c:xVal>
          <c:yVal>
            <c:numRef>
              <c:f>TX_TrcOut!$BG$4</c:f>
              <c:numCache>
                <c:formatCode>General</c:formatCode>
                <c:ptCount val="1"/>
                <c:pt idx="0">
                  <c:v>2.7927138739338435E-2</c:v>
                </c:pt>
              </c:numCache>
            </c:numRef>
          </c:yVal>
          <c:smooth val="0"/>
          <c:extLst>
            <c:ext xmlns:c16="http://schemas.microsoft.com/office/drawing/2014/chart" uri="{C3380CC4-5D6E-409C-BE32-E72D297353CC}">
              <c16:uniqueId val="{00000006-5D9B-4282-82FD-3CAC4F2B3BE1}"/>
            </c:ext>
          </c:extLst>
        </c:ser>
        <c:ser>
          <c:idx val="1"/>
          <c:order val="1"/>
          <c:tx>
            <c:v>291949095024801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TX_TrcOut!$BI$5</c:f>
              <c:numCache>
                <c:formatCode>General</c:formatCode>
                <c:ptCount val="1"/>
                <c:pt idx="0">
                  <c:v>0.99003076514378618</c:v>
                </c:pt>
              </c:numCache>
            </c:numRef>
          </c:xVal>
          <c:yVal>
            <c:numRef>
              <c:f>TX_TrcOut!$BG$5</c:f>
              <c:numCache>
                <c:formatCode>General</c:formatCode>
                <c:ptCount val="1"/>
                <c:pt idx="0">
                  <c:v>2.7927138739338435E-2</c:v>
                </c:pt>
              </c:numCache>
            </c:numRef>
          </c:yVal>
          <c:smooth val="0"/>
          <c:extLst>
            <c:ext xmlns:c16="http://schemas.microsoft.com/office/drawing/2014/chart" uri="{C3380CC4-5D6E-409C-BE32-E72D297353CC}">
              <c16:uniqueId val="{00000007-5D9B-4282-82FD-3CAC4F2B3BE1}"/>
            </c:ext>
          </c:extLst>
        </c:ser>
        <c:ser>
          <c:idx val="2"/>
          <c:order val="2"/>
          <c:tx>
            <c:v>291949095024801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TX_TrcOut!$BI$6</c:f>
              <c:numCache>
                <c:formatCode>General</c:formatCode>
                <c:ptCount val="1"/>
                <c:pt idx="0">
                  <c:v>0.99006129428316691</c:v>
                </c:pt>
              </c:numCache>
            </c:numRef>
          </c:xVal>
          <c:yVal>
            <c:numRef>
              <c:f>TX_TrcOut!$BG$6</c:f>
              <c:numCache>
                <c:formatCode>General</c:formatCode>
                <c:ptCount val="1"/>
                <c:pt idx="0">
                  <c:v>2.7832981607382953E-2</c:v>
                </c:pt>
              </c:numCache>
            </c:numRef>
          </c:yVal>
          <c:smooth val="0"/>
          <c:extLst>
            <c:ext xmlns:c16="http://schemas.microsoft.com/office/drawing/2014/chart" uri="{C3380CC4-5D6E-409C-BE32-E72D297353CC}">
              <c16:uniqueId val="{00000008-5D9B-4282-82FD-3CAC4F2B3BE1}"/>
            </c:ext>
          </c:extLst>
        </c:ser>
        <c:ser>
          <c:idx val="3"/>
          <c:order val="3"/>
          <c:tx>
            <c:v>291949095024801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TX_TrcOut!$BI$7</c:f>
              <c:numCache>
                <c:formatCode>General</c:formatCode>
                <c:ptCount val="1"/>
                <c:pt idx="0">
                  <c:v>0.99006129428316691</c:v>
                </c:pt>
              </c:numCache>
            </c:numRef>
          </c:xVal>
          <c:yVal>
            <c:numRef>
              <c:f>TX_TrcOut!$BG$7</c:f>
              <c:numCache>
                <c:formatCode>General</c:formatCode>
                <c:ptCount val="1"/>
                <c:pt idx="0">
                  <c:v>2.7832981607382953E-2</c:v>
                </c:pt>
              </c:numCache>
            </c:numRef>
          </c:yVal>
          <c:smooth val="0"/>
          <c:extLst>
            <c:ext xmlns:c16="http://schemas.microsoft.com/office/drawing/2014/chart" uri="{C3380CC4-5D6E-409C-BE32-E72D297353CC}">
              <c16:uniqueId val="{00000009-5D9B-4282-82FD-3CAC4F2B3BE1}"/>
            </c:ext>
          </c:extLst>
        </c:ser>
        <c:ser>
          <c:idx val="4"/>
          <c:order val="4"/>
          <c:tx>
            <c:v>292923095091601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TX_TrcOut!$BI$8</c:f>
              <c:numCache>
                <c:formatCode>General</c:formatCode>
                <c:ptCount val="1"/>
                <c:pt idx="0">
                  <c:v>0.97615217918430863</c:v>
                </c:pt>
              </c:numCache>
            </c:numRef>
          </c:xVal>
          <c:yVal>
            <c:numRef>
              <c:f>TX_TrcOut!$BG$8</c:f>
              <c:numCache>
                <c:formatCode>General</c:formatCode>
                <c:ptCount val="1"/>
                <c:pt idx="0">
                  <c:v>3.9782396259910875E-2</c:v>
                </c:pt>
              </c:numCache>
            </c:numRef>
          </c:yVal>
          <c:smooth val="0"/>
          <c:extLst>
            <c:ext xmlns:c16="http://schemas.microsoft.com/office/drawing/2014/chart" uri="{C3380CC4-5D6E-409C-BE32-E72D297353CC}">
              <c16:uniqueId val="{0000000A-5D9B-4282-82FD-3CAC4F2B3BE1}"/>
            </c:ext>
          </c:extLst>
        </c:ser>
        <c:ser>
          <c:idx val="5"/>
          <c:order val="5"/>
          <c:tx>
            <c:v>292923095091601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TX_TrcOut!$BI$9</c:f>
              <c:numCache>
                <c:formatCode>General</c:formatCode>
                <c:ptCount val="1"/>
                <c:pt idx="0">
                  <c:v>0.97615217918430863</c:v>
                </c:pt>
              </c:numCache>
            </c:numRef>
          </c:xVal>
          <c:yVal>
            <c:numRef>
              <c:f>TX_TrcOut!$BG$9</c:f>
              <c:numCache>
                <c:formatCode>General</c:formatCode>
                <c:ptCount val="1"/>
                <c:pt idx="0">
                  <c:v>3.9782396259910875E-2</c:v>
                </c:pt>
              </c:numCache>
            </c:numRef>
          </c:yVal>
          <c:smooth val="0"/>
          <c:extLst>
            <c:ext xmlns:c16="http://schemas.microsoft.com/office/drawing/2014/chart" uri="{C3380CC4-5D6E-409C-BE32-E72D297353CC}">
              <c16:uniqueId val="{0000000B-5D9B-4282-82FD-3CAC4F2B3BE1}"/>
            </c:ext>
          </c:extLst>
        </c:ser>
        <c:ser>
          <c:idx val="6"/>
          <c:order val="6"/>
          <c:tx>
            <c:v>292923095091601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TX_TrcOut!$BI$10</c:f>
              <c:numCache>
                <c:formatCode>General</c:formatCode>
                <c:ptCount val="1"/>
                <c:pt idx="0">
                  <c:v>0.97601532624427989</c:v>
                </c:pt>
              </c:numCache>
            </c:numRef>
          </c:xVal>
          <c:yVal>
            <c:numRef>
              <c:f>TX_TrcOut!$BG$10</c:f>
              <c:numCache>
                <c:formatCode>General</c:formatCode>
                <c:ptCount val="1"/>
                <c:pt idx="0">
                  <c:v>4.0183916626491317E-2</c:v>
                </c:pt>
              </c:numCache>
            </c:numRef>
          </c:yVal>
          <c:smooth val="0"/>
          <c:extLst>
            <c:ext xmlns:c16="http://schemas.microsoft.com/office/drawing/2014/chart" uri="{C3380CC4-5D6E-409C-BE32-E72D297353CC}">
              <c16:uniqueId val="{0000000C-5D9B-4282-82FD-3CAC4F2B3BE1}"/>
            </c:ext>
          </c:extLst>
        </c:ser>
        <c:ser>
          <c:idx val="7"/>
          <c:order val="7"/>
          <c:tx>
            <c:v>292923095091601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TX_TrcOut!$BI$11</c:f>
              <c:numCache>
                <c:formatCode>General</c:formatCode>
                <c:ptCount val="1"/>
                <c:pt idx="0">
                  <c:v>0.97601532624427989</c:v>
                </c:pt>
              </c:numCache>
            </c:numRef>
          </c:xVal>
          <c:yVal>
            <c:numRef>
              <c:f>TX_TrcOut!$BG$11</c:f>
              <c:numCache>
                <c:formatCode>General</c:formatCode>
                <c:ptCount val="1"/>
                <c:pt idx="0">
                  <c:v>4.0183916626491317E-2</c:v>
                </c:pt>
              </c:numCache>
            </c:numRef>
          </c:yVal>
          <c:smooth val="0"/>
          <c:extLst>
            <c:ext xmlns:c16="http://schemas.microsoft.com/office/drawing/2014/chart" uri="{C3380CC4-5D6E-409C-BE32-E72D297353CC}">
              <c16:uniqueId val="{0000000D-5D9B-4282-82FD-3CAC4F2B3BE1}"/>
            </c:ext>
          </c:extLst>
        </c:ser>
        <c:ser>
          <c:idx val="8"/>
          <c:order val="8"/>
          <c:tx>
            <c:v>292944095550101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TX_TrcOut!$BI$12</c:f>
              <c:numCache>
                <c:formatCode>General</c:formatCode>
                <c:ptCount val="1"/>
                <c:pt idx="0">
                  <c:v>0.88826003338042503</c:v>
                </c:pt>
              </c:numCache>
            </c:numRef>
          </c:xVal>
          <c:yVal>
            <c:numRef>
              <c:f>TX_TrcOut!$BG$12</c:f>
              <c:numCache>
                <c:formatCode>General</c:formatCode>
                <c:ptCount val="1"/>
                <c:pt idx="0">
                  <c:v>0.15033263596840915</c:v>
                </c:pt>
              </c:numCache>
            </c:numRef>
          </c:yVal>
          <c:smooth val="0"/>
          <c:extLst>
            <c:ext xmlns:c16="http://schemas.microsoft.com/office/drawing/2014/chart" uri="{C3380CC4-5D6E-409C-BE32-E72D297353CC}">
              <c16:uniqueId val="{0000000E-5D9B-4282-82FD-3CAC4F2B3BE1}"/>
            </c:ext>
          </c:extLst>
        </c:ser>
        <c:ser>
          <c:idx val="9"/>
          <c:order val="9"/>
          <c:tx>
            <c:v>292944095550101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TX_TrcOut!$BI$13</c:f>
              <c:numCache>
                <c:formatCode>General</c:formatCode>
                <c:ptCount val="1"/>
                <c:pt idx="0">
                  <c:v>0.88820199671024791</c:v>
                </c:pt>
              </c:numCache>
            </c:numRef>
          </c:xVal>
          <c:yVal>
            <c:numRef>
              <c:f>TX_TrcOut!$BG$13</c:f>
              <c:numCache>
                <c:formatCode>General</c:formatCode>
                <c:ptCount val="1"/>
                <c:pt idx="0">
                  <c:v>0.14951878651312925</c:v>
                </c:pt>
              </c:numCache>
            </c:numRef>
          </c:yVal>
          <c:smooth val="0"/>
          <c:extLst>
            <c:ext xmlns:c16="http://schemas.microsoft.com/office/drawing/2014/chart" uri="{C3380CC4-5D6E-409C-BE32-E72D297353CC}">
              <c16:uniqueId val="{0000000F-5D9B-4282-82FD-3CAC4F2B3BE1}"/>
            </c:ext>
          </c:extLst>
        </c:ser>
        <c:ser>
          <c:idx val="10"/>
          <c:order val="10"/>
          <c:tx>
            <c:v>300413094402101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TX_TrcOut!$BI$14</c:f>
              <c:numCache>
                <c:formatCode>General</c:formatCode>
                <c:ptCount val="1"/>
                <c:pt idx="0">
                  <c:v>0.89213957025085711</c:v>
                </c:pt>
              </c:numCache>
            </c:numRef>
          </c:xVal>
          <c:yVal>
            <c:numRef>
              <c:f>TX_TrcOut!$BG$14</c:f>
              <c:numCache>
                <c:formatCode>General</c:formatCode>
                <c:ptCount val="1"/>
                <c:pt idx="0">
                  <c:v>0.18153824289624809</c:v>
                </c:pt>
              </c:numCache>
            </c:numRef>
          </c:yVal>
          <c:smooth val="0"/>
          <c:extLst>
            <c:ext xmlns:c16="http://schemas.microsoft.com/office/drawing/2014/chart" uri="{C3380CC4-5D6E-409C-BE32-E72D297353CC}">
              <c16:uniqueId val="{00000010-5D9B-4282-82FD-3CAC4F2B3BE1}"/>
            </c:ext>
          </c:extLst>
        </c:ser>
        <c:ser>
          <c:idx val="11"/>
          <c:order val="11"/>
          <c:tx>
            <c:v>300413094402101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TX_TrcOut!$BI$15</c:f>
              <c:numCache>
                <c:formatCode>General</c:formatCode>
                <c:ptCount val="1"/>
                <c:pt idx="0">
                  <c:v>0.89207406999003258</c:v>
                </c:pt>
              </c:numCache>
            </c:numRef>
          </c:xVal>
          <c:yVal>
            <c:numRef>
              <c:f>TX_TrcOut!$BG$15</c:f>
              <c:numCache>
                <c:formatCode>General</c:formatCode>
                <c:ptCount val="1"/>
                <c:pt idx="0">
                  <c:v>0.18148428989201079</c:v>
                </c:pt>
              </c:numCache>
            </c:numRef>
          </c:yVal>
          <c:smooth val="0"/>
          <c:extLst>
            <c:ext xmlns:c16="http://schemas.microsoft.com/office/drawing/2014/chart" uri="{C3380CC4-5D6E-409C-BE32-E72D297353CC}">
              <c16:uniqueId val="{00000011-5D9B-4282-82FD-3CAC4F2B3BE1}"/>
            </c:ext>
          </c:extLst>
        </c:ser>
        <c:ser>
          <c:idx val="12"/>
          <c:order val="12"/>
          <c:tx>
            <c:v>300932094005301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TX_TrcOut!$BI$16</c:f>
              <c:numCache>
                <c:formatCode>General</c:formatCode>
                <c:ptCount val="1"/>
                <c:pt idx="0">
                  <c:v>0.94936896220298983</c:v>
                </c:pt>
              </c:numCache>
            </c:numRef>
          </c:xVal>
          <c:yVal>
            <c:numRef>
              <c:f>TX_TrcOut!$BG$16</c:f>
              <c:numCache>
                <c:formatCode>General</c:formatCode>
                <c:ptCount val="1"/>
                <c:pt idx="0">
                  <c:v>0.13529503305605445</c:v>
                </c:pt>
              </c:numCache>
            </c:numRef>
          </c:yVal>
          <c:smooth val="0"/>
          <c:extLst>
            <c:ext xmlns:c16="http://schemas.microsoft.com/office/drawing/2014/chart" uri="{C3380CC4-5D6E-409C-BE32-E72D297353CC}">
              <c16:uniqueId val="{00000012-5D9B-4282-82FD-3CAC4F2B3BE1}"/>
            </c:ext>
          </c:extLst>
        </c:ser>
        <c:ser>
          <c:idx val="13"/>
          <c:order val="13"/>
          <c:tx>
            <c:v>300932094005301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TX_TrcOut!$BI$17</c:f>
              <c:numCache>
                <c:formatCode>General</c:formatCode>
                <c:ptCount val="1"/>
                <c:pt idx="0">
                  <c:v>0.94936896220298983</c:v>
                </c:pt>
              </c:numCache>
            </c:numRef>
          </c:xVal>
          <c:yVal>
            <c:numRef>
              <c:f>TX_TrcOut!$BG$17</c:f>
              <c:numCache>
                <c:formatCode>General</c:formatCode>
                <c:ptCount val="1"/>
                <c:pt idx="0">
                  <c:v>0.13529503305605445</c:v>
                </c:pt>
              </c:numCache>
            </c:numRef>
          </c:yVal>
          <c:smooth val="0"/>
          <c:extLst>
            <c:ext xmlns:c16="http://schemas.microsoft.com/office/drawing/2014/chart" uri="{C3380CC4-5D6E-409C-BE32-E72D297353CC}">
              <c16:uniqueId val="{00000013-5D9B-4282-82FD-3CAC4F2B3BE1}"/>
            </c:ext>
          </c:extLst>
        </c:ser>
        <c:ser>
          <c:idx val="14"/>
          <c:order val="14"/>
          <c:tx>
            <c:v>300932094005301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TX_TrcOut!$BI$18</c:f>
              <c:numCache>
                <c:formatCode>General</c:formatCode>
                <c:ptCount val="1"/>
                <c:pt idx="0">
                  <c:v>0.94925997342545709</c:v>
                </c:pt>
              </c:numCache>
            </c:numRef>
          </c:xVal>
          <c:yVal>
            <c:numRef>
              <c:f>TX_TrcOut!$BG$18</c:f>
              <c:numCache>
                <c:formatCode>General</c:formatCode>
                <c:ptCount val="1"/>
                <c:pt idx="0">
                  <c:v>0.13560328380828152</c:v>
                </c:pt>
              </c:numCache>
            </c:numRef>
          </c:yVal>
          <c:smooth val="0"/>
          <c:extLst>
            <c:ext xmlns:c16="http://schemas.microsoft.com/office/drawing/2014/chart" uri="{C3380CC4-5D6E-409C-BE32-E72D297353CC}">
              <c16:uniqueId val="{00000014-5D9B-4282-82FD-3CAC4F2B3BE1}"/>
            </c:ext>
          </c:extLst>
        </c:ser>
        <c:ser>
          <c:idx val="15"/>
          <c:order val="15"/>
          <c:tx>
            <c:v>300932094005301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TX_TrcOut!$BI$19</c:f>
              <c:numCache>
                <c:formatCode>General</c:formatCode>
                <c:ptCount val="1"/>
                <c:pt idx="0">
                  <c:v>0.94925997342545709</c:v>
                </c:pt>
              </c:numCache>
            </c:numRef>
          </c:xVal>
          <c:yVal>
            <c:numRef>
              <c:f>TX_TrcOut!$BG$19</c:f>
              <c:numCache>
                <c:formatCode>General</c:formatCode>
                <c:ptCount val="1"/>
                <c:pt idx="0">
                  <c:v>0.13560328380828152</c:v>
                </c:pt>
              </c:numCache>
            </c:numRef>
          </c:yVal>
          <c:smooth val="0"/>
          <c:extLst>
            <c:ext xmlns:c16="http://schemas.microsoft.com/office/drawing/2014/chart" uri="{C3380CC4-5D6E-409C-BE32-E72D297353CC}">
              <c16:uniqueId val="{00000015-5D9B-4282-82FD-3CAC4F2B3BE1}"/>
            </c:ext>
          </c:extLst>
        </c:ser>
        <c:ser>
          <c:idx val="16"/>
          <c:order val="16"/>
          <c:tx>
            <c:v>301420095093201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TX_TrcOut!$BI$20</c:f>
              <c:numCache>
                <c:formatCode>General</c:formatCode>
                <c:ptCount val="1"/>
                <c:pt idx="0">
                  <c:v>0.15276484391042366</c:v>
                </c:pt>
              </c:numCache>
            </c:numRef>
          </c:xVal>
          <c:yVal>
            <c:numRef>
              <c:f>TX_TrcOut!$BG$20</c:f>
              <c:numCache>
                <c:formatCode>General</c:formatCode>
                <c:ptCount val="1"/>
                <c:pt idx="0">
                  <c:v>0.81769729283040127</c:v>
                </c:pt>
              </c:numCache>
            </c:numRef>
          </c:yVal>
          <c:smooth val="0"/>
          <c:extLst>
            <c:ext xmlns:c16="http://schemas.microsoft.com/office/drawing/2014/chart" uri="{C3380CC4-5D6E-409C-BE32-E72D297353CC}">
              <c16:uniqueId val="{00000016-5D9B-4282-82FD-3CAC4F2B3BE1}"/>
            </c:ext>
          </c:extLst>
        </c:ser>
        <c:ser>
          <c:idx val="17"/>
          <c:order val="17"/>
          <c:tx>
            <c:v>301420095093201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TX_TrcOut!$BI$21</c:f>
              <c:numCache>
                <c:formatCode>General</c:formatCode>
                <c:ptCount val="1"/>
                <c:pt idx="0">
                  <c:v>0.14988010096449347</c:v>
                </c:pt>
              </c:numCache>
            </c:numRef>
          </c:xVal>
          <c:yVal>
            <c:numRef>
              <c:f>TX_TrcOut!$BG$21</c:f>
              <c:numCache>
                <c:formatCode>General</c:formatCode>
                <c:ptCount val="1"/>
                <c:pt idx="0">
                  <c:v>0.81665253439818064</c:v>
                </c:pt>
              </c:numCache>
            </c:numRef>
          </c:yVal>
          <c:smooth val="0"/>
          <c:extLst>
            <c:ext xmlns:c16="http://schemas.microsoft.com/office/drawing/2014/chart" uri="{C3380CC4-5D6E-409C-BE32-E72D297353CC}">
              <c16:uniqueId val="{00000017-5D9B-4282-82FD-3CAC4F2B3BE1}"/>
            </c:ext>
          </c:extLst>
        </c:ser>
        <c:ser>
          <c:idx val="18"/>
          <c:order val="18"/>
          <c:tx>
            <c:v>302145095473901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TX_TrcOut!$BI$22</c:f>
              <c:numCache>
                <c:formatCode>General</c:formatCode>
                <c:ptCount val="1"/>
                <c:pt idx="0">
                  <c:v>0.79904480882193729</c:v>
                </c:pt>
              </c:numCache>
            </c:numRef>
          </c:xVal>
          <c:yVal>
            <c:numRef>
              <c:f>TX_TrcOut!$BG$22</c:f>
              <c:numCache>
                <c:formatCode>General</c:formatCode>
                <c:ptCount val="1"/>
                <c:pt idx="0">
                  <c:v>0.21681218601554181</c:v>
                </c:pt>
              </c:numCache>
            </c:numRef>
          </c:yVal>
          <c:smooth val="0"/>
          <c:extLst>
            <c:ext xmlns:c16="http://schemas.microsoft.com/office/drawing/2014/chart" uri="{C3380CC4-5D6E-409C-BE32-E72D297353CC}">
              <c16:uniqueId val="{00000018-5D9B-4282-82FD-3CAC4F2B3BE1}"/>
            </c:ext>
          </c:extLst>
        </c:ser>
        <c:ser>
          <c:idx val="19"/>
          <c:order val="19"/>
          <c:tx>
            <c:v>302145095473901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TX_TrcOut!$BI$23</c:f>
              <c:numCache>
                <c:formatCode>General</c:formatCode>
                <c:ptCount val="1"/>
                <c:pt idx="0">
                  <c:v>0.79878359317632319</c:v>
                </c:pt>
              </c:numCache>
            </c:numRef>
          </c:xVal>
          <c:yVal>
            <c:numRef>
              <c:f>TX_TrcOut!$BG$23</c:f>
              <c:numCache>
                <c:formatCode>General</c:formatCode>
                <c:ptCount val="1"/>
                <c:pt idx="0">
                  <c:v>0.21655463921547255</c:v>
                </c:pt>
              </c:numCache>
            </c:numRef>
          </c:yVal>
          <c:smooth val="0"/>
          <c:extLst>
            <c:ext xmlns:c16="http://schemas.microsoft.com/office/drawing/2014/chart" uri="{C3380CC4-5D6E-409C-BE32-E72D297353CC}">
              <c16:uniqueId val="{00000019-5D9B-4282-82FD-3CAC4F2B3BE1}"/>
            </c:ext>
          </c:extLst>
        </c:ser>
        <c:ser>
          <c:idx val="20"/>
          <c:order val="20"/>
          <c:tx>
            <c:v>304603094101801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TX_TrcOut!$BI$28</c:f>
              <c:numCache>
                <c:formatCode>General</c:formatCode>
                <c:ptCount val="1"/>
                <c:pt idx="0">
                  <c:v>0.56257602052382183</c:v>
                </c:pt>
              </c:numCache>
            </c:numRef>
          </c:xVal>
          <c:yVal>
            <c:numRef>
              <c:f>TX_TrcOut!$BG$28</c:f>
              <c:numCache>
                <c:formatCode>General</c:formatCode>
                <c:ptCount val="1"/>
                <c:pt idx="0">
                  <c:v>0.44158835612917241</c:v>
                </c:pt>
              </c:numCache>
            </c:numRef>
          </c:yVal>
          <c:smooth val="0"/>
          <c:extLst>
            <c:ext xmlns:c16="http://schemas.microsoft.com/office/drawing/2014/chart" uri="{C3380CC4-5D6E-409C-BE32-E72D297353CC}">
              <c16:uniqueId val="{0000001A-5D9B-4282-82FD-3CAC4F2B3BE1}"/>
            </c:ext>
          </c:extLst>
        </c:ser>
        <c:ser>
          <c:idx val="21"/>
          <c:order val="21"/>
          <c:tx>
            <c:v>304603094101801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TX_TrcOut!$BI$29</c:f>
              <c:numCache>
                <c:formatCode>General</c:formatCode>
                <c:ptCount val="1"/>
                <c:pt idx="0">
                  <c:v>0.56257602052382183</c:v>
                </c:pt>
              </c:numCache>
            </c:numRef>
          </c:xVal>
          <c:yVal>
            <c:numRef>
              <c:f>TX_TrcOut!$BG$29</c:f>
              <c:numCache>
                <c:formatCode>General</c:formatCode>
                <c:ptCount val="1"/>
                <c:pt idx="0">
                  <c:v>0.44158835612917241</c:v>
                </c:pt>
              </c:numCache>
            </c:numRef>
          </c:yVal>
          <c:smooth val="0"/>
          <c:extLst>
            <c:ext xmlns:c16="http://schemas.microsoft.com/office/drawing/2014/chart" uri="{C3380CC4-5D6E-409C-BE32-E72D297353CC}">
              <c16:uniqueId val="{0000001B-5D9B-4282-82FD-3CAC4F2B3BE1}"/>
            </c:ext>
          </c:extLst>
        </c:ser>
        <c:ser>
          <c:idx val="22"/>
          <c:order val="22"/>
          <c:tx>
            <c:v>304603094101801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TX_TrcOut!$BI$30</c:f>
              <c:numCache>
                <c:formatCode>General</c:formatCode>
                <c:ptCount val="1"/>
                <c:pt idx="0">
                  <c:v>0.56258045486404684</c:v>
                </c:pt>
              </c:numCache>
            </c:numRef>
          </c:xVal>
          <c:yVal>
            <c:numRef>
              <c:f>TX_TrcOut!$BG$30</c:f>
              <c:numCache>
                <c:formatCode>General</c:formatCode>
                <c:ptCount val="1"/>
                <c:pt idx="0">
                  <c:v>0.44162168174271726</c:v>
                </c:pt>
              </c:numCache>
            </c:numRef>
          </c:yVal>
          <c:smooth val="0"/>
          <c:extLst>
            <c:ext xmlns:c16="http://schemas.microsoft.com/office/drawing/2014/chart" uri="{C3380CC4-5D6E-409C-BE32-E72D297353CC}">
              <c16:uniqueId val="{0000001C-5D9B-4282-82FD-3CAC4F2B3BE1}"/>
            </c:ext>
          </c:extLst>
        </c:ser>
        <c:ser>
          <c:idx val="23"/>
          <c:order val="23"/>
          <c:tx>
            <c:v>304603094101801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TX_TrcOut!$BI$31</c:f>
              <c:numCache>
                <c:formatCode>General</c:formatCode>
                <c:ptCount val="1"/>
                <c:pt idx="0">
                  <c:v>0.56258045486404684</c:v>
                </c:pt>
              </c:numCache>
            </c:numRef>
          </c:xVal>
          <c:yVal>
            <c:numRef>
              <c:f>TX_TrcOut!$BG$31</c:f>
              <c:numCache>
                <c:formatCode>General</c:formatCode>
                <c:ptCount val="1"/>
                <c:pt idx="0">
                  <c:v>0.44162168174271726</c:v>
                </c:pt>
              </c:numCache>
            </c:numRef>
          </c:yVal>
          <c:smooth val="0"/>
          <c:extLst>
            <c:ext xmlns:c16="http://schemas.microsoft.com/office/drawing/2014/chart" uri="{C3380CC4-5D6E-409C-BE32-E72D297353CC}">
              <c16:uniqueId val="{0000001D-5D9B-4282-82FD-3CAC4F2B3BE1}"/>
            </c:ext>
          </c:extLst>
        </c:ser>
        <c:ser>
          <c:idx val="24"/>
          <c:order val="24"/>
          <c:tx>
            <c:v>305947093395001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TX_TrcOut!$BI$32</c:f>
              <c:numCache>
                <c:formatCode>General</c:formatCode>
                <c:ptCount val="1"/>
                <c:pt idx="0">
                  <c:v>0.77583293664566444</c:v>
                </c:pt>
              </c:numCache>
            </c:numRef>
          </c:xVal>
          <c:yVal>
            <c:numRef>
              <c:f>TX_TrcOut!$BG$32</c:f>
              <c:numCache>
                <c:formatCode>General</c:formatCode>
                <c:ptCount val="1"/>
                <c:pt idx="0">
                  <c:v>0.2537972112948948</c:v>
                </c:pt>
              </c:numCache>
            </c:numRef>
          </c:yVal>
          <c:smooth val="0"/>
          <c:extLst>
            <c:ext xmlns:c16="http://schemas.microsoft.com/office/drawing/2014/chart" uri="{C3380CC4-5D6E-409C-BE32-E72D297353CC}">
              <c16:uniqueId val="{0000001E-5D9B-4282-82FD-3CAC4F2B3BE1}"/>
            </c:ext>
          </c:extLst>
        </c:ser>
        <c:ser>
          <c:idx val="25"/>
          <c:order val="25"/>
          <c:tx>
            <c:v>305947093395001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TX_TrcOut!$BI$33</c:f>
              <c:numCache>
                <c:formatCode>General</c:formatCode>
                <c:ptCount val="1"/>
                <c:pt idx="0">
                  <c:v>0.77583293664566444</c:v>
                </c:pt>
              </c:numCache>
            </c:numRef>
          </c:xVal>
          <c:yVal>
            <c:numRef>
              <c:f>TX_TrcOut!$BG$33</c:f>
              <c:numCache>
                <c:formatCode>General</c:formatCode>
                <c:ptCount val="1"/>
                <c:pt idx="0">
                  <c:v>0.2537972112948948</c:v>
                </c:pt>
              </c:numCache>
            </c:numRef>
          </c:yVal>
          <c:smooth val="0"/>
          <c:extLst>
            <c:ext xmlns:c16="http://schemas.microsoft.com/office/drawing/2014/chart" uri="{C3380CC4-5D6E-409C-BE32-E72D297353CC}">
              <c16:uniqueId val="{0000001F-5D9B-4282-82FD-3CAC4F2B3BE1}"/>
            </c:ext>
          </c:extLst>
        </c:ser>
        <c:ser>
          <c:idx val="26"/>
          <c:order val="26"/>
          <c:tx>
            <c:v>305947093395001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TX_TrcOut!$BI$34</c:f>
              <c:numCache>
                <c:formatCode>General</c:formatCode>
                <c:ptCount val="1"/>
                <c:pt idx="0">
                  <c:v>0.77566913471394083</c:v>
                </c:pt>
              </c:numCache>
            </c:numRef>
          </c:xVal>
          <c:yVal>
            <c:numRef>
              <c:f>TX_TrcOut!$BG$34</c:f>
              <c:numCache>
                <c:formatCode>General</c:formatCode>
                <c:ptCount val="1"/>
                <c:pt idx="0">
                  <c:v>0.25466677849291852</c:v>
                </c:pt>
              </c:numCache>
            </c:numRef>
          </c:yVal>
          <c:smooth val="0"/>
          <c:extLst>
            <c:ext xmlns:c16="http://schemas.microsoft.com/office/drawing/2014/chart" uri="{C3380CC4-5D6E-409C-BE32-E72D297353CC}">
              <c16:uniqueId val="{00000020-5D9B-4282-82FD-3CAC4F2B3BE1}"/>
            </c:ext>
          </c:extLst>
        </c:ser>
        <c:ser>
          <c:idx val="27"/>
          <c:order val="27"/>
          <c:tx>
            <c:v>305947093395001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TX_TrcOut!$BI$35</c:f>
              <c:numCache>
                <c:formatCode>General</c:formatCode>
                <c:ptCount val="1"/>
                <c:pt idx="0">
                  <c:v>0.77566913471394083</c:v>
                </c:pt>
              </c:numCache>
            </c:numRef>
          </c:xVal>
          <c:yVal>
            <c:numRef>
              <c:f>TX_TrcOut!$BG$35</c:f>
              <c:numCache>
                <c:formatCode>General</c:formatCode>
                <c:ptCount val="1"/>
                <c:pt idx="0">
                  <c:v>0.25466677849291852</c:v>
                </c:pt>
              </c:numCache>
            </c:numRef>
          </c:yVal>
          <c:smooth val="0"/>
          <c:extLst>
            <c:ext xmlns:c16="http://schemas.microsoft.com/office/drawing/2014/chart" uri="{C3380CC4-5D6E-409C-BE32-E72D297353CC}">
              <c16:uniqueId val="{00000021-5D9B-4282-82FD-3CAC4F2B3BE1}"/>
            </c:ext>
          </c:extLst>
        </c:ser>
        <c:ser>
          <c:idx val="28"/>
          <c:order val="28"/>
          <c:tx>
            <c:v>271315097473201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TX_TrcOut!$BI$36</c:f>
              <c:numCache>
                <c:formatCode>General</c:formatCode>
                <c:ptCount val="1"/>
                <c:pt idx="0">
                  <c:v>0.94617265869880995</c:v>
                </c:pt>
              </c:numCache>
            </c:numRef>
          </c:xVal>
          <c:yVal>
            <c:numRef>
              <c:f>TX_TrcOut!$BG$36</c:f>
              <c:numCache>
                <c:formatCode>General</c:formatCode>
                <c:ptCount val="1"/>
                <c:pt idx="0">
                  <c:v>6.5364314268493567E-2</c:v>
                </c:pt>
              </c:numCache>
            </c:numRef>
          </c:yVal>
          <c:smooth val="0"/>
          <c:extLst>
            <c:ext xmlns:c16="http://schemas.microsoft.com/office/drawing/2014/chart" uri="{C3380CC4-5D6E-409C-BE32-E72D297353CC}">
              <c16:uniqueId val="{00000022-5D9B-4282-82FD-3CAC4F2B3BE1}"/>
            </c:ext>
          </c:extLst>
        </c:ser>
        <c:ser>
          <c:idx val="29"/>
          <c:order val="29"/>
          <c:tx>
            <c:v>271315097473201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TX_TrcOut!$BI$37</c:f>
              <c:numCache>
                <c:formatCode>General</c:formatCode>
                <c:ptCount val="1"/>
                <c:pt idx="0">
                  <c:v>0.94617265869880995</c:v>
                </c:pt>
              </c:numCache>
            </c:numRef>
          </c:xVal>
          <c:yVal>
            <c:numRef>
              <c:f>TX_TrcOut!$BG$37</c:f>
              <c:numCache>
                <c:formatCode>General</c:formatCode>
                <c:ptCount val="1"/>
                <c:pt idx="0">
                  <c:v>6.5364314268493567E-2</c:v>
                </c:pt>
              </c:numCache>
            </c:numRef>
          </c:yVal>
          <c:smooth val="0"/>
          <c:extLst>
            <c:ext xmlns:c16="http://schemas.microsoft.com/office/drawing/2014/chart" uri="{C3380CC4-5D6E-409C-BE32-E72D297353CC}">
              <c16:uniqueId val="{00000023-5D9B-4282-82FD-3CAC4F2B3BE1}"/>
            </c:ext>
          </c:extLst>
        </c:ser>
        <c:ser>
          <c:idx val="30"/>
          <c:order val="30"/>
          <c:tx>
            <c:v>271315097473201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TX_TrcOut!$BI$38</c:f>
              <c:numCache>
                <c:formatCode>General</c:formatCode>
                <c:ptCount val="1"/>
                <c:pt idx="0">
                  <c:v>0.94611412073101642</c:v>
                </c:pt>
              </c:numCache>
            </c:numRef>
          </c:xVal>
          <c:yVal>
            <c:numRef>
              <c:f>TX_TrcOut!$BG$38</c:f>
              <c:numCache>
                <c:formatCode>General</c:formatCode>
                <c:ptCount val="1"/>
                <c:pt idx="0">
                  <c:v>6.5404656155233276E-2</c:v>
                </c:pt>
              </c:numCache>
            </c:numRef>
          </c:yVal>
          <c:smooth val="0"/>
          <c:extLst>
            <c:ext xmlns:c16="http://schemas.microsoft.com/office/drawing/2014/chart" uri="{C3380CC4-5D6E-409C-BE32-E72D297353CC}">
              <c16:uniqueId val="{00000024-5D9B-4282-82FD-3CAC4F2B3BE1}"/>
            </c:ext>
          </c:extLst>
        </c:ser>
        <c:ser>
          <c:idx val="31"/>
          <c:order val="31"/>
          <c:tx>
            <c:v>271315097473201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TX_TrcOut!$BI$39</c:f>
              <c:numCache>
                <c:formatCode>General</c:formatCode>
                <c:ptCount val="1"/>
                <c:pt idx="0">
                  <c:v>0.94611412073101642</c:v>
                </c:pt>
              </c:numCache>
            </c:numRef>
          </c:xVal>
          <c:yVal>
            <c:numRef>
              <c:f>TX_TrcOut!$BG$39</c:f>
              <c:numCache>
                <c:formatCode>General</c:formatCode>
                <c:ptCount val="1"/>
                <c:pt idx="0">
                  <c:v>6.5404656155233276E-2</c:v>
                </c:pt>
              </c:numCache>
            </c:numRef>
          </c:yVal>
          <c:smooth val="0"/>
          <c:extLst>
            <c:ext xmlns:c16="http://schemas.microsoft.com/office/drawing/2014/chart" uri="{C3380CC4-5D6E-409C-BE32-E72D297353CC}">
              <c16:uniqueId val="{00000025-5D9B-4282-82FD-3CAC4F2B3BE1}"/>
            </c:ext>
          </c:extLst>
        </c:ser>
        <c:ser>
          <c:idx val="32"/>
          <c:order val="32"/>
          <c:tx>
            <c:v>271505098073401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TX_TrcOut!$BI$40</c:f>
              <c:numCache>
                <c:formatCode>General</c:formatCode>
                <c:ptCount val="1"/>
                <c:pt idx="0">
                  <c:v>0.95371568489947223</c:v>
                </c:pt>
              </c:numCache>
            </c:numRef>
          </c:xVal>
          <c:yVal>
            <c:numRef>
              <c:f>TX_TrcOut!$BG$40</c:f>
              <c:numCache>
                <c:formatCode>General</c:formatCode>
                <c:ptCount val="1"/>
                <c:pt idx="0">
                  <c:v>0.11150607951503391</c:v>
                </c:pt>
              </c:numCache>
            </c:numRef>
          </c:yVal>
          <c:smooth val="0"/>
          <c:extLst>
            <c:ext xmlns:c16="http://schemas.microsoft.com/office/drawing/2014/chart" uri="{C3380CC4-5D6E-409C-BE32-E72D297353CC}">
              <c16:uniqueId val="{00000026-5D9B-4282-82FD-3CAC4F2B3BE1}"/>
            </c:ext>
          </c:extLst>
        </c:ser>
        <c:ser>
          <c:idx val="33"/>
          <c:order val="33"/>
          <c:tx>
            <c:v>271505098073401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TX_TrcOut!$BI$41</c:f>
              <c:numCache>
                <c:formatCode>General</c:formatCode>
                <c:ptCount val="1"/>
                <c:pt idx="0">
                  <c:v>0.95371568489947223</c:v>
                </c:pt>
              </c:numCache>
            </c:numRef>
          </c:xVal>
          <c:yVal>
            <c:numRef>
              <c:f>TX_TrcOut!$BG$41</c:f>
              <c:numCache>
                <c:formatCode>General</c:formatCode>
                <c:ptCount val="1"/>
                <c:pt idx="0">
                  <c:v>0.11150607951503391</c:v>
                </c:pt>
              </c:numCache>
            </c:numRef>
          </c:yVal>
          <c:smooth val="0"/>
          <c:extLst>
            <c:ext xmlns:c16="http://schemas.microsoft.com/office/drawing/2014/chart" uri="{C3380CC4-5D6E-409C-BE32-E72D297353CC}">
              <c16:uniqueId val="{00000027-5D9B-4282-82FD-3CAC4F2B3BE1}"/>
            </c:ext>
          </c:extLst>
        </c:ser>
        <c:ser>
          <c:idx val="34"/>
          <c:order val="34"/>
          <c:tx>
            <c:v>271843098401101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TX_TrcOut!$BI$42</c:f>
              <c:numCache>
                <c:formatCode>General</c:formatCode>
                <c:ptCount val="1"/>
                <c:pt idx="0">
                  <c:v>0.99019264978793331</c:v>
                </c:pt>
              </c:numCache>
            </c:numRef>
          </c:xVal>
          <c:yVal>
            <c:numRef>
              <c:f>TX_TrcOut!$BG$42</c:f>
              <c:numCache>
                <c:formatCode>General</c:formatCode>
                <c:ptCount val="1"/>
                <c:pt idx="0">
                  <c:v>2.5968915891042527E-2</c:v>
                </c:pt>
              </c:numCache>
            </c:numRef>
          </c:yVal>
          <c:smooth val="0"/>
          <c:extLst>
            <c:ext xmlns:c16="http://schemas.microsoft.com/office/drawing/2014/chart" uri="{C3380CC4-5D6E-409C-BE32-E72D297353CC}">
              <c16:uniqueId val="{00000028-5D9B-4282-82FD-3CAC4F2B3BE1}"/>
            </c:ext>
          </c:extLst>
        </c:ser>
        <c:ser>
          <c:idx val="35"/>
          <c:order val="35"/>
          <c:tx>
            <c:v>271843098401101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TX_TrcOut!$BI$43</c:f>
              <c:numCache>
                <c:formatCode>General</c:formatCode>
                <c:ptCount val="1"/>
                <c:pt idx="0">
                  <c:v>0.99019264978793331</c:v>
                </c:pt>
              </c:numCache>
            </c:numRef>
          </c:xVal>
          <c:yVal>
            <c:numRef>
              <c:f>TX_TrcOut!$BG$43</c:f>
              <c:numCache>
                <c:formatCode>General</c:formatCode>
                <c:ptCount val="1"/>
                <c:pt idx="0">
                  <c:v>2.5968915891042527E-2</c:v>
                </c:pt>
              </c:numCache>
            </c:numRef>
          </c:yVal>
          <c:smooth val="0"/>
          <c:extLst>
            <c:ext xmlns:c16="http://schemas.microsoft.com/office/drawing/2014/chart" uri="{C3380CC4-5D6E-409C-BE32-E72D297353CC}">
              <c16:uniqueId val="{00000029-5D9B-4282-82FD-3CAC4F2B3BE1}"/>
            </c:ext>
          </c:extLst>
        </c:ser>
        <c:ser>
          <c:idx val="36"/>
          <c:order val="36"/>
          <c:tx>
            <c:v>271843098401101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TX_TrcOut!$BI$44</c:f>
              <c:numCache>
                <c:formatCode>General</c:formatCode>
                <c:ptCount val="1"/>
                <c:pt idx="0">
                  <c:v>0.99022113765107156</c:v>
                </c:pt>
              </c:numCache>
            </c:numRef>
          </c:xVal>
          <c:yVal>
            <c:numRef>
              <c:f>TX_TrcOut!$BG$44</c:f>
              <c:numCache>
                <c:formatCode>General</c:formatCode>
                <c:ptCount val="1"/>
                <c:pt idx="0">
                  <c:v>2.5880539957427621E-2</c:v>
                </c:pt>
              </c:numCache>
            </c:numRef>
          </c:yVal>
          <c:smooth val="0"/>
          <c:extLst>
            <c:ext xmlns:c16="http://schemas.microsoft.com/office/drawing/2014/chart" uri="{C3380CC4-5D6E-409C-BE32-E72D297353CC}">
              <c16:uniqueId val="{0000002A-5D9B-4282-82FD-3CAC4F2B3BE1}"/>
            </c:ext>
          </c:extLst>
        </c:ser>
        <c:ser>
          <c:idx val="37"/>
          <c:order val="37"/>
          <c:tx>
            <c:v>271843098401101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TX_TrcOut!$BI$45</c:f>
              <c:numCache>
                <c:formatCode>General</c:formatCode>
                <c:ptCount val="1"/>
                <c:pt idx="0">
                  <c:v>0.99022113765107156</c:v>
                </c:pt>
              </c:numCache>
            </c:numRef>
          </c:xVal>
          <c:yVal>
            <c:numRef>
              <c:f>TX_TrcOut!$BG$45</c:f>
              <c:numCache>
                <c:formatCode>General</c:formatCode>
                <c:ptCount val="1"/>
                <c:pt idx="0">
                  <c:v>2.5880539957427621E-2</c:v>
                </c:pt>
              </c:numCache>
            </c:numRef>
          </c:yVal>
          <c:smooth val="0"/>
          <c:extLst>
            <c:ext xmlns:c16="http://schemas.microsoft.com/office/drawing/2014/chart" uri="{C3380CC4-5D6E-409C-BE32-E72D297353CC}">
              <c16:uniqueId val="{0000002B-5D9B-4282-82FD-3CAC4F2B3BE1}"/>
            </c:ext>
          </c:extLst>
        </c:ser>
        <c:ser>
          <c:idx val="38"/>
          <c:order val="38"/>
          <c:tx>
            <c:v>272638098532301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FF0000"/>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TX_TrcOut!$BI$46</c:f>
              <c:numCache>
                <c:formatCode>General</c:formatCode>
                <c:ptCount val="1"/>
                <c:pt idx="0">
                  <c:v>0.74182526176987185</c:v>
                </c:pt>
              </c:numCache>
            </c:numRef>
          </c:xVal>
          <c:yVal>
            <c:numRef>
              <c:f>TX_TrcOut!$BG$46</c:f>
              <c:numCache>
                <c:formatCode>General</c:formatCode>
                <c:ptCount val="1"/>
                <c:pt idx="0">
                  <c:v>0.22629710016674562</c:v>
                </c:pt>
              </c:numCache>
            </c:numRef>
          </c:yVal>
          <c:smooth val="0"/>
          <c:extLst>
            <c:ext xmlns:c16="http://schemas.microsoft.com/office/drawing/2014/chart" uri="{C3380CC4-5D6E-409C-BE32-E72D297353CC}">
              <c16:uniqueId val="{0000002C-5D9B-4282-82FD-3CAC4F2B3BE1}"/>
            </c:ext>
          </c:extLst>
        </c:ser>
        <c:ser>
          <c:idx val="39"/>
          <c:order val="39"/>
          <c:tx>
            <c:v>272638098532301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FF0000"/>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TX_TrcOut!$BI$47</c:f>
              <c:numCache>
                <c:formatCode>General</c:formatCode>
                <c:ptCount val="1"/>
                <c:pt idx="0">
                  <c:v>0.74182526176987185</c:v>
                </c:pt>
              </c:numCache>
            </c:numRef>
          </c:xVal>
          <c:yVal>
            <c:numRef>
              <c:f>TX_TrcOut!$BG$47</c:f>
              <c:numCache>
                <c:formatCode>General</c:formatCode>
                <c:ptCount val="1"/>
                <c:pt idx="0">
                  <c:v>0.22629710016674562</c:v>
                </c:pt>
              </c:numCache>
            </c:numRef>
          </c:yVal>
          <c:smooth val="0"/>
          <c:extLst>
            <c:ext xmlns:c16="http://schemas.microsoft.com/office/drawing/2014/chart" uri="{C3380CC4-5D6E-409C-BE32-E72D297353CC}">
              <c16:uniqueId val="{0000002D-5D9B-4282-82FD-3CAC4F2B3BE1}"/>
            </c:ext>
          </c:extLst>
        </c:ser>
        <c:ser>
          <c:idx val="40"/>
          <c:order val="40"/>
          <c:tx>
            <c:v>272638098532301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FF0000"/>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TX_TrcOut!$BI$48</c:f>
              <c:numCache>
                <c:formatCode>General</c:formatCode>
                <c:ptCount val="1"/>
                <c:pt idx="0">
                  <c:v>0.74293270549733548</c:v>
                </c:pt>
              </c:numCache>
            </c:numRef>
          </c:xVal>
          <c:yVal>
            <c:numRef>
              <c:f>TX_TrcOut!$BG$48</c:f>
              <c:numCache>
                <c:formatCode>General</c:formatCode>
                <c:ptCount val="1"/>
                <c:pt idx="0">
                  <c:v>0.22686733008145957</c:v>
                </c:pt>
              </c:numCache>
            </c:numRef>
          </c:yVal>
          <c:smooth val="0"/>
          <c:extLst>
            <c:ext xmlns:c16="http://schemas.microsoft.com/office/drawing/2014/chart" uri="{C3380CC4-5D6E-409C-BE32-E72D297353CC}">
              <c16:uniqueId val="{0000002E-5D9B-4282-82FD-3CAC4F2B3BE1}"/>
            </c:ext>
          </c:extLst>
        </c:ser>
        <c:ser>
          <c:idx val="41"/>
          <c:order val="41"/>
          <c:tx>
            <c:v>272638098532301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FF0000"/>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TX_TrcOut!$BI$49</c:f>
              <c:numCache>
                <c:formatCode>General</c:formatCode>
                <c:ptCount val="1"/>
                <c:pt idx="0">
                  <c:v>0.74293270549733548</c:v>
                </c:pt>
              </c:numCache>
            </c:numRef>
          </c:xVal>
          <c:yVal>
            <c:numRef>
              <c:f>TX_TrcOut!$BG$49</c:f>
              <c:numCache>
                <c:formatCode>General</c:formatCode>
                <c:ptCount val="1"/>
                <c:pt idx="0">
                  <c:v>0.22686733008145957</c:v>
                </c:pt>
              </c:numCache>
            </c:numRef>
          </c:yVal>
          <c:smooth val="0"/>
          <c:extLst>
            <c:ext xmlns:c16="http://schemas.microsoft.com/office/drawing/2014/chart" uri="{C3380CC4-5D6E-409C-BE32-E72D297353CC}">
              <c16:uniqueId val="{0000002F-5D9B-4282-82FD-3CAC4F2B3BE1}"/>
            </c:ext>
          </c:extLst>
        </c:ser>
        <c:ser>
          <c:idx val="42"/>
          <c:order val="42"/>
          <c:tx>
            <c:v>274439098144401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TX_TrcOut!$BI$50</c:f>
              <c:numCache>
                <c:formatCode>General</c:formatCode>
                <c:ptCount val="1"/>
                <c:pt idx="0">
                  <c:v>0.94502147225561905</c:v>
                </c:pt>
              </c:numCache>
            </c:numRef>
          </c:xVal>
          <c:yVal>
            <c:numRef>
              <c:f>TX_TrcOut!$BG$50</c:f>
              <c:numCache>
                <c:formatCode>General</c:formatCode>
                <c:ptCount val="1"/>
                <c:pt idx="0">
                  <c:v>8.7362351905148558E-2</c:v>
                </c:pt>
              </c:numCache>
            </c:numRef>
          </c:yVal>
          <c:smooth val="0"/>
          <c:extLst>
            <c:ext xmlns:c16="http://schemas.microsoft.com/office/drawing/2014/chart" uri="{C3380CC4-5D6E-409C-BE32-E72D297353CC}">
              <c16:uniqueId val="{00000030-5D9B-4282-82FD-3CAC4F2B3BE1}"/>
            </c:ext>
          </c:extLst>
        </c:ser>
        <c:ser>
          <c:idx val="43"/>
          <c:order val="43"/>
          <c:tx>
            <c:v>274439098144401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TX_TrcOut!$BI$51</c:f>
              <c:numCache>
                <c:formatCode>General</c:formatCode>
                <c:ptCount val="1"/>
                <c:pt idx="0">
                  <c:v>0.94502147225561905</c:v>
                </c:pt>
              </c:numCache>
            </c:numRef>
          </c:xVal>
          <c:yVal>
            <c:numRef>
              <c:f>TX_TrcOut!$BG$51</c:f>
              <c:numCache>
                <c:formatCode>General</c:formatCode>
                <c:ptCount val="1"/>
                <c:pt idx="0">
                  <c:v>8.7362351905148558E-2</c:v>
                </c:pt>
              </c:numCache>
            </c:numRef>
          </c:yVal>
          <c:smooth val="0"/>
          <c:extLst>
            <c:ext xmlns:c16="http://schemas.microsoft.com/office/drawing/2014/chart" uri="{C3380CC4-5D6E-409C-BE32-E72D297353CC}">
              <c16:uniqueId val="{00000031-5D9B-4282-82FD-3CAC4F2B3BE1}"/>
            </c:ext>
          </c:extLst>
        </c:ser>
        <c:ser>
          <c:idx val="44"/>
          <c:order val="44"/>
          <c:tx>
            <c:v>274439098144401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TX_TrcOut!$BI$52</c:f>
              <c:numCache>
                <c:formatCode>General</c:formatCode>
                <c:ptCount val="1"/>
                <c:pt idx="0">
                  <c:v>0.94507267723016564</c:v>
                </c:pt>
              </c:numCache>
            </c:numRef>
          </c:xVal>
          <c:yVal>
            <c:numRef>
              <c:f>TX_TrcOut!$BG$52</c:f>
              <c:numCache>
                <c:formatCode>General</c:formatCode>
                <c:ptCount val="1"/>
                <c:pt idx="0">
                  <c:v>8.7201692818403106E-2</c:v>
                </c:pt>
              </c:numCache>
            </c:numRef>
          </c:yVal>
          <c:smooth val="0"/>
          <c:extLst>
            <c:ext xmlns:c16="http://schemas.microsoft.com/office/drawing/2014/chart" uri="{C3380CC4-5D6E-409C-BE32-E72D297353CC}">
              <c16:uniqueId val="{00000032-5D9B-4282-82FD-3CAC4F2B3BE1}"/>
            </c:ext>
          </c:extLst>
        </c:ser>
        <c:ser>
          <c:idx val="45"/>
          <c:order val="45"/>
          <c:tx>
            <c:v>274439098144401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TX_TrcOut!$BI$53</c:f>
              <c:numCache>
                <c:formatCode>General</c:formatCode>
                <c:ptCount val="1"/>
                <c:pt idx="0">
                  <c:v>0.94507267723016564</c:v>
                </c:pt>
              </c:numCache>
            </c:numRef>
          </c:xVal>
          <c:yVal>
            <c:numRef>
              <c:f>TX_TrcOut!$BG$53</c:f>
              <c:numCache>
                <c:formatCode>General</c:formatCode>
                <c:ptCount val="1"/>
                <c:pt idx="0">
                  <c:v>8.7201692818403106E-2</c:v>
                </c:pt>
              </c:numCache>
            </c:numRef>
          </c:yVal>
          <c:smooth val="0"/>
          <c:extLst>
            <c:ext xmlns:c16="http://schemas.microsoft.com/office/drawing/2014/chart" uri="{C3380CC4-5D6E-409C-BE32-E72D297353CC}">
              <c16:uniqueId val="{00000033-5D9B-4282-82FD-3CAC4F2B3BE1}"/>
            </c:ext>
          </c:extLst>
        </c:ser>
        <c:ser>
          <c:idx val="46"/>
          <c:order val="46"/>
          <c:tx>
            <c:v>280951096593801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TX_TrcOut!$BI$54</c:f>
              <c:numCache>
                <c:formatCode>General</c:formatCode>
                <c:ptCount val="1"/>
                <c:pt idx="0">
                  <c:v>0.95488100372727591</c:v>
                </c:pt>
              </c:numCache>
            </c:numRef>
          </c:xVal>
          <c:yVal>
            <c:numRef>
              <c:f>TX_TrcOut!$BG$54</c:f>
              <c:numCache>
                <c:formatCode>General</c:formatCode>
                <c:ptCount val="1"/>
                <c:pt idx="0">
                  <c:v>7.0401876611889236E-2</c:v>
                </c:pt>
              </c:numCache>
            </c:numRef>
          </c:yVal>
          <c:smooth val="0"/>
          <c:extLst>
            <c:ext xmlns:c16="http://schemas.microsoft.com/office/drawing/2014/chart" uri="{C3380CC4-5D6E-409C-BE32-E72D297353CC}">
              <c16:uniqueId val="{00000034-5D9B-4282-82FD-3CAC4F2B3BE1}"/>
            </c:ext>
          </c:extLst>
        </c:ser>
        <c:ser>
          <c:idx val="47"/>
          <c:order val="47"/>
          <c:tx>
            <c:v>280951096593801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TX_TrcOut!$BI$55</c:f>
              <c:numCache>
                <c:formatCode>General</c:formatCode>
                <c:ptCount val="1"/>
                <c:pt idx="0">
                  <c:v>0.95488100372727591</c:v>
                </c:pt>
              </c:numCache>
            </c:numRef>
          </c:xVal>
          <c:yVal>
            <c:numRef>
              <c:f>TX_TrcOut!$BG$55</c:f>
              <c:numCache>
                <c:formatCode>General</c:formatCode>
                <c:ptCount val="1"/>
                <c:pt idx="0">
                  <c:v>7.0401876611889236E-2</c:v>
                </c:pt>
              </c:numCache>
            </c:numRef>
          </c:yVal>
          <c:smooth val="0"/>
          <c:extLst>
            <c:ext xmlns:c16="http://schemas.microsoft.com/office/drawing/2014/chart" uri="{C3380CC4-5D6E-409C-BE32-E72D297353CC}">
              <c16:uniqueId val="{00000035-5D9B-4282-82FD-3CAC4F2B3BE1}"/>
            </c:ext>
          </c:extLst>
        </c:ser>
        <c:ser>
          <c:idx val="48"/>
          <c:order val="48"/>
          <c:tx>
            <c:v>280951096593801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TX_TrcOut!$BI$56</c:f>
              <c:numCache>
                <c:formatCode>General</c:formatCode>
                <c:ptCount val="1"/>
                <c:pt idx="0">
                  <c:v>0.95489011312761063</c:v>
                </c:pt>
              </c:numCache>
            </c:numRef>
          </c:xVal>
          <c:yVal>
            <c:numRef>
              <c:f>TX_TrcOut!$BG$56</c:f>
              <c:numCache>
                <c:formatCode>General</c:formatCode>
                <c:ptCount val="1"/>
                <c:pt idx="0">
                  <c:v>7.037485474373982E-2</c:v>
                </c:pt>
              </c:numCache>
            </c:numRef>
          </c:yVal>
          <c:smooth val="0"/>
          <c:extLst>
            <c:ext xmlns:c16="http://schemas.microsoft.com/office/drawing/2014/chart" uri="{C3380CC4-5D6E-409C-BE32-E72D297353CC}">
              <c16:uniqueId val="{00000036-5D9B-4282-82FD-3CAC4F2B3BE1}"/>
            </c:ext>
          </c:extLst>
        </c:ser>
        <c:ser>
          <c:idx val="49"/>
          <c:order val="49"/>
          <c:tx>
            <c:v>280951096593801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TX_TrcOut!$BI$57</c:f>
              <c:numCache>
                <c:formatCode>General</c:formatCode>
                <c:ptCount val="1"/>
                <c:pt idx="0">
                  <c:v>0.95489011312761063</c:v>
                </c:pt>
              </c:numCache>
            </c:numRef>
          </c:xVal>
          <c:yVal>
            <c:numRef>
              <c:f>TX_TrcOut!$BG$57</c:f>
              <c:numCache>
                <c:formatCode>General</c:formatCode>
                <c:ptCount val="1"/>
                <c:pt idx="0">
                  <c:v>7.037485474373982E-2</c:v>
                </c:pt>
              </c:numCache>
            </c:numRef>
          </c:yVal>
          <c:smooth val="0"/>
          <c:extLst>
            <c:ext xmlns:c16="http://schemas.microsoft.com/office/drawing/2014/chart" uri="{C3380CC4-5D6E-409C-BE32-E72D297353CC}">
              <c16:uniqueId val="{00000037-5D9B-4282-82FD-3CAC4F2B3BE1}"/>
            </c:ext>
          </c:extLst>
        </c:ser>
        <c:ser>
          <c:idx val="50"/>
          <c:order val="50"/>
          <c:tx>
            <c:v>302207096050600</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TX_TrcOut!$BI$64</c:f>
              <c:numCache>
                <c:formatCode>General</c:formatCode>
                <c:ptCount val="1"/>
                <c:pt idx="0">
                  <c:v>0.99386965782824865</c:v>
                </c:pt>
              </c:numCache>
            </c:numRef>
          </c:xVal>
          <c:yVal>
            <c:numRef>
              <c:f>TX_TrcOut!$BG$64</c:f>
              <c:numCache>
                <c:formatCode>General</c:formatCode>
                <c:ptCount val="1"/>
                <c:pt idx="0">
                  <c:v>2.927368610735618E-2</c:v>
                </c:pt>
              </c:numCache>
            </c:numRef>
          </c:yVal>
          <c:smooth val="0"/>
          <c:extLst>
            <c:ext xmlns:c16="http://schemas.microsoft.com/office/drawing/2014/chart" uri="{C3380CC4-5D6E-409C-BE32-E72D297353CC}">
              <c16:uniqueId val="{00000038-5D9B-4282-82FD-3CAC4F2B3BE1}"/>
            </c:ext>
          </c:extLst>
        </c:ser>
        <c:ser>
          <c:idx val="51"/>
          <c:order val="51"/>
          <c:tx>
            <c:v>302207096050600</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TX_TrcOut!$BI$65</c:f>
              <c:numCache>
                <c:formatCode>General</c:formatCode>
                <c:ptCount val="1"/>
                <c:pt idx="0">
                  <c:v>0.9938053123814532</c:v>
                </c:pt>
              </c:numCache>
            </c:numRef>
          </c:xVal>
          <c:yVal>
            <c:numRef>
              <c:f>TX_TrcOut!$BG$65</c:f>
              <c:numCache>
                <c:formatCode>General</c:formatCode>
                <c:ptCount val="1"/>
                <c:pt idx="0">
                  <c:v>2.9219326316656583E-2</c:v>
                </c:pt>
              </c:numCache>
            </c:numRef>
          </c:yVal>
          <c:smooth val="0"/>
          <c:extLst>
            <c:ext xmlns:c16="http://schemas.microsoft.com/office/drawing/2014/chart" uri="{C3380CC4-5D6E-409C-BE32-E72D297353CC}">
              <c16:uniqueId val="{00000039-5D9B-4282-82FD-3CAC4F2B3BE1}"/>
            </c:ext>
          </c:extLst>
        </c:ser>
        <c:ser>
          <c:idx val="52"/>
          <c:order val="52"/>
          <c:tx>
            <c:v>310935093352701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FF0000"/>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TX_TrcOut!$BI$66</c:f>
              <c:numCache>
                <c:formatCode>General</c:formatCode>
                <c:ptCount val="1"/>
                <c:pt idx="0">
                  <c:v>0.2750658466468765</c:v>
                </c:pt>
              </c:numCache>
            </c:numRef>
          </c:xVal>
          <c:yVal>
            <c:numRef>
              <c:f>TX_TrcOut!$BG$66</c:f>
              <c:numCache>
                <c:formatCode>General</c:formatCode>
                <c:ptCount val="1"/>
                <c:pt idx="0">
                  <c:v>1.1515526735756254</c:v>
                </c:pt>
              </c:numCache>
            </c:numRef>
          </c:yVal>
          <c:smooth val="0"/>
          <c:extLst>
            <c:ext xmlns:c16="http://schemas.microsoft.com/office/drawing/2014/chart" uri="{C3380CC4-5D6E-409C-BE32-E72D297353CC}">
              <c16:uniqueId val="{0000003A-5D9B-4282-82FD-3CAC4F2B3BE1}"/>
            </c:ext>
          </c:extLst>
        </c:ser>
        <c:ser>
          <c:idx val="53"/>
          <c:order val="53"/>
          <c:tx>
            <c:v>310935093352701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FF0000"/>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TX_TrcOut!$BI$67</c:f>
              <c:numCache>
                <c:formatCode>General</c:formatCode>
                <c:ptCount val="1"/>
                <c:pt idx="0">
                  <c:v>0.2750658466468765</c:v>
                </c:pt>
              </c:numCache>
            </c:numRef>
          </c:xVal>
          <c:yVal>
            <c:numRef>
              <c:f>TX_TrcOut!$BG$67</c:f>
              <c:numCache>
                <c:formatCode>General</c:formatCode>
                <c:ptCount val="1"/>
                <c:pt idx="0">
                  <c:v>1.1515526735756254</c:v>
                </c:pt>
              </c:numCache>
            </c:numRef>
          </c:yVal>
          <c:smooth val="0"/>
          <c:extLst>
            <c:ext xmlns:c16="http://schemas.microsoft.com/office/drawing/2014/chart" uri="{C3380CC4-5D6E-409C-BE32-E72D297353CC}">
              <c16:uniqueId val="{0000003B-5D9B-4282-82FD-3CAC4F2B3BE1}"/>
            </c:ext>
          </c:extLst>
        </c:ser>
        <c:ser>
          <c:idx val="54"/>
          <c:order val="54"/>
          <c:tx>
            <c:v>310935093352701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FF0000"/>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TX_TrcOut!$BI$68</c:f>
              <c:numCache>
                <c:formatCode>General</c:formatCode>
                <c:ptCount val="1"/>
                <c:pt idx="0">
                  <c:v>0.27726593275821121</c:v>
                </c:pt>
              </c:numCache>
            </c:numRef>
          </c:xVal>
          <c:yVal>
            <c:numRef>
              <c:f>TX_TrcOut!$BG$68</c:f>
              <c:numCache>
                <c:formatCode>General</c:formatCode>
                <c:ptCount val="1"/>
                <c:pt idx="0">
                  <c:v>1.1512388479913385</c:v>
                </c:pt>
              </c:numCache>
            </c:numRef>
          </c:yVal>
          <c:smooth val="0"/>
          <c:extLst>
            <c:ext xmlns:c16="http://schemas.microsoft.com/office/drawing/2014/chart" uri="{C3380CC4-5D6E-409C-BE32-E72D297353CC}">
              <c16:uniqueId val="{0000003C-5D9B-4282-82FD-3CAC4F2B3BE1}"/>
            </c:ext>
          </c:extLst>
        </c:ser>
        <c:ser>
          <c:idx val="55"/>
          <c:order val="55"/>
          <c:tx>
            <c:v>310935093352701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FF0000"/>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TX_TrcOut!$BI$69</c:f>
              <c:numCache>
                <c:formatCode>General</c:formatCode>
                <c:ptCount val="1"/>
                <c:pt idx="0">
                  <c:v>0.27726593275821121</c:v>
                </c:pt>
              </c:numCache>
            </c:numRef>
          </c:xVal>
          <c:yVal>
            <c:numRef>
              <c:f>TX_TrcOut!$BG$69</c:f>
              <c:numCache>
                <c:formatCode>General</c:formatCode>
                <c:ptCount val="1"/>
                <c:pt idx="0">
                  <c:v>1.1512388479913385</c:v>
                </c:pt>
              </c:numCache>
            </c:numRef>
          </c:yVal>
          <c:smooth val="0"/>
          <c:extLst>
            <c:ext xmlns:c16="http://schemas.microsoft.com/office/drawing/2014/chart" uri="{C3380CC4-5D6E-409C-BE32-E72D297353CC}">
              <c16:uniqueId val="{0000003D-5D9B-4282-82FD-3CAC4F2B3BE1}"/>
            </c:ext>
          </c:extLst>
        </c:ser>
        <c:ser>
          <c:idx val="56"/>
          <c:order val="56"/>
          <c:tx>
            <c:v>260204097443701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TX_TrcOut!$BI$70</c:f>
              <c:numCache>
                <c:formatCode>General</c:formatCode>
                <c:ptCount val="1"/>
                <c:pt idx="0">
                  <c:v>2.7421516561498546E-2</c:v>
                </c:pt>
              </c:numCache>
            </c:numRef>
          </c:xVal>
          <c:yVal>
            <c:numRef>
              <c:f>TX_TrcOut!$BG$70</c:f>
              <c:numCache>
                <c:formatCode>General</c:formatCode>
                <c:ptCount val="1"/>
                <c:pt idx="0">
                  <c:v>0.96024419150616347</c:v>
                </c:pt>
              </c:numCache>
            </c:numRef>
          </c:yVal>
          <c:smooth val="0"/>
          <c:extLst>
            <c:ext xmlns:c16="http://schemas.microsoft.com/office/drawing/2014/chart" uri="{C3380CC4-5D6E-409C-BE32-E72D297353CC}">
              <c16:uniqueId val="{0000003E-5D9B-4282-82FD-3CAC4F2B3BE1}"/>
            </c:ext>
          </c:extLst>
        </c:ser>
        <c:ser>
          <c:idx val="57"/>
          <c:order val="57"/>
          <c:tx>
            <c:v>260204097443701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TX_TrcOut!$BI$71</c:f>
              <c:numCache>
                <c:formatCode>General</c:formatCode>
                <c:ptCount val="1"/>
                <c:pt idx="0">
                  <c:v>2.7421516561498546E-2</c:v>
                </c:pt>
              </c:numCache>
            </c:numRef>
          </c:xVal>
          <c:yVal>
            <c:numRef>
              <c:f>TX_TrcOut!$BG$71</c:f>
              <c:numCache>
                <c:formatCode>General</c:formatCode>
                <c:ptCount val="1"/>
                <c:pt idx="0">
                  <c:v>0.96024419150616347</c:v>
                </c:pt>
              </c:numCache>
            </c:numRef>
          </c:yVal>
          <c:smooth val="0"/>
          <c:extLst>
            <c:ext xmlns:c16="http://schemas.microsoft.com/office/drawing/2014/chart" uri="{C3380CC4-5D6E-409C-BE32-E72D297353CC}">
              <c16:uniqueId val="{0000003F-5D9B-4282-82FD-3CAC4F2B3BE1}"/>
            </c:ext>
          </c:extLst>
        </c:ser>
        <c:ser>
          <c:idx val="58"/>
          <c:order val="58"/>
          <c:tx>
            <c:v>260204097443701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TX_TrcOut!$BI$72</c:f>
              <c:numCache>
                <c:formatCode>General</c:formatCode>
                <c:ptCount val="1"/>
                <c:pt idx="0">
                  <c:v>2.586971253974998E-2</c:v>
                </c:pt>
              </c:numCache>
            </c:numRef>
          </c:xVal>
          <c:yVal>
            <c:numRef>
              <c:f>TX_TrcOut!$BG$72</c:f>
              <c:numCache>
                <c:formatCode>General</c:formatCode>
                <c:ptCount val="1"/>
                <c:pt idx="0">
                  <c:v>0.96014877497233253</c:v>
                </c:pt>
              </c:numCache>
            </c:numRef>
          </c:yVal>
          <c:smooth val="0"/>
          <c:extLst>
            <c:ext xmlns:c16="http://schemas.microsoft.com/office/drawing/2014/chart" uri="{C3380CC4-5D6E-409C-BE32-E72D297353CC}">
              <c16:uniqueId val="{00000040-5D9B-4282-82FD-3CAC4F2B3BE1}"/>
            </c:ext>
          </c:extLst>
        </c:ser>
        <c:ser>
          <c:idx val="59"/>
          <c:order val="59"/>
          <c:tx>
            <c:v>260204097443701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TX_TrcOut!$BI$73</c:f>
              <c:numCache>
                <c:formatCode>General</c:formatCode>
                <c:ptCount val="1"/>
                <c:pt idx="0">
                  <c:v>2.586971253974998E-2</c:v>
                </c:pt>
              </c:numCache>
            </c:numRef>
          </c:xVal>
          <c:yVal>
            <c:numRef>
              <c:f>TX_TrcOut!$BG$73</c:f>
              <c:numCache>
                <c:formatCode>General</c:formatCode>
                <c:ptCount val="1"/>
                <c:pt idx="0">
                  <c:v>0.96014877497233253</c:v>
                </c:pt>
              </c:numCache>
            </c:numRef>
          </c:yVal>
          <c:smooth val="0"/>
          <c:extLst>
            <c:ext xmlns:c16="http://schemas.microsoft.com/office/drawing/2014/chart" uri="{C3380CC4-5D6E-409C-BE32-E72D297353CC}">
              <c16:uniqueId val="{00000041-5D9B-4282-82FD-3CAC4F2B3BE1}"/>
            </c:ext>
          </c:extLst>
        </c:ser>
        <c:ser>
          <c:idx val="60"/>
          <c:order val="60"/>
          <c:tx>
            <c:v>290028095594700</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TX_TrcOut!$BI$82</c:f>
              <c:numCache>
                <c:formatCode>General</c:formatCode>
                <c:ptCount val="1"/>
                <c:pt idx="0">
                  <c:v>0.60869360841008679</c:v>
                </c:pt>
              </c:numCache>
            </c:numRef>
          </c:xVal>
          <c:yVal>
            <c:numRef>
              <c:f>TX_TrcOut!$BG$82</c:f>
              <c:numCache>
                <c:formatCode>General</c:formatCode>
                <c:ptCount val="1"/>
                <c:pt idx="0">
                  <c:v>0.37936399945576443</c:v>
                </c:pt>
              </c:numCache>
            </c:numRef>
          </c:yVal>
          <c:smooth val="0"/>
          <c:extLst>
            <c:ext xmlns:c16="http://schemas.microsoft.com/office/drawing/2014/chart" uri="{C3380CC4-5D6E-409C-BE32-E72D297353CC}">
              <c16:uniqueId val="{00000042-5D9B-4282-82FD-3CAC4F2B3BE1}"/>
            </c:ext>
          </c:extLst>
        </c:ser>
        <c:ser>
          <c:idx val="61"/>
          <c:order val="61"/>
          <c:tx>
            <c:v>290028095594700</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TX_TrcOut!$BI$83</c:f>
              <c:numCache>
                <c:formatCode>General</c:formatCode>
                <c:ptCount val="1"/>
                <c:pt idx="0">
                  <c:v>0.60869360841008679</c:v>
                </c:pt>
              </c:numCache>
            </c:numRef>
          </c:xVal>
          <c:yVal>
            <c:numRef>
              <c:f>TX_TrcOut!$BG$83</c:f>
              <c:numCache>
                <c:formatCode>General</c:formatCode>
                <c:ptCount val="1"/>
                <c:pt idx="0">
                  <c:v>0.37936399945576443</c:v>
                </c:pt>
              </c:numCache>
            </c:numRef>
          </c:yVal>
          <c:smooth val="0"/>
          <c:extLst>
            <c:ext xmlns:c16="http://schemas.microsoft.com/office/drawing/2014/chart" uri="{C3380CC4-5D6E-409C-BE32-E72D297353CC}">
              <c16:uniqueId val="{00000043-5D9B-4282-82FD-3CAC4F2B3BE1}"/>
            </c:ext>
          </c:extLst>
        </c:ser>
        <c:ser>
          <c:idx val="62"/>
          <c:order val="62"/>
          <c:tx>
            <c:v>290028095594700</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TX_TrcOut!$BI$84</c:f>
              <c:numCache>
                <c:formatCode>General</c:formatCode>
                <c:ptCount val="1"/>
                <c:pt idx="0">
                  <c:v>0.60874195471177794</c:v>
                </c:pt>
              </c:numCache>
            </c:numRef>
          </c:xVal>
          <c:yVal>
            <c:numRef>
              <c:f>TX_TrcOut!$BG$84</c:f>
              <c:numCache>
                <c:formatCode>General</c:formatCode>
                <c:ptCount val="1"/>
                <c:pt idx="0">
                  <c:v>0.38033409628346659</c:v>
                </c:pt>
              </c:numCache>
            </c:numRef>
          </c:yVal>
          <c:smooth val="0"/>
          <c:extLst>
            <c:ext xmlns:c16="http://schemas.microsoft.com/office/drawing/2014/chart" uri="{C3380CC4-5D6E-409C-BE32-E72D297353CC}">
              <c16:uniqueId val="{00000044-5D9B-4282-82FD-3CAC4F2B3BE1}"/>
            </c:ext>
          </c:extLst>
        </c:ser>
        <c:ser>
          <c:idx val="63"/>
          <c:order val="63"/>
          <c:tx>
            <c:v>290028095594700</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TX_TrcOut!$BI$85</c:f>
              <c:numCache>
                <c:formatCode>General</c:formatCode>
                <c:ptCount val="1"/>
                <c:pt idx="0">
                  <c:v>0.60874195471177794</c:v>
                </c:pt>
              </c:numCache>
            </c:numRef>
          </c:xVal>
          <c:yVal>
            <c:numRef>
              <c:f>TX_TrcOut!$BG$85</c:f>
              <c:numCache>
                <c:formatCode>General</c:formatCode>
                <c:ptCount val="1"/>
                <c:pt idx="0">
                  <c:v>0.38033409628346659</c:v>
                </c:pt>
              </c:numCache>
            </c:numRef>
          </c:yVal>
          <c:smooth val="0"/>
          <c:extLst>
            <c:ext xmlns:c16="http://schemas.microsoft.com/office/drawing/2014/chart" uri="{C3380CC4-5D6E-409C-BE32-E72D297353CC}">
              <c16:uniqueId val="{00000045-5D9B-4282-82FD-3CAC4F2B3BE1}"/>
            </c:ext>
          </c:extLst>
        </c:ser>
        <c:ser>
          <c:idx val="64"/>
          <c:order val="64"/>
          <c:tx>
            <c:v>293938095561301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TX_TrcOut!$BI$86</c:f>
              <c:numCache>
                <c:formatCode>General</c:formatCode>
                <c:ptCount val="1"/>
                <c:pt idx="0">
                  <c:v>0.68114050289852801</c:v>
                </c:pt>
              </c:numCache>
            </c:numRef>
          </c:xVal>
          <c:yVal>
            <c:numRef>
              <c:f>TX_TrcOut!$BG$86</c:f>
              <c:numCache>
                <c:formatCode>General</c:formatCode>
                <c:ptCount val="1"/>
                <c:pt idx="0">
                  <c:v>0.34095930072771174</c:v>
                </c:pt>
              </c:numCache>
            </c:numRef>
          </c:yVal>
          <c:smooth val="0"/>
          <c:extLst>
            <c:ext xmlns:c16="http://schemas.microsoft.com/office/drawing/2014/chart" uri="{C3380CC4-5D6E-409C-BE32-E72D297353CC}">
              <c16:uniqueId val="{00000046-5D9B-4282-82FD-3CAC4F2B3BE1}"/>
            </c:ext>
          </c:extLst>
        </c:ser>
        <c:ser>
          <c:idx val="65"/>
          <c:order val="65"/>
          <c:tx>
            <c:v>293938095561301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TX_TrcOut!$BI$87</c:f>
              <c:numCache>
                <c:formatCode>General</c:formatCode>
                <c:ptCount val="1"/>
                <c:pt idx="0">
                  <c:v>0.68114050289852801</c:v>
                </c:pt>
              </c:numCache>
            </c:numRef>
          </c:xVal>
          <c:yVal>
            <c:numRef>
              <c:f>TX_TrcOut!$BG$87</c:f>
              <c:numCache>
                <c:formatCode>General</c:formatCode>
                <c:ptCount val="1"/>
                <c:pt idx="0">
                  <c:v>0.34095930072771174</c:v>
                </c:pt>
              </c:numCache>
            </c:numRef>
          </c:yVal>
          <c:smooth val="0"/>
          <c:extLst>
            <c:ext xmlns:c16="http://schemas.microsoft.com/office/drawing/2014/chart" uri="{C3380CC4-5D6E-409C-BE32-E72D297353CC}">
              <c16:uniqueId val="{00000047-5D9B-4282-82FD-3CAC4F2B3BE1}"/>
            </c:ext>
          </c:extLst>
        </c:ser>
        <c:ser>
          <c:idx val="66"/>
          <c:order val="66"/>
          <c:tx>
            <c:v>293938095561301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TX_TrcOut!$BI$88</c:f>
              <c:numCache>
                <c:formatCode>General</c:formatCode>
                <c:ptCount val="1"/>
                <c:pt idx="0">
                  <c:v>0.68112877304473451</c:v>
                </c:pt>
              </c:numCache>
            </c:numRef>
          </c:xVal>
          <c:yVal>
            <c:numRef>
              <c:f>TX_TrcOut!$BG$88</c:f>
              <c:numCache>
                <c:formatCode>General</c:formatCode>
                <c:ptCount val="1"/>
                <c:pt idx="0">
                  <c:v>0.34124911834733679</c:v>
                </c:pt>
              </c:numCache>
            </c:numRef>
          </c:yVal>
          <c:smooth val="0"/>
          <c:extLst>
            <c:ext xmlns:c16="http://schemas.microsoft.com/office/drawing/2014/chart" uri="{C3380CC4-5D6E-409C-BE32-E72D297353CC}">
              <c16:uniqueId val="{00000048-5D9B-4282-82FD-3CAC4F2B3BE1}"/>
            </c:ext>
          </c:extLst>
        </c:ser>
        <c:ser>
          <c:idx val="67"/>
          <c:order val="67"/>
          <c:tx>
            <c:v>293938095561301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TX_TrcOut!$BI$89</c:f>
              <c:numCache>
                <c:formatCode>General</c:formatCode>
                <c:ptCount val="1"/>
                <c:pt idx="0">
                  <c:v>0.68112877304473451</c:v>
                </c:pt>
              </c:numCache>
            </c:numRef>
          </c:xVal>
          <c:yVal>
            <c:numRef>
              <c:f>TX_TrcOut!$BG$89</c:f>
              <c:numCache>
                <c:formatCode>General</c:formatCode>
                <c:ptCount val="1"/>
                <c:pt idx="0">
                  <c:v>0.34124911834733679</c:v>
                </c:pt>
              </c:numCache>
            </c:numRef>
          </c:yVal>
          <c:smooth val="0"/>
          <c:extLst>
            <c:ext xmlns:c16="http://schemas.microsoft.com/office/drawing/2014/chart" uri="{C3380CC4-5D6E-409C-BE32-E72D297353CC}">
              <c16:uniqueId val="{00000049-5D9B-4282-82FD-3CAC4F2B3BE1}"/>
            </c:ext>
          </c:extLst>
        </c:ser>
        <c:ser>
          <c:idx val="68"/>
          <c:order val="68"/>
          <c:tx>
            <c:v>294040096542401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TX_TrcOut!$BI$90</c:f>
              <c:numCache>
                <c:formatCode>General</c:formatCode>
                <c:ptCount val="1"/>
                <c:pt idx="0">
                  <c:v>0.99384264252157006</c:v>
                </c:pt>
              </c:numCache>
            </c:numRef>
          </c:xVal>
          <c:yVal>
            <c:numRef>
              <c:f>TX_TrcOut!$BG$90</c:f>
              <c:numCache>
                <c:formatCode>General</c:formatCode>
                <c:ptCount val="1"/>
                <c:pt idx="0">
                  <c:v>1.9884290145917048E-2</c:v>
                </c:pt>
              </c:numCache>
            </c:numRef>
          </c:yVal>
          <c:smooth val="0"/>
          <c:extLst>
            <c:ext xmlns:c16="http://schemas.microsoft.com/office/drawing/2014/chart" uri="{C3380CC4-5D6E-409C-BE32-E72D297353CC}">
              <c16:uniqueId val="{0000004A-5D9B-4282-82FD-3CAC4F2B3BE1}"/>
            </c:ext>
          </c:extLst>
        </c:ser>
        <c:ser>
          <c:idx val="69"/>
          <c:order val="69"/>
          <c:tx>
            <c:v>294040096542401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TX_TrcOut!$BI$91</c:f>
              <c:numCache>
                <c:formatCode>General</c:formatCode>
                <c:ptCount val="1"/>
                <c:pt idx="0">
                  <c:v>0.99384264252157006</c:v>
                </c:pt>
              </c:numCache>
            </c:numRef>
          </c:xVal>
          <c:yVal>
            <c:numRef>
              <c:f>TX_TrcOut!$BG$91</c:f>
              <c:numCache>
                <c:formatCode>General</c:formatCode>
                <c:ptCount val="1"/>
                <c:pt idx="0">
                  <c:v>1.9884290145917048E-2</c:v>
                </c:pt>
              </c:numCache>
            </c:numRef>
          </c:yVal>
          <c:smooth val="0"/>
          <c:extLst>
            <c:ext xmlns:c16="http://schemas.microsoft.com/office/drawing/2014/chart" uri="{C3380CC4-5D6E-409C-BE32-E72D297353CC}">
              <c16:uniqueId val="{0000004B-5D9B-4282-82FD-3CAC4F2B3BE1}"/>
            </c:ext>
          </c:extLst>
        </c:ser>
        <c:ser>
          <c:idx val="70"/>
          <c:order val="70"/>
          <c:tx>
            <c:v>294040096542401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TX_TrcOut!$BI$92</c:f>
              <c:numCache>
                <c:formatCode>General</c:formatCode>
                <c:ptCount val="1"/>
                <c:pt idx="0">
                  <c:v>0.99383939389545994</c:v>
                </c:pt>
              </c:numCache>
            </c:numRef>
          </c:xVal>
          <c:yVal>
            <c:numRef>
              <c:f>TX_TrcOut!$BG$92</c:f>
              <c:numCache>
                <c:formatCode>General</c:formatCode>
                <c:ptCount val="1"/>
                <c:pt idx="0">
                  <c:v>1.9893632826244994E-2</c:v>
                </c:pt>
              </c:numCache>
            </c:numRef>
          </c:yVal>
          <c:smooth val="0"/>
          <c:extLst>
            <c:ext xmlns:c16="http://schemas.microsoft.com/office/drawing/2014/chart" uri="{C3380CC4-5D6E-409C-BE32-E72D297353CC}">
              <c16:uniqueId val="{0000004C-5D9B-4282-82FD-3CAC4F2B3BE1}"/>
            </c:ext>
          </c:extLst>
        </c:ser>
        <c:ser>
          <c:idx val="71"/>
          <c:order val="71"/>
          <c:tx>
            <c:v>294040096542401</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TX_TrcOut!$BI$93</c:f>
              <c:numCache>
                <c:formatCode>General</c:formatCode>
                <c:ptCount val="1"/>
                <c:pt idx="0">
                  <c:v>0.99383939389545994</c:v>
                </c:pt>
              </c:numCache>
            </c:numRef>
          </c:xVal>
          <c:yVal>
            <c:numRef>
              <c:f>TX_TrcOut!$BG$93</c:f>
              <c:numCache>
                <c:formatCode>General</c:formatCode>
                <c:ptCount val="1"/>
                <c:pt idx="0">
                  <c:v>1.9893632826244994E-2</c:v>
                </c:pt>
              </c:numCache>
            </c:numRef>
          </c:yVal>
          <c:smooth val="0"/>
          <c:extLst>
            <c:ext xmlns:c16="http://schemas.microsoft.com/office/drawing/2014/chart" uri="{C3380CC4-5D6E-409C-BE32-E72D297353CC}">
              <c16:uniqueId val="{0000004D-5D9B-4282-82FD-3CAC4F2B3BE1}"/>
            </c:ext>
          </c:extLst>
        </c:ser>
        <c:ser>
          <c:idx val="72"/>
          <c:order val="72"/>
          <c:tx>
            <c:v>Tritiated</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FF0000"/>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TX_TrcOut!$CB$12</c:f>
              <c:numCache>
                <c:formatCode>General</c:formatCode>
                <c:ptCount val="1"/>
                <c:pt idx="0">
                  <c:v>0</c:v>
                </c:pt>
              </c:numCache>
            </c:numRef>
          </c:xVal>
          <c:yVal>
            <c:numRef>
              <c:f>TX_TrcOut!$CC$12</c:f>
              <c:numCache>
                <c:formatCode>General</c:formatCode>
                <c:ptCount val="1"/>
                <c:pt idx="0">
                  <c:v>0.98299999999999998</c:v>
                </c:pt>
              </c:numCache>
            </c:numRef>
          </c:yVal>
          <c:smooth val="0"/>
          <c:extLst>
            <c:ext xmlns:c16="http://schemas.microsoft.com/office/drawing/2014/chart" uri="{C3380CC4-5D6E-409C-BE32-E72D297353CC}">
              <c16:uniqueId val="{0000004E-5D9B-4282-82FD-3CAC4F2B3BE1}"/>
            </c:ext>
          </c:extLst>
        </c:ser>
        <c:ser>
          <c:idx val="73"/>
          <c:order val="73"/>
          <c:tx>
            <c:v>Tritium Dead</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7"/>
            <c:spPr>
              <a:solidFill>
                <a:srgbClr val="0000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TX_TrcOut!$CB$12</c:f>
              <c:numCache>
                <c:formatCode>General</c:formatCode>
                <c:ptCount val="1"/>
                <c:pt idx="0">
                  <c:v>0</c:v>
                </c:pt>
              </c:numCache>
            </c:numRef>
          </c:xVal>
          <c:yVal>
            <c:numRef>
              <c:f>TX_TrcOut!$CC$12</c:f>
              <c:numCache>
                <c:formatCode>General</c:formatCode>
                <c:ptCount val="1"/>
                <c:pt idx="0">
                  <c:v>0.98299999999999998</c:v>
                </c:pt>
              </c:numCache>
            </c:numRef>
          </c:yVal>
          <c:smooth val="0"/>
          <c:extLst>
            <c:ext xmlns:c16="http://schemas.microsoft.com/office/drawing/2014/chart" uri="{C3380CC4-5D6E-409C-BE32-E72D297353CC}">
              <c16:uniqueId val="{0000004F-5D9B-4282-82FD-3CAC4F2B3BE1}"/>
            </c:ext>
          </c:extLst>
        </c:ser>
        <c:ser>
          <c:idx val="74"/>
          <c:order val="74"/>
          <c:tx>
            <c:v>Best-fit</c:v>
          </c:tx>
          <c:spPr>
            <a:ln w="19050" cap="rnd" cmpd="sng" algn="ctr">
              <a:solidFill>
                <a:srgbClr val="0000FF"/>
              </a:solidFill>
              <a:prstDash val="solid"/>
              <a:round/>
              <a:headEnd type="none" w="med" len="med"/>
              <a:tailEnd type="none" w="med" len="med"/>
            </a:ln>
          </c:spPr>
          <c:marker>
            <c:symbol val="none"/>
          </c:marker>
          <c:xVal>
            <c:numRef>
              <c:f>TX_TrcOut!$CB$12:$CB$16</c:f>
              <c:numCache>
                <c:formatCode>General</c:formatCode>
                <c:ptCount val="5"/>
                <c:pt idx="0">
                  <c:v>0</c:v>
                </c:pt>
                <c:pt idx="1">
                  <c:v>0.25</c:v>
                </c:pt>
                <c:pt idx="2">
                  <c:v>0.5</c:v>
                </c:pt>
                <c:pt idx="3">
                  <c:v>0.75</c:v>
                </c:pt>
                <c:pt idx="4">
                  <c:v>1</c:v>
                </c:pt>
              </c:numCache>
            </c:numRef>
          </c:xVal>
          <c:yVal>
            <c:numRef>
              <c:f>TX_TrcOut!$CC$12:$CC$16</c:f>
              <c:numCache>
                <c:formatCode>General</c:formatCode>
                <c:ptCount val="5"/>
                <c:pt idx="0">
                  <c:v>0.98299999999999998</c:v>
                </c:pt>
                <c:pt idx="1">
                  <c:v>0.74525629072378385</c:v>
                </c:pt>
                <c:pt idx="2">
                  <c:v>0.50751258144756761</c:v>
                </c:pt>
                <c:pt idx="3">
                  <c:v>0.26976887217135131</c:v>
                </c:pt>
                <c:pt idx="4">
                  <c:v>3.202516289513508E-2</c:v>
                </c:pt>
              </c:numCache>
            </c:numRef>
          </c:yVal>
          <c:smooth val="0"/>
          <c:extLst>
            <c:ext xmlns:c16="http://schemas.microsoft.com/office/drawing/2014/chart" uri="{C3380CC4-5D6E-409C-BE32-E72D297353CC}">
              <c16:uniqueId val="{00000050-5D9B-4282-82FD-3CAC4F2B3BE1}"/>
            </c:ext>
          </c:extLst>
        </c:ser>
        <c:ser>
          <c:idx val="75"/>
          <c:order val="75"/>
          <c:tx>
            <c:v>Radiogenic</c:v>
          </c:tx>
          <c:spPr>
            <a:ln w="19050" cap="rnd" cmpd="sng" algn="ctr">
              <a:solidFill>
                <a:srgbClr val="080808"/>
              </a:solidFill>
              <a:prstDash val="dash"/>
              <a:round/>
              <a:headEnd type="none" w="med" len="med"/>
              <a:tailEnd type="none" w="med" len="med"/>
            </a:ln>
          </c:spPr>
          <c:marker>
            <c:symbol val="none"/>
          </c:marker>
          <c:xVal>
            <c:numRef>
              <c:f>TX_TrcOut!$CB$12:$CB$16</c:f>
              <c:numCache>
                <c:formatCode>General</c:formatCode>
                <c:ptCount val="5"/>
                <c:pt idx="0">
                  <c:v>0</c:v>
                </c:pt>
                <c:pt idx="1">
                  <c:v>0.25</c:v>
                </c:pt>
                <c:pt idx="2">
                  <c:v>0.5</c:v>
                </c:pt>
                <c:pt idx="3">
                  <c:v>0.75</c:v>
                </c:pt>
                <c:pt idx="4">
                  <c:v>1</c:v>
                </c:pt>
              </c:numCache>
            </c:numRef>
          </c:xVal>
          <c:yVal>
            <c:numRef>
              <c:f>TX_TrcOut!$CD$12:$CD$16</c:f>
              <c:numCache>
                <c:formatCode>General</c:formatCode>
                <c:ptCount val="5"/>
                <c:pt idx="0">
                  <c:v>0.98299999999999998</c:v>
                </c:pt>
                <c:pt idx="1">
                  <c:v>0.74086271676300575</c:v>
                </c:pt>
                <c:pt idx="2">
                  <c:v>0.49872543352601156</c:v>
                </c:pt>
                <c:pt idx="3">
                  <c:v>0.25658815028901732</c:v>
                </c:pt>
                <c:pt idx="4">
                  <c:v>1.4450867052023121E-2</c:v>
                </c:pt>
              </c:numCache>
            </c:numRef>
          </c:yVal>
          <c:smooth val="0"/>
          <c:extLst>
            <c:ext xmlns:c16="http://schemas.microsoft.com/office/drawing/2014/chart" uri="{C3380CC4-5D6E-409C-BE32-E72D297353CC}">
              <c16:uniqueId val="{00000051-5D9B-4282-82FD-3CAC4F2B3BE1}"/>
            </c:ext>
          </c:extLst>
        </c:ser>
        <c:ser>
          <c:idx val="76"/>
          <c:order val="76"/>
          <c:tx>
            <c:v>Mantle</c:v>
          </c:tx>
          <c:spPr>
            <a:ln w="19050" cap="rnd" cmpd="sng" algn="ctr">
              <a:solidFill>
                <a:srgbClr val="080808"/>
              </a:solidFill>
              <a:prstDash val="dot"/>
              <a:round/>
              <a:headEnd type="none" w="med" len="med"/>
              <a:tailEnd type="none" w="med" len="med"/>
            </a:ln>
          </c:spPr>
          <c:marker>
            <c:symbol val="none"/>
          </c:marker>
          <c:xVal>
            <c:numRef>
              <c:f>TX_TrcOut!$CB$12:$CB$16</c:f>
              <c:numCache>
                <c:formatCode>General</c:formatCode>
                <c:ptCount val="5"/>
                <c:pt idx="0">
                  <c:v>0</c:v>
                </c:pt>
                <c:pt idx="1">
                  <c:v>0.25</c:v>
                </c:pt>
                <c:pt idx="2">
                  <c:v>0.5</c:v>
                </c:pt>
                <c:pt idx="3">
                  <c:v>0.75</c:v>
                </c:pt>
                <c:pt idx="4">
                  <c:v>1</c:v>
                </c:pt>
              </c:numCache>
            </c:numRef>
          </c:xVal>
          <c:yVal>
            <c:numRef>
              <c:f>TX_TrcOut!$CE$12:$CE$16</c:f>
              <c:numCache>
                <c:formatCode>General</c:formatCode>
                <c:ptCount val="5"/>
                <c:pt idx="0">
                  <c:v>0.98299999999999998</c:v>
                </c:pt>
                <c:pt idx="1">
                  <c:v>2.61225</c:v>
                </c:pt>
                <c:pt idx="2">
                  <c:v>4.2415000000000003</c:v>
                </c:pt>
                <c:pt idx="3">
                  <c:v>5.8707500000000001</c:v>
                </c:pt>
                <c:pt idx="4">
                  <c:v>7.5</c:v>
                </c:pt>
              </c:numCache>
            </c:numRef>
          </c:yVal>
          <c:smooth val="0"/>
          <c:extLst>
            <c:ext xmlns:c16="http://schemas.microsoft.com/office/drawing/2014/chart" uri="{C3380CC4-5D6E-409C-BE32-E72D297353CC}">
              <c16:uniqueId val="{00000052-5D9B-4282-82FD-3CAC4F2B3BE1}"/>
            </c:ext>
          </c:extLst>
        </c:ser>
        <c:ser>
          <c:idx val="77"/>
          <c:order val="77"/>
          <c:tx>
            <c:v>Mix: Rad+Man</c:v>
          </c:tx>
          <c:spPr>
            <a:ln w="19050" cap="rnd" cmpd="sng" algn="ctr">
              <a:solidFill>
                <a:srgbClr val="080808"/>
              </a:solidFill>
              <a:prstDash val="sysDashDotDot"/>
              <a:round/>
              <a:headEnd type="none" w="med" len="med"/>
              <a:tailEnd type="none" w="med" len="med"/>
            </a:ln>
          </c:spPr>
          <c:marker>
            <c:symbol val="none"/>
          </c:marker>
          <c:xVal>
            <c:numRef>
              <c:f>TX_TrcOut!$CB$12:$CB$16</c:f>
              <c:numCache>
                <c:formatCode>General</c:formatCode>
                <c:ptCount val="5"/>
                <c:pt idx="0">
                  <c:v>0</c:v>
                </c:pt>
                <c:pt idx="1">
                  <c:v>0.25</c:v>
                </c:pt>
                <c:pt idx="2">
                  <c:v>0.5</c:v>
                </c:pt>
                <c:pt idx="3">
                  <c:v>0.75</c:v>
                </c:pt>
                <c:pt idx="4">
                  <c:v>1</c:v>
                </c:pt>
              </c:numCache>
            </c:numRef>
          </c:xVal>
          <c:yVal>
            <c:numRef>
              <c:f>TX_TrcOut!$CF$12:$CF$16</c:f>
              <c:numCache>
                <c:formatCode>General</c:formatCode>
                <c:ptCount val="5"/>
                <c:pt idx="0">
                  <c:v>0.98299999999999998</c:v>
                </c:pt>
                <c:pt idx="1">
                  <c:v>0.92800144508670512</c:v>
                </c:pt>
                <c:pt idx="2">
                  <c:v>0.87300289017341048</c:v>
                </c:pt>
                <c:pt idx="3">
                  <c:v>0.81800433526011573</c:v>
                </c:pt>
                <c:pt idx="4">
                  <c:v>0.76300578034682087</c:v>
                </c:pt>
              </c:numCache>
            </c:numRef>
          </c:yVal>
          <c:smooth val="0"/>
          <c:extLst>
            <c:ext xmlns:c16="http://schemas.microsoft.com/office/drawing/2014/chart" uri="{C3380CC4-5D6E-409C-BE32-E72D297353CC}">
              <c16:uniqueId val="{00000053-5D9B-4282-82FD-3CAC4F2B3BE1}"/>
            </c:ext>
          </c:extLst>
        </c:ser>
        <c:dLbls>
          <c:showLegendKey val="0"/>
          <c:showVal val="0"/>
          <c:showCatName val="0"/>
          <c:showSerName val="0"/>
          <c:showPercent val="0"/>
          <c:showBubbleSize val="0"/>
        </c:dLbls>
        <c:axId val="2028587328"/>
        <c:axId val="1514560512"/>
      </c:scatterChart>
      <c:valAx>
        <c:axId val="2028587328"/>
        <c:scaling>
          <c:orientation val="minMax"/>
          <c:max val="1"/>
          <c:min val="0"/>
        </c:scaling>
        <c:delete val="0"/>
        <c:axPos val="b"/>
        <c:majorGridlines/>
        <c:title>
          <c:tx>
            <c:rich>
              <a:bodyPr/>
              <a:lstStyle/>
              <a:p>
                <a:pPr>
                  <a:defRPr sz="1400"/>
                </a:pPr>
                <a:r>
                  <a:rPr lang="en-US" sz="1400"/>
                  <a:t>He(terr) / (He(s) - He(a))</a:t>
                </a:r>
              </a:p>
            </c:rich>
          </c:tx>
          <c:overlay val="0"/>
        </c:title>
        <c:numFmt formatCode="General" sourceLinked="1"/>
        <c:majorTickMark val="out"/>
        <c:minorTickMark val="none"/>
        <c:tickLblPos val="nextTo"/>
        <c:crossAx val="1514560512"/>
        <c:crosses val="autoZero"/>
        <c:crossBetween val="midCat"/>
      </c:valAx>
      <c:valAx>
        <c:axId val="1514560512"/>
        <c:scaling>
          <c:orientation val="minMax"/>
          <c:max val="2"/>
          <c:min val="0"/>
        </c:scaling>
        <c:delete val="0"/>
        <c:axPos val="l"/>
        <c:majorGridlines/>
        <c:title>
          <c:tx>
            <c:rich>
              <a:bodyPr/>
              <a:lstStyle/>
              <a:p>
                <a:pPr>
                  <a:defRPr sz="1400"/>
                </a:pPr>
                <a:r>
                  <a:rPr lang="en-US" sz="1400"/>
                  <a:t>Rs/Ra - air corr., ratio</a:t>
                </a:r>
              </a:p>
            </c:rich>
          </c:tx>
          <c:overlay val="0"/>
        </c:title>
        <c:numFmt formatCode="General" sourceLinked="1"/>
        <c:majorTickMark val="out"/>
        <c:minorTickMark val="none"/>
        <c:tickLblPos val="nextTo"/>
        <c:crossAx val="2028587328"/>
        <c:crosses val="autoZero"/>
        <c:crossBetween val="midCat"/>
      </c:valAx>
    </c:plotArea>
    <c:legend>
      <c:legendPos val="tr"/>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3"/>
        <c:delete val="1"/>
      </c:legendEntry>
      <c:legendEntry>
        <c:idx val="14"/>
        <c:delete val="1"/>
      </c:legendEntry>
      <c:legendEntry>
        <c:idx val="15"/>
        <c:delete val="1"/>
      </c:legendEntry>
      <c:legendEntry>
        <c:idx val="16"/>
        <c:delete val="1"/>
      </c:legendEntry>
      <c:legendEntry>
        <c:idx val="17"/>
        <c:delete val="1"/>
      </c:legendEntry>
      <c:legendEntry>
        <c:idx val="18"/>
        <c:delete val="1"/>
      </c:legendEntry>
      <c:legendEntry>
        <c:idx val="19"/>
        <c:delete val="1"/>
      </c:legendEntry>
      <c:legendEntry>
        <c:idx val="20"/>
        <c:delete val="1"/>
      </c:legendEntry>
      <c:legendEntry>
        <c:idx val="21"/>
        <c:delete val="1"/>
      </c:legendEntry>
      <c:legendEntry>
        <c:idx val="22"/>
        <c:delete val="1"/>
      </c:legendEntry>
      <c:legendEntry>
        <c:idx val="23"/>
        <c:delete val="1"/>
      </c:legendEntry>
      <c:legendEntry>
        <c:idx val="24"/>
        <c:delete val="1"/>
      </c:legendEntry>
      <c:legendEntry>
        <c:idx val="25"/>
        <c:delete val="1"/>
      </c:legendEntry>
      <c:legendEntry>
        <c:idx val="26"/>
        <c:delete val="1"/>
      </c:legendEntry>
      <c:legendEntry>
        <c:idx val="27"/>
        <c:delete val="1"/>
      </c:legendEntry>
      <c:legendEntry>
        <c:idx val="28"/>
        <c:delete val="1"/>
      </c:legendEntry>
      <c:legendEntry>
        <c:idx val="29"/>
        <c:delete val="1"/>
      </c:legendEntry>
      <c:legendEntry>
        <c:idx val="30"/>
        <c:delete val="1"/>
      </c:legendEntry>
      <c:legendEntry>
        <c:idx val="31"/>
        <c:delete val="1"/>
      </c:legendEntry>
      <c:legendEntry>
        <c:idx val="32"/>
        <c:delete val="1"/>
      </c:legendEntry>
      <c:legendEntry>
        <c:idx val="33"/>
        <c:delete val="1"/>
      </c:legendEntry>
      <c:legendEntry>
        <c:idx val="34"/>
        <c:delete val="1"/>
      </c:legendEntry>
      <c:legendEntry>
        <c:idx val="35"/>
        <c:delete val="1"/>
      </c:legendEntry>
      <c:legendEntry>
        <c:idx val="36"/>
        <c:delete val="1"/>
      </c:legendEntry>
      <c:legendEntry>
        <c:idx val="37"/>
        <c:delete val="1"/>
      </c:legendEntry>
      <c:legendEntry>
        <c:idx val="38"/>
        <c:delete val="1"/>
      </c:legendEntry>
      <c:legendEntry>
        <c:idx val="39"/>
        <c:delete val="1"/>
      </c:legendEntry>
      <c:legendEntry>
        <c:idx val="40"/>
        <c:delete val="1"/>
      </c:legendEntry>
      <c:legendEntry>
        <c:idx val="41"/>
        <c:delete val="1"/>
      </c:legendEntry>
      <c:legendEntry>
        <c:idx val="42"/>
        <c:delete val="1"/>
      </c:legendEntry>
      <c:legendEntry>
        <c:idx val="43"/>
        <c:delete val="1"/>
      </c:legendEntry>
      <c:legendEntry>
        <c:idx val="44"/>
        <c:delete val="1"/>
      </c:legendEntry>
      <c:legendEntry>
        <c:idx val="45"/>
        <c:delete val="1"/>
      </c:legendEntry>
      <c:legendEntry>
        <c:idx val="46"/>
        <c:delete val="1"/>
      </c:legendEntry>
      <c:legendEntry>
        <c:idx val="47"/>
        <c:delete val="1"/>
      </c:legendEntry>
      <c:legendEntry>
        <c:idx val="48"/>
        <c:delete val="1"/>
      </c:legendEntry>
      <c:legendEntry>
        <c:idx val="49"/>
        <c:delete val="1"/>
      </c:legendEntry>
      <c:legendEntry>
        <c:idx val="50"/>
        <c:delete val="1"/>
      </c:legendEntry>
      <c:legendEntry>
        <c:idx val="51"/>
        <c:delete val="1"/>
      </c:legendEntry>
      <c:legendEntry>
        <c:idx val="52"/>
        <c:delete val="1"/>
      </c:legendEntry>
      <c:legendEntry>
        <c:idx val="53"/>
        <c:delete val="1"/>
      </c:legendEntry>
      <c:legendEntry>
        <c:idx val="54"/>
        <c:delete val="1"/>
      </c:legendEntry>
      <c:legendEntry>
        <c:idx val="55"/>
        <c:delete val="1"/>
      </c:legendEntry>
      <c:legendEntry>
        <c:idx val="56"/>
        <c:delete val="1"/>
      </c:legendEntry>
      <c:legendEntry>
        <c:idx val="57"/>
        <c:delete val="1"/>
      </c:legendEntry>
      <c:legendEntry>
        <c:idx val="58"/>
        <c:delete val="1"/>
      </c:legendEntry>
      <c:legendEntry>
        <c:idx val="59"/>
        <c:delete val="1"/>
      </c:legendEntry>
      <c:legendEntry>
        <c:idx val="60"/>
        <c:delete val="1"/>
      </c:legendEntry>
      <c:legendEntry>
        <c:idx val="61"/>
        <c:delete val="1"/>
      </c:legendEntry>
      <c:legendEntry>
        <c:idx val="62"/>
        <c:delete val="1"/>
      </c:legendEntry>
      <c:legendEntry>
        <c:idx val="63"/>
        <c:delete val="1"/>
      </c:legendEntry>
      <c:legendEntry>
        <c:idx val="64"/>
        <c:delete val="1"/>
      </c:legendEntry>
      <c:legendEntry>
        <c:idx val="65"/>
        <c:delete val="1"/>
      </c:legendEntry>
      <c:legendEntry>
        <c:idx val="66"/>
        <c:delete val="1"/>
      </c:legendEntry>
      <c:legendEntry>
        <c:idx val="67"/>
        <c:delete val="1"/>
      </c:legendEntry>
      <c:legendEntry>
        <c:idx val="68"/>
        <c:delete val="1"/>
      </c:legendEntry>
      <c:legendEntry>
        <c:idx val="69"/>
        <c:delete val="1"/>
      </c:legendEntry>
      <c:legendEntry>
        <c:idx val="70"/>
        <c:delete val="1"/>
      </c:legendEntry>
      <c:legendEntry>
        <c:idx val="71"/>
        <c:delete val="1"/>
      </c:legendEntry>
      <c:overlay val="1"/>
      <c:spPr>
        <a:solidFill>
          <a:sysClr val="window" lastClr="FFFFFF">
            <a:lumMod val="100000"/>
          </a:sysClr>
        </a:solidFill>
        <a:ln>
          <a:solidFill>
            <a:sysClr val="windowText" lastClr="000000">
              <a:lumMod val="100000"/>
            </a:sysClr>
          </a:solidFill>
        </a:ln>
        <a:effectLst>
          <a:outerShdw blurRad="50800" dist="38100" dir="2700000" algn="tl">
            <a:prstClr val="black">
              <a:alpha val="40000"/>
            </a:prstClr>
          </a:outerShdw>
        </a:effectLst>
      </c:sp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xdr:col>
      <xdr:colOff>0</xdr:colOff>
      <xdr:row>5</xdr:row>
      <xdr:rowOff>0</xdr:rowOff>
    </xdr:from>
    <xdr:to>
      <xdr:col>11</xdr:col>
      <xdr:colOff>0</xdr:colOff>
      <xdr:row>33</xdr:row>
      <xdr:rowOff>0</xdr:rowOff>
    </xdr:to>
    <xdr:graphicFrame macro="">
      <xdr:nvGraphicFramePr>
        <xdr:cNvPr id="2" name="Chart 1">
          <a:extLst>
            <a:ext uri="{FF2B5EF4-FFF2-40B4-BE49-F238E27FC236}">
              <a16:creationId xmlns:a16="http://schemas.microsoft.com/office/drawing/2014/main" id="{88E52A47-A3C7-4F47-A181-F17311A9AC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5</xdr:row>
      <xdr:rowOff>0</xdr:rowOff>
    </xdr:from>
    <xdr:to>
      <xdr:col>22</xdr:col>
      <xdr:colOff>0</xdr:colOff>
      <xdr:row>33</xdr:row>
      <xdr:rowOff>0</xdr:rowOff>
    </xdr:to>
    <xdr:graphicFrame macro="">
      <xdr:nvGraphicFramePr>
        <xdr:cNvPr id="3" name="Chart 2">
          <a:extLst>
            <a:ext uri="{FF2B5EF4-FFF2-40B4-BE49-F238E27FC236}">
              <a16:creationId xmlns:a16="http://schemas.microsoft.com/office/drawing/2014/main" id="{270E1A6E-DFEF-412C-A18C-2819B01644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70</xdr:col>
      <xdr:colOff>63499</xdr:colOff>
      <xdr:row>4</xdr:row>
      <xdr:rowOff>0</xdr:rowOff>
    </xdr:from>
    <xdr:to>
      <xdr:col>78</xdr:col>
      <xdr:colOff>76199</xdr:colOff>
      <xdr:row>32</xdr:row>
      <xdr:rowOff>68580</xdr:rowOff>
    </xdr:to>
    <xdr:graphicFrame macro="">
      <xdr:nvGraphicFramePr>
        <xdr:cNvPr id="2" name="Chart 1">
          <a:extLst>
            <a:ext uri="{FF2B5EF4-FFF2-40B4-BE49-F238E27FC236}">
              <a16:creationId xmlns:a16="http://schemas.microsoft.com/office/drawing/2014/main" id="{F2322E85-41EF-45E1-9245-CFACC856C0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Jurgens, Bryant" id="{C19EF6FA-246B-4C6C-921D-8C79E179E31F}" userId="Jurgens, Bryant"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T2" dT="2020-04-28T16:07:09.37" personId="{C19EF6FA-246B-4C6C-921D-8C79E179E31F}" id="{7F633FE0-C89D-426D-88C7-9F7D7F5A5B33}">
    <text>Molar volumes are computed from gas density and molar mass.</text>
  </threadedComment>
  <threadedComment ref="W2" dT="2020-05-28T18:36:51.23" personId="{C19EF6FA-246B-4C6C-921D-8C79E179E31F}" id="{3230F88D-BCBA-4FA3-ADC7-5B862FE4981F}">
    <text>For transient gas tracer such as SF6, CFCs, or Halon-1301, these values change and are dependent on the year the water equilibrated with the atmosphere.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BC532-76C5-4363-ADB5-8F782C28A5AD}">
  <sheetPr codeName="Sheet7">
    <tabColor theme="0" tint="-0.249977111117893"/>
  </sheetPr>
  <dimension ref="A1:AD58"/>
  <sheetViews>
    <sheetView topLeftCell="A25" workbookViewId="0">
      <selection activeCell="F42" sqref="F42"/>
    </sheetView>
  </sheetViews>
  <sheetFormatPr defaultRowHeight="13.2"/>
  <cols>
    <col min="1" max="1" width="34" customWidth="1"/>
    <col min="3" max="3" width="12" bestFit="1" customWidth="1"/>
    <col min="4" max="4" width="11.109375" customWidth="1"/>
    <col min="5" max="5" width="10" customWidth="1"/>
    <col min="6" max="6" width="12.109375" customWidth="1"/>
    <col min="7" max="7" width="10.33203125" customWidth="1"/>
    <col min="8" max="8" width="9.21875" bestFit="1" customWidth="1"/>
    <col min="9" max="9" width="12.33203125" customWidth="1"/>
    <col min="10" max="10" width="15.44140625" bestFit="1" customWidth="1"/>
    <col min="11" max="12" width="12" bestFit="1" customWidth="1"/>
    <col min="13" max="13" width="12.21875" bestFit="1" customWidth="1"/>
    <col min="14" max="15" width="12.109375" customWidth="1"/>
    <col min="16" max="16" width="13.109375" customWidth="1"/>
    <col min="17" max="17" width="19.44140625" bestFit="1" customWidth="1"/>
    <col min="18" max="19" width="12.21875" bestFit="1" customWidth="1"/>
    <col min="21" max="21" width="12.21875" bestFit="1" customWidth="1"/>
  </cols>
  <sheetData>
    <row r="1" spans="1:12" s="2" customFormat="1" ht="15.6">
      <c r="A1" s="60" t="s">
        <v>0</v>
      </c>
      <c r="B1" s="124" t="s">
        <v>8</v>
      </c>
      <c r="C1" s="124"/>
      <c r="D1" s="124"/>
      <c r="E1" s="124"/>
      <c r="F1" s="124"/>
      <c r="G1" s="124"/>
      <c r="H1" s="124"/>
      <c r="I1" s="124"/>
    </row>
    <row r="2" spans="1:12" s="2" customFormat="1" ht="14.4">
      <c r="A2" s="2" t="s">
        <v>1</v>
      </c>
      <c r="B2" s="3" t="s">
        <v>2</v>
      </c>
    </row>
    <row r="3" spans="1:12" s="2" customFormat="1" ht="14.4">
      <c r="A3" s="2" t="s">
        <v>3</v>
      </c>
      <c r="B3" s="3" t="s">
        <v>4</v>
      </c>
    </row>
    <row r="4" spans="1:12" s="2" customFormat="1" ht="14.4">
      <c r="A4" s="3"/>
    </row>
    <row r="5" spans="1:12" s="2" customFormat="1" ht="15.6">
      <c r="A5" s="1" t="s">
        <v>5</v>
      </c>
    </row>
    <row r="6" spans="1:12" s="2" customFormat="1" ht="43.2">
      <c r="A6" s="4" t="s">
        <v>6</v>
      </c>
      <c r="B6" s="5" t="s">
        <v>7</v>
      </c>
      <c r="C6" s="126" t="s">
        <v>8</v>
      </c>
      <c r="D6" s="126"/>
      <c r="E6" s="126"/>
      <c r="F6" s="126"/>
      <c r="G6" s="126"/>
      <c r="H6" s="126"/>
    </row>
    <row r="7" spans="1:12" s="2" customFormat="1" ht="14.4">
      <c r="A7" s="3" t="s">
        <v>9</v>
      </c>
      <c r="B7" s="6" t="s">
        <v>10</v>
      </c>
      <c r="C7" s="61" t="s">
        <v>11</v>
      </c>
      <c r="D7" s="61"/>
      <c r="E7" s="61"/>
      <c r="F7" s="61"/>
      <c r="G7" s="61"/>
    </row>
    <row r="8" spans="1:12" s="2" customFormat="1" ht="14.4">
      <c r="A8" s="3" t="s">
        <v>12</v>
      </c>
      <c r="B8" s="6" t="s">
        <v>13</v>
      </c>
      <c r="C8" s="61" t="s">
        <v>14</v>
      </c>
      <c r="D8" s="61"/>
      <c r="E8" s="61"/>
      <c r="F8" s="61"/>
      <c r="G8" s="61"/>
    </row>
    <row r="9" spans="1:12" s="2" customFormat="1" ht="14.4">
      <c r="A9" s="3" t="s">
        <v>15</v>
      </c>
      <c r="B9" s="6" t="s">
        <v>16</v>
      </c>
      <c r="C9" s="61" t="s">
        <v>17</v>
      </c>
      <c r="D9" s="61"/>
      <c r="E9" s="61"/>
      <c r="F9" s="61"/>
      <c r="G9" s="61"/>
      <c r="I9" s="7"/>
    </row>
    <row r="10" spans="1:12" s="2" customFormat="1" ht="14.4">
      <c r="J10" s="7"/>
    </row>
    <row r="11" spans="1:12" s="2" customFormat="1" ht="15.6">
      <c r="A11" s="1" t="s">
        <v>18</v>
      </c>
    </row>
    <row r="12" spans="1:12" s="2" customFormat="1" ht="14.4">
      <c r="A12" s="4" t="s">
        <v>19</v>
      </c>
      <c r="B12" s="125" t="s">
        <v>8</v>
      </c>
      <c r="C12" s="125"/>
      <c r="D12" s="125"/>
      <c r="E12" s="125"/>
      <c r="F12" s="125"/>
      <c r="G12" s="125"/>
      <c r="H12" s="125"/>
      <c r="I12" s="125"/>
      <c r="J12" s="125"/>
      <c r="K12" s="125"/>
      <c r="L12" s="125"/>
    </row>
    <row r="13" spans="1:12" s="2" customFormat="1" ht="14.4">
      <c r="A13" s="38" t="s">
        <v>259</v>
      </c>
      <c r="B13" s="48" t="s">
        <v>243</v>
      </c>
      <c r="C13" s="49"/>
      <c r="D13" s="49"/>
      <c r="E13" s="49"/>
      <c r="F13" s="49"/>
      <c r="G13" s="49"/>
      <c r="H13" s="49"/>
      <c r="I13" s="49"/>
      <c r="J13" s="49"/>
      <c r="K13" s="49"/>
      <c r="L13" s="49"/>
    </row>
    <row r="14" spans="1:12" s="2" customFormat="1" ht="14.4">
      <c r="A14" s="2" t="s">
        <v>20</v>
      </c>
      <c r="B14" s="48" t="s">
        <v>223</v>
      </c>
      <c r="C14" s="47"/>
      <c r="D14" s="47"/>
      <c r="E14" s="47"/>
      <c r="F14" s="47"/>
      <c r="G14" s="47"/>
      <c r="H14" s="47"/>
      <c r="I14" s="47"/>
    </row>
    <row r="15" spans="1:12" s="2" customFormat="1" ht="14.4">
      <c r="A15" s="2" t="s">
        <v>21</v>
      </c>
      <c r="B15" s="47" t="s">
        <v>22</v>
      </c>
      <c r="C15" s="47"/>
      <c r="D15" s="47"/>
      <c r="E15" s="47"/>
      <c r="F15" s="47"/>
      <c r="G15" s="47"/>
      <c r="H15" s="47"/>
      <c r="I15" s="47"/>
    </row>
    <row r="16" spans="1:12" s="2" customFormat="1" ht="14.4">
      <c r="B16" s="8"/>
      <c r="C16" s="8"/>
      <c r="D16" s="8"/>
      <c r="E16" s="8"/>
      <c r="F16" s="8"/>
      <c r="G16" s="8"/>
      <c r="H16" s="8"/>
      <c r="I16" s="8"/>
    </row>
    <row r="17" spans="1:30" s="2" customFormat="1" ht="15.6">
      <c r="A17" s="1" t="s">
        <v>23</v>
      </c>
      <c r="K17" s="9"/>
      <c r="L17" s="9"/>
      <c r="M17" s="9"/>
      <c r="N17" s="9"/>
      <c r="O17" s="9"/>
      <c r="P17" s="9"/>
      <c r="Q17" s="9"/>
      <c r="R17" s="9"/>
      <c r="S17" s="9"/>
      <c r="T17" s="9"/>
      <c r="U17" s="9"/>
      <c r="V17" s="9"/>
      <c r="W17" s="9"/>
      <c r="X17" s="9"/>
      <c r="Y17" s="9"/>
      <c r="Z17" s="9"/>
      <c r="AA17" s="9"/>
      <c r="AB17" s="9"/>
      <c r="AC17" s="9"/>
      <c r="AD17" s="9"/>
    </row>
    <row r="18" spans="1:30" s="2" customFormat="1" ht="14.4">
      <c r="A18" s="2" t="s">
        <v>24</v>
      </c>
      <c r="B18" s="2">
        <v>401900000000000</v>
      </c>
    </row>
    <row r="19" spans="1:30" s="2" customFormat="1" ht="14.4">
      <c r="A19" s="38" t="s">
        <v>256</v>
      </c>
      <c r="B19" s="2">
        <v>3.19</v>
      </c>
    </row>
    <row r="20" spans="1:30" s="2" customFormat="1" ht="14.4">
      <c r="A20" s="38" t="s">
        <v>255</v>
      </c>
      <c r="B20" s="2">
        <v>12.32</v>
      </c>
    </row>
    <row r="21" spans="1:30" s="2" customFormat="1" ht="14.4"/>
    <row r="22" spans="1:30" s="2" customFormat="1" ht="15.6">
      <c r="A22" s="1" t="s">
        <v>25</v>
      </c>
    </row>
    <row r="23" spans="1:30" s="2" customFormat="1" ht="28.8">
      <c r="A23" s="10" t="s">
        <v>8</v>
      </c>
      <c r="B23" s="5" t="s">
        <v>26</v>
      </c>
      <c r="C23" s="124" t="s">
        <v>27</v>
      </c>
      <c r="D23" s="124"/>
      <c r="E23" s="124"/>
      <c r="F23" s="124"/>
      <c r="G23" s="124"/>
      <c r="H23" s="124"/>
      <c r="I23" s="124"/>
      <c r="J23" s="124"/>
      <c r="K23" s="124"/>
      <c r="L23" s="124"/>
      <c r="M23" s="124"/>
    </row>
    <row r="24" spans="1:30" s="2" customFormat="1" ht="16.8">
      <c r="A24" s="2" t="s">
        <v>28</v>
      </c>
      <c r="B24" s="6">
        <v>1</v>
      </c>
      <c r="C24" s="123" t="s">
        <v>29</v>
      </c>
      <c r="D24" s="123"/>
      <c r="E24" s="123"/>
      <c r="F24" s="123"/>
      <c r="G24" s="123"/>
      <c r="H24" s="123"/>
      <c r="I24" s="123"/>
      <c r="J24" s="123"/>
      <c r="K24" s="123"/>
      <c r="L24" s="123"/>
      <c r="M24" s="123"/>
    </row>
    <row r="25" spans="1:30" s="2" customFormat="1" ht="16.8">
      <c r="A25" s="2" t="s">
        <v>30</v>
      </c>
      <c r="B25" s="6">
        <v>2</v>
      </c>
      <c r="C25" s="123" t="s">
        <v>31</v>
      </c>
      <c r="D25" s="123"/>
      <c r="E25" s="123"/>
      <c r="F25" s="123"/>
      <c r="G25" s="123"/>
      <c r="H25" s="123"/>
      <c r="I25" s="123"/>
      <c r="J25" s="123"/>
      <c r="K25" s="123"/>
      <c r="L25" s="123"/>
      <c r="M25" s="123"/>
    </row>
    <row r="26" spans="1:30" s="2" customFormat="1" ht="15.6">
      <c r="A26" s="2" t="s">
        <v>32</v>
      </c>
      <c r="B26" s="6">
        <v>3</v>
      </c>
      <c r="C26" s="123" t="s">
        <v>33</v>
      </c>
      <c r="D26" s="123"/>
      <c r="E26" s="123"/>
      <c r="F26" s="123"/>
      <c r="G26" s="123"/>
      <c r="H26" s="123"/>
      <c r="I26" s="123"/>
      <c r="J26" s="123"/>
      <c r="K26" s="123"/>
      <c r="L26" s="123"/>
      <c r="M26" s="123"/>
    </row>
    <row r="27" spans="1:30" s="2" customFormat="1" ht="16.8">
      <c r="A27" s="2" t="s">
        <v>34</v>
      </c>
      <c r="B27" s="6">
        <v>4</v>
      </c>
      <c r="C27" s="123" t="s">
        <v>35</v>
      </c>
      <c r="D27" s="123"/>
      <c r="E27" s="123"/>
      <c r="F27" s="123"/>
      <c r="G27" s="123"/>
      <c r="H27" s="123"/>
      <c r="I27" s="123"/>
      <c r="J27" s="123"/>
      <c r="K27" s="123"/>
      <c r="L27" s="123"/>
      <c r="M27" s="123"/>
    </row>
    <row r="28" spans="1:30" s="2" customFormat="1" ht="16.8">
      <c r="A28" s="2" t="s">
        <v>36</v>
      </c>
      <c r="B28" s="6">
        <v>5</v>
      </c>
      <c r="C28" s="123" t="s">
        <v>37</v>
      </c>
      <c r="D28" s="123"/>
      <c r="E28" s="123"/>
      <c r="F28" s="123"/>
      <c r="G28" s="123"/>
      <c r="H28" s="123"/>
      <c r="I28" s="123"/>
      <c r="J28" s="123"/>
      <c r="K28" s="123"/>
      <c r="L28" s="123"/>
      <c r="M28" s="123"/>
    </row>
    <row r="29" spans="1:30" s="2" customFormat="1" ht="16.8">
      <c r="A29" s="2" t="s">
        <v>194</v>
      </c>
      <c r="B29" s="6">
        <v>6</v>
      </c>
      <c r="C29" s="123" t="s">
        <v>195</v>
      </c>
      <c r="D29" s="123"/>
      <c r="E29" s="123"/>
      <c r="F29" s="123"/>
      <c r="G29" s="123"/>
      <c r="H29" s="123"/>
      <c r="I29" s="123"/>
      <c r="J29" s="123"/>
      <c r="K29" s="123"/>
      <c r="L29" s="123"/>
      <c r="M29" s="123"/>
    </row>
    <row r="30" spans="1:30" s="2" customFormat="1" ht="14.4" customHeight="1">
      <c r="C30" s="8" t="s">
        <v>38</v>
      </c>
      <c r="D30" s="11"/>
      <c r="E30" s="11"/>
      <c r="F30" s="11"/>
      <c r="G30" s="11"/>
      <c r="H30" s="11"/>
      <c r="I30" s="11"/>
      <c r="J30" s="11"/>
      <c r="K30" s="11"/>
      <c r="L30" s="11"/>
      <c r="M30" s="11"/>
      <c r="S30" s="9"/>
    </row>
    <row r="31" spans="1:30" s="2" customFormat="1" ht="14.4">
      <c r="B31" s="6"/>
      <c r="C31" s="36"/>
      <c r="D31" s="36"/>
      <c r="E31" s="36"/>
      <c r="F31" s="36"/>
      <c r="G31" s="36"/>
      <c r="H31" s="36"/>
      <c r="I31" s="36"/>
      <c r="J31" s="36"/>
      <c r="K31" s="36"/>
      <c r="L31" s="36"/>
      <c r="M31" s="36"/>
    </row>
    <row r="32" spans="1:30" ht="15.6">
      <c r="A32" s="1" t="s">
        <v>244</v>
      </c>
    </row>
    <row r="33" spans="1:4" ht="14.4">
      <c r="A33" s="10" t="s">
        <v>224</v>
      </c>
      <c r="B33" s="10" t="s">
        <v>245</v>
      </c>
      <c r="C33" s="10" t="s">
        <v>225</v>
      </c>
      <c r="D33" s="10" t="s">
        <v>218</v>
      </c>
    </row>
    <row r="34" spans="1:4" ht="14.4">
      <c r="A34" s="2" t="s">
        <v>227</v>
      </c>
      <c r="B34" s="2" t="s">
        <v>226</v>
      </c>
      <c r="C34" s="38">
        <v>9.8066499999999994</v>
      </c>
      <c r="D34" s="38" t="s">
        <v>233</v>
      </c>
    </row>
    <row r="35" spans="1:4" ht="14.4">
      <c r="A35" s="2" t="s">
        <v>229</v>
      </c>
      <c r="B35" s="2" t="s">
        <v>228</v>
      </c>
      <c r="C35" s="38">
        <v>2.8969680000000001E-2</v>
      </c>
      <c r="D35" s="38" t="s">
        <v>234</v>
      </c>
    </row>
    <row r="36" spans="1:4" ht="14.4">
      <c r="A36" s="2" t="s">
        <v>230</v>
      </c>
      <c r="B36" s="38" t="s">
        <v>258</v>
      </c>
      <c r="C36" s="38">
        <v>8.3144626180000003</v>
      </c>
      <c r="D36" s="38" t="s">
        <v>235</v>
      </c>
    </row>
    <row r="37" spans="1:4" ht="14.4">
      <c r="A37" s="38" t="s">
        <v>237</v>
      </c>
      <c r="B37" s="38" t="s">
        <v>236</v>
      </c>
      <c r="C37" s="2">
        <v>-6.4999999999999997E-3</v>
      </c>
      <c r="D37" s="38" t="s">
        <v>231</v>
      </c>
    </row>
    <row r="38" spans="1:4" ht="14.4">
      <c r="A38" s="38" t="s">
        <v>239</v>
      </c>
      <c r="B38" s="38" t="s">
        <v>238</v>
      </c>
      <c r="C38" s="2">
        <v>288.14999999999998</v>
      </c>
      <c r="D38" s="38" t="s">
        <v>232</v>
      </c>
    </row>
    <row r="39" spans="1:4" ht="14.4">
      <c r="A39" s="38" t="s">
        <v>241</v>
      </c>
      <c r="B39" s="38" t="s">
        <v>240</v>
      </c>
      <c r="C39" s="2">
        <v>0</v>
      </c>
      <c r="D39" s="38" t="s">
        <v>242</v>
      </c>
    </row>
    <row r="41" spans="1:4" ht="14.4">
      <c r="A41" s="55" t="s">
        <v>246</v>
      </c>
      <c r="B41" s="55"/>
    </row>
    <row r="42" spans="1:4" ht="14.4">
      <c r="A42" s="56" t="s">
        <v>247</v>
      </c>
      <c r="B42" s="57">
        <v>-200</v>
      </c>
      <c r="C42" s="38" t="s">
        <v>253</v>
      </c>
    </row>
    <row r="43" spans="1:4" ht="14.4">
      <c r="A43" s="38" t="s">
        <v>250</v>
      </c>
      <c r="B43" s="2">
        <f>C34*C35/C36/C37</f>
        <v>-5.2567440508738619</v>
      </c>
    </row>
    <row r="44" spans="1:4" ht="14.4">
      <c r="A44" s="50" t="s">
        <v>254</v>
      </c>
      <c r="B44" s="58">
        <f>C38/(C38+C37*(B42-C39))</f>
        <v>0.99550872344100882</v>
      </c>
      <c r="C44" s="38"/>
    </row>
    <row r="45" spans="1:4" ht="14.4">
      <c r="A45" s="51" t="s">
        <v>248</v>
      </c>
      <c r="B45" s="2">
        <f>B44^B43</f>
        <v>1.0239448512780687</v>
      </c>
      <c r="C45" s="38" t="s">
        <v>249</v>
      </c>
    </row>
    <row r="47" spans="1:4" ht="14.4">
      <c r="A47" s="52" t="s">
        <v>251</v>
      </c>
      <c r="B47" s="54">
        <v>0.99</v>
      </c>
      <c r="C47" t="s">
        <v>252</v>
      </c>
    </row>
    <row r="48" spans="1:4">
      <c r="A48" s="53" t="s">
        <v>254</v>
      </c>
      <c r="B48" s="53">
        <f>10^(LOG(B47)/B43)</f>
        <v>1.0019137225379218</v>
      </c>
    </row>
    <row r="49" spans="1:17">
      <c r="A49" s="59" t="s">
        <v>248</v>
      </c>
      <c r="B49">
        <f>(C38-B48*C38)/(B48*C37)</f>
        <v>84.674748226258089</v>
      </c>
      <c r="C49" t="s">
        <v>247</v>
      </c>
    </row>
    <row r="51" spans="1:17" ht="15.6">
      <c r="A51" s="1" t="s">
        <v>260</v>
      </c>
      <c r="B51" s="69"/>
      <c r="C51" s="69"/>
      <c r="D51" s="69"/>
      <c r="E51" s="69"/>
      <c r="F51" s="69"/>
      <c r="G51" s="69"/>
      <c r="H51" s="69"/>
      <c r="J51" s="69"/>
      <c r="K51" s="122" t="s">
        <v>280</v>
      </c>
      <c r="L51" s="122"/>
      <c r="M51" s="122"/>
      <c r="N51" s="122" t="s">
        <v>276</v>
      </c>
      <c r="O51" s="122"/>
    </row>
    <row r="52" spans="1:17">
      <c r="A52" s="70" t="s">
        <v>275</v>
      </c>
      <c r="B52" s="70" t="s">
        <v>285</v>
      </c>
      <c r="C52" s="69" t="s">
        <v>261</v>
      </c>
      <c r="D52" s="69" t="s">
        <v>262</v>
      </c>
      <c r="E52" s="69" t="s">
        <v>264</v>
      </c>
      <c r="F52" s="69" t="s">
        <v>265</v>
      </c>
      <c r="G52" s="69" t="s">
        <v>147</v>
      </c>
      <c r="H52" s="69" t="s">
        <v>266</v>
      </c>
      <c r="I52" s="69" t="s">
        <v>289</v>
      </c>
      <c r="J52" s="69" t="s">
        <v>274</v>
      </c>
      <c r="K52" s="69" t="s">
        <v>287</v>
      </c>
      <c r="L52" s="69" t="s">
        <v>273</v>
      </c>
      <c r="M52" s="69" t="s">
        <v>271</v>
      </c>
      <c r="N52" s="69" t="s">
        <v>265</v>
      </c>
      <c r="O52" s="69" t="s">
        <v>277</v>
      </c>
      <c r="P52" s="69" t="s">
        <v>278</v>
      </c>
    </row>
    <row r="53" spans="1:17">
      <c r="A53" s="71" t="s">
        <v>268</v>
      </c>
      <c r="B53" s="90" t="s">
        <v>286</v>
      </c>
      <c r="C53" s="72" t="s">
        <v>263</v>
      </c>
      <c r="D53" s="72" t="s">
        <v>242</v>
      </c>
      <c r="E53" s="72" t="s">
        <v>269</v>
      </c>
      <c r="F53" s="72" t="s">
        <v>201</v>
      </c>
      <c r="G53" s="72" t="s">
        <v>270</v>
      </c>
      <c r="H53" s="72" t="s">
        <v>267</v>
      </c>
      <c r="I53" s="91" t="s">
        <v>288</v>
      </c>
      <c r="J53" s="72" t="s">
        <v>268</v>
      </c>
      <c r="K53" s="72" t="s">
        <v>268</v>
      </c>
      <c r="L53" s="72" t="s">
        <v>272</v>
      </c>
      <c r="M53" s="72" t="s">
        <v>272</v>
      </c>
      <c r="N53" s="72" t="s">
        <v>272</v>
      </c>
      <c r="O53" s="72" t="s">
        <v>272</v>
      </c>
      <c r="P53" s="72" t="s">
        <v>284</v>
      </c>
    </row>
    <row r="54" spans="1:17" ht="14.4">
      <c r="A54" t="s">
        <v>81</v>
      </c>
      <c r="B54">
        <v>200</v>
      </c>
      <c r="C54" cm="1">
        <f t="array" ref="C54">SalinityFromSC(B54)</f>
        <v>0.1115208</v>
      </c>
      <c r="D54">
        <v>2500</v>
      </c>
      <c r="E54">
        <v>5</v>
      </c>
      <c r="F54">
        <v>20</v>
      </c>
      <c r="G54">
        <v>0.5</v>
      </c>
      <c r="H54">
        <v>0</v>
      </c>
      <c r="I54" t="s">
        <v>198</v>
      </c>
      <c r="J54" t="s">
        <v>16</v>
      </c>
      <c r="K54" s="2" t="s">
        <v>83</v>
      </c>
      <c r="L54" s="2" cm="1">
        <f t="array" ref="L54">GasModel(J54,K54,E54,F54,C54,D54,G54,H54,I54)</f>
        <v>3.9234454635464483E-4</v>
      </c>
      <c r="M54" cm="1">
        <f t="array" ref="M54">GasSolubility(K54,E54,C54,D54,I54)</f>
        <v>3.200442703687645E-4</v>
      </c>
      <c r="N54" cm="1">
        <f t="array" ref="N54">GasModelExcessAir(J54,K54,E54,F54,C54,D54,G54,I54)</f>
        <v>7.2300275985880344E-5</v>
      </c>
    </row>
    <row r="55" spans="1:17" ht="14.4">
      <c r="A55" t="s">
        <v>72</v>
      </c>
      <c r="B55">
        <v>200</v>
      </c>
      <c r="C55" cm="1">
        <f t="array" ref="C55">SalinityFromSC(B55)</f>
        <v>0.1115208</v>
      </c>
      <c r="D55">
        <v>2500</v>
      </c>
      <c r="E55">
        <v>5</v>
      </c>
      <c r="F55">
        <v>20</v>
      </c>
      <c r="G55">
        <v>0.5</v>
      </c>
      <c r="H55">
        <v>0</v>
      </c>
      <c r="I55" t="s">
        <v>198</v>
      </c>
      <c r="J55" t="s">
        <v>13</v>
      </c>
      <c r="K55" s="38" t="s">
        <v>74</v>
      </c>
      <c r="L55" s="2" cm="1">
        <f t="array" ref="L55">GasModel(J55,K55,E55,F55,C55,D55,G55,H55,I55)</f>
        <v>3.7641350254004578E-7</v>
      </c>
      <c r="M55" cm="1">
        <f t="array" ref="M55">GasSolubility(K55,E55,C55,D55,I55)</f>
        <v>1.5587895466853228E-7</v>
      </c>
      <c r="N55" cm="1">
        <f t="array" ref="N55">GasModelExcessAir(J55,K55,E55,F55,C55,D55,G55,I55)</f>
        <v>2.205345478715135E-7</v>
      </c>
    </row>
    <row r="56" spans="1:17" ht="14.4">
      <c r="A56" t="s">
        <v>101</v>
      </c>
      <c r="B56">
        <v>50000</v>
      </c>
      <c r="C56" cm="1">
        <f t="array" ref="C56">SalinityFromSC(B56)</f>
        <v>32.909999999999997</v>
      </c>
      <c r="D56">
        <v>0</v>
      </c>
      <c r="E56">
        <v>3</v>
      </c>
      <c r="F56">
        <v>0.1</v>
      </c>
      <c r="G56">
        <v>0</v>
      </c>
      <c r="H56">
        <v>0</v>
      </c>
      <c r="I56" t="s">
        <v>165</v>
      </c>
      <c r="J56" t="s">
        <v>10</v>
      </c>
      <c r="K56" s="38" t="s">
        <v>105</v>
      </c>
      <c r="L56" s="2" cm="1">
        <f t="array" ref="L56">GasModel(J56,K56,E56,F56,C56,D56,G56,H56,I56)</f>
        <v>10.804100958996939</v>
      </c>
      <c r="M56" cm="1">
        <f t="array" ref="M56">GasSolubility(K56,E56,C56,D56,I56)</f>
        <v>10.773378537539616</v>
      </c>
      <c r="N56" cm="1">
        <f t="array" ref="N56">GasModelExcessAir(J56,K56,E56,F56,C56,D56,G56,I56)</f>
        <v>3.0722421457322593E-2</v>
      </c>
    </row>
    <row r="57" spans="1:17" ht="14.4">
      <c r="A57" t="s">
        <v>97</v>
      </c>
      <c r="B57">
        <v>300</v>
      </c>
      <c r="C57" cm="1">
        <f t="array" ref="C57">SalinityFromSC(B57)</f>
        <v>0.16734180000000001</v>
      </c>
      <c r="D57">
        <v>50</v>
      </c>
      <c r="E57">
        <v>20</v>
      </c>
      <c r="F57">
        <v>3</v>
      </c>
      <c r="G57">
        <v>0</v>
      </c>
      <c r="H57">
        <v>0</v>
      </c>
      <c r="I57" t="s">
        <v>165</v>
      </c>
      <c r="J57" t="s">
        <v>10</v>
      </c>
      <c r="K57" t="s">
        <v>181</v>
      </c>
      <c r="L57" s="2" cm="1">
        <f t="array" ref="L57">GasModel(J57,K57,E57,F57,C57,D57,G57,H57,I57)</f>
        <v>17.703644335637556</v>
      </c>
      <c r="M57" cm="1">
        <f t="array" ref="M57">GasSolubility(K57,E57,C57,D57,I57)</f>
        <v>14.778032620081682</v>
      </c>
      <c r="N57" cm="1">
        <f t="array" ref="N57">GasModelExcessAir(J57,K57,E57,F57,C57,D57,G57,I57)</f>
        <v>2.9256117155558732</v>
      </c>
    </row>
    <row r="58" spans="1:17" ht="14.4">
      <c r="A58" t="s">
        <v>122</v>
      </c>
      <c r="B58">
        <v>50000</v>
      </c>
      <c r="C58" cm="1">
        <f t="array" ref="C58">SalinityFromSC(B58)</f>
        <v>32.909999999999997</v>
      </c>
      <c r="D58">
        <v>0</v>
      </c>
      <c r="E58">
        <v>3</v>
      </c>
      <c r="F58">
        <v>0.1</v>
      </c>
      <c r="G58">
        <v>0</v>
      </c>
      <c r="H58">
        <v>0</v>
      </c>
      <c r="I58" t="s">
        <v>179</v>
      </c>
      <c r="J58" t="s">
        <v>10</v>
      </c>
      <c r="K58" t="s">
        <v>123</v>
      </c>
      <c r="L58" s="2"/>
      <c r="O58">
        <v>3.5382249080808936</v>
      </c>
      <c r="P58" s="68" cm="1">
        <f t="array" ref="P58">GasDryAirMoleFraction(J58,K58,O58,I58,E58,F58,C58,D58,G58)</f>
        <v>158.13986176782132</v>
      </c>
      <c r="Q58" t="s">
        <v>279</v>
      </c>
    </row>
  </sheetData>
  <mergeCells count="12">
    <mergeCell ref="K51:M51"/>
    <mergeCell ref="N51:O51"/>
    <mergeCell ref="C29:M29"/>
    <mergeCell ref="B1:I1"/>
    <mergeCell ref="B12:L12"/>
    <mergeCell ref="C28:M28"/>
    <mergeCell ref="C23:M23"/>
    <mergeCell ref="C24:M24"/>
    <mergeCell ref="C25:M25"/>
    <mergeCell ref="C26:M26"/>
    <mergeCell ref="C27:M27"/>
    <mergeCell ref="C6:H6"/>
  </mergeCells>
  <pageMargins left="0.7" right="0.7" top="0.75" bottom="0.75" header="0.3" footer="0.3"/>
  <pageSetup orientation="portrait" horizontalDpi="1200" verticalDpi="12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5F3CD-7701-4C73-912B-E9D34A4DD00B}">
  <sheetPr codeName="Sheet9">
    <tabColor theme="0" tint="-0.249977111117893"/>
  </sheetPr>
  <dimension ref="A1:AL72"/>
  <sheetViews>
    <sheetView zoomScaleNormal="100" workbookViewId="0">
      <pane xSplit="8124" ySplit="2064" topLeftCell="A21" activePane="bottomRight"/>
      <selection activeCell="D2" sqref="D2"/>
      <selection pane="topRight" activeCell="P2" sqref="P2"/>
      <selection pane="bottomLeft" activeCell="D30" sqref="D30"/>
      <selection pane="bottomRight" activeCell="Q26" sqref="Q26"/>
    </sheetView>
  </sheetViews>
  <sheetFormatPr defaultColWidth="10.33203125" defaultRowHeight="14.4"/>
  <cols>
    <col min="1" max="1" width="11.5546875" style="2" customWidth="1"/>
    <col min="2" max="2" width="32.77734375" style="2" bestFit="1" customWidth="1"/>
    <col min="3" max="3" width="10.77734375" style="2" customWidth="1"/>
    <col min="4" max="4" width="16.33203125" style="2" bestFit="1" customWidth="1"/>
    <col min="5" max="5" width="14" style="2" bestFit="1" customWidth="1"/>
    <col min="6" max="6" width="16.109375" style="2" customWidth="1"/>
    <col min="7" max="8" width="14.44140625" style="2" customWidth="1"/>
    <col min="9" max="9" width="13.44140625" style="2" customWidth="1"/>
    <col min="10" max="14" width="14" style="2" customWidth="1"/>
    <col min="15" max="16" width="12.6640625" style="2" customWidth="1"/>
    <col min="17" max="17" width="9.6640625" style="2" customWidth="1"/>
    <col min="18" max="18" width="11.44140625" style="2" customWidth="1"/>
    <col min="19" max="19" width="10.33203125" style="2" customWidth="1"/>
    <col min="20" max="21" width="14" style="2" customWidth="1"/>
    <col min="22" max="22" width="11" style="2" customWidth="1"/>
    <col min="23" max="23" width="14" style="2" bestFit="1" customWidth="1"/>
    <col min="24" max="24" width="14.6640625" style="2" bestFit="1" customWidth="1"/>
    <col min="25" max="25" width="14" style="2" bestFit="1" customWidth="1"/>
    <col min="26" max="26" width="11.6640625" style="2" customWidth="1"/>
    <col min="27" max="27" width="14" style="2" bestFit="1" customWidth="1"/>
    <col min="28" max="29" width="13.77734375" style="2" customWidth="1"/>
    <col min="30" max="30" width="15.33203125" style="2" customWidth="1"/>
    <col min="31" max="32" width="14" style="2" bestFit="1" customWidth="1"/>
    <col min="33" max="34" width="10.33203125" style="2"/>
    <col min="35" max="35" width="54.21875" style="2" bestFit="1" customWidth="1"/>
    <col min="36" max="36" width="10.77734375" style="2" bestFit="1" customWidth="1"/>
    <col min="37" max="37" width="12.77734375" style="2" bestFit="1" customWidth="1"/>
    <col min="38" max="38" width="10.33203125" style="2"/>
    <col min="39" max="39" width="14.44140625" style="2" bestFit="1" customWidth="1"/>
    <col min="40" max="16384" width="10.33203125" style="2"/>
  </cols>
  <sheetData>
    <row r="1" spans="1:38" s="16" customFormat="1" ht="15.6">
      <c r="A1" s="62" t="s">
        <v>39</v>
      </c>
      <c r="E1" s="127" t="s">
        <v>221</v>
      </c>
      <c r="F1" s="127"/>
      <c r="G1" s="127"/>
      <c r="H1" s="127"/>
      <c r="I1" s="127"/>
      <c r="J1" s="127"/>
      <c r="K1" s="127"/>
      <c r="L1" s="127"/>
      <c r="M1" s="127"/>
      <c r="N1" s="127"/>
      <c r="O1" s="127"/>
      <c r="Y1" s="127" t="s">
        <v>189</v>
      </c>
      <c r="Z1" s="127"/>
      <c r="AA1" s="127"/>
      <c r="AB1" s="63"/>
      <c r="AC1" s="127" t="s">
        <v>40</v>
      </c>
      <c r="AD1" s="127"/>
      <c r="AE1" s="127"/>
      <c r="AF1" s="127"/>
      <c r="AG1" s="127"/>
      <c r="AH1" s="127"/>
    </row>
    <row r="2" spans="1:38" s="16" customFormat="1" ht="74.400000000000006">
      <c r="A2" s="64" t="s">
        <v>41</v>
      </c>
      <c r="B2" s="64" t="s">
        <v>42</v>
      </c>
      <c r="C2" s="64" t="s">
        <v>43</v>
      </c>
      <c r="D2" s="64" t="s">
        <v>290</v>
      </c>
      <c r="E2" s="64" t="s">
        <v>44</v>
      </c>
      <c r="F2" s="64" t="s">
        <v>45</v>
      </c>
      <c r="G2" s="64" t="s">
        <v>46</v>
      </c>
      <c r="H2" s="64" t="s">
        <v>47</v>
      </c>
      <c r="I2" s="64" t="s">
        <v>48</v>
      </c>
      <c r="J2" s="64" t="s">
        <v>49</v>
      </c>
      <c r="K2" s="64" t="s">
        <v>50</v>
      </c>
      <c r="L2" s="64" t="s">
        <v>51</v>
      </c>
      <c r="M2" s="64" t="s">
        <v>52</v>
      </c>
      <c r="N2" s="64" t="s">
        <v>53</v>
      </c>
      <c r="O2" s="64" t="s">
        <v>54</v>
      </c>
      <c r="P2" s="64" t="s">
        <v>291</v>
      </c>
      <c r="Q2" s="64" t="s">
        <v>200</v>
      </c>
      <c r="R2" s="64" t="s">
        <v>257</v>
      </c>
      <c r="S2" s="64" t="s">
        <v>327</v>
      </c>
      <c r="T2" s="64" t="s">
        <v>185</v>
      </c>
      <c r="U2" s="64" t="s">
        <v>186</v>
      </c>
      <c r="V2" s="64" t="s">
        <v>187</v>
      </c>
      <c r="W2" s="64" t="s">
        <v>199</v>
      </c>
      <c r="X2" s="64" t="s">
        <v>55</v>
      </c>
      <c r="Y2" s="64" t="s">
        <v>196</v>
      </c>
      <c r="Z2" s="64" t="s">
        <v>188</v>
      </c>
      <c r="AA2" s="64" t="s">
        <v>190</v>
      </c>
      <c r="AB2" s="65" t="s">
        <v>56</v>
      </c>
      <c r="AC2" s="65" t="s">
        <v>57</v>
      </c>
      <c r="AD2" s="65" t="s">
        <v>58</v>
      </c>
      <c r="AE2" s="65" t="s">
        <v>59</v>
      </c>
      <c r="AF2" s="65" t="s">
        <v>60</v>
      </c>
      <c r="AG2" s="65" t="s">
        <v>61</v>
      </c>
      <c r="AH2" s="65" t="s">
        <v>281</v>
      </c>
      <c r="AI2" s="65" t="s">
        <v>224</v>
      </c>
    </row>
    <row r="3" spans="1:38">
      <c r="A3" s="37" t="s">
        <v>62</v>
      </c>
      <c r="B3" s="2" t="s">
        <v>63</v>
      </c>
      <c r="C3" s="2" t="s">
        <v>64</v>
      </c>
      <c r="D3" s="2" t="s">
        <v>65</v>
      </c>
      <c r="E3" s="2">
        <v>-167.21780000000001</v>
      </c>
      <c r="F3" s="2">
        <v>216.3442</v>
      </c>
      <c r="G3" s="2">
        <v>139.20320000000001</v>
      </c>
      <c r="H3" s="2">
        <v>-22.620200000000001</v>
      </c>
      <c r="I3" s="12" t="s">
        <v>66</v>
      </c>
      <c r="J3" s="12" t="s">
        <v>66</v>
      </c>
      <c r="K3" s="2">
        <v>-4.4781000000000001E-2</v>
      </c>
      <c r="L3" s="2">
        <v>2.3540999999999999E-2</v>
      </c>
      <c r="M3" s="2">
        <v>-3.4266000000000001E-3</v>
      </c>
      <c r="N3" s="12" t="s">
        <v>66</v>
      </c>
      <c r="O3" s="12" t="s">
        <v>66</v>
      </c>
      <c r="P3" s="2" t="s">
        <v>201</v>
      </c>
      <c r="Q3" s="2">
        <v>1</v>
      </c>
      <c r="R3" s="2" t="s">
        <v>62</v>
      </c>
      <c r="S3" s="2" t="s">
        <v>67</v>
      </c>
      <c r="T3" s="2">
        <v>22.410985442329228</v>
      </c>
      <c r="U3" s="2">
        <v>0.17860000000000001</v>
      </c>
      <c r="V3" s="2">
        <v>4.0026020000000004</v>
      </c>
      <c r="W3" s="2">
        <v>5.24</v>
      </c>
      <c r="X3" s="38" t="s">
        <v>298</v>
      </c>
      <c r="Y3" s="2">
        <v>818</v>
      </c>
      <c r="Z3" s="2">
        <v>11700</v>
      </c>
      <c r="AA3" s="38" t="s">
        <v>303</v>
      </c>
      <c r="AB3" s="2" t="s">
        <v>67</v>
      </c>
      <c r="AI3" s="38" t="s">
        <v>322</v>
      </c>
    </row>
    <row r="4" spans="1:38">
      <c r="A4" s="37" t="s">
        <v>67</v>
      </c>
      <c r="B4" s="2" t="s">
        <v>63</v>
      </c>
      <c r="C4" s="2" t="s">
        <v>64</v>
      </c>
      <c r="D4" s="2" t="s">
        <v>69</v>
      </c>
      <c r="E4" s="2">
        <v>-41.461100000000002</v>
      </c>
      <c r="F4" s="2">
        <v>42.596200000000003</v>
      </c>
      <c r="G4" s="2">
        <v>14.009399999999999</v>
      </c>
      <c r="H4" s="2" t="s">
        <v>66</v>
      </c>
      <c r="I4" s="12" t="s">
        <v>66</v>
      </c>
      <c r="J4" s="12" t="s">
        <v>66</v>
      </c>
      <c r="K4" s="2">
        <v>-9.6722999999999999</v>
      </c>
      <c r="L4" s="2">
        <v>14.4725</v>
      </c>
      <c r="M4" s="2">
        <v>4.6188000000000002</v>
      </c>
      <c r="N4" s="12" t="s">
        <v>66</v>
      </c>
      <c r="O4" s="12" t="s">
        <v>66</v>
      </c>
      <c r="P4" s="13" t="s">
        <v>70</v>
      </c>
      <c r="Q4" s="2">
        <v>3</v>
      </c>
      <c r="R4" s="2" t="s">
        <v>67</v>
      </c>
      <c r="S4" s="2" t="s">
        <v>62</v>
      </c>
      <c r="T4" s="2">
        <v>22.410985442329228</v>
      </c>
      <c r="U4" s="2">
        <v>0.17860000000000001</v>
      </c>
      <c r="V4" s="9">
        <v>4.0026020000000004</v>
      </c>
      <c r="W4" s="2">
        <v>5.24</v>
      </c>
      <c r="X4" s="2" t="s">
        <v>71</v>
      </c>
      <c r="Y4" s="2">
        <v>818</v>
      </c>
      <c r="Z4" s="2">
        <v>11700</v>
      </c>
      <c r="AA4" s="38" t="s">
        <v>303</v>
      </c>
      <c r="AB4" s="2" t="s">
        <v>67</v>
      </c>
      <c r="AI4" s="38" t="s">
        <v>324</v>
      </c>
      <c r="AK4" s="14"/>
      <c r="AL4" s="14"/>
    </row>
    <row r="5" spans="1:38">
      <c r="A5" s="37" t="s">
        <v>67</v>
      </c>
      <c r="B5" s="2" t="s">
        <v>63</v>
      </c>
      <c r="C5" s="2" t="s">
        <v>64</v>
      </c>
      <c r="D5" s="2" t="s">
        <v>213</v>
      </c>
      <c r="E5" s="2">
        <v>-178.14241812221539</v>
      </c>
      <c r="F5" s="2">
        <v>217.59910061885759</v>
      </c>
      <c r="G5" s="2">
        <v>140.75062895024675</v>
      </c>
      <c r="H5" s="2">
        <v>-23.019543535064823</v>
      </c>
      <c r="I5" s="12" t="s">
        <v>66</v>
      </c>
      <c r="J5" s="12" t="s">
        <v>66</v>
      </c>
      <c r="K5" s="2">
        <v>-3.8129095255047221E-2</v>
      </c>
      <c r="L5" s="2">
        <v>1.9189902868874367E-2</v>
      </c>
      <c r="M5" s="2">
        <v>-2.6897985932168894E-3</v>
      </c>
      <c r="N5" s="12" t="s">
        <v>66</v>
      </c>
      <c r="O5" s="12">
        <v>-2.55156518284938E-6</v>
      </c>
      <c r="P5" s="13" t="s">
        <v>107</v>
      </c>
      <c r="Q5" s="2">
        <v>6</v>
      </c>
      <c r="R5" s="2" t="s">
        <v>62</v>
      </c>
      <c r="S5" s="2" t="s">
        <v>67</v>
      </c>
      <c r="T5" s="2">
        <v>22.410985442329228</v>
      </c>
      <c r="U5" s="2">
        <v>0.17860000000000001</v>
      </c>
      <c r="V5" s="9">
        <v>4.0026020000000004</v>
      </c>
      <c r="W5" s="2">
        <v>5.24</v>
      </c>
      <c r="X5" s="2" t="s">
        <v>197</v>
      </c>
      <c r="Y5" s="2">
        <v>818</v>
      </c>
      <c r="Z5" s="2">
        <v>11700</v>
      </c>
      <c r="AA5" s="38" t="s">
        <v>303</v>
      </c>
      <c r="AB5" s="2" t="s">
        <v>67</v>
      </c>
      <c r="AI5" s="38" t="s">
        <v>323</v>
      </c>
    </row>
    <row r="6" spans="1:38">
      <c r="A6" s="37" t="s">
        <v>62</v>
      </c>
      <c r="B6" s="2" t="s">
        <v>72</v>
      </c>
      <c r="C6" s="2" t="s">
        <v>73</v>
      </c>
      <c r="D6" s="2" t="s">
        <v>74</v>
      </c>
      <c r="E6" s="2">
        <v>-170.6018</v>
      </c>
      <c r="F6" s="2">
        <v>225.19460000000001</v>
      </c>
      <c r="G6" s="2">
        <v>140.88630000000001</v>
      </c>
      <c r="H6" s="2">
        <v>-22.629000000000001</v>
      </c>
      <c r="I6" s="12" t="s">
        <v>66</v>
      </c>
      <c r="J6" s="12" t="s">
        <v>66</v>
      </c>
      <c r="K6" s="2">
        <v>-0.127113</v>
      </c>
      <c r="L6" s="2">
        <v>7.9277E-2</v>
      </c>
      <c r="M6" s="2">
        <v>-1.2909500000000001E-2</v>
      </c>
      <c r="N6" s="12" t="s">
        <v>66</v>
      </c>
      <c r="O6" s="12" t="s">
        <v>66</v>
      </c>
      <c r="P6" s="13" t="s">
        <v>201</v>
      </c>
      <c r="Q6" s="2">
        <v>1</v>
      </c>
      <c r="R6" s="2" t="s">
        <v>62</v>
      </c>
      <c r="S6" s="2" t="s">
        <v>67</v>
      </c>
      <c r="T6" s="2">
        <v>22.416907353921353</v>
      </c>
      <c r="U6" s="2">
        <v>0.9002</v>
      </c>
      <c r="V6" s="9">
        <v>20.1797</v>
      </c>
      <c r="W6" s="2">
        <v>18.18</v>
      </c>
      <c r="X6" s="38" t="s">
        <v>298</v>
      </c>
      <c r="Y6" s="2">
        <v>1608</v>
      </c>
      <c r="Z6" s="2">
        <v>14840</v>
      </c>
      <c r="AA6" s="38" t="s">
        <v>303</v>
      </c>
      <c r="AB6" s="2" t="s">
        <v>67</v>
      </c>
      <c r="AI6" s="38" t="s">
        <v>293</v>
      </c>
    </row>
    <row r="7" spans="1:38">
      <c r="A7" s="37" t="s">
        <v>67</v>
      </c>
      <c r="B7" s="2" t="s">
        <v>72</v>
      </c>
      <c r="C7" s="2" t="s">
        <v>73</v>
      </c>
      <c r="D7" s="2" t="s">
        <v>75</v>
      </c>
      <c r="E7" s="2">
        <v>-39.197099999999999</v>
      </c>
      <c r="F7" s="2">
        <v>51.801299999999998</v>
      </c>
      <c r="G7" s="2">
        <v>15.7699</v>
      </c>
      <c r="H7" s="2" t="s">
        <v>66</v>
      </c>
      <c r="I7" s="12" t="s">
        <v>66</v>
      </c>
      <c r="J7" s="12" t="s">
        <v>66</v>
      </c>
      <c r="K7" s="2">
        <v>-0.124695</v>
      </c>
      <c r="L7" s="2">
        <v>7.8373999999999999E-2</v>
      </c>
      <c r="M7" s="2">
        <v>-1.27972E-2</v>
      </c>
      <c r="N7" s="12" t="s">
        <v>66</v>
      </c>
      <c r="O7" s="12" t="s">
        <v>66</v>
      </c>
      <c r="P7" s="13" t="s">
        <v>202</v>
      </c>
      <c r="Q7" s="2">
        <v>1</v>
      </c>
      <c r="R7" s="2" t="s">
        <v>67</v>
      </c>
      <c r="S7" s="2" t="s">
        <v>62</v>
      </c>
      <c r="T7" s="2">
        <v>22.416907353921353</v>
      </c>
      <c r="U7" s="2">
        <v>0.9002</v>
      </c>
      <c r="V7" s="9">
        <v>20.1797</v>
      </c>
      <c r="W7" s="2">
        <v>18.18</v>
      </c>
      <c r="X7" s="38" t="s">
        <v>298</v>
      </c>
      <c r="Y7" s="2">
        <v>1608</v>
      </c>
      <c r="Z7" s="2">
        <v>14840</v>
      </c>
      <c r="AA7" s="38" t="s">
        <v>303</v>
      </c>
      <c r="AB7" s="2" t="s">
        <v>67</v>
      </c>
      <c r="AI7" s="38" t="s">
        <v>307</v>
      </c>
    </row>
    <row r="8" spans="1:38">
      <c r="A8" s="37" t="s">
        <v>67</v>
      </c>
      <c r="B8" s="2" t="s">
        <v>72</v>
      </c>
      <c r="C8" s="2" t="s">
        <v>73</v>
      </c>
      <c r="D8" s="2" t="s">
        <v>76</v>
      </c>
      <c r="E8" s="2">
        <v>-52.857300000000002</v>
      </c>
      <c r="F8" s="2">
        <v>61.049399999999999</v>
      </c>
      <c r="G8" s="2">
        <v>18.915700000000001</v>
      </c>
      <c r="H8" s="2" t="s">
        <v>66</v>
      </c>
      <c r="I8" s="12" t="s">
        <v>66</v>
      </c>
      <c r="J8" s="12" t="s">
        <v>66</v>
      </c>
      <c r="K8" s="2">
        <v>-11.525</v>
      </c>
      <c r="L8" s="2">
        <v>17.7408</v>
      </c>
      <c r="M8" s="2">
        <v>5.3421000000000003</v>
      </c>
      <c r="N8" s="12" t="s">
        <v>66</v>
      </c>
      <c r="O8" s="12" t="s">
        <v>66</v>
      </c>
      <c r="P8" s="13" t="s">
        <v>70</v>
      </c>
      <c r="Q8" s="2">
        <v>3</v>
      </c>
      <c r="R8" s="2" t="s">
        <v>67</v>
      </c>
      <c r="S8" s="2" t="s">
        <v>62</v>
      </c>
      <c r="T8" s="2">
        <v>22.416907353921353</v>
      </c>
      <c r="U8" s="2">
        <v>0.9002</v>
      </c>
      <c r="V8" s="9">
        <v>20.1797</v>
      </c>
      <c r="W8" s="2">
        <v>18.18</v>
      </c>
      <c r="X8" s="2" t="s">
        <v>71</v>
      </c>
      <c r="Y8" s="2">
        <v>1608</v>
      </c>
      <c r="Z8" s="2">
        <v>14840</v>
      </c>
      <c r="AA8" s="38" t="s">
        <v>303</v>
      </c>
      <c r="AB8" s="2" t="s">
        <v>67</v>
      </c>
      <c r="AI8" s="38" t="s">
        <v>324</v>
      </c>
    </row>
    <row r="9" spans="1:38">
      <c r="A9" s="37" t="s">
        <v>67</v>
      </c>
      <c r="B9" s="2" t="s">
        <v>72</v>
      </c>
      <c r="C9" s="2" t="s">
        <v>73</v>
      </c>
      <c r="D9" s="2" t="s">
        <v>79</v>
      </c>
      <c r="E9" s="2">
        <v>2.1815600000000002</v>
      </c>
      <c r="F9" s="2">
        <v>1.29108</v>
      </c>
      <c r="G9" s="2">
        <v>2.1250399999999998</v>
      </c>
      <c r="H9" s="2" t="s">
        <v>66</v>
      </c>
      <c r="I9" s="12" t="s">
        <v>66</v>
      </c>
      <c r="J9" s="12" t="s">
        <v>66</v>
      </c>
      <c r="K9" s="2">
        <v>-5.9473699999999996E-3</v>
      </c>
      <c r="L9" s="2">
        <v>-5.1389599999999997E-3</v>
      </c>
      <c r="M9" s="2" t="s">
        <v>66</v>
      </c>
      <c r="N9" s="12" t="s">
        <v>66</v>
      </c>
      <c r="O9" s="12" t="s">
        <v>66</v>
      </c>
      <c r="P9" s="13" t="s">
        <v>80</v>
      </c>
      <c r="Q9" s="2">
        <v>5</v>
      </c>
      <c r="R9" s="2" t="s">
        <v>62</v>
      </c>
      <c r="S9" s="2" t="s">
        <v>67</v>
      </c>
      <c r="T9" s="2">
        <v>22.416907353921353</v>
      </c>
      <c r="U9" s="2">
        <v>0.9002</v>
      </c>
      <c r="V9" s="9">
        <v>20.1797</v>
      </c>
      <c r="W9" s="2">
        <v>18.18</v>
      </c>
      <c r="X9" s="38" t="s">
        <v>296</v>
      </c>
      <c r="Y9" s="2">
        <v>1608</v>
      </c>
      <c r="Z9" s="2">
        <v>14840</v>
      </c>
      <c r="AA9" s="38" t="s">
        <v>303</v>
      </c>
      <c r="AB9" s="2" t="s">
        <v>67</v>
      </c>
      <c r="AI9" s="38" t="s">
        <v>325</v>
      </c>
    </row>
    <row r="10" spans="1:38">
      <c r="A10" s="37" t="s">
        <v>67</v>
      </c>
      <c r="B10" s="2" t="s">
        <v>72</v>
      </c>
      <c r="C10" s="2" t="s">
        <v>73</v>
      </c>
      <c r="D10" s="2" t="s">
        <v>212</v>
      </c>
      <c r="E10" s="2">
        <v>-274.13292896307883</v>
      </c>
      <c r="F10" s="2">
        <v>352.62009434730396</v>
      </c>
      <c r="G10" s="2">
        <v>226.96758858386374</v>
      </c>
      <c r="H10" s="2">
        <v>-37.133931282042241</v>
      </c>
      <c r="I10" s="12" t="s">
        <v>66</v>
      </c>
      <c r="J10" s="12" t="s">
        <v>66</v>
      </c>
      <c r="K10" s="2">
        <v>-6.3859579130923896E-2</v>
      </c>
      <c r="L10" s="2">
        <v>3.5325709013785789E-2</v>
      </c>
      <c r="M10" s="2">
        <v>-5.3257655648848035E-3</v>
      </c>
      <c r="N10" s="12" t="s">
        <v>66</v>
      </c>
      <c r="O10" s="12">
        <v>1.2823288026371433E-5</v>
      </c>
      <c r="P10" s="13" t="s">
        <v>107</v>
      </c>
      <c r="Q10" s="2">
        <v>6</v>
      </c>
      <c r="R10" s="2" t="s">
        <v>62</v>
      </c>
      <c r="S10" s="2" t="s">
        <v>67</v>
      </c>
      <c r="T10" s="2">
        <v>22.416907353921353</v>
      </c>
      <c r="U10" s="2">
        <v>0.9002</v>
      </c>
      <c r="V10" s="9">
        <v>20.1797</v>
      </c>
      <c r="W10" s="2">
        <v>18.18</v>
      </c>
      <c r="X10" s="2" t="s">
        <v>197</v>
      </c>
      <c r="Y10" s="2">
        <v>1608</v>
      </c>
      <c r="Z10" s="2">
        <v>14840</v>
      </c>
      <c r="AA10" s="38" t="s">
        <v>303</v>
      </c>
      <c r="AB10" s="2" t="s">
        <v>67</v>
      </c>
      <c r="AI10" s="38" t="s">
        <v>323</v>
      </c>
    </row>
    <row r="11" spans="1:38">
      <c r="A11" s="37" t="s">
        <v>62</v>
      </c>
      <c r="B11" s="2" t="s">
        <v>81</v>
      </c>
      <c r="C11" s="2" t="s">
        <v>82</v>
      </c>
      <c r="D11" s="2" t="s">
        <v>83</v>
      </c>
      <c r="E11" s="2">
        <v>-178.17250000000001</v>
      </c>
      <c r="F11" s="2">
        <v>251.81389999999999</v>
      </c>
      <c r="G11" s="2">
        <v>145.2337</v>
      </c>
      <c r="H11" s="2">
        <v>-22.204599999999999</v>
      </c>
      <c r="I11" s="12" t="s">
        <v>66</v>
      </c>
      <c r="J11" s="12" t="s">
        <v>66</v>
      </c>
      <c r="K11" s="2">
        <v>-3.8729E-2</v>
      </c>
      <c r="L11" s="2">
        <v>1.7170999999999999E-2</v>
      </c>
      <c r="M11" s="2">
        <v>-2.1281E-3</v>
      </c>
      <c r="N11" s="12" t="s">
        <v>66</v>
      </c>
      <c r="O11" s="12" t="s">
        <v>66</v>
      </c>
      <c r="P11" s="13" t="s">
        <v>201</v>
      </c>
      <c r="Q11" s="2">
        <v>1</v>
      </c>
      <c r="R11" s="2" t="s">
        <v>62</v>
      </c>
      <c r="S11" s="2" t="s">
        <v>67</v>
      </c>
      <c r="T11" s="2">
        <v>22.392376681614351</v>
      </c>
      <c r="U11" s="2">
        <v>1.784</v>
      </c>
      <c r="V11" s="9">
        <v>39.948</v>
      </c>
      <c r="W11" s="2">
        <v>9340</v>
      </c>
      <c r="X11" s="38" t="s">
        <v>297</v>
      </c>
      <c r="Y11" s="2">
        <v>2233</v>
      </c>
      <c r="Z11" s="2">
        <v>16680</v>
      </c>
      <c r="AA11" s="38" t="s">
        <v>302</v>
      </c>
      <c r="AB11" s="2" t="s">
        <v>67</v>
      </c>
      <c r="AI11" s="38" t="s">
        <v>322</v>
      </c>
      <c r="AK11" s="14"/>
      <c r="AL11" s="14"/>
    </row>
    <row r="12" spans="1:38">
      <c r="A12" s="37" t="s">
        <v>67</v>
      </c>
      <c r="B12" s="2" t="s">
        <v>81</v>
      </c>
      <c r="C12" s="2" t="s">
        <v>82</v>
      </c>
      <c r="D12" s="2" t="s">
        <v>84</v>
      </c>
      <c r="E12" s="2">
        <v>2.7915000000000001</v>
      </c>
      <c r="F12" s="2">
        <v>3.1760899999999999</v>
      </c>
      <c r="G12" s="2">
        <v>4.1311600000000004</v>
      </c>
      <c r="H12" s="2">
        <v>4.9037899999999999</v>
      </c>
      <c r="I12" s="12" t="s">
        <v>66</v>
      </c>
      <c r="J12" s="12" t="s">
        <v>66</v>
      </c>
      <c r="K12" s="2">
        <v>-6.9623300000000001E-3</v>
      </c>
      <c r="L12" s="2">
        <v>-7.6667000000000003E-3</v>
      </c>
      <c r="M12" s="2">
        <v>-1.1688799999999999E-2</v>
      </c>
      <c r="N12" s="12" t="s">
        <v>66</v>
      </c>
      <c r="O12" s="12" t="s">
        <v>66</v>
      </c>
      <c r="P12" s="13" t="s">
        <v>85</v>
      </c>
      <c r="Q12" s="2">
        <v>5</v>
      </c>
      <c r="R12" s="2" t="s">
        <v>62</v>
      </c>
      <c r="S12" s="2" t="s">
        <v>67</v>
      </c>
      <c r="T12" s="2">
        <v>22.392376681614351</v>
      </c>
      <c r="U12" s="2">
        <v>1.784</v>
      </c>
      <c r="V12" s="9">
        <v>39.948</v>
      </c>
      <c r="W12" s="2">
        <v>9340</v>
      </c>
      <c r="X12" s="38" t="s">
        <v>296</v>
      </c>
      <c r="Y12" s="2">
        <v>2233</v>
      </c>
      <c r="Z12" s="2">
        <v>16680</v>
      </c>
      <c r="AA12" s="38" t="s">
        <v>302</v>
      </c>
      <c r="AB12" s="2" t="s">
        <v>67</v>
      </c>
      <c r="AI12" s="38" t="s">
        <v>325</v>
      </c>
    </row>
    <row r="13" spans="1:38">
      <c r="A13" s="37" t="s">
        <v>67</v>
      </c>
      <c r="B13" s="2" t="s">
        <v>81</v>
      </c>
      <c r="C13" s="2" t="s">
        <v>82</v>
      </c>
      <c r="D13" s="2" t="s">
        <v>86</v>
      </c>
      <c r="E13" s="2">
        <v>-57.6661</v>
      </c>
      <c r="F13" s="2">
        <v>74.762699999999995</v>
      </c>
      <c r="G13" s="2">
        <v>20.139800000000001</v>
      </c>
      <c r="H13" s="2" t="s">
        <v>66</v>
      </c>
      <c r="I13" s="12" t="s">
        <v>66</v>
      </c>
      <c r="J13" s="12" t="s">
        <v>66</v>
      </c>
      <c r="K13" s="2">
        <v>-10.271000000000001</v>
      </c>
      <c r="L13" s="2">
        <v>16.094999999999999</v>
      </c>
      <c r="M13" s="2">
        <v>4.7538999999999998</v>
      </c>
      <c r="N13" s="12" t="s">
        <v>66</v>
      </c>
      <c r="O13" s="12" t="s">
        <v>66</v>
      </c>
      <c r="P13" s="13" t="s">
        <v>70</v>
      </c>
      <c r="Q13" s="2">
        <v>3</v>
      </c>
      <c r="R13" s="2" t="s">
        <v>67</v>
      </c>
      <c r="S13" s="2" t="s">
        <v>62</v>
      </c>
      <c r="T13" s="2">
        <v>22.392376681614351</v>
      </c>
      <c r="U13" s="2">
        <v>1.784</v>
      </c>
      <c r="V13" s="9">
        <v>39.948</v>
      </c>
      <c r="W13" s="2">
        <v>9340</v>
      </c>
      <c r="X13" s="2" t="s">
        <v>87</v>
      </c>
      <c r="Y13" s="2">
        <v>2233</v>
      </c>
      <c r="Z13" s="2">
        <v>16680</v>
      </c>
      <c r="AA13" s="38" t="s">
        <v>302</v>
      </c>
      <c r="AB13" s="2" t="s">
        <v>67</v>
      </c>
      <c r="AI13" s="38" t="s">
        <v>324</v>
      </c>
    </row>
    <row r="14" spans="1:38">
      <c r="A14" s="37" t="s">
        <v>67</v>
      </c>
      <c r="B14" s="2" t="s">
        <v>81</v>
      </c>
      <c r="C14" s="2" t="s">
        <v>82</v>
      </c>
      <c r="D14" s="2" t="s">
        <v>214</v>
      </c>
      <c r="E14" s="2">
        <v>-227.46065343395853</v>
      </c>
      <c r="F14" s="2">
        <v>305.43465089764936</v>
      </c>
      <c r="G14" s="2">
        <v>180.52783053586313</v>
      </c>
      <c r="H14" s="2">
        <v>-27.994502908372116</v>
      </c>
      <c r="I14" s="12" t="s">
        <v>66</v>
      </c>
      <c r="J14" s="12" t="s">
        <v>66</v>
      </c>
      <c r="K14" s="2">
        <v>-6.6942144095538822E-2</v>
      </c>
      <c r="L14" s="2">
        <v>3.7200664945349259E-2</v>
      </c>
      <c r="M14" s="2">
        <v>-5.6364177904516359E-3</v>
      </c>
      <c r="N14" s="12" t="s">
        <v>66</v>
      </c>
      <c r="O14" s="12">
        <v>-5.3032453325024811E-6</v>
      </c>
      <c r="P14" s="13" t="s">
        <v>107</v>
      </c>
      <c r="Q14" s="2">
        <v>6</v>
      </c>
      <c r="R14" s="2" t="s">
        <v>62</v>
      </c>
      <c r="S14" s="2" t="s">
        <v>67</v>
      </c>
      <c r="T14" s="2">
        <v>22.392376681614351</v>
      </c>
      <c r="U14" s="2">
        <v>1.784</v>
      </c>
      <c r="V14" s="9">
        <v>39.948</v>
      </c>
      <c r="W14" s="2">
        <v>9340</v>
      </c>
      <c r="X14" s="2" t="s">
        <v>197</v>
      </c>
      <c r="Y14" s="2">
        <v>2233</v>
      </c>
      <c r="Z14" s="2">
        <v>16680</v>
      </c>
      <c r="AA14" s="38" t="s">
        <v>302</v>
      </c>
      <c r="AB14" s="2" t="s">
        <v>67</v>
      </c>
      <c r="AI14" s="38" t="s">
        <v>323</v>
      </c>
    </row>
    <row r="15" spans="1:38">
      <c r="A15" s="37" t="s">
        <v>62</v>
      </c>
      <c r="B15" s="2" t="s">
        <v>88</v>
      </c>
      <c r="C15" s="2" t="s">
        <v>89</v>
      </c>
      <c r="D15" s="2" t="s">
        <v>90</v>
      </c>
      <c r="E15" s="2">
        <v>-112.684</v>
      </c>
      <c r="F15" s="2">
        <v>153.58170000000001</v>
      </c>
      <c r="G15" s="2">
        <v>74.468999999999994</v>
      </c>
      <c r="H15" s="2">
        <v>-10.0189</v>
      </c>
      <c r="I15" s="12" t="s">
        <v>66</v>
      </c>
      <c r="J15" s="12" t="s">
        <v>66</v>
      </c>
      <c r="K15" s="2">
        <v>-1.1213000000000001E-2</v>
      </c>
      <c r="L15" s="2">
        <v>-1.8439999999999999E-3</v>
      </c>
      <c r="M15" s="2">
        <v>1.1201E-3</v>
      </c>
      <c r="N15" s="12" t="s">
        <v>66</v>
      </c>
      <c r="O15" s="12" t="s">
        <v>66</v>
      </c>
      <c r="P15" s="13" t="s">
        <v>201</v>
      </c>
      <c r="Q15" s="2">
        <v>1</v>
      </c>
      <c r="R15" s="2" t="s">
        <v>62</v>
      </c>
      <c r="S15" s="2" t="s">
        <v>67</v>
      </c>
      <c r="T15" s="2">
        <v>22.352093891704456</v>
      </c>
      <c r="U15" s="2">
        <v>3.7490000000000001</v>
      </c>
      <c r="V15" s="9">
        <v>83.798000000000002</v>
      </c>
      <c r="W15" s="2">
        <v>1.1399999999999999</v>
      </c>
      <c r="X15" s="38" t="s">
        <v>299</v>
      </c>
      <c r="Y15" s="2">
        <v>6393</v>
      </c>
      <c r="Z15" s="2">
        <v>20200</v>
      </c>
      <c r="AA15" s="38" t="s">
        <v>303</v>
      </c>
      <c r="AB15" s="2" t="s">
        <v>67</v>
      </c>
      <c r="AI15" s="38" t="s">
        <v>322</v>
      </c>
    </row>
    <row r="16" spans="1:38">
      <c r="A16" s="37" t="s">
        <v>67</v>
      </c>
      <c r="B16" s="2" t="s">
        <v>88</v>
      </c>
      <c r="C16" s="2" t="s">
        <v>89</v>
      </c>
      <c r="D16" s="2" t="s">
        <v>91</v>
      </c>
      <c r="E16" s="2">
        <v>-66.992800000000003</v>
      </c>
      <c r="F16" s="2">
        <v>91.016599999999997</v>
      </c>
      <c r="G16" s="2">
        <v>24.220700000000001</v>
      </c>
      <c r="H16" s="2" t="s">
        <v>66</v>
      </c>
      <c r="I16" s="12" t="s">
        <v>66</v>
      </c>
      <c r="J16" s="12" t="s">
        <v>66</v>
      </c>
      <c r="K16" s="2">
        <v>-9.5533999999999999</v>
      </c>
      <c r="L16" s="2">
        <v>15.103899999999999</v>
      </c>
      <c r="M16" s="2">
        <v>4.4164000000000003</v>
      </c>
      <c r="N16" s="12" t="s">
        <v>66</v>
      </c>
      <c r="O16" s="12" t="s">
        <v>66</v>
      </c>
      <c r="P16" s="13" t="s">
        <v>70</v>
      </c>
      <c r="Q16" s="2">
        <v>3</v>
      </c>
      <c r="R16" s="2" t="s">
        <v>67</v>
      </c>
      <c r="S16" s="2" t="s">
        <v>62</v>
      </c>
      <c r="T16" s="2">
        <v>22.352093891704456</v>
      </c>
      <c r="U16" s="2">
        <v>3.7490000000000001</v>
      </c>
      <c r="V16" s="9">
        <v>83.798000000000002</v>
      </c>
      <c r="W16" s="2">
        <v>1.1399999999999999</v>
      </c>
      <c r="X16" s="2" t="s">
        <v>92</v>
      </c>
      <c r="Y16" s="2">
        <v>6393</v>
      </c>
      <c r="Z16" s="2">
        <v>20200</v>
      </c>
      <c r="AA16" s="38" t="s">
        <v>303</v>
      </c>
      <c r="AB16" s="2" t="s">
        <v>67</v>
      </c>
      <c r="AI16" s="38" t="s">
        <v>324</v>
      </c>
    </row>
    <row r="17" spans="1:35">
      <c r="A17" s="37" t="s">
        <v>67</v>
      </c>
      <c r="B17" s="2" t="s">
        <v>88</v>
      </c>
      <c r="C17" s="2" t="s">
        <v>89</v>
      </c>
      <c r="D17" s="2" t="s">
        <v>215</v>
      </c>
      <c r="E17" s="2">
        <v>-122.46938859427131</v>
      </c>
      <c r="F17" s="2">
        <v>153.56543264999917</v>
      </c>
      <c r="G17" s="2">
        <v>70.196888746308758</v>
      </c>
      <c r="H17" s="2">
        <v>-8.5252411363631815</v>
      </c>
      <c r="I17" s="12" t="s">
        <v>66</v>
      </c>
      <c r="J17" s="12" t="s">
        <v>66</v>
      </c>
      <c r="K17" s="2">
        <v>-4.9521501676346523E-2</v>
      </c>
      <c r="L17" s="2">
        <v>2.4433726230271114E-2</v>
      </c>
      <c r="M17" s="2">
        <v>-3.3967810297901224E-3</v>
      </c>
      <c r="N17" s="12" t="s">
        <v>66</v>
      </c>
      <c r="O17" s="12">
        <v>4.1920793924741206E-6</v>
      </c>
      <c r="P17" s="13" t="s">
        <v>107</v>
      </c>
      <c r="Q17" s="2">
        <v>6</v>
      </c>
      <c r="R17" s="2" t="s">
        <v>62</v>
      </c>
      <c r="S17" s="2" t="s">
        <v>67</v>
      </c>
      <c r="T17" s="2">
        <v>22.352093891704456</v>
      </c>
      <c r="U17" s="2">
        <v>3.7490000000000001</v>
      </c>
      <c r="V17" s="9">
        <v>83.798000000000002</v>
      </c>
      <c r="W17" s="2">
        <v>1.1399999999999999</v>
      </c>
      <c r="X17" s="2" t="s">
        <v>197</v>
      </c>
      <c r="Y17" s="2">
        <v>6393</v>
      </c>
      <c r="Z17" s="2">
        <v>20200</v>
      </c>
      <c r="AA17" s="38" t="s">
        <v>303</v>
      </c>
      <c r="AB17" s="2" t="s">
        <v>67</v>
      </c>
      <c r="AI17" s="38" t="s">
        <v>323</v>
      </c>
    </row>
    <row r="18" spans="1:35">
      <c r="A18" s="37" t="s">
        <v>62</v>
      </c>
      <c r="B18" s="2" t="s">
        <v>93</v>
      </c>
      <c r="C18" s="2" t="s">
        <v>94</v>
      </c>
      <c r="D18" s="2" t="s">
        <v>95</v>
      </c>
      <c r="E18" s="2">
        <v>-74.739800000000002</v>
      </c>
      <c r="F18" s="2">
        <v>105.21</v>
      </c>
      <c r="G18" s="2">
        <v>27.4664</v>
      </c>
      <c r="H18" s="2" t="s">
        <v>96</v>
      </c>
      <c r="I18" s="12" t="s">
        <v>66</v>
      </c>
      <c r="J18" s="12" t="s">
        <v>66</v>
      </c>
      <c r="K18" s="2">
        <v>-14.133800000000001</v>
      </c>
      <c r="L18" s="2">
        <v>21.877199999999998</v>
      </c>
      <c r="M18" s="2">
        <v>6.5526999999999997</v>
      </c>
      <c r="N18" s="12" t="s">
        <v>66</v>
      </c>
      <c r="O18" s="12" t="s">
        <v>66</v>
      </c>
      <c r="P18" s="13" t="s">
        <v>70</v>
      </c>
      <c r="Q18" s="2">
        <v>3</v>
      </c>
      <c r="R18" s="2" t="s">
        <v>67</v>
      </c>
      <c r="S18" s="2" t="s">
        <v>62</v>
      </c>
      <c r="T18" s="9">
        <v>22.2804</v>
      </c>
      <c r="U18" s="2">
        <v>5.8940000000000001</v>
      </c>
      <c r="V18" s="9">
        <v>131.29300000000001</v>
      </c>
      <c r="W18" s="2">
        <v>8.6999999999999994E-2</v>
      </c>
      <c r="X18" s="2" t="s">
        <v>92</v>
      </c>
      <c r="Y18" s="2">
        <v>9007</v>
      </c>
      <c r="Z18" s="2">
        <v>21310</v>
      </c>
      <c r="AA18" s="38" t="s">
        <v>303</v>
      </c>
      <c r="AB18" s="2" t="s">
        <v>67</v>
      </c>
      <c r="AI18" s="38" t="s">
        <v>324</v>
      </c>
    </row>
    <row r="19" spans="1:35">
      <c r="A19" s="37" t="s">
        <v>67</v>
      </c>
      <c r="B19" s="2" t="s">
        <v>93</v>
      </c>
      <c r="C19" s="2" t="s">
        <v>94</v>
      </c>
      <c r="D19" s="2" t="s">
        <v>216</v>
      </c>
      <c r="E19" s="2">
        <v>-224.5100051620274</v>
      </c>
      <c r="F19" s="2">
        <v>292.8234162687358</v>
      </c>
      <c r="G19" s="2">
        <v>157.61265466581128</v>
      </c>
      <c r="H19" s="2">
        <v>-22.668945306025336</v>
      </c>
      <c r="I19" s="12" t="s">
        <v>66</v>
      </c>
      <c r="J19" s="12" t="s">
        <v>66</v>
      </c>
      <c r="K19" s="2">
        <v>-8.491506529469646E-2</v>
      </c>
      <c r="L19" s="2">
        <v>4.7995555854953076E-2</v>
      </c>
      <c r="M19" s="2">
        <v>-7.3594642581385362E-3</v>
      </c>
      <c r="N19" s="12" t="s">
        <v>66</v>
      </c>
      <c r="O19" s="12">
        <v>6.6929189163709991E-6</v>
      </c>
      <c r="P19" s="13" t="s">
        <v>107</v>
      </c>
      <c r="Q19" s="2">
        <v>6</v>
      </c>
      <c r="R19" s="2" t="s">
        <v>62</v>
      </c>
      <c r="S19" s="2" t="s">
        <v>67</v>
      </c>
      <c r="T19" s="9">
        <v>22.275704105870378</v>
      </c>
      <c r="U19" s="2">
        <v>5.8940000000000001</v>
      </c>
      <c r="V19" s="9">
        <v>131.29300000000001</v>
      </c>
      <c r="W19" s="2">
        <v>8.6999999999999994E-2</v>
      </c>
      <c r="X19" s="2" t="s">
        <v>197</v>
      </c>
      <c r="Y19" s="2">
        <v>9007</v>
      </c>
      <c r="Z19" s="2">
        <v>21310</v>
      </c>
      <c r="AA19" s="38" t="s">
        <v>303</v>
      </c>
      <c r="AB19" s="2" t="s">
        <v>67</v>
      </c>
      <c r="AI19" s="38" t="s">
        <v>323</v>
      </c>
    </row>
    <row r="20" spans="1:35">
      <c r="A20" s="6" t="s">
        <v>62</v>
      </c>
      <c r="B20" s="2" t="s">
        <v>97</v>
      </c>
      <c r="C20" s="2" t="s">
        <v>98</v>
      </c>
      <c r="D20" s="2" t="s">
        <v>181</v>
      </c>
      <c r="E20" s="2">
        <v>-177.02119999999999</v>
      </c>
      <c r="F20" s="2">
        <v>254.6078</v>
      </c>
      <c r="G20" s="2">
        <v>146.36109999999999</v>
      </c>
      <c r="H20" s="2">
        <v>-22.093299999999999</v>
      </c>
      <c r="I20" s="12" t="s">
        <v>66</v>
      </c>
      <c r="J20" s="12" t="s">
        <v>66</v>
      </c>
      <c r="K20" s="2">
        <v>-5.4052000000000003E-2</v>
      </c>
      <c r="L20" s="2">
        <v>2.7265999999999999E-2</v>
      </c>
      <c r="M20" s="2">
        <v>-3.8430000000000001E-3</v>
      </c>
      <c r="N20" s="12" t="s">
        <v>66</v>
      </c>
      <c r="O20" s="12" t="s">
        <v>66</v>
      </c>
      <c r="P20" s="2" t="s">
        <v>201</v>
      </c>
      <c r="Q20" s="2">
        <v>1</v>
      </c>
      <c r="R20" s="2" t="s">
        <v>62</v>
      </c>
      <c r="S20" s="2" t="s">
        <v>67</v>
      </c>
      <c r="T20" s="2">
        <v>22.392805755395699</v>
      </c>
      <c r="U20" s="2">
        <v>1.2509999999999999</v>
      </c>
      <c r="V20" s="9">
        <v>28.013400000000001</v>
      </c>
      <c r="W20" s="2">
        <v>780840</v>
      </c>
      <c r="X20" s="38" t="s">
        <v>297</v>
      </c>
      <c r="Y20" s="2">
        <v>3412</v>
      </c>
      <c r="Z20" s="2">
        <v>18501.648000000001</v>
      </c>
      <c r="AA20" s="38" t="s">
        <v>304</v>
      </c>
      <c r="AB20" s="2" t="s">
        <v>67</v>
      </c>
      <c r="AI20" s="38" t="s">
        <v>322</v>
      </c>
    </row>
    <row r="21" spans="1:35">
      <c r="A21" s="6" t="s">
        <v>67</v>
      </c>
      <c r="B21" s="2" t="s">
        <v>97</v>
      </c>
      <c r="C21" s="2" t="s">
        <v>98</v>
      </c>
      <c r="D21" s="2" t="s">
        <v>99</v>
      </c>
      <c r="E21" s="2">
        <v>-59.627400000000002</v>
      </c>
      <c r="F21" s="2">
        <v>85.766099999999994</v>
      </c>
      <c r="G21" s="2">
        <v>24.369599999999998</v>
      </c>
      <c r="H21" s="2" t="s">
        <v>66</v>
      </c>
      <c r="I21" s="12" t="s">
        <v>66</v>
      </c>
      <c r="J21" s="12" t="s">
        <v>66</v>
      </c>
      <c r="K21" s="2">
        <v>-5.1580000000000001E-2</v>
      </c>
      <c r="L21" s="2">
        <v>2.6329000000000002E-2</v>
      </c>
      <c r="M21" s="2">
        <v>-3.7252000000000001E-3</v>
      </c>
      <c r="N21" s="12" t="s">
        <v>66</v>
      </c>
      <c r="O21" s="12" t="s">
        <v>66</v>
      </c>
      <c r="P21" s="2" t="s">
        <v>202</v>
      </c>
      <c r="Q21" s="2">
        <v>1</v>
      </c>
      <c r="R21" s="2" t="s">
        <v>67</v>
      </c>
      <c r="S21" s="2" t="s">
        <v>62</v>
      </c>
      <c r="T21" s="2">
        <v>22.392805755395685</v>
      </c>
      <c r="U21" s="2">
        <v>1.2509999999999999</v>
      </c>
      <c r="V21" s="9">
        <v>28.013400000000001</v>
      </c>
      <c r="W21" s="2">
        <v>780840</v>
      </c>
      <c r="X21" s="38" t="s">
        <v>297</v>
      </c>
      <c r="Y21" s="2">
        <v>3412</v>
      </c>
      <c r="Z21" s="2">
        <v>18501.648000000001</v>
      </c>
      <c r="AA21" s="38" t="s">
        <v>304</v>
      </c>
      <c r="AB21" s="2" t="s">
        <v>67</v>
      </c>
      <c r="AI21" s="38" t="s">
        <v>307</v>
      </c>
    </row>
    <row r="22" spans="1:35">
      <c r="A22" s="6" t="s">
        <v>67</v>
      </c>
      <c r="B22" s="2" t="s">
        <v>97</v>
      </c>
      <c r="C22" s="2" t="s">
        <v>98</v>
      </c>
      <c r="D22" s="2" t="s">
        <v>100</v>
      </c>
      <c r="E22" s="2">
        <v>6.4293100000000001</v>
      </c>
      <c r="F22" s="2">
        <v>2.9270399999999999</v>
      </c>
      <c r="G22" s="2">
        <v>4.32531</v>
      </c>
      <c r="H22" s="2">
        <v>4.6914899999999999</v>
      </c>
      <c r="I22" s="12" t="s">
        <v>66</v>
      </c>
      <c r="J22" s="12" t="s">
        <v>66</v>
      </c>
      <c r="K22" s="2">
        <v>-7.4412899999999997E-3</v>
      </c>
      <c r="L22" s="2">
        <v>-8.0256600000000004E-3</v>
      </c>
      <c r="M22" s="2">
        <v>-1.46775E-2</v>
      </c>
      <c r="N22" s="12" t="s">
        <v>66</v>
      </c>
      <c r="O22" s="12" t="s">
        <v>66</v>
      </c>
      <c r="P22" s="2" t="s">
        <v>85</v>
      </c>
      <c r="Q22" s="2">
        <v>5</v>
      </c>
      <c r="R22" s="2" t="s">
        <v>62</v>
      </c>
      <c r="S22" s="2" t="s">
        <v>67</v>
      </c>
      <c r="T22" s="2">
        <v>22.392805755395685</v>
      </c>
      <c r="U22" s="2">
        <v>1.2509999999999999</v>
      </c>
      <c r="V22" s="9">
        <v>28.013400000000001</v>
      </c>
      <c r="W22" s="2">
        <v>780840</v>
      </c>
      <c r="X22" s="38" t="s">
        <v>296</v>
      </c>
      <c r="Y22" s="2">
        <v>3412</v>
      </c>
      <c r="Z22" s="2">
        <v>18501.648000000001</v>
      </c>
      <c r="AA22" s="38" t="s">
        <v>304</v>
      </c>
      <c r="AB22" s="2" t="s">
        <v>67</v>
      </c>
      <c r="AI22" s="38" t="s">
        <v>325</v>
      </c>
    </row>
    <row r="23" spans="1:35">
      <c r="A23" s="6" t="s">
        <v>67</v>
      </c>
      <c r="B23" s="2" t="s">
        <v>101</v>
      </c>
      <c r="C23" s="2" t="s">
        <v>102</v>
      </c>
      <c r="D23" s="2" t="s">
        <v>103</v>
      </c>
      <c r="E23" s="2">
        <v>-177.78880000000001</v>
      </c>
      <c r="F23" s="2">
        <v>255.5907</v>
      </c>
      <c r="G23" s="2">
        <v>146.4813</v>
      </c>
      <c r="H23" s="2">
        <v>-22.204000000000001</v>
      </c>
      <c r="I23" s="12" t="s">
        <v>66</v>
      </c>
      <c r="J23" s="12" t="s">
        <v>66</v>
      </c>
      <c r="K23" s="2">
        <v>-3.7361999999999999E-2</v>
      </c>
      <c r="L23" s="2">
        <v>1.6504000000000001E-2</v>
      </c>
      <c r="M23" s="2">
        <v>-2.0563999999999999E-3</v>
      </c>
      <c r="N23" s="12" t="s">
        <v>66</v>
      </c>
      <c r="O23" s="12" t="s">
        <v>66</v>
      </c>
      <c r="P23" s="2" t="s">
        <v>201</v>
      </c>
      <c r="Q23" s="2">
        <v>1</v>
      </c>
      <c r="R23" s="2" t="s">
        <v>62</v>
      </c>
      <c r="S23" s="2" t="s">
        <v>67</v>
      </c>
      <c r="T23" s="2">
        <v>22.392442267319804</v>
      </c>
      <c r="U23" s="2">
        <v>1.429</v>
      </c>
      <c r="V23" s="9">
        <v>31.998799999999999</v>
      </c>
      <c r="W23" s="2">
        <v>209500</v>
      </c>
      <c r="X23" s="38" t="s">
        <v>297</v>
      </c>
      <c r="Y23" s="2">
        <v>4286</v>
      </c>
      <c r="Z23" s="2">
        <v>18702.458999999999</v>
      </c>
      <c r="AA23" s="38" t="s">
        <v>304</v>
      </c>
      <c r="AB23" s="2" t="s">
        <v>67</v>
      </c>
      <c r="AI23" s="38" t="s">
        <v>322</v>
      </c>
    </row>
    <row r="24" spans="1:35">
      <c r="A24" s="6" t="s">
        <v>62</v>
      </c>
      <c r="B24" s="2" t="s">
        <v>101</v>
      </c>
      <c r="C24" s="2" t="s">
        <v>102</v>
      </c>
      <c r="D24" s="2" t="s">
        <v>104</v>
      </c>
      <c r="E24" s="2">
        <v>-139.09802999999999</v>
      </c>
      <c r="F24" s="2">
        <v>157228.79999999999</v>
      </c>
      <c r="G24" s="2">
        <v>-66371490</v>
      </c>
      <c r="H24" s="2">
        <v>12436780000</v>
      </c>
      <c r="I24" s="12">
        <v>-862106100000</v>
      </c>
      <c r="J24" s="12" t="s">
        <v>66</v>
      </c>
      <c r="K24" s="2">
        <v>-2.0573000000000001E-2</v>
      </c>
      <c r="L24" s="2">
        <v>12.141999999999999</v>
      </c>
      <c r="M24" s="2">
        <v>-2363.1</v>
      </c>
      <c r="N24" s="12" t="s">
        <v>66</v>
      </c>
      <c r="O24" s="12" t="s">
        <v>66</v>
      </c>
      <c r="P24" s="2" t="s">
        <v>201</v>
      </c>
      <c r="Q24" s="2">
        <v>4</v>
      </c>
      <c r="R24" s="2" t="s">
        <v>62</v>
      </c>
      <c r="S24" s="2" t="s">
        <v>67</v>
      </c>
      <c r="T24" s="2">
        <v>22.392442267319804</v>
      </c>
      <c r="U24" s="2">
        <v>1.429</v>
      </c>
      <c r="V24" s="9">
        <v>31.998799999999999</v>
      </c>
      <c r="W24" s="2">
        <v>209500</v>
      </c>
      <c r="X24" s="38" t="s">
        <v>301</v>
      </c>
      <c r="Y24" s="2">
        <v>4286</v>
      </c>
      <c r="Z24" s="2">
        <v>18702.458999999999</v>
      </c>
      <c r="AA24" s="38" t="s">
        <v>304</v>
      </c>
      <c r="AB24" s="2" t="s">
        <v>62</v>
      </c>
      <c r="AC24" s="2">
        <v>1</v>
      </c>
      <c r="AD24" s="14">
        <v>9.7499999999999996E-4</v>
      </c>
      <c r="AE24" s="14">
        <v>-1.4260000000000001E-5</v>
      </c>
      <c r="AF24" s="14">
        <v>6.4360000000000002E-8</v>
      </c>
      <c r="AG24" s="14"/>
      <c r="AI24" s="38" t="s">
        <v>321</v>
      </c>
    </row>
    <row r="25" spans="1:35">
      <c r="A25" s="6" t="s">
        <v>67</v>
      </c>
      <c r="B25" s="2" t="s">
        <v>101</v>
      </c>
      <c r="C25" s="2" t="s">
        <v>102</v>
      </c>
      <c r="D25" s="2" t="s">
        <v>105</v>
      </c>
      <c r="E25" s="2">
        <v>5.8081800000000001</v>
      </c>
      <c r="F25" s="2">
        <v>3.2068400000000001</v>
      </c>
      <c r="G25" s="2">
        <v>4.1189</v>
      </c>
      <c r="H25" s="2">
        <v>4.9384499999999996</v>
      </c>
      <c r="I25" s="12">
        <v>1.0156700000000001</v>
      </c>
      <c r="J25" s="12">
        <v>1.4157500000000001</v>
      </c>
      <c r="K25" s="2">
        <v>-7.0121100000000002E-3</v>
      </c>
      <c r="L25" s="2">
        <v>-7.2595799999999999E-3</v>
      </c>
      <c r="M25" s="2">
        <v>-7.9333400000000005E-3</v>
      </c>
      <c r="N25" s="12">
        <v>-5.5449100000000001E-3</v>
      </c>
      <c r="O25" s="12">
        <v>-1.3241200000000001E-7</v>
      </c>
      <c r="P25" s="2" t="s">
        <v>85</v>
      </c>
      <c r="Q25" s="2">
        <v>5</v>
      </c>
      <c r="R25" s="2" t="s">
        <v>62</v>
      </c>
      <c r="S25" s="2" t="s">
        <v>67</v>
      </c>
      <c r="T25" s="2">
        <v>22.392442267319804</v>
      </c>
      <c r="U25" s="2">
        <v>1.429</v>
      </c>
      <c r="V25" s="9">
        <v>31.998799999999999</v>
      </c>
      <c r="W25" s="2">
        <v>209500</v>
      </c>
      <c r="X25" s="38" t="s">
        <v>300</v>
      </c>
      <c r="Y25" s="2">
        <v>4286</v>
      </c>
      <c r="Z25" s="2">
        <v>18702.458999999999</v>
      </c>
      <c r="AA25" s="38" t="s">
        <v>304</v>
      </c>
      <c r="AB25" s="2" t="s">
        <v>67</v>
      </c>
      <c r="AI25" s="38" t="s">
        <v>320</v>
      </c>
    </row>
    <row r="26" spans="1:35">
      <c r="A26" s="6" t="s">
        <v>62</v>
      </c>
      <c r="B26" s="2" t="s">
        <v>106</v>
      </c>
      <c r="C26" s="2" t="s">
        <v>77</v>
      </c>
      <c r="D26" s="38" t="s">
        <v>283</v>
      </c>
      <c r="E26" s="2">
        <v>-162.83009999999999</v>
      </c>
      <c r="F26" s="2">
        <v>218.29679999999999</v>
      </c>
      <c r="G26" s="2">
        <v>90.924099999999996</v>
      </c>
      <c r="H26" s="2">
        <v>-1.4769600000000001</v>
      </c>
      <c r="I26" s="12" t="s">
        <v>66</v>
      </c>
      <c r="J26" s="12" t="s">
        <v>66</v>
      </c>
      <c r="K26" s="2">
        <v>2.5694999999999999E-2</v>
      </c>
      <c r="L26" s="2">
        <v>-2.5225000000000001E-2</v>
      </c>
      <c r="M26" s="2">
        <v>4.9867000000000002E-3</v>
      </c>
      <c r="N26" s="12" t="s">
        <v>66</v>
      </c>
      <c r="O26" s="12" t="s">
        <v>66</v>
      </c>
      <c r="P26" s="2" t="s">
        <v>107</v>
      </c>
      <c r="Q26" s="2">
        <v>2</v>
      </c>
      <c r="R26" s="2" t="s">
        <v>62</v>
      </c>
      <c r="S26" s="2" t="s">
        <v>62</v>
      </c>
      <c r="T26" s="2">
        <v>22.260748609003542</v>
      </c>
      <c r="U26" s="2">
        <v>1.9770000000000001</v>
      </c>
      <c r="V26" s="9">
        <v>44.009500000000003</v>
      </c>
      <c r="W26" s="2">
        <v>350</v>
      </c>
      <c r="X26" s="2" t="s">
        <v>108</v>
      </c>
      <c r="Y26" s="2">
        <v>5019</v>
      </c>
      <c r="Z26" s="2">
        <v>19510</v>
      </c>
      <c r="AA26" s="38" t="s">
        <v>303</v>
      </c>
      <c r="AB26" s="2" t="s">
        <v>62</v>
      </c>
      <c r="AC26" s="2">
        <v>2</v>
      </c>
      <c r="AD26" s="89">
        <v>4.7328118195360994E-2</v>
      </c>
      <c r="AE26" s="89">
        <v>-9.279999850397191</v>
      </c>
      <c r="AF26" s="89">
        <v>-6.5034412759961695E-5</v>
      </c>
      <c r="AH26" s="2">
        <v>32.299999999999997</v>
      </c>
      <c r="AI26" s="38" t="s">
        <v>312</v>
      </c>
    </row>
    <row r="27" spans="1:35">
      <c r="A27" s="37" t="s">
        <v>67</v>
      </c>
      <c r="B27" s="2" t="s">
        <v>106</v>
      </c>
      <c r="C27" s="2" t="s">
        <v>77</v>
      </c>
      <c r="D27" s="38" t="s">
        <v>203</v>
      </c>
      <c r="E27" s="2">
        <v>-60.240900000000003</v>
      </c>
      <c r="F27" s="2">
        <v>93.451700000000002</v>
      </c>
      <c r="G27" s="2">
        <v>23.358499999999999</v>
      </c>
      <c r="H27" s="39" t="s">
        <v>66</v>
      </c>
      <c r="I27" s="12" t="s">
        <v>66</v>
      </c>
      <c r="J27" s="12" t="s">
        <v>66</v>
      </c>
      <c r="K27" s="2">
        <v>2.3517E-2</v>
      </c>
      <c r="L27" s="2">
        <v>-2.3656E-2</v>
      </c>
      <c r="M27" s="2">
        <v>4.7035999999999996E-3</v>
      </c>
      <c r="N27" s="12" t="s">
        <v>66</v>
      </c>
      <c r="O27" s="12" t="s">
        <v>66</v>
      </c>
      <c r="P27" s="2" t="s">
        <v>107</v>
      </c>
      <c r="Q27" s="2">
        <v>2</v>
      </c>
      <c r="R27" s="38" t="s">
        <v>67</v>
      </c>
      <c r="S27" s="2" t="s">
        <v>62</v>
      </c>
      <c r="T27" s="2">
        <v>22.260748609003542</v>
      </c>
      <c r="U27" s="2">
        <v>1.9770000000000001</v>
      </c>
      <c r="V27" s="9">
        <v>44.009500000000003</v>
      </c>
      <c r="W27" s="2">
        <v>350</v>
      </c>
      <c r="X27" s="38" t="s">
        <v>222</v>
      </c>
      <c r="Y27" s="2">
        <v>5019</v>
      </c>
      <c r="Z27" s="2">
        <v>19510</v>
      </c>
      <c r="AA27" s="38" t="s">
        <v>303</v>
      </c>
      <c r="AB27" s="2" t="s">
        <v>62</v>
      </c>
      <c r="AC27" s="2">
        <v>2</v>
      </c>
      <c r="AD27" s="89">
        <v>4.7328118195360994E-2</v>
      </c>
      <c r="AE27" s="89">
        <v>-9.279999850397191</v>
      </c>
      <c r="AF27" s="89">
        <v>-6.5034412759961695E-5</v>
      </c>
      <c r="AH27" s="2">
        <v>32.299999999999997</v>
      </c>
      <c r="AI27" s="38" t="s">
        <v>313</v>
      </c>
    </row>
    <row r="28" spans="1:35">
      <c r="A28" s="6" t="s">
        <v>62</v>
      </c>
      <c r="B28" s="2" t="s">
        <v>109</v>
      </c>
      <c r="C28" s="2" t="s">
        <v>110</v>
      </c>
      <c r="D28" s="2" t="s">
        <v>111</v>
      </c>
      <c r="E28" s="2">
        <v>-414.3956</v>
      </c>
      <c r="F28" s="2">
        <v>599.86260000000004</v>
      </c>
      <c r="G28" s="2">
        <v>380.36360000000002</v>
      </c>
      <c r="H28" s="2">
        <v>-62.0764</v>
      </c>
      <c r="I28" s="12" t="s">
        <v>66</v>
      </c>
      <c r="J28" s="12" t="s">
        <v>66</v>
      </c>
      <c r="K28" s="2">
        <v>-6.4236000000000001E-2</v>
      </c>
      <c r="L28" s="2">
        <v>3.4979999999999997E-2</v>
      </c>
      <c r="M28" s="2">
        <v>-5.2731999999999996E-3</v>
      </c>
      <c r="N28" s="12" t="s">
        <v>66</v>
      </c>
      <c r="O28" s="12" t="s">
        <v>66</v>
      </c>
      <c r="P28" s="2" t="s">
        <v>112</v>
      </c>
      <c r="Q28" s="2">
        <v>1</v>
      </c>
      <c r="R28" s="2" t="s">
        <v>62</v>
      </c>
      <c r="S28" s="2" t="s">
        <v>62</v>
      </c>
      <c r="T28" s="2">
        <v>22.390034891835306</v>
      </c>
      <c r="U28" s="2">
        <v>0.71650000000000003</v>
      </c>
      <c r="V28" s="9">
        <v>16.042459999999998</v>
      </c>
      <c r="W28" s="2">
        <v>1.41</v>
      </c>
      <c r="X28" s="2" t="s">
        <v>113</v>
      </c>
      <c r="Y28" s="2">
        <v>3047</v>
      </c>
      <c r="Z28" s="2">
        <v>18360</v>
      </c>
      <c r="AA28" s="38" t="s">
        <v>303</v>
      </c>
      <c r="AB28" s="2" t="s">
        <v>67</v>
      </c>
      <c r="AI28" s="38" t="s">
        <v>326</v>
      </c>
    </row>
    <row r="29" spans="1:35">
      <c r="A29" s="6" t="s">
        <v>62</v>
      </c>
      <c r="B29" s="2" t="s">
        <v>114</v>
      </c>
      <c r="C29" s="2" t="s">
        <v>115</v>
      </c>
      <c r="D29" s="2" t="s">
        <v>116</v>
      </c>
      <c r="E29" s="2">
        <v>-172.49950000000001</v>
      </c>
      <c r="F29" s="2">
        <v>267.67959999999999</v>
      </c>
      <c r="G29" s="2">
        <v>161.08619999999999</v>
      </c>
      <c r="H29" s="2">
        <v>-25.6218</v>
      </c>
      <c r="I29" s="12"/>
      <c r="J29" s="12"/>
      <c r="K29" s="2">
        <v>4.6102999999999998E-2</v>
      </c>
      <c r="L29" s="2">
        <v>-4.1766999999999999E-2</v>
      </c>
      <c r="M29" s="2">
        <v>8.1890000000000001E-3</v>
      </c>
      <c r="N29" s="12"/>
      <c r="O29" s="12"/>
      <c r="P29" s="2" t="s">
        <v>112</v>
      </c>
      <c r="Q29" s="2">
        <v>1</v>
      </c>
      <c r="R29" s="2" t="s">
        <v>62</v>
      </c>
      <c r="S29" s="2" t="s">
        <v>62</v>
      </c>
      <c r="T29" s="2">
        <v>22.390087929656278</v>
      </c>
      <c r="U29" s="2">
        <v>1.2509999999999999</v>
      </c>
      <c r="V29" s="2">
        <v>28.01</v>
      </c>
      <c r="W29" s="2">
        <v>0.11</v>
      </c>
      <c r="X29" s="2" t="s">
        <v>113</v>
      </c>
      <c r="AB29" s="2" t="s">
        <v>67</v>
      </c>
      <c r="AI29" s="38" t="s">
        <v>326</v>
      </c>
    </row>
    <row r="30" spans="1:35">
      <c r="A30" s="6" t="s">
        <v>62</v>
      </c>
      <c r="B30" s="2" t="s">
        <v>117</v>
      </c>
      <c r="C30" s="2" t="s">
        <v>118</v>
      </c>
      <c r="D30" s="2" t="s">
        <v>119</v>
      </c>
      <c r="E30" s="2">
        <v>-317.19819999999999</v>
      </c>
      <c r="F30" s="2">
        <v>459.7398</v>
      </c>
      <c r="G30" s="2">
        <v>299.26</v>
      </c>
      <c r="H30" s="2">
        <v>-49.394599999999997</v>
      </c>
      <c r="I30" s="12" t="s">
        <v>66</v>
      </c>
      <c r="J30" s="12" t="s">
        <v>66</v>
      </c>
      <c r="K30" s="2">
        <v>-7.4473999999999999E-2</v>
      </c>
      <c r="L30" s="2">
        <v>4.3362999999999999E-2</v>
      </c>
      <c r="M30" s="2">
        <v>-6.7419999999999997E-3</v>
      </c>
      <c r="N30" s="12" t="s">
        <v>66</v>
      </c>
      <c r="O30" s="12" t="s">
        <v>66</v>
      </c>
      <c r="P30" s="2" t="s">
        <v>112</v>
      </c>
      <c r="Q30" s="2">
        <v>1</v>
      </c>
      <c r="R30" s="2" t="s">
        <v>62</v>
      </c>
      <c r="S30" s="2" t="s">
        <v>62</v>
      </c>
      <c r="T30" s="2">
        <v>22.428571428571431</v>
      </c>
      <c r="U30" s="2">
        <v>8.9880000000000002E-2</v>
      </c>
      <c r="V30" s="2">
        <v>2.0158800000000001</v>
      </c>
      <c r="W30" s="2">
        <v>0.57999999999999996</v>
      </c>
      <c r="X30" s="2" t="s">
        <v>113</v>
      </c>
      <c r="Y30" s="2">
        <v>3338</v>
      </c>
      <c r="Z30" s="2">
        <v>16060</v>
      </c>
      <c r="AA30" s="38" t="s">
        <v>303</v>
      </c>
      <c r="AB30" s="2" t="s">
        <v>67</v>
      </c>
      <c r="AI30" s="38" t="s">
        <v>326</v>
      </c>
    </row>
    <row r="31" spans="1:35">
      <c r="A31" s="37" t="s">
        <v>67</v>
      </c>
      <c r="B31" s="2" t="s">
        <v>109</v>
      </c>
      <c r="C31" s="2" t="s">
        <v>110</v>
      </c>
      <c r="D31" s="38" t="s">
        <v>308</v>
      </c>
      <c r="E31" s="2">
        <v>-68.886200000000002</v>
      </c>
      <c r="F31" s="2">
        <v>101.4956</v>
      </c>
      <c r="G31" s="2">
        <v>28.731400000000001</v>
      </c>
      <c r="H31" s="39" t="s">
        <v>66</v>
      </c>
      <c r="I31" s="12" t="s">
        <v>66</v>
      </c>
      <c r="J31" s="12" t="s">
        <v>66</v>
      </c>
      <c r="K31" s="2">
        <v>-7.6146000000000005E-2</v>
      </c>
      <c r="L31" s="2">
        <v>4.3970000000000002E-2</v>
      </c>
      <c r="M31" s="2">
        <v>-6.8672000000000004E-3</v>
      </c>
      <c r="N31" s="12" t="s">
        <v>66</v>
      </c>
      <c r="O31" s="12" t="s">
        <v>66</v>
      </c>
      <c r="P31" s="2" t="s">
        <v>202</v>
      </c>
      <c r="Q31" s="2">
        <v>1</v>
      </c>
      <c r="R31" s="2" t="s">
        <v>67</v>
      </c>
      <c r="S31" s="2" t="s">
        <v>62</v>
      </c>
      <c r="T31" s="2">
        <v>22.390034891835306</v>
      </c>
      <c r="U31" s="2">
        <v>0.71650000000000003</v>
      </c>
      <c r="V31" s="9">
        <v>16.042459999999998</v>
      </c>
      <c r="W31" s="2">
        <v>1.41</v>
      </c>
      <c r="X31" s="2" t="s">
        <v>113</v>
      </c>
      <c r="Y31" s="2">
        <v>3047</v>
      </c>
      <c r="Z31" s="2">
        <v>18360</v>
      </c>
      <c r="AA31" s="38" t="s">
        <v>303</v>
      </c>
      <c r="AB31" s="2" t="s">
        <v>67</v>
      </c>
      <c r="AI31" s="38" t="s">
        <v>311</v>
      </c>
    </row>
    <row r="32" spans="1:35">
      <c r="A32" s="37" t="s">
        <v>67</v>
      </c>
      <c r="B32" s="2" t="s">
        <v>114</v>
      </c>
      <c r="C32" s="2" t="s">
        <v>115</v>
      </c>
      <c r="D32" s="38" t="s">
        <v>309</v>
      </c>
      <c r="E32" s="2">
        <v>-47.614800000000002</v>
      </c>
      <c r="F32" s="2">
        <v>69.506799999999998</v>
      </c>
      <c r="G32" s="2">
        <v>18.739699999999999</v>
      </c>
      <c r="H32" s="39" t="s">
        <v>66</v>
      </c>
      <c r="I32" s="12"/>
      <c r="J32" s="12"/>
      <c r="K32" s="2">
        <v>4.5657000000000003E-2</v>
      </c>
      <c r="L32" s="2">
        <v>-4.0721E-2</v>
      </c>
      <c r="M32" s="2">
        <v>7.9699999999999997E-3</v>
      </c>
      <c r="N32" s="12"/>
      <c r="O32" s="12"/>
      <c r="P32" s="2" t="s">
        <v>202</v>
      </c>
      <c r="Q32" s="2">
        <v>1</v>
      </c>
      <c r="R32" s="2" t="s">
        <v>67</v>
      </c>
      <c r="S32" s="2" t="s">
        <v>62</v>
      </c>
      <c r="T32" s="2">
        <v>22.390087929656278</v>
      </c>
      <c r="U32" s="2">
        <v>1.2509999999999999</v>
      </c>
      <c r="V32" s="2">
        <v>28.01</v>
      </c>
      <c r="W32" s="2">
        <v>0.11</v>
      </c>
      <c r="X32" s="2" t="s">
        <v>113</v>
      </c>
      <c r="AB32" s="2" t="s">
        <v>67</v>
      </c>
      <c r="AI32" s="38" t="s">
        <v>311</v>
      </c>
    </row>
    <row r="33" spans="1:35">
      <c r="A33" s="37" t="s">
        <v>67</v>
      </c>
      <c r="B33" s="2" t="s">
        <v>117</v>
      </c>
      <c r="C33" s="2" t="s">
        <v>118</v>
      </c>
      <c r="D33" s="38" t="s">
        <v>310</v>
      </c>
      <c r="E33" s="2">
        <v>-47.894799999999996</v>
      </c>
      <c r="F33" s="2">
        <v>65.036799999999999</v>
      </c>
      <c r="G33" s="2">
        <v>20.1709</v>
      </c>
      <c r="H33" s="39" t="s">
        <v>66</v>
      </c>
      <c r="I33" s="12" t="s">
        <v>66</v>
      </c>
      <c r="J33" s="12" t="s">
        <v>66</v>
      </c>
      <c r="K33" s="2">
        <v>-8.2225000000000006E-2</v>
      </c>
      <c r="L33" s="2">
        <v>4.9563999999999997E-2</v>
      </c>
      <c r="M33" s="2">
        <v>-7.8688999999999999E-3</v>
      </c>
      <c r="N33" s="12" t="s">
        <v>66</v>
      </c>
      <c r="O33" s="12" t="s">
        <v>66</v>
      </c>
      <c r="P33" s="2" t="s">
        <v>202</v>
      </c>
      <c r="Q33" s="2">
        <v>1</v>
      </c>
      <c r="R33" s="2" t="s">
        <v>67</v>
      </c>
      <c r="S33" s="2" t="s">
        <v>62</v>
      </c>
      <c r="T33" s="2">
        <v>22.428571428571431</v>
      </c>
      <c r="U33" s="2">
        <v>8.9880000000000002E-2</v>
      </c>
      <c r="V33" s="2">
        <v>2.0158800000000001</v>
      </c>
      <c r="W33" s="2">
        <v>0.57999999999999996</v>
      </c>
      <c r="X33" s="2" t="s">
        <v>113</v>
      </c>
      <c r="Y33" s="2">
        <v>3338</v>
      </c>
      <c r="Z33" s="2">
        <v>16060</v>
      </c>
      <c r="AA33" s="38" t="s">
        <v>303</v>
      </c>
      <c r="AB33" s="2" t="s">
        <v>67</v>
      </c>
      <c r="AI33" s="38" t="s">
        <v>311</v>
      </c>
    </row>
    <row r="34" spans="1:35">
      <c r="A34" s="6" t="s">
        <v>62</v>
      </c>
      <c r="B34" s="2" t="s">
        <v>120</v>
      </c>
      <c r="C34" s="2" t="s">
        <v>78</v>
      </c>
      <c r="D34" s="38" t="s">
        <v>282</v>
      </c>
      <c r="E34" s="2">
        <v>-168.24590000000001</v>
      </c>
      <c r="F34" s="2">
        <v>226.08940000000001</v>
      </c>
      <c r="G34" s="2">
        <v>93.281700000000001</v>
      </c>
      <c r="H34" s="2">
        <v>-1.4869300000000001</v>
      </c>
      <c r="I34" s="12" t="s">
        <v>66</v>
      </c>
      <c r="J34" s="12" t="s">
        <v>66</v>
      </c>
      <c r="K34" s="2">
        <v>-6.0360999999999998E-2</v>
      </c>
      <c r="L34" s="2">
        <v>3.3765000000000003E-2</v>
      </c>
      <c r="M34" s="2">
        <v>-5.1862000000000002E-3</v>
      </c>
      <c r="N34" s="12" t="s">
        <v>66</v>
      </c>
      <c r="O34" s="12" t="s">
        <v>66</v>
      </c>
      <c r="P34" s="2" t="s">
        <v>107</v>
      </c>
      <c r="Q34" s="2">
        <v>2</v>
      </c>
      <c r="R34" s="2" t="s">
        <v>62</v>
      </c>
      <c r="S34" s="2" t="s">
        <v>62</v>
      </c>
      <c r="T34" s="2">
        <f>V34/U34</f>
        <v>22.262417804754676</v>
      </c>
      <c r="U34" s="2">
        <v>1.9770000000000001</v>
      </c>
      <c r="V34" s="2">
        <v>44.012799999999999</v>
      </c>
      <c r="W34" s="2">
        <v>0.32</v>
      </c>
      <c r="X34" s="2" t="s">
        <v>108</v>
      </c>
      <c r="Y34" s="2">
        <v>5019</v>
      </c>
      <c r="Z34" s="2">
        <v>19510</v>
      </c>
      <c r="AA34" s="38" t="s">
        <v>303</v>
      </c>
      <c r="AB34" s="2" t="s">
        <v>62</v>
      </c>
      <c r="AC34" s="2">
        <v>2</v>
      </c>
      <c r="AD34" s="2">
        <v>4.7390000000000002E-2</v>
      </c>
      <c r="AE34" s="2">
        <v>-9.4563000000000006</v>
      </c>
      <c r="AF34" s="14">
        <v>-6.4270000000000006E-5</v>
      </c>
      <c r="AH34" s="2">
        <v>32.299999999999997</v>
      </c>
      <c r="AI34" s="38" t="s">
        <v>312</v>
      </c>
    </row>
    <row r="35" spans="1:35">
      <c r="A35" s="37" t="s">
        <v>67</v>
      </c>
      <c r="B35" s="2" t="s">
        <v>120</v>
      </c>
      <c r="C35" s="2" t="s">
        <v>78</v>
      </c>
      <c r="D35" s="38" t="s">
        <v>204</v>
      </c>
      <c r="E35" s="2">
        <v>-64.853899999999996</v>
      </c>
      <c r="F35" s="2">
        <v>100.252</v>
      </c>
      <c r="G35" s="2">
        <v>25.204899999999999</v>
      </c>
      <c r="H35" s="39" t="s">
        <v>66</v>
      </c>
      <c r="I35" s="12" t="s">
        <v>66</v>
      </c>
      <c r="J35" s="12" t="s">
        <v>66</v>
      </c>
      <c r="K35" s="2">
        <v>-6.2544000000000002E-2</v>
      </c>
      <c r="L35" s="2">
        <v>3.5337E-2</v>
      </c>
      <c r="M35" s="2">
        <v>-5.4698999999999998E-3</v>
      </c>
      <c r="N35" s="12" t="s">
        <v>66</v>
      </c>
      <c r="O35" s="12" t="s">
        <v>66</v>
      </c>
      <c r="P35" s="2" t="s">
        <v>107</v>
      </c>
      <c r="Q35" s="2">
        <v>2</v>
      </c>
      <c r="R35" s="38" t="s">
        <v>67</v>
      </c>
      <c r="S35" s="2" t="s">
        <v>62</v>
      </c>
      <c r="T35" s="2">
        <f>V35/U35</f>
        <v>22.262417804754676</v>
      </c>
      <c r="U35" s="2">
        <v>1.9770000000000001</v>
      </c>
      <c r="V35" s="2">
        <v>44.012799999999999</v>
      </c>
      <c r="W35" s="2">
        <v>0.32</v>
      </c>
      <c r="X35" s="2" t="s">
        <v>108</v>
      </c>
      <c r="Y35" s="2">
        <v>5019</v>
      </c>
      <c r="Z35" s="2">
        <v>19510</v>
      </c>
      <c r="AA35" s="38" t="s">
        <v>303</v>
      </c>
      <c r="AB35" s="2" t="s">
        <v>62</v>
      </c>
      <c r="AC35" s="2">
        <v>2</v>
      </c>
      <c r="AD35" s="2">
        <v>4.7390000000000002E-2</v>
      </c>
      <c r="AE35" s="2">
        <v>-9.4563000000000006</v>
      </c>
      <c r="AF35" s="14">
        <v>-6.4270000000000006E-5</v>
      </c>
      <c r="AH35" s="2">
        <v>32.299999999999997</v>
      </c>
      <c r="AI35" s="38" t="s">
        <v>314</v>
      </c>
    </row>
    <row r="36" spans="1:35" ht="15.6">
      <c r="A36" s="6" t="s">
        <v>62</v>
      </c>
      <c r="B36" s="2" t="s">
        <v>121</v>
      </c>
      <c r="C36" s="2" t="s">
        <v>122</v>
      </c>
      <c r="D36" s="2" t="s">
        <v>123</v>
      </c>
      <c r="E36" s="2">
        <v>-136.26849999999999</v>
      </c>
      <c r="F36" s="2">
        <v>206.11500000000001</v>
      </c>
      <c r="G36" s="2">
        <v>57.280500000000004</v>
      </c>
      <c r="H36" s="2" t="s">
        <v>66</v>
      </c>
      <c r="I36" s="12" t="s">
        <v>66</v>
      </c>
      <c r="J36" s="12" t="s">
        <v>66</v>
      </c>
      <c r="K36" s="2">
        <v>-0.14859800000000001</v>
      </c>
      <c r="L36" s="2">
        <v>9.5114000000000004E-2</v>
      </c>
      <c r="M36" s="2">
        <v>-1.6339599999999999E-2</v>
      </c>
      <c r="N36" s="12" t="s">
        <v>66</v>
      </c>
      <c r="O36" s="12" t="s">
        <v>66</v>
      </c>
      <c r="P36" s="2" t="s">
        <v>107</v>
      </c>
      <c r="Q36" s="2">
        <v>1</v>
      </c>
      <c r="R36" s="2" t="s">
        <v>67</v>
      </c>
      <c r="S36" s="2" t="s">
        <v>62</v>
      </c>
      <c r="T36" s="2">
        <v>21.595112751050191</v>
      </c>
      <c r="U36" s="2">
        <v>6.3611615083287569</v>
      </c>
      <c r="V36" s="2">
        <v>137.37</v>
      </c>
      <c r="W36" s="2">
        <f>232/1000000</f>
        <v>2.32E-4</v>
      </c>
      <c r="X36" s="2" t="s">
        <v>124</v>
      </c>
      <c r="Y36" s="2">
        <v>22331</v>
      </c>
      <c r="Z36" s="2">
        <v>18100</v>
      </c>
      <c r="AA36" s="38" t="s">
        <v>305</v>
      </c>
      <c r="AB36" s="2" t="s">
        <v>67</v>
      </c>
      <c r="AI36" s="38" t="s">
        <v>315</v>
      </c>
    </row>
    <row r="37" spans="1:35" ht="15.6">
      <c r="A37" s="6" t="s">
        <v>62</v>
      </c>
      <c r="B37" s="2" t="s">
        <v>125</v>
      </c>
      <c r="C37" s="2" t="s">
        <v>126</v>
      </c>
      <c r="D37" s="2" t="s">
        <v>127</v>
      </c>
      <c r="E37" s="2">
        <v>-124.4395</v>
      </c>
      <c r="F37" s="2">
        <v>185.4299</v>
      </c>
      <c r="G37" s="2">
        <v>51.638300000000001</v>
      </c>
      <c r="H37" s="2" t="s">
        <v>66</v>
      </c>
      <c r="I37" s="12" t="s">
        <v>66</v>
      </c>
      <c r="J37" s="12" t="s">
        <v>66</v>
      </c>
      <c r="K37" s="2">
        <v>-0.149779</v>
      </c>
      <c r="L37" s="2">
        <v>9.4668000000000002E-2</v>
      </c>
      <c r="M37" s="2">
        <v>-1.6004299999999999E-2</v>
      </c>
      <c r="N37" s="12" t="s">
        <v>66</v>
      </c>
      <c r="O37" s="12" t="s">
        <v>66</v>
      </c>
      <c r="P37" s="2" t="s">
        <v>107</v>
      </c>
      <c r="Q37" s="2">
        <v>1</v>
      </c>
      <c r="R37" s="2" t="s">
        <v>67</v>
      </c>
      <c r="S37" s="2" t="s">
        <v>62</v>
      </c>
      <c r="T37" s="2">
        <v>21.935214413408325</v>
      </c>
      <c r="U37" s="2">
        <v>5.5121412410763311</v>
      </c>
      <c r="V37" s="2">
        <v>120.91</v>
      </c>
      <c r="W37" s="2">
        <f>516/1000000</f>
        <v>5.1599999999999997E-4</v>
      </c>
      <c r="X37" s="2" t="s">
        <v>124</v>
      </c>
      <c r="Y37" s="2">
        <v>3600</v>
      </c>
      <c r="Z37" s="2">
        <v>20100</v>
      </c>
      <c r="AA37" s="38" t="s">
        <v>305</v>
      </c>
      <c r="AB37" s="2" t="s">
        <v>67</v>
      </c>
      <c r="AI37" s="38" t="s">
        <v>315</v>
      </c>
    </row>
    <row r="38" spans="1:35" ht="15.6">
      <c r="A38" s="6" t="s">
        <v>62</v>
      </c>
      <c r="B38" s="2" t="s">
        <v>128</v>
      </c>
      <c r="C38" s="2" t="s">
        <v>129</v>
      </c>
      <c r="D38" s="2" t="s">
        <v>130</v>
      </c>
      <c r="E38" s="2">
        <v>-136.12899999999999</v>
      </c>
      <c r="F38" s="2">
        <v>206.47499999999999</v>
      </c>
      <c r="G38" s="2">
        <v>55.895699999999998</v>
      </c>
      <c r="H38" s="2" t="s">
        <v>66</v>
      </c>
      <c r="I38" s="12" t="s">
        <v>66</v>
      </c>
      <c r="J38" s="12" t="s">
        <v>66</v>
      </c>
      <c r="K38" s="2">
        <v>-2.7539999999999999E-2</v>
      </c>
      <c r="L38" s="2">
        <v>6.0330000000000002E-3</v>
      </c>
      <c r="M38" s="2" t="s">
        <v>66</v>
      </c>
      <c r="N38" s="12" t="s">
        <v>66</v>
      </c>
      <c r="O38" s="12" t="s">
        <v>66</v>
      </c>
      <c r="P38" s="2" t="s">
        <v>107</v>
      </c>
      <c r="Q38" s="2">
        <v>1</v>
      </c>
      <c r="R38" s="2" t="s">
        <v>67</v>
      </c>
      <c r="S38" s="2" t="s">
        <v>62</v>
      </c>
      <c r="T38" s="2">
        <v>21.491902248776974</v>
      </c>
      <c r="U38" s="2">
        <v>8.7186326194398696</v>
      </c>
      <c r="V38" s="2">
        <v>187.38</v>
      </c>
      <c r="W38" s="2">
        <f>72/1000000</f>
        <v>7.2000000000000002E-5</v>
      </c>
      <c r="X38" s="38" t="s">
        <v>295</v>
      </c>
      <c r="AB38" s="2" t="s">
        <v>67</v>
      </c>
      <c r="AI38" s="38" t="s">
        <v>316</v>
      </c>
    </row>
    <row r="39" spans="1:35">
      <c r="A39" s="6" t="s">
        <v>62</v>
      </c>
      <c r="B39" s="2" t="s">
        <v>131</v>
      </c>
      <c r="C39" s="2" t="s">
        <v>132</v>
      </c>
      <c r="D39" s="2" t="s">
        <v>133</v>
      </c>
      <c r="E39" s="2">
        <v>-98.726399999999998</v>
      </c>
      <c r="F39" s="2">
        <v>142.803</v>
      </c>
      <c r="G39" s="2">
        <v>38.874600000000001</v>
      </c>
      <c r="H39" s="2" t="s">
        <v>66</v>
      </c>
      <c r="I39" s="12" t="s">
        <v>66</v>
      </c>
      <c r="J39" s="12" t="s">
        <v>66</v>
      </c>
      <c r="K39" s="2">
        <v>2.68696E-2</v>
      </c>
      <c r="L39" s="2">
        <v>-3.3440699999999997E-2</v>
      </c>
      <c r="M39" s="2">
        <v>7.0843E-3</v>
      </c>
      <c r="N39" s="12" t="s">
        <v>66</v>
      </c>
      <c r="O39" s="12" t="s">
        <v>66</v>
      </c>
      <c r="P39" s="2" t="s">
        <v>107</v>
      </c>
      <c r="Q39" s="2">
        <v>1</v>
      </c>
      <c r="R39" s="2" t="s">
        <v>67</v>
      </c>
      <c r="S39" s="2" t="s">
        <v>62</v>
      </c>
      <c r="T39" s="2">
        <v>22.16387741414858</v>
      </c>
      <c r="U39" s="2">
        <v>6.5895698334248571</v>
      </c>
      <c r="V39" s="2">
        <v>146.05041800000001</v>
      </c>
      <c r="W39" s="2">
        <f>8.6/1000000</f>
        <v>8.599999999999999E-6</v>
      </c>
      <c r="X39" s="2" t="s">
        <v>134</v>
      </c>
      <c r="Y39" s="2">
        <v>2.9000000000000001E-2</v>
      </c>
      <c r="Z39" s="2">
        <v>19.3</v>
      </c>
      <c r="AA39" s="38" t="s">
        <v>306</v>
      </c>
      <c r="AB39" s="2" t="s">
        <v>67</v>
      </c>
      <c r="AI39" s="38" t="s">
        <v>317</v>
      </c>
    </row>
    <row r="40" spans="1:35" ht="15.6">
      <c r="A40" s="6" t="s">
        <v>67</v>
      </c>
      <c r="B40" s="2" t="s">
        <v>135</v>
      </c>
      <c r="C40" s="2" t="s">
        <v>136</v>
      </c>
      <c r="D40" s="2" t="s">
        <v>137</v>
      </c>
      <c r="E40" s="2">
        <v>-89.858599999999996</v>
      </c>
      <c r="F40" s="2">
        <v>140.17019999999999</v>
      </c>
      <c r="G40" s="2">
        <v>36.377600000000001</v>
      </c>
      <c r="H40" s="2" t="s">
        <v>66</v>
      </c>
      <c r="I40" s="12" t="s">
        <v>66</v>
      </c>
      <c r="J40" s="12" t="s">
        <v>66</v>
      </c>
      <c r="K40" s="2" t="s">
        <v>66</v>
      </c>
      <c r="L40" s="2" t="s">
        <v>66</v>
      </c>
      <c r="M40" s="2" t="s">
        <v>66</v>
      </c>
      <c r="N40" s="12" t="s">
        <v>66</v>
      </c>
      <c r="O40" s="12" t="s">
        <v>66</v>
      </c>
      <c r="P40" s="2" t="s">
        <v>202</v>
      </c>
      <c r="Q40" s="2">
        <v>1</v>
      </c>
      <c r="R40" s="2" t="s">
        <v>67</v>
      </c>
      <c r="S40" s="2" t="s">
        <v>62</v>
      </c>
      <c r="T40" s="2">
        <v>22.01052413752328</v>
      </c>
      <c r="U40" s="2">
        <v>6.7653999999999996</v>
      </c>
      <c r="V40" s="2">
        <v>148.91</v>
      </c>
      <c r="W40" s="2">
        <f>33/1000000</f>
        <v>3.3000000000000003E-5</v>
      </c>
      <c r="X40" s="38" t="s">
        <v>294</v>
      </c>
      <c r="AB40" s="2" t="s">
        <v>67</v>
      </c>
      <c r="AI40" s="38" t="s">
        <v>319</v>
      </c>
    </row>
    <row r="41" spans="1:35" ht="15.6">
      <c r="A41" s="6" t="s">
        <v>62</v>
      </c>
      <c r="B41" s="2" t="s">
        <v>135</v>
      </c>
      <c r="C41" s="2" t="s">
        <v>136</v>
      </c>
      <c r="D41" s="2" t="s">
        <v>138</v>
      </c>
      <c r="E41" s="2">
        <v>-91.878</v>
      </c>
      <c r="F41" s="2">
        <v>139.001</v>
      </c>
      <c r="G41" s="2">
        <v>35.478000000000002</v>
      </c>
      <c r="H41" s="2" t="s">
        <v>66</v>
      </c>
      <c r="I41" s="12" t="s">
        <v>66</v>
      </c>
      <c r="J41" s="12" t="s">
        <v>66</v>
      </c>
      <c r="K41" s="2" t="s">
        <v>66</v>
      </c>
      <c r="L41" s="2" t="s">
        <v>66</v>
      </c>
      <c r="M41" s="2" t="s">
        <v>66</v>
      </c>
      <c r="N41" s="12" t="s">
        <v>66</v>
      </c>
      <c r="O41" s="12" t="s">
        <v>66</v>
      </c>
      <c r="P41" s="2" t="s">
        <v>139</v>
      </c>
      <c r="Q41" s="2">
        <v>1</v>
      </c>
      <c r="R41" s="2" t="s">
        <v>67</v>
      </c>
      <c r="S41" s="2" t="s">
        <v>62</v>
      </c>
      <c r="T41" s="2">
        <v>22.01052413752328</v>
      </c>
      <c r="U41" s="2">
        <v>6.7653999999999996</v>
      </c>
      <c r="V41" s="2">
        <v>148.91</v>
      </c>
      <c r="W41" s="2">
        <f>33/1000000</f>
        <v>3.3000000000000003E-5</v>
      </c>
      <c r="X41" s="2" t="s">
        <v>140</v>
      </c>
      <c r="AB41" s="2" t="s">
        <v>67</v>
      </c>
      <c r="AI41" s="38" t="s">
        <v>318</v>
      </c>
    </row>
    <row r="42" spans="1:35">
      <c r="A42" s="6"/>
      <c r="I42" s="12"/>
      <c r="J42" s="12"/>
      <c r="N42" s="12"/>
      <c r="O42" s="12"/>
    </row>
    <row r="43" spans="1:35">
      <c r="A43" s="37" t="s">
        <v>62</v>
      </c>
      <c r="B43" s="38" t="s">
        <v>206</v>
      </c>
      <c r="C43" s="38" t="s">
        <v>210</v>
      </c>
      <c r="D43" s="38" t="s">
        <v>208</v>
      </c>
      <c r="E43" s="2">
        <v>-39.197099999999999</v>
      </c>
      <c r="F43" s="2">
        <v>51.801299999999998</v>
      </c>
      <c r="G43" s="2">
        <v>15.7699</v>
      </c>
      <c r="H43" s="2" t="s">
        <v>66</v>
      </c>
      <c r="I43" s="12" t="s">
        <v>66</v>
      </c>
      <c r="J43" s="12" t="s">
        <v>66</v>
      </c>
      <c r="K43" s="2">
        <v>-0.124695</v>
      </c>
      <c r="L43" s="2">
        <v>7.8373999999999999E-2</v>
      </c>
      <c r="M43" s="2">
        <v>-1.27972E-2</v>
      </c>
      <c r="N43" s="12" t="s">
        <v>66</v>
      </c>
      <c r="O43" s="12" t="s">
        <v>66</v>
      </c>
      <c r="P43" s="13" t="s">
        <v>202</v>
      </c>
      <c r="Q43" s="2">
        <v>1</v>
      </c>
      <c r="R43" s="2" t="s">
        <v>67</v>
      </c>
      <c r="S43" s="2" t="s">
        <v>62</v>
      </c>
      <c r="T43" s="2">
        <v>22.416907353921353</v>
      </c>
      <c r="U43" s="2">
        <v>0.9002</v>
      </c>
      <c r="V43" s="9">
        <v>19.992440176199999</v>
      </c>
      <c r="W43" s="2">
        <v>16.449263999999999</v>
      </c>
      <c r="X43" s="2" t="s">
        <v>68</v>
      </c>
      <c r="Y43" s="2">
        <v>1608</v>
      </c>
      <c r="Z43" s="2">
        <v>14840</v>
      </c>
      <c r="AA43" s="38" t="s">
        <v>303</v>
      </c>
      <c r="AB43" s="2" t="s">
        <v>67</v>
      </c>
    </row>
    <row r="44" spans="1:35">
      <c r="A44" s="37" t="s">
        <v>62</v>
      </c>
      <c r="B44" s="38" t="s">
        <v>207</v>
      </c>
      <c r="C44" s="38" t="s">
        <v>211</v>
      </c>
      <c r="D44" s="38" t="s">
        <v>209</v>
      </c>
      <c r="E44" s="2">
        <v>-39.197099999999999</v>
      </c>
      <c r="F44" s="2">
        <v>51.801299999999998</v>
      </c>
      <c r="G44" s="2">
        <v>15.7699</v>
      </c>
      <c r="H44" s="2" t="s">
        <v>66</v>
      </c>
      <c r="I44" s="12" t="s">
        <v>66</v>
      </c>
      <c r="J44" s="12" t="s">
        <v>66</v>
      </c>
      <c r="K44" s="2">
        <v>-0.124695</v>
      </c>
      <c r="L44" s="2">
        <v>7.8373999999999999E-2</v>
      </c>
      <c r="M44" s="2">
        <v>-1.27972E-2</v>
      </c>
      <c r="N44" s="12" t="s">
        <v>66</v>
      </c>
      <c r="O44" s="12" t="s">
        <v>66</v>
      </c>
      <c r="P44" s="13" t="s">
        <v>202</v>
      </c>
      <c r="Q44" s="2">
        <v>1</v>
      </c>
      <c r="R44" s="2" t="s">
        <v>67</v>
      </c>
      <c r="S44" s="2" t="s">
        <v>62</v>
      </c>
      <c r="T44" s="2">
        <v>22.416907353921353</v>
      </c>
      <c r="U44" s="2">
        <v>0.9002</v>
      </c>
      <c r="V44" s="9">
        <v>21.99138511</v>
      </c>
      <c r="W44" s="2">
        <v>1.6816499999999999</v>
      </c>
      <c r="X44" s="2" t="s">
        <v>68</v>
      </c>
      <c r="Y44" s="2">
        <f>1608/1.049</f>
        <v>1532.8884652049571</v>
      </c>
      <c r="Z44" s="2">
        <v>14840</v>
      </c>
      <c r="AA44" s="38" t="s">
        <v>303</v>
      </c>
      <c r="AB44" s="2" t="s">
        <v>67</v>
      </c>
    </row>
    <row r="45" spans="1:35">
      <c r="A45" s="6"/>
      <c r="K45" s="9"/>
      <c r="L45" s="9"/>
      <c r="M45" s="9"/>
      <c r="N45" s="9"/>
      <c r="O45" s="9"/>
      <c r="P45" s="9"/>
      <c r="Q45" s="9"/>
      <c r="R45" s="9"/>
      <c r="S45" s="9"/>
      <c r="T45" s="9"/>
      <c r="U45" s="9"/>
      <c r="V45" s="9"/>
      <c r="W45" s="9"/>
      <c r="X45" s="9"/>
      <c r="Y45" s="9"/>
      <c r="Z45" s="9"/>
      <c r="AA45" s="9"/>
      <c r="AB45" s="9"/>
      <c r="AC45" s="9"/>
      <c r="AD45" s="9"/>
      <c r="AE45" s="9"/>
    </row>
    <row r="46" spans="1:35">
      <c r="A46" s="6"/>
      <c r="D46" s="12"/>
      <c r="T46" s="9"/>
    </row>
    <row r="47" spans="1:35">
      <c r="A47" s="6"/>
      <c r="C47" s="2" t="str">
        <f>"'"&amp;D47&amp;"'"</f>
        <v>'He_Weiss'</v>
      </c>
      <c r="D47" s="2" t="s">
        <v>65</v>
      </c>
      <c r="T47" s="9"/>
      <c r="U47" s="15"/>
    </row>
    <row r="48" spans="1:35">
      <c r="A48" s="6"/>
      <c r="C48" s="2" t="str">
        <f>C47&amp;", "&amp;"'"&amp;D48&amp;"'"</f>
        <v>'He_Weiss', 'Ne_Weiss'</v>
      </c>
      <c r="D48" s="2" t="s">
        <v>74</v>
      </c>
      <c r="T48" s="9"/>
    </row>
    <row r="49" spans="1:20">
      <c r="A49" s="6"/>
      <c r="C49" s="2" t="str">
        <f t="shared" ref="C49:C63" si="0">C48&amp;", "&amp;"'"&amp;D49&amp;"'"</f>
        <v>'He_Weiss', 'Ne_Weiss', 'Ar_Weiss'</v>
      </c>
      <c r="D49" s="2" t="s">
        <v>83</v>
      </c>
      <c r="T49" s="9"/>
    </row>
    <row r="50" spans="1:20">
      <c r="A50" s="6"/>
      <c r="C50" s="2" t="str">
        <f t="shared" si="0"/>
        <v>'He_Weiss', 'Ne_Weiss', 'Ar_Weiss', 'Kr_Weiss'</v>
      </c>
      <c r="D50" s="2" t="s">
        <v>90</v>
      </c>
      <c r="T50" s="9"/>
    </row>
    <row r="51" spans="1:20">
      <c r="A51" s="6"/>
      <c r="C51" s="2" t="str">
        <f t="shared" si="0"/>
        <v>'He_Weiss', 'Ne_Weiss', 'Ar_Weiss', 'Kr_Weiss', 'Xe_Clvr'</v>
      </c>
      <c r="D51" s="2" t="s">
        <v>95</v>
      </c>
      <c r="T51" s="9"/>
    </row>
    <row r="52" spans="1:20">
      <c r="A52" s="6"/>
      <c r="C52" s="2" t="str">
        <f t="shared" si="0"/>
        <v>'He_Weiss', 'Ne_Weiss', 'Ar_Weiss', 'Kr_Weiss', 'Xe_Clvr', 'N2_Weiss'</v>
      </c>
      <c r="D52" s="2" t="s">
        <v>181</v>
      </c>
      <c r="T52" s="9"/>
    </row>
    <row r="53" spans="1:20">
      <c r="A53" s="6"/>
      <c r="C53" s="2" t="str">
        <f t="shared" si="0"/>
        <v>'He_Weiss', 'Ne_Weiss', 'Ar_Weiss', 'Kr_Weiss', 'Xe_Clvr', 'N2_Weiss', 'O2_B&amp;K'</v>
      </c>
      <c r="D53" s="2" t="s">
        <v>104</v>
      </c>
    </row>
    <row r="54" spans="1:20">
      <c r="A54" s="6"/>
      <c r="C54" s="2" t="str">
        <f t="shared" si="0"/>
        <v>'He_Weiss', 'Ne_Weiss', 'Ar_Weiss', 'Kr_Weiss', 'Xe_Clvr', 'N2_Weiss', 'O2_B&amp;K', 'CO2_Weiss_F'</v>
      </c>
      <c r="D54" s="2" t="s">
        <v>283</v>
      </c>
    </row>
    <row r="55" spans="1:20">
      <c r="A55" s="6"/>
      <c r="C55" s="2" t="str">
        <f t="shared" si="0"/>
        <v>'He_Weiss', 'Ne_Weiss', 'Ar_Weiss', 'Kr_Weiss', 'Xe_Clvr', 'N2_Weiss', 'O2_B&amp;K', 'CO2_Weiss_F', 'CH4_Wies'</v>
      </c>
      <c r="D55" s="2" t="s">
        <v>111</v>
      </c>
    </row>
    <row r="56" spans="1:20">
      <c r="A56" s="6"/>
      <c r="C56" s="2" t="str">
        <f t="shared" si="0"/>
        <v>'He_Weiss', 'Ne_Weiss', 'Ar_Weiss', 'Kr_Weiss', 'Xe_Clvr', 'N2_Weiss', 'O2_B&amp;K', 'CO2_Weiss_F', 'CH4_Wies', 'CO_Wies'</v>
      </c>
      <c r="D56" s="2" t="s">
        <v>116</v>
      </c>
    </row>
    <row r="57" spans="1:20">
      <c r="A57" s="6"/>
      <c r="C57" s="2" t="str">
        <f t="shared" si="0"/>
        <v>'He_Weiss', 'Ne_Weiss', 'Ar_Weiss', 'Kr_Weiss', 'Xe_Clvr', 'N2_Weiss', 'O2_B&amp;K', 'CO2_Weiss_F', 'CH4_Wies', 'CO_Wies', 'H2_Wies'</v>
      </c>
      <c r="D57" s="2" t="s">
        <v>119</v>
      </c>
    </row>
    <row r="58" spans="1:20">
      <c r="A58" s="6"/>
      <c r="C58" s="2" t="str">
        <f t="shared" si="0"/>
        <v>'He_Weiss', 'Ne_Weiss', 'Ar_Weiss', 'Kr_Weiss', 'Xe_Clvr', 'N2_Weiss', 'O2_B&amp;K', 'CO2_Weiss_F', 'CH4_Wies', 'CO_Wies', 'H2_Wies', 'N2O_Weiss_F'</v>
      </c>
      <c r="D58" s="2" t="s">
        <v>282</v>
      </c>
    </row>
    <row r="59" spans="1:20">
      <c r="A59" s="6"/>
      <c r="C59" s="2" t="str">
        <f t="shared" si="0"/>
        <v>'He_Weiss', 'Ne_Weiss', 'Ar_Weiss', 'Kr_Weiss', 'Xe_Clvr', 'N2_Weiss', 'O2_B&amp;K', 'CO2_Weiss_F', 'CH4_Wies', 'CO_Wies', 'H2_Wies', 'N2O_Weiss_F', 'CFC11_Warner'</v>
      </c>
      <c r="D59" s="2" t="s">
        <v>123</v>
      </c>
    </row>
    <row r="60" spans="1:20">
      <c r="A60" s="6"/>
      <c r="C60" s="2" t="str">
        <f t="shared" si="0"/>
        <v>'He_Weiss', 'Ne_Weiss', 'Ar_Weiss', 'Kr_Weiss', 'Xe_Clvr', 'N2_Weiss', 'O2_B&amp;K', 'CO2_Weiss_F', 'CH4_Wies', 'CO_Wies', 'H2_Wies', 'N2O_Weiss_F', 'CFC11_Warner', 'CFC12_Warner'</v>
      </c>
      <c r="D60" s="2" t="s">
        <v>127</v>
      </c>
    </row>
    <row r="61" spans="1:20">
      <c r="A61" s="6"/>
      <c r="C61" s="2" t="str">
        <f t="shared" si="0"/>
        <v>'He_Weiss', 'Ne_Weiss', 'Ar_Weiss', 'Kr_Weiss', 'Xe_Clvr', 'N2_Weiss', 'O2_B&amp;K', 'CO2_Weiss_F', 'CH4_Wies', 'CO_Wies', 'H2_Wies', 'N2O_Weiss_F', 'CFC11_Warner', 'CFC12_Warner', 'CFC113_Bu'</v>
      </c>
      <c r="D61" s="2" t="s">
        <v>130</v>
      </c>
    </row>
    <row r="62" spans="1:20">
      <c r="A62" s="6"/>
      <c r="C62" s="2" t="str">
        <f t="shared" si="0"/>
        <v>'He_Weiss', 'Ne_Weiss', 'Ar_Weiss', 'Kr_Weiss', 'Xe_Clvr', 'N2_Weiss', 'O2_B&amp;K', 'CO2_Weiss_F', 'CH4_Wies', 'CO_Wies', 'H2_Wies', 'N2O_Weiss_F', 'CFC11_Warner', 'CFC12_Warner', 'CFC113_Bu', 'SF6_Bull'</v>
      </c>
      <c r="D62" s="2" t="s">
        <v>133</v>
      </c>
    </row>
    <row r="63" spans="1:20">
      <c r="A63" s="6"/>
      <c r="C63" s="2" t="str">
        <f t="shared" si="0"/>
        <v>'He_Weiss', 'Ne_Weiss', 'Ar_Weiss', 'Kr_Weiss', 'Xe_Clvr', 'N2_Weiss', 'O2_B&amp;K', 'CO2_Weiss_F', 'CH4_Wies', 'CO_Wies', 'H2_Wies', 'N2O_Weiss_F', 'CFC11_Warner', 'CFC12_Warner', 'CFC113_Bu', 'SF6_Bull', 'H1301_B'</v>
      </c>
      <c r="D63" s="2" t="s">
        <v>138</v>
      </c>
    </row>
    <row r="64" spans="1:20">
      <c r="A64" s="6"/>
      <c r="C64" s="2">
        <f>COUNT(C47:C63)</f>
        <v>0</v>
      </c>
      <c r="D64" s="2">
        <f>COUNT(D47:D63)</f>
        <v>0</v>
      </c>
    </row>
    <row r="65" spans="1:1">
      <c r="A65" s="6"/>
    </row>
    <row r="66" spans="1:1">
      <c r="A66" s="6"/>
    </row>
    <row r="67" spans="1:1">
      <c r="A67" s="6"/>
    </row>
    <row r="68" spans="1:1">
      <c r="A68" s="6"/>
    </row>
    <row r="69" spans="1:1">
      <c r="A69" s="6"/>
    </row>
    <row r="70" spans="1:1">
      <c r="A70" s="6"/>
    </row>
    <row r="71" spans="1:1">
      <c r="A71" s="6"/>
    </row>
    <row r="72" spans="1:1">
      <c r="A72" s="6"/>
    </row>
  </sheetData>
  <mergeCells count="3">
    <mergeCell ref="E1:O1"/>
    <mergeCell ref="Y1:AA1"/>
    <mergeCell ref="AC1:AH1"/>
  </mergeCells>
  <conditionalFormatting sqref="A27:A30 A3:A25 A36:A72 A34">
    <cfRule type="cellIs" dxfId="14" priority="19" operator="equal">
      <formula>"Yes"</formula>
    </cfRule>
  </conditionalFormatting>
  <conditionalFormatting sqref="A5">
    <cfRule type="cellIs" dxfId="13" priority="14" operator="equal">
      <formula>"Yes"</formula>
    </cfRule>
  </conditionalFormatting>
  <conditionalFormatting sqref="A10">
    <cfRule type="cellIs" dxfId="12" priority="13" operator="equal">
      <formula>"Yes"</formula>
    </cfRule>
  </conditionalFormatting>
  <conditionalFormatting sqref="A14">
    <cfRule type="cellIs" dxfId="11" priority="12" operator="equal">
      <formula>"Yes"</formula>
    </cfRule>
  </conditionalFormatting>
  <conditionalFormatting sqref="A17">
    <cfRule type="cellIs" dxfId="10" priority="11" operator="equal">
      <formula>"Yes"</formula>
    </cfRule>
  </conditionalFormatting>
  <conditionalFormatting sqref="A19">
    <cfRule type="cellIs" dxfId="9" priority="10" operator="equal">
      <formula>"Yes"</formula>
    </cfRule>
  </conditionalFormatting>
  <conditionalFormatting sqref="A26">
    <cfRule type="cellIs" dxfId="8" priority="9" operator="equal">
      <formula>"Yes"</formula>
    </cfRule>
  </conditionalFormatting>
  <conditionalFormatting sqref="A35">
    <cfRule type="cellIs" dxfId="7" priority="8" operator="equal">
      <formula>"Yes"</formula>
    </cfRule>
  </conditionalFormatting>
  <conditionalFormatting sqref="A10">
    <cfRule type="cellIs" dxfId="6" priority="7" operator="equal">
      <formula>"Yes"</formula>
    </cfRule>
  </conditionalFormatting>
  <conditionalFormatting sqref="A14">
    <cfRule type="cellIs" dxfId="5" priority="6" operator="equal">
      <formula>"Yes"</formula>
    </cfRule>
  </conditionalFormatting>
  <conditionalFormatting sqref="A17">
    <cfRule type="cellIs" dxfId="4" priority="5" operator="equal">
      <formula>"Yes"</formula>
    </cfRule>
  </conditionalFormatting>
  <conditionalFormatting sqref="A19">
    <cfRule type="cellIs" dxfId="3" priority="4" operator="equal">
      <formula>"Yes"</formula>
    </cfRule>
  </conditionalFormatting>
  <conditionalFormatting sqref="A43">
    <cfRule type="cellIs" dxfId="2" priority="3" operator="equal">
      <formula>"Yes"</formula>
    </cfRule>
  </conditionalFormatting>
  <conditionalFormatting sqref="A44">
    <cfRule type="cellIs" dxfId="1" priority="2" operator="equal">
      <formula>"Yes"</formula>
    </cfRule>
  </conditionalFormatting>
  <conditionalFormatting sqref="A31:A33">
    <cfRule type="cellIs" dxfId="0" priority="1" operator="equal">
      <formula>"Yes"</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DA09-CD3C-4B3B-B9B9-B94FA06277DC}">
  <sheetPr codeName="Sheet12">
    <tabColor theme="8"/>
  </sheetPr>
  <dimension ref="A1:BK141"/>
  <sheetViews>
    <sheetView workbookViewId="0">
      <pane ySplit="3" topLeftCell="A4" activePane="bottomLeft" state="frozen"/>
      <selection pane="bottomLeft" activeCell="A4" sqref="A4:AN54"/>
    </sheetView>
  </sheetViews>
  <sheetFormatPr defaultColWidth="9.33203125" defaultRowHeight="14.4"/>
  <cols>
    <col min="1" max="1" width="14.33203125" style="16" bestFit="1" customWidth="1"/>
    <col min="2" max="2" width="12.77734375" style="16" bestFit="1" customWidth="1"/>
    <col min="3" max="3" width="19" style="16" bestFit="1" customWidth="1"/>
    <col min="4" max="4" width="11.88671875" style="17" bestFit="1" customWidth="1"/>
    <col min="5" max="5" width="11" style="16" customWidth="1"/>
    <col min="6" max="6" width="10.6640625" style="16" customWidth="1"/>
    <col min="7" max="7" width="11.6640625" style="16" customWidth="1"/>
    <col min="8" max="10" width="9.33203125" style="16"/>
    <col min="11" max="11" width="11" style="16" customWidth="1"/>
    <col min="12" max="12" width="14.109375" style="16" bestFit="1" customWidth="1"/>
    <col min="13" max="16384" width="9.33203125" style="16"/>
  </cols>
  <sheetData>
    <row r="1" spans="1:63" ht="15" thickBot="1">
      <c r="A1" s="128" t="s">
        <v>141</v>
      </c>
      <c r="B1" s="128"/>
      <c r="C1" s="128"/>
      <c r="D1" s="128"/>
      <c r="E1" s="128" t="s">
        <v>205</v>
      </c>
      <c r="F1" s="128"/>
      <c r="G1" s="128"/>
      <c r="H1" s="128"/>
      <c r="I1" s="128"/>
      <c r="J1" s="128"/>
      <c r="K1" s="128"/>
      <c r="L1" s="29" t="s">
        <v>220</v>
      </c>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row>
    <row r="2" spans="1:63" ht="15" customHeight="1">
      <c r="A2" s="129" t="s">
        <v>142</v>
      </c>
      <c r="B2" s="129" t="s">
        <v>143</v>
      </c>
      <c r="C2" s="129" t="s">
        <v>144</v>
      </c>
      <c r="D2" s="131" t="s">
        <v>145</v>
      </c>
      <c r="E2" s="129" t="s">
        <v>146</v>
      </c>
      <c r="F2" s="129" t="s">
        <v>219</v>
      </c>
      <c r="G2" s="129" t="s">
        <v>191</v>
      </c>
      <c r="H2" s="129" t="s">
        <v>192</v>
      </c>
      <c r="I2" s="129" t="s">
        <v>217</v>
      </c>
      <c r="J2" s="129" t="s">
        <v>147</v>
      </c>
      <c r="K2" s="129" t="s">
        <v>193</v>
      </c>
      <c r="L2" s="31" t="s">
        <v>64</v>
      </c>
      <c r="M2" s="31" t="s">
        <v>148</v>
      </c>
      <c r="N2" s="31" t="s">
        <v>73</v>
      </c>
      <c r="O2" s="31" t="s">
        <v>149</v>
      </c>
      <c r="P2" s="31" t="s">
        <v>82</v>
      </c>
      <c r="Q2" s="31" t="s">
        <v>150</v>
      </c>
      <c r="R2" s="31" t="s">
        <v>89</v>
      </c>
      <c r="S2" s="31" t="s">
        <v>151</v>
      </c>
      <c r="T2" s="31" t="s">
        <v>94</v>
      </c>
      <c r="U2" s="31" t="s">
        <v>152</v>
      </c>
      <c r="V2" s="31" t="s">
        <v>98</v>
      </c>
      <c r="W2" s="31" t="s">
        <v>153</v>
      </c>
      <c r="X2" s="31" t="s">
        <v>82</v>
      </c>
      <c r="Y2" s="31" t="s">
        <v>150</v>
      </c>
      <c r="Z2" s="31" t="s">
        <v>98</v>
      </c>
      <c r="AA2" s="31" t="s">
        <v>153</v>
      </c>
      <c r="AB2" s="31" t="s">
        <v>102</v>
      </c>
      <c r="AC2" s="31" t="s">
        <v>154</v>
      </c>
      <c r="AD2" s="31" t="s">
        <v>77</v>
      </c>
      <c r="AE2" s="31" t="s">
        <v>155</v>
      </c>
      <c r="AF2" s="31" t="s">
        <v>110</v>
      </c>
      <c r="AG2" s="31" t="s">
        <v>156</v>
      </c>
      <c r="AH2" s="31" t="s">
        <v>118</v>
      </c>
      <c r="AI2" s="31" t="s">
        <v>157</v>
      </c>
      <c r="AJ2" s="31" t="s">
        <v>78</v>
      </c>
      <c r="AK2" s="31" t="s">
        <v>292</v>
      </c>
      <c r="AL2" s="31"/>
      <c r="AM2" s="31"/>
      <c r="AN2" s="31"/>
      <c r="AO2" s="31"/>
      <c r="AP2" s="31"/>
      <c r="AQ2" s="31"/>
      <c r="AR2" s="31"/>
      <c r="AS2" s="31"/>
      <c r="AT2" s="31"/>
      <c r="AU2" s="31"/>
      <c r="AV2" s="31"/>
      <c r="AW2" s="31"/>
      <c r="AX2" s="31"/>
      <c r="AY2" s="31"/>
      <c r="AZ2" s="31"/>
      <c r="BA2" s="31"/>
      <c r="BB2" s="31"/>
      <c r="BC2" s="31"/>
      <c r="BD2" s="31"/>
      <c r="BE2" s="31"/>
      <c r="BF2" s="31"/>
      <c r="BG2" s="31"/>
      <c r="BH2" s="31"/>
      <c r="BI2" s="31"/>
      <c r="BJ2" s="31"/>
      <c r="BK2" s="31"/>
    </row>
    <row r="3" spans="1:63" ht="39.75" customHeight="1" thickBot="1">
      <c r="A3" s="130"/>
      <c r="B3" s="130"/>
      <c r="C3" s="130"/>
      <c r="D3" s="132"/>
      <c r="E3" s="130"/>
      <c r="F3" s="130" t="s">
        <v>159</v>
      </c>
      <c r="G3" s="130" t="s">
        <v>160</v>
      </c>
      <c r="H3" s="130" t="s">
        <v>161</v>
      </c>
      <c r="I3" s="130" t="s">
        <v>162</v>
      </c>
      <c r="J3" s="130" t="s">
        <v>163</v>
      </c>
      <c r="K3" s="130" t="s">
        <v>164</v>
      </c>
      <c r="L3" s="32" t="s">
        <v>198</v>
      </c>
      <c r="M3" s="32"/>
      <c r="N3" s="32" t="s">
        <v>198</v>
      </c>
      <c r="O3" s="32"/>
      <c r="P3" s="32" t="s">
        <v>198</v>
      </c>
      <c r="Q3" s="32"/>
      <c r="R3" s="32" t="s">
        <v>198</v>
      </c>
      <c r="S3" s="32"/>
      <c r="T3" s="32" t="s">
        <v>198</v>
      </c>
      <c r="U3" s="32"/>
      <c r="V3" s="32" t="s">
        <v>198</v>
      </c>
      <c r="W3" s="32"/>
      <c r="X3" s="32" t="s">
        <v>165</v>
      </c>
      <c r="Y3" s="32"/>
      <c r="Z3" s="32" t="s">
        <v>165</v>
      </c>
      <c r="AA3" s="32"/>
      <c r="AB3" s="32" t="s">
        <v>165</v>
      </c>
      <c r="AC3" s="32"/>
      <c r="AD3" s="32" t="s">
        <v>165</v>
      </c>
      <c r="AE3" s="32"/>
      <c r="AF3" s="32" t="s">
        <v>165</v>
      </c>
      <c r="AG3" s="32"/>
      <c r="AH3" s="32" t="s">
        <v>165</v>
      </c>
      <c r="AI3" s="32"/>
      <c r="AJ3" s="32" t="s">
        <v>165</v>
      </c>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row>
    <row r="4" spans="1:63">
      <c r="A4" s="78" t="s">
        <v>626</v>
      </c>
      <c r="B4" s="78" t="s">
        <v>627</v>
      </c>
      <c r="C4" s="78" t="s">
        <v>661</v>
      </c>
      <c r="D4" s="79">
        <v>41507</v>
      </c>
      <c r="E4" s="78" t="s">
        <v>662</v>
      </c>
      <c r="F4" s="78">
        <v>0.22376201802000001</v>
      </c>
      <c r="G4" s="78">
        <v>39.024390243902403</v>
      </c>
      <c r="H4" s="81">
        <v>20.090000152599998</v>
      </c>
      <c r="I4" s="80">
        <v>1</v>
      </c>
      <c r="J4" s="80">
        <v>0</v>
      </c>
      <c r="K4" s="80">
        <v>0</v>
      </c>
      <c r="L4" s="82">
        <v>6.5699999999999999E-8</v>
      </c>
      <c r="M4" s="82">
        <f>0.01*L4</f>
        <v>6.5700000000000001E-10</v>
      </c>
      <c r="N4" s="102">
        <v>2.326E-7</v>
      </c>
      <c r="O4" s="78">
        <v>2.8000000000000002E-10</v>
      </c>
      <c r="P4" s="99"/>
      <c r="Q4" s="99"/>
      <c r="R4" s="103"/>
      <c r="S4" s="103"/>
      <c r="T4" s="99"/>
      <c r="U4" s="84"/>
      <c r="V4" s="84"/>
      <c r="W4" s="84"/>
      <c r="X4" s="103">
        <v>0.62979533697440104</v>
      </c>
      <c r="Y4" s="103">
        <f t="shared" ref="Y4:Y54" si="0">X4*0.1</f>
        <v>6.297953369744011E-2</v>
      </c>
      <c r="Z4" s="103">
        <v>17.871653837796998</v>
      </c>
      <c r="AA4" s="103">
        <f t="shared" ref="AA4:AA54" si="1">Z4*0.1</f>
        <v>1.7871653837796999</v>
      </c>
      <c r="AB4" s="80">
        <v>1.42687857026998</v>
      </c>
      <c r="AC4" s="80">
        <v>0.14268785702699802</v>
      </c>
      <c r="AD4" s="80">
        <v>15.4357918899496</v>
      </c>
      <c r="AE4" s="80">
        <v>1.5435791889949602</v>
      </c>
      <c r="AF4" s="80"/>
      <c r="AG4" s="80"/>
      <c r="AH4" s="85"/>
      <c r="AI4" s="80"/>
      <c r="AJ4" s="80"/>
      <c r="AK4" s="80"/>
      <c r="AL4" s="99"/>
      <c r="AM4" s="99"/>
      <c r="AN4" s="99"/>
    </row>
    <row r="5" spans="1:63">
      <c r="A5" s="78" t="s">
        <v>626</v>
      </c>
      <c r="B5" s="78" t="s">
        <v>627</v>
      </c>
      <c r="C5" s="78" t="s">
        <v>661</v>
      </c>
      <c r="D5" s="79">
        <v>41507</v>
      </c>
      <c r="E5" s="80" t="s">
        <v>664</v>
      </c>
      <c r="F5" s="78">
        <v>0.22376201802000001</v>
      </c>
      <c r="G5" s="78">
        <v>39.024390243902403</v>
      </c>
      <c r="H5" s="81">
        <v>20.090000152599998</v>
      </c>
      <c r="I5" s="80">
        <v>1</v>
      </c>
      <c r="J5" s="80">
        <v>0</v>
      </c>
      <c r="K5" s="80">
        <v>0</v>
      </c>
      <c r="L5" s="82">
        <v>6.5699999999999999E-8</v>
      </c>
      <c r="M5" s="82">
        <f>0.01*L5</f>
        <v>6.5700000000000001E-10</v>
      </c>
      <c r="N5" s="102">
        <v>2.326E-7</v>
      </c>
      <c r="O5" s="78">
        <v>2.8000000000000002E-10</v>
      </c>
      <c r="P5" s="99"/>
      <c r="Q5" s="99"/>
      <c r="R5" s="103"/>
      <c r="S5" s="103"/>
      <c r="T5" s="99"/>
      <c r="U5" s="84"/>
      <c r="V5" s="84"/>
      <c r="W5" s="84"/>
      <c r="X5" s="103">
        <v>0.62248640074703598</v>
      </c>
      <c r="Y5" s="103">
        <f t="shared" si="0"/>
        <v>6.2248640074703598E-2</v>
      </c>
      <c r="Z5" s="103">
        <v>17.619880809601302</v>
      </c>
      <c r="AA5" s="103">
        <f t="shared" si="1"/>
        <v>1.7619880809601303</v>
      </c>
      <c r="AB5" s="80">
        <v>1.7602966267139499</v>
      </c>
      <c r="AC5" s="80">
        <v>0.176029662671395</v>
      </c>
      <c r="AD5" s="80">
        <v>17.795517366134199</v>
      </c>
      <c r="AE5" s="80">
        <v>1.7795517366134199</v>
      </c>
      <c r="AF5" s="80"/>
      <c r="AG5" s="80"/>
      <c r="AH5" s="85"/>
      <c r="AI5" s="80"/>
      <c r="AJ5" s="80"/>
      <c r="AK5" s="80"/>
      <c r="AL5" s="99"/>
      <c r="AM5" s="99"/>
      <c r="AN5" s="99"/>
    </row>
    <row r="6" spans="1:63">
      <c r="A6" s="78" t="s">
        <v>626</v>
      </c>
      <c r="B6" s="78" t="s">
        <v>627</v>
      </c>
      <c r="C6" s="78" t="s">
        <v>649</v>
      </c>
      <c r="D6" s="79">
        <v>41508</v>
      </c>
      <c r="E6" s="78" t="s">
        <v>650</v>
      </c>
      <c r="F6" s="78">
        <v>0.70640354088000001</v>
      </c>
      <c r="G6" s="78">
        <v>19.8170731707317</v>
      </c>
      <c r="H6" s="81">
        <v>20.159999847400002</v>
      </c>
      <c r="I6" s="80">
        <v>1</v>
      </c>
      <c r="J6" s="80">
        <v>0</v>
      </c>
      <c r="K6" s="80">
        <v>0</v>
      </c>
      <c r="L6" s="82">
        <v>4.3230000000000003E-7</v>
      </c>
      <c r="M6" s="82">
        <v>3E-10</v>
      </c>
      <c r="N6" s="102">
        <v>2.0840000000000001E-7</v>
      </c>
      <c r="O6" s="78">
        <v>4.8E-10</v>
      </c>
      <c r="P6" s="99"/>
      <c r="Q6" s="99"/>
      <c r="R6" s="103"/>
      <c r="S6" s="103"/>
      <c r="T6" s="99"/>
      <c r="U6" s="84"/>
      <c r="V6" s="84"/>
      <c r="W6" s="84"/>
      <c r="X6" s="103">
        <v>0.67235170200266103</v>
      </c>
      <c r="Y6" s="103">
        <f t="shared" si="0"/>
        <v>6.7235170200266106E-2</v>
      </c>
      <c r="Z6" s="103">
        <v>18.817703893028099</v>
      </c>
      <c r="AA6" s="103">
        <f t="shared" si="1"/>
        <v>1.8817703893028099</v>
      </c>
      <c r="AB6" s="80">
        <v>0.24901772196694399</v>
      </c>
      <c r="AC6" s="80">
        <v>2.4901772196694399E-2</v>
      </c>
      <c r="AD6" s="80">
        <v>2.2874090331888501</v>
      </c>
      <c r="AE6" s="80">
        <v>0.22874090331888502</v>
      </c>
      <c r="AF6" s="80">
        <v>5.92962525906257E-3</v>
      </c>
      <c r="AG6" s="80">
        <v>5.9296252590625707E-4</v>
      </c>
      <c r="AH6" s="80"/>
      <c r="AI6" s="80"/>
      <c r="AJ6" s="80"/>
      <c r="AK6" s="85"/>
      <c r="AL6" s="99"/>
      <c r="AM6" s="99"/>
      <c r="AN6" s="99"/>
    </row>
    <row r="7" spans="1:63">
      <c r="A7" s="78" t="s">
        <v>626</v>
      </c>
      <c r="B7" s="78" t="s">
        <v>627</v>
      </c>
      <c r="C7" s="78" t="s">
        <v>649</v>
      </c>
      <c r="D7" s="79">
        <v>41508</v>
      </c>
      <c r="E7" s="78" t="s">
        <v>653</v>
      </c>
      <c r="F7" s="78">
        <v>0.70640354088000001</v>
      </c>
      <c r="G7" s="78">
        <v>19.8170731707317</v>
      </c>
      <c r="H7" s="81">
        <v>20.159999847400002</v>
      </c>
      <c r="I7" s="80">
        <v>1</v>
      </c>
      <c r="J7" s="80">
        <v>0</v>
      </c>
      <c r="K7" s="80">
        <v>0</v>
      </c>
      <c r="L7" s="82">
        <v>4.3230000000000003E-7</v>
      </c>
      <c r="M7" s="82">
        <v>3E-10</v>
      </c>
      <c r="N7" s="102">
        <v>2.0840000000000001E-7</v>
      </c>
      <c r="O7" s="78">
        <v>4.8E-10</v>
      </c>
      <c r="P7" s="99"/>
      <c r="Q7" s="99"/>
      <c r="R7" s="103"/>
      <c r="S7" s="103"/>
      <c r="T7" s="99"/>
      <c r="U7" s="84"/>
      <c r="V7" s="84"/>
      <c r="W7" s="84"/>
      <c r="X7" s="103">
        <v>0.67438778880241201</v>
      </c>
      <c r="Y7" s="103">
        <f t="shared" si="0"/>
        <v>6.7438778880241204E-2</v>
      </c>
      <c r="Z7" s="103">
        <v>18.820636805411599</v>
      </c>
      <c r="AA7" s="103">
        <f t="shared" si="1"/>
        <v>1.8820636805411599</v>
      </c>
      <c r="AB7" s="80">
        <v>0.24810933146247199</v>
      </c>
      <c r="AC7" s="80">
        <v>2.4810933146247202E-2</v>
      </c>
      <c r="AD7" s="80">
        <v>2.2931443891349099</v>
      </c>
      <c r="AE7" s="80">
        <v>0.22931443891349101</v>
      </c>
      <c r="AF7" s="80">
        <v>5.7235381249341596E-3</v>
      </c>
      <c r="AG7" s="80">
        <v>5.7235381249341603E-4</v>
      </c>
      <c r="AH7" s="80"/>
      <c r="AI7" s="80"/>
      <c r="AJ7" s="80"/>
      <c r="AK7" s="85"/>
      <c r="AL7" s="99"/>
      <c r="AM7" s="99"/>
      <c r="AN7" s="99"/>
    </row>
    <row r="8" spans="1:63" ht="15.6">
      <c r="A8" s="80" t="s">
        <v>626</v>
      </c>
      <c r="B8" s="78" t="s">
        <v>627</v>
      </c>
      <c r="C8" s="80" t="s">
        <v>678</v>
      </c>
      <c r="D8" s="104">
        <v>41520</v>
      </c>
      <c r="E8" s="80" t="s">
        <v>679</v>
      </c>
      <c r="F8" s="80">
        <v>0.14891640378000001</v>
      </c>
      <c r="G8" s="80">
        <v>61.585365853658502</v>
      </c>
      <c r="H8" s="81">
        <v>19.219999313399999</v>
      </c>
      <c r="I8" s="80">
        <v>1</v>
      </c>
      <c r="J8" s="80">
        <v>0</v>
      </c>
      <c r="K8" s="80">
        <v>0</v>
      </c>
      <c r="L8" s="82">
        <v>1.178E-7</v>
      </c>
      <c r="M8" s="82">
        <v>1E-10</v>
      </c>
      <c r="N8" s="80">
        <v>2.4289999999999998E-7</v>
      </c>
      <c r="O8" s="80">
        <v>2.8999999999999998E-10</v>
      </c>
      <c r="P8" s="99"/>
      <c r="Q8" s="99"/>
      <c r="R8" s="103"/>
      <c r="S8" s="103"/>
      <c r="T8" s="99"/>
      <c r="U8" s="82"/>
      <c r="V8" s="82"/>
      <c r="W8" s="82"/>
      <c r="X8" s="103">
        <v>0.70297674666724597</v>
      </c>
      <c r="Y8" s="103">
        <f t="shared" si="0"/>
        <v>7.0297674666724597E-2</v>
      </c>
      <c r="Z8" s="103">
        <v>19.9916785275908</v>
      </c>
      <c r="AA8" s="103">
        <f t="shared" si="1"/>
        <v>1.9991678527590802</v>
      </c>
      <c r="AB8" s="80">
        <v>0.26417856631084802</v>
      </c>
      <c r="AC8" s="80">
        <v>2.6417856631084802E-2</v>
      </c>
      <c r="AD8" s="80">
        <v>1.8291543343152501</v>
      </c>
      <c r="AE8" s="80">
        <v>0.18291543343152503</v>
      </c>
      <c r="AF8" s="80"/>
      <c r="AG8" s="80"/>
      <c r="AH8" s="105"/>
      <c r="AI8" s="86"/>
      <c r="AJ8" s="86"/>
      <c r="AK8" s="86"/>
      <c r="AL8" s="99"/>
      <c r="AM8" s="99"/>
      <c r="AN8" s="99"/>
    </row>
    <row r="9" spans="1:63" ht="15.6">
      <c r="A9" s="80" t="s">
        <v>626</v>
      </c>
      <c r="B9" s="78" t="s">
        <v>627</v>
      </c>
      <c r="C9" s="80" t="s">
        <v>678</v>
      </c>
      <c r="D9" s="104">
        <v>41520</v>
      </c>
      <c r="E9" s="80" t="s">
        <v>681</v>
      </c>
      <c r="F9" s="80">
        <v>0.14891640378000001</v>
      </c>
      <c r="G9" s="80">
        <v>61.585365853658502</v>
      </c>
      <c r="H9" s="81">
        <v>19.219999313399999</v>
      </c>
      <c r="I9" s="80">
        <v>1</v>
      </c>
      <c r="J9" s="80">
        <v>0</v>
      </c>
      <c r="K9" s="80">
        <v>0</v>
      </c>
      <c r="L9" s="82">
        <v>1.178E-7</v>
      </c>
      <c r="M9" s="82">
        <v>1E-10</v>
      </c>
      <c r="N9" s="80">
        <v>2.4289999999999998E-7</v>
      </c>
      <c r="O9" s="80">
        <v>2.8999999999999998E-10</v>
      </c>
      <c r="P9" s="99"/>
      <c r="Q9" s="99"/>
      <c r="R9" s="103"/>
      <c r="S9" s="103"/>
      <c r="T9" s="99"/>
      <c r="U9" s="82"/>
      <c r="V9" s="82"/>
      <c r="W9" s="82"/>
      <c r="X9" s="103">
        <v>0.703134726960703</v>
      </c>
      <c r="Y9" s="103">
        <f t="shared" si="0"/>
        <v>7.03134726960703E-2</v>
      </c>
      <c r="Z9" s="103">
        <v>19.986972563976199</v>
      </c>
      <c r="AA9" s="103">
        <f t="shared" si="1"/>
        <v>1.99869725639762</v>
      </c>
      <c r="AB9" s="80">
        <v>0.26413773772239202</v>
      </c>
      <c r="AC9" s="80">
        <v>2.6413773772239205E-2</v>
      </c>
      <c r="AD9" s="80">
        <v>1.9411742917774799</v>
      </c>
      <c r="AE9" s="80">
        <v>0.19411742917774799</v>
      </c>
      <c r="AF9" s="80"/>
      <c r="AG9" s="80"/>
      <c r="AH9" s="105"/>
      <c r="AI9" s="86"/>
      <c r="AJ9" s="86"/>
      <c r="AK9" s="86"/>
      <c r="AL9" s="99"/>
      <c r="AM9" s="99"/>
      <c r="AN9" s="99"/>
    </row>
    <row r="10" spans="1:63">
      <c r="A10" s="78" t="s">
        <v>626</v>
      </c>
      <c r="B10" s="78" t="s">
        <v>627</v>
      </c>
      <c r="C10" s="78" t="s">
        <v>656</v>
      </c>
      <c r="D10" s="79">
        <v>41540</v>
      </c>
      <c r="E10" s="78" t="s">
        <v>657</v>
      </c>
      <c r="F10" s="78">
        <v>0.31042765472</v>
      </c>
      <c r="G10" s="78">
        <v>7.9268292682926802</v>
      </c>
      <c r="H10" s="81">
        <v>20.010000228900001</v>
      </c>
      <c r="I10" s="80">
        <v>1</v>
      </c>
      <c r="J10" s="80">
        <v>0</v>
      </c>
      <c r="K10" s="80">
        <v>0</v>
      </c>
      <c r="L10" s="82">
        <v>9.1480000000000001E-7</v>
      </c>
      <c r="M10" s="82">
        <v>3.3000000000000002E-9</v>
      </c>
      <c r="N10" s="102">
        <v>2.4400000000000001E-7</v>
      </c>
      <c r="O10" s="78">
        <v>3.1999999999999998E-10</v>
      </c>
      <c r="P10" s="99"/>
      <c r="Q10" s="99"/>
      <c r="R10" s="103"/>
      <c r="S10" s="103"/>
      <c r="T10" s="99"/>
      <c r="U10" s="84"/>
      <c r="V10" s="84"/>
      <c r="W10" s="84"/>
      <c r="X10" s="103">
        <v>0.67422035038596395</v>
      </c>
      <c r="Y10" s="103">
        <f t="shared" si="0"/>
        <v>6.7422035038596395E-2</v>
      </c>
      <c r="Z10" s="103">
        <v>19.201807533848399</v>
      </c>
      <c r="AA10" s="103">
        <f t="shared" si="1"/>
        <v>1.9201807533848401</v>
      </c>
      <c r="AB10" s="80">
        <v>0.25369470158651303</v>
      </c>
      <c r="AC10" s="80">
        <v>2.5369470158651306E-2</v>
      </c>
      <c r="AD10" s="80">
        <v>2.7623707827761299</v>
      </c>
      <c r="AE10" s="80">
        <v>0.27623707827761301</v>
      </c>
      <c r="AF10" s="80">
        <v>1.7186421281020601</v>
      </c>
      <c r="AG10" s="80">
        <v>0.17186421281020603</v>
      </c>
      <c r="AH10" s="80"/>
      <c r="AI10" s="80"/>
      <c r="AJ10" s="80"/>
      <c r="AK10" s="85"/>
      <c r="AL10" s="99"/>
      <c r="AM10" s="99"/>
      <c r="AN10" s="99"/>
    </row>
    <row r="11" spans="1:63">
      <c r="A11" s="78" t="s">
        <v>626</v>
      </c>
      <c r="B11" s="78" t="s">
        <v>627</v>
      </c>
      <c r="C11" s="78" t="s">
        <v>656</v>
      </c>
      <c r="D11" s="79">
        <v>41540</v>
      </c>
      <c r="E11" s="78" t="s">
        <v>659</v>
      </c>
      <c r="F11" s="78">
        <v>0.31042765472</v>
      </c>
      <c r="G11" s="78">
        <v>7.9268292682926802</v>
      </c>
      <c r="H11" s="81">
        <v>20.010000228900001</v>
      </c>
      <c r="I11" s="80">
        <v>1</v>
      </c>
      <c r="J11" s="80">
        <v>0</v>
      </c>
      <c r="K11" s="80">
        <v>0</v>
      </c>
      <c r="L11" s="82">
        <v>9.1480000000000001E-7</v>
      </c>
      <c r="M11" s="82">
        <v>3.3000000000000002E-9</v>
      </c>
      <c r="N11" s="102">
        <v>2.4400000000000001E-7</v>
      </c>
      <c r="O11" s="78">
        <v>3.1999999999999998E-10</v>
      </c>
      <c r="P11" s="99"/>
      <c r="Q11" s="99"/>
      <c r="R11" s="103"/>
      <c r="S11" s="103"/>
      <c r="T11" s="99"/>
      <c r="U11" s="84"/>
      <c r="V11" s="84"/>
      <c r="W11" s="84"/>
      <c r="X11" s="103">
        <v>0.68223279055933905</v>
      </c>
      <c r="Y11" s="103">
        <f t="shared" si="0"/>
        <v>6.8223279055933908E-2</v>
      </c>
      <c r="Z11" s="103">
        <v>19.480198141090799</v>
      </c>
      <c r="AA11" s="103">
        <f t="shared" si="1"/>
        <v>1.9480198141090801</v>
      </c>
      <c r="AB11" s="80">
        <v>0.244311715275465</v>
      </c>
      <c r="AC11" s="80">
        <v>2.4431171527546501E-2</v>
      </c>
      <c r="AD11" s="80">
        <v>2.8133324084219602</v>
      </c>
      <c r="AE11" s="80">
        <v>0.28133324084219602</v>
      </c>
      <c r="AF11" s="80">
        <v>1.7143416136557299</v>
      </c>
      <c r="AG11" s="80">
        <v>0.17143416136557299</v>
      </c>
      <c r="AH11" s="80"/>
      <c r="AI11" s="80"/>
      <c r="AJ11" s="80"/>
      <c r="AK11" s="85"/>
      <c r="AL11" s="99"/>
      <c r="AM11" s="99"/>
      <c r="AN11" s="99"/>
    </row>
    <row r="12" spans="1:63">
      <c r="A12" s="78" t="s">
        <v>626</v>
      </c>
      <c r="B12" s="78" t="s">
        <v>627</v>
      </c>
      <c r="C12" s="78" t="s">
        <v>637</v>
      </c>
      <c r="D12" s="79">
        <v>41541</v>
      </c>
      <c r="E12" s="78" t="s">
        <v>638</v>
      </c>
      <c r="F12" s="78">
        <v>0.60581683578000001</v>
      </c>
      <c r="G12" s="78">
        <v>9.1463414634146307</v>
      </c>
      <c r="H12" s="81">
        <v>20.879999160800001</v>
      </c>
      <c r="I12" s="80">
        <v>1</v>
      </c>
      <c r="J12" s="80">
        <v>0</v>
      </c>
      <c r="K12" s="80">
        <v>0</v>
      </c>
      <c r="L12" s="82">
        <v>1.9146646739520499E-6</v>
      </c>
      <c r="M12" s="82">
        <v>1.91466467395205E-8</v>
      </c>
      <c r="N12" s="106">
        <v>2.49842150704935E-7</v>
      </c>
      <c r="O12" s="84">
        <v>3.7476322605740302E-9</v>
      </c>
      <c r="P12" s="99"/>
      <c r="Q12" s="99"/>
      <c r="R12" s="103"/>
      <c r="S12" s="103"/>
      <c r="T12" s="99"/>
      <c r="U12" s="84"/>
      <c r="V12" s="84"/>
      <c r="W12" s="84"/>
      <c r="X12" s="103">
        <v>0.66099284040362405</v>
      </c>
      <c r="Y12" s="103">
        <f t="shared" si="0"/>
        <v>6.6099284040362402E-2</v>
      </c>
      <c r="Z12" s="103">
        <v>19.3097996592066</v>
      </c>
      <c r="AA12" s="103">
        <f t="shared" si="1"/>
        <v>1.9309799659206601</v>
      </c>
      <c r="AB12" s="80">
        <v>0.21733141820341101</v>
      </c>
      <c r="AC12" s="80">
        <v>2.1733141820341102E-2</v>
      </c>
      <c r="AD12" s="80">
        <v>5.5177978456922503</v>
      </c>
      <c r="AE12" s="80">
        <v>0.55177978456922505</v>
      </c>
      <c r="AF12" s="80">
        <v>10.861860644179901</v>
      </c>
      <c r="AG12" s="80">
        <v>1.0861860644179901</v>
      </c>
      <c r="AH12" s="85"/>
      <c r="AI12" s="80"/>
      <c r="AJ12" s="80"/>
      <c r="AK12" s="80"/>
      <c r="AL12" s="99"/>
      <c r="AM12" s="99"/>
      <c r="AN12" s="99"/>
    </row>
    <row r="13" spans="1:63">
      <c r="A13" s="78" t="s">
        <v>626</v>
      </c>
      <c r="B13" s="78" t="s">
        <v>627</v>
      </c>
      <c r="C13" s="78" t="s">
        <v>637</v>
      </c>
      <c r="D13" s="79">
        <v>41541</v>
      </c>
      <c r="E13" s="78" t="s">
        <v>640</v>
      </c>
      <c r="F13" s="78">
        <v>0.60581683578000001</v>
      </c>
      <c r="G13" s="78">
        <v>9.1463414634146307</v>
      </c>
      <c r="H13" s="81">
        <v>20.879999160800001</v>
      </c>
      <c r="I13" s="80">
        <v>1</v>
      </c>
      <c r="J13" s="80">
        <v>0</v>
      </c>
      <c r="K13" s="80">
        <v>0</v>
      </c>
      <c r="L13" s="82">
        <v>1.9146646739520499E-6</v>
      </c>
      <c r="M13" s="82">
        <v>1.91466467395205E-8</v>
      </c>
      <c r="N13" s="106">
        <v>2.49842150704935E-7</v>
      </c>
      <c r="O13" s="84">
        <v>3.7476322605740302E-9</v>
      </c>
      <c r="P13" s="99"/>
      <c r="Q13" s="99"/>
      <c r="R13" s="103"/>
      <c r="S13" s="103"/>
      <c r="T13" s="99"/>
      <c r="U13" s="84"/>
      <c r="V13" s="84"/>
      <c r="W13" s="84"/>
      <c r="X13" s="103">
        <v>0.68060090183963495</v>
      </c>
      <c r="Y13" s="103">
        <f t="shared" si="0"/>
        <v>6.8060090183963501E-2</v>
      </c>
      <c r="Z13" s="103">
        <v>20.114661816637302</v>
      </c>
      <c r="AA13" s="103">
        <f t="shared" si="1"/>
        <v>2.0114661816637303</v>
      </c>
      <c r="AB13" s="80">
        <v>0.21751086087864399</v>
      </c>
      <c r="AC13" s="80">
        <v>2.1751086087864399E-2</v>
      </c>
      <c r="AD13" s="80">
        <v>4.74185952300469</v>
      </c>
      <c r="AE13" s="80">
        <v>0.474185952300469</v>
      </c>
      <c r="AF13" s="80">
        <v>11.7724135076755</v>
      </c>
      <c r="AG13" s="80">
        <v>1.1772413507675501</v>
      </c>
      <c r="AH13" s="85"/>
      <c r="AI13" s="80"/>
      <c r="AJ13" s="80"/>
      <c r="AK13" s="80"/>
      <c r="AL13" s="99"/>
      <c r="AM13" s="99"/>
      <c r="AN13" s="99"/>
    </row>
    <row r="14" spans="1:63">
      <c r="A14" s="78" t="s">
        <v>626</v>
      </c>
      <c r="B14" s="78" t="s">
        <v>627</v>
      </c>
      <c r="C14" s="78" t="s">
        <v>628</v>
      </c>
      <c r="D14" s="79">
        <v>41541</v>
      </c>
      <c r="E14" s="78" t="s">
        <v>635</v>
      </c>
      <c r="F14" s="78">
        <v>0.60750157991999998</v>
      </c>
      <c r="G14" s="78">
        <v>5.48780487804878</v>
      </c>
      <c r="H14" s="81">
        <v>21</v>
      </c>
      <c r="I14" s="80">
        <v>1</v>
      </c>
      <c r="J14" s="80">
        <v>0</v>
      </c>
      <c r="K14" s="80">
        <v>0</v>
      </c>
      <c r="L14" s="82">
        <v>4.4477003383180896E-6</v>
      </c>
      <c r="M14" s="82">
        <v>4.4477003383180903E-8</v>
      </c>
      <c r="N14" s="106">
        <v>2.5373849131212002E-7</v>
      </c>
      <c r="O14" s="84">
        <v>3.8060773696818E-9</v>
      </c>
      <c r="P14" s="99"/>
      <c r="Q14" s="99"/>
      <c r="R14" s="103"/>
      <c r="S14" s="103"/>
      <c r="T14" s="99"/>
      <c r="U14" s="84"/>
      <c r="V14" s="84"/>
      <c r="W14" s="84"/>
      <c r="X14" s="103">
        <v>0.57388255002350497</v>
      </c>
      <c r="Y14" s="103">
        <f t="shared" si="0"/>
        <v>5.7388255002350501E-2</v>
      </c>
      <c r="Z14" s="103">
        <v>15.976578116515901</v>
      </c>
      <c r="AA14" s="103">
        <f t="shared" si="1"/>
        <v>1.5976578116515903</v>
      </c>
      <c r="AB14" s="80">
        <v>0.17185644692194399</v>
      </c>
      <c r="AC14" s="80">
        <v>1.7185644692194399E-2</v>
      </c>
      <c r="AD14" s="80">
        <v>3.08614385762084</v>
      </c>
      <c r="AE14" s="80">
        <v>0.308614385762084</v>
      </c>
      <c r="AF14" s="80">
        <v>19.967107110891799</v>
      </c>
      <c r="AG14" s="80">
        <v>1.99671071108918</v>
      </c>
      <c r="AH14" s="85"/>
      <c r="AI14" s="80"/>
      <c r="AJ14" s="80"/>
      <c r="AK14" s="80"/>
      <c r="AL14" s="99"/>
      <c r="AM14" s="99"/>
      <c r="AN14" s="99"/>
    </row>
    <row r="15" spans="1:63">
      <c r="A15" s="78" t="s">
        <v>626</v>
      </c>
      <c r="B15" s="78" t="s">
        <v>627</v>
      </c>
      <c r="C15" s="78" t="s">
        <v>628</v>
      </c>
      <c r="D15" s="79">
        <v>41541</v>
      </c>
      <c r="E15" s="78" t="s">
        <v>629</v>
      </c>
      <c r="F15" s="78">
        <v>0.60750157991999998</v>
      </c>
      <c r="G15" s="78">
        <v>5.48780487804878</v>
      </c>
      <c r="H15" s="81">
        <v>21</v>
      </c>
      <c r="I15" s="80">
        <v>1</v>
      </c>
      <c r="J15" s="80">
        <v>0</v>
      </c>
      <c r="K15" s="80">
        <v>0</v>
      </c>
      <c r="L15" s="82">
        <v>4.4477003383180896E-6</v>
      </c>
      <c r="M15" s="82">
        <v>4.4477003383180903E-8</v>
      </c>
      <c r="N15" s="106">
        <v>2.5373849131212002E-7</v>
      </c>
      <c r="O15" s="84">
        <v>3.8060773696818E-9</v>
      </c>
      <c r="P15" s="99"/>
      <c r="Q15" s="99"/>
      <c r="R15" s="103"/>
      <c r="S15" s="103"/>
      <c r="T15" s="99"/>
      <c r="U15" s="84"/>
      <c r="V15" s="84"/>
      <c r="W15" s="84"/>
      <c r="X15" s="103">
        <v>0.58365456838212904</v>
      </c>
      <c r="Y15" s="103">
        <f t="shared" si="0"/>
        <v>5.8365456838212905E-2</v>
      </c>
      <c r="Z15" s="103">
        <v>16.401067505721102</v>
      </c>
      <c r="AA15" s="103">
        <f t="shared" si="1"/>
        <v>1.6401067505721103</v>
      </c>
      <c r="AB15" s="80">
        <v>0.18079081595203</v>
      </c>
      <c r="AC15" s="80">
        <v>1.8079081595203002E-2</v>
      </c>
      <c r="AD15" s="80">
        <v>3.0709621470881099</v>
      </c>
      <c r="AE15" s="80">
        <v>0.30709621470881099</v>
      </c>
      <c r="AF15" s="80">
        <v>20.007606112844801</v>
      </c>
      <c r="AG15" s="80">
        <v>2.00076061128448</v>
      </c>
      <c r="AH15" s="85"/>
      <c r="AI15" s="80"/>
      <c r="AJ15" s="80"/>
      <c r="AK15" s="80"/>
      <c r="AL15" s="99"/>
      <c r="AM15" s="99"/>
      <c r="AN15" s="99"/>
    </row>
    <row r="16" spans="1:63" ht="15.6">
      <c r="A16" s="80" t="s">
        <v>626</v>
      </c>
      <c r="B16" s="78" t="s">
        <v>627</v>
      </c>
      <c r="C16" s="80" t="s">
        <v>683</v>
      </c>
      <c r="D16" s="104">
        <v>41521</v>
      </c>
      <c r="E16" s="80" t="s">
        <v>684</v>
      </c>
      <c r="F16" s="80">
        <v>0.12044944512</v>
      </c>
      <c r="G16" s="80">
        <v>61.585365853658502</v>
      </c>
      <c r="H16" s="81">
        <v>18.9500007629</v>
      </c>
      <c r="I16" s="80">
        <v>1</v>
      </c>
      <c r="J16" s="80">
        <v>0</v>
      </c>
      <c r="K16" s="80">
        <v>0</v>
      </c>
      <c r="L16" s="82">
        <v>2.2100000000000001E-7</v>
      </c>
      <c r="M16" s="82">
        <v>4.0000000000000001E-10</v>
      </c>
      <c r="N16" s="80">
        <v>2.5629999999999999E-7</v>
      </c>
      <c r="O16" s="80">
        <v>2.8999999999999998E-10</v>
      </c>
      <c r="P16" s="99"/>
      <c r="Q16" s="99"/>
      <c r="R16" s="103"/>
      <c r="S16" s="103"/>
      <c r="T16" s="99"/>
      <c r="U16" s="82"/>
      <c r="V16" s="82"/>
      <c r="W16" s="82"/>
      <c r="X16" s="103">
        <v>0.70369649888100405</v>
      </c>
      <c r="Y16" s="103">
        <f t="shared" si="0"/>
        <v>7.0369649888100405E-2</v>
      </c>
      <c r="Z16" s="103">
        <v>20.3451143857685</v>
      </c>
      <c r="AA16" s="103">
        <f t="shared" si="1"/>
        <v>2.0345114385768501</v>
      </c>
      <c r="AB16" s="80">
        <v>0.262990775540555</v>
      </c>
      <c r="AC16" s="80">
        <v>2.62990775540555E-2</v>
      </c>
      <c r="AD16" s="80">
        <v>11.591294122828</v>
      </c>
      <c r="AE16" s="80">
        <v>1.1591294122828</v>
      </c>
      <c r="AF16" s="80"/>
      <c r="AG16" s="80"/>
      <c r="AH16" s="105"/>
      <c r="AI16" s="86"/>
      <c r="AJ16" s="86"/>
      <c r="AK16" s="86"/>
      <c r="AL16" s="99"/>
      <c r="AM16" s="99"/>
      <c r="AN16" s="99"/>
    </row>
    <row r="17" spans="1:40" ht="15.6">
      <c r="A17" s="80" t="s">
        <v>626</v>
      </c>
      <c r="B17" s="78" t="s">
        <v>627</v>
      </c>
      <c r="C17" s="80" t="s">
        <v>683</v>
      </c>
      <c r="D17" s="104">
        <v>41521</v>
      </c>
      <c r="E17" s="80" t="s">
        <v>686</v>
      </c>
      <c r="F17" s="80">
        <v>0.12044944512</v>
      </c>
      <c r="G17" s="80">
        <v>61.585365853658502</v>
      </c>
      <c r="H17" s="81">
        <v>18.9500007629</v>
      </c>
      <c r="I17" s="80">
        <v>1</v>
      </c>
      <c r="J17" s="80">
        <v>0</v>
      </c>
      <c r="K17" s="80">
        <v>0</v>
      </c>
      <c r="L17" s="82">
        <v>2.2100000000000001E-7</v>
      </c>
      <c r="M17" s="82">
        <v>4.0000000000000001E-10</v>
      </c>
      <c r="N17" s="80">
        <v>2.5629999999999999E-7</v>
      </c>
      <c r="O17" s="80">
        <v>2.8999999999999998E-10</v>
      </c>
      <c r="P17" s="99"/>
      <c r="Q17" s="99"/>
      <c r="R17" s="103"/>
      <c r="S17" s="103"/>
      <c r="T17" s="99"/>
      <c r="U17" s="82"/>
      <c r="V17" s="82"/>
      <c r="W17" s="82"/>
      <c r="X17" s="103">
        <v>0.70972263942342995</v>
      </c>
      <c r="Y17" s="103">
        <f t="shared" si="0"/>
        <v>7.0972263942343003E-2</v>
      </c>
      <c r="Z17" s="103">
        <v>20.510170722542</v>
      </c>
      <c r="AA17" s="103">
        <f t="shared" si="1"/>
        <v>2.0510170722542003</v>
      </c>
      <c r="AB17" s="80">
        <v>0.25902581498662702</v>
      </c>
      <c r="AC17" s="80">
        <v>2.5902581498662702E-2</v>
      </c>
      <c r="AD17" s="80">
        <v>11.143690281924201</v>
      </c>
      <c r="AE17" s="80">
        <v>1.1143690281924201</v>
      </c>
      <c r="AF17" s="80"/>
      <c r="AG17" s="80"/>
      <c r="AH17" s="105"/>
      <c r="AI17" s="86"/>
      <c r="AJ17" s="86"/>
      <c r="AK17" s="86"/>
      <c r="AL17" s="99"/>
      <c r="AM17" s="99"/>
      <c r="AN17" s="99"/>
    </row>
    <row r="18" spans="1:40">
      <c r="A18" s="78" t="s">
        <v>626</v>
      </c>
      <c r="B18" s="78" t="s">
        <v>627</v>
      </c>
      <c r="C18" s="78" t="s">
        <v>666</v>
      </c>
      <c r="D18" s="79">
        <v>41506</v>
      </c>
      <c r="E18" s="80" t="s">
        <v>667</v>
      </c>
      <c r="F18" s="78">
        <v>0.37143129450000001</v>
      </c>
      <c r="G18" s="78">
        <v>92.073170731707293</v>
      </c>
      <c r="H18" s="81">
        <v>20.090000152599998</v>
      </c>
      <c r="I18" s="80">
        <v>1</v>
      </c>
      <c r="J18" s="80">
        <v>0</v>
      </c>
      <c r="K18" s="80">
        <v>0</v>
      </c>
      <c r="L18" s="82"/>
      <c r="M18" s="82"/>
      <c r="N18" s="106"/>
      <c r="O18" s="84"/>
      <c r="P18" s="99"/>
      <c r="Q18" s="99"/>
      <c r="R18" s="103"/>
      <c r="S18" s="103"/>
      <c r="T18" s="99"/>
      <c r="U18" s="84"/>
      <c r="V18" s="84"/>
      <c r="W18" s="84"/>
      <c r="X18" s="103">
        <v>0.63432553069565001</v>
      </c>
      <c r="Y18" s="103">
        <f t="shared" si="0"/>
        <v>6.3432553069565009E-2</v>
      </c>
      <c r="Z18" s="103">
        <v>18.326753672812099</v>
      </c>
      <c r="AA18" s="103">
        <f t="shared" si="1"/>
        <v>1.8326753672812099</v>
      </c>
      <c r="AB18" s="80">
        <v>0.23967773892000799</v>
      </c>
      <c r="AC18" s="80">
        <v>2.3967773892000801E-2</v>
      </c>
      <c r="AD18" s="80">
        <v>30.555954762211801</v>
      </c>
      <c r="AE18" s="80">
        <v>3.0555954762211801</v>
      </c>
      <c r="AF18" s="80"/>
      <c r="AG18" s="80"/>
      <c r="AH18" s="85"/>
      <c r="AI18" s="80"/>
      <c r="AJ18" s="80"/>
      <c r="AK18" s="80"/>
      <c r="AL18" s="99"/>
      <c r="AM18" s="99"/>
      <c r="AN18" s="99"/>
    </row>
    <row r="19" spans="1:40">
      <c r="A19" s="80" t="s">
        <v>626</v>
      </c>
      <c r="B19" s="78" t="s">
        <v>627</v>
      </c>
      <c r="C19" s="80" t="s">
        <v>666</v>
      </c>
      <c r="D19" s="104">
        <v>41506</v>
      </c>
      <c r="E19" s="80" t="s">
        <v>670</v>
      </c>
      <c r="F19" s="80">
        <v>0.37143129450000001</v>
      </c>
      <c r="G19" s="80">
        <v>92.073170731707293</v>
      </c>
      <c r="H19" s="81">
        <v>20.090000152599998</v>
      </c>
      <c r="I19" s="80">
        <v>1</v>
      </c>
      <c r="J19" s="80">
        <v>0</v>
      </c>
      <c r="K19" s="80">
        <v>0</v>
      </c>
      <c r="L19" s="82"/>
      <c r="M19" s="82"/>
      <c r="N19" s="82"/>
      <c r="O19" s="82"/>
      <c r="P19" s="99"/>
      <c r="Q19" s="99"/>
      <c r="R19" s="103"/>
      <c r="S19" s="103"/>
      <c r="T19" s="99"/>
      <c r="U19" s="82"/>
      <c r="V19" s="82"/>
      <c r="W19" s="82"/>
      <c r="X19" s="103">
        <v>0.63800339267051098</v>
      </c>
      <c r="Y19" s="103">
        <f t="shared" si="0"/>
        <v>6.3800339267051101E-2</v>
      </c>
      <c r="Z19" s="103">
        <v>18.424854836301702</v>
      </c>
      <c r="AA19" s="103">
        <f t="shared" si="1"/>
        <v>1.8424854836301703</v>
      </c>
      <c r="AB19" s="80">
        <v>0.24109759478874701</v>
      </c>
      <c r="AC19" s="80">
        <v>2.4109759478874702E-2</v>
      </c>
      <c r="AD19" s="80">
        <v>30.6782180131869</v>
      </c>
      <c r="AE19" s="80">
        <v>3.06782180131869</v>
      </c>
      <c r="AF19" s="80"/>
      <c r="AG19" s="80"/>
      <c r="AH19" s="85"/>
      <c r="AI19" s="80"/>
      <c r="AJ19" s="80"/>
      <c r="AK19" s="80"/>
      <c r="AL19" s="99"/>
      <c r="AM19" s="99"/>
      <c r="AN19" s="99"/>
    </row>
    <row r="20" spans="1:40">
      <c r="A20" s="80" t="s">
        <v>626</v>
      </c>
      <c r="B20" s="78" t="s">
        <v>627</v>
      </c>
      <c r="C20" s="80" t="s">
        <v>672</v>
      </c>
      <c r="D20" s="104">
        <v>41507</v>
      </c>
      <c r="E20" s="80" t="s">
        <v>676</v>
      </c>
      <c r="F20" s="80">
        <v>0.31770079722</v>
      </c>
      <c r="G20" s="80">
        <v>50.304878048780402</v>
      </c>
      <c r="H20" s="81">
        <v>19.7000007629</v>
      </c>
      <c r="I20" s="80">
        <v>1</v>
      </c>
      <c r="J20" s="80">
        <v>0</v>
      </c>
      <c r="K20" s="80">
        <v>0</v>
      </c>
      <c r="L20" s="82"/>
      <c r="M20" s="82"/>
      <c r="N20" s="82"/>
      <c r="O20" s="82"/>
      <c r="P20" s="99"/>
      <c r="Q20" s="99"/>
      <c r="R20" s="103"/>
      <c r="S20" s="103"/>
      <c r="T20" s="99"/>
      <c r="U20" s="82"/>
      <c r="V20" s="82"/>
      <c r="W20" s="82"/>
      <c r="X20" s="103">
        <v>0.66566695574964596</v>
      </c>
      <c r="Y20" s="103">
        <f t="shared" si="0"/>
        <v>6.6566695574964599E-2</v>
      </c>
      <c r="Z20" s="103">
        <v>18.852789007330699</v>
      </c>
      <c r="AA20" s="103">
        <f t="shared" si="1"/>
        <v>1.8852789007330699</v>
      </c>
      <c r="AB20" s="80">
        <v>0.25453580689320998</v>
      </c>
      <c r="AC20" s="80">
        <v>2.5453580689321E-2</v>
      </c>
      <c r="AD20" s="80">
        <v>8.4441906470059305</v>
      </c>
      <c r="AE20" s="80">
        <v>0.84441906470059314</v>
      </c>
      <c r="AF20" s="80"/>
      <c r="AG20" s="80"/>
      <c r="AH20" s="85"/>
      <c r="AI20" s="80"/>
      <c r="AJ20" s="80"/>
      <c r="AK20" s="80"/>
      <c r="AL20" s="99"/>
      <c r="AM20" s="99"/>
      <c r="AN20" s="99"/>
    </row>
    <row r="21" spans="1:40">
      <c r="A21" s="80" t="s">
        <v>626</v>
      </c>
      <c r="B21" s="78" t="s">
        <v>627</v>
      </c>
      <c r="C21" s="80" t="s">
        <v>672</v>
      </c>
      <c r="D21" s="104">
        <v>41507</v>
      </c>
      <c r="E21" s="80" t="s">
        <v>673</v>
      </c>
      <c r="F21" s="80">
        <v>0.31770079722</v>
      </c>
      <c r="G21" s="80">
        <v>50.304878048780402</v>
      </c>
      <c r="H21" s="81">
        <v>19.7000007629</v>
      </c>
      <c r="I21" s="80">
        <v>1</v>
      </c>
      <c r="J21" s="80">
        <v>0</v>
      </c>
      <c r="K21" s="80">
        <v>0</v>
      </c>
      <c r="L21" s="82"/>
      <c r="M21" s="82"/>
      <c r="N21" s="82"/>
      <c r="O21" s="82"/>
      <c r="P21" s="99"/>
      <c r="Q21" s="99"/>
      <c r="R21" s="103"/>
      <c r="S21" s="103"/>
      <c r="T21" s="99"/>
      <c r="U21" s="82"/>
      <c r="V21" s="82"/>
      <c r="W21" s="82"/>
      <c r="X21" s="103">
        <v>0.66986595230105905</v>
      </c>
      <c r="Y21" s="103">
        <f t="shared" si="0"/>
        <v>6.6986595230105903E-2</v>
      </c>
      <c r="Z21" s="103">
        <v>18.954196028004802</v>
      </c>
      <c r="AA21" s="103">
        <f t="shared" si="1"/>
        <v>1.8954196028004802</v>
      </c>
      <c r="AB21" s="80">
        <v>0.23815506878568601</v>
      </c>
      <c r="AC21" s="80">
        <v>2.3815506878568603E-2</v>
      </c>
      <c r="AD21" s="80">
        <v>8.4699874820986008</v>
      </c>
      <c r="AE21" s="80">
        <v>0.8469987482098601</v>
      </c>
      <c r="AF21" s="80"/>
      <c r="AG21" s="80"/>
      <c r="AH21" s="85"/>
      <c r="AI21" s="80"/>
      <c r="AJ21" s="80"/>
      <c r="AK21" s="80"/>
      <c r="AL21" s="99"/>
      <c r="AM21" s="99"/>
      <c r="AN21" s="99"/>
    </row>
    <row r="22" spans="1:40">
      <c r="A22" s="78" t="s">
        <v>626</v>
      </c>
      <c r="B22" s="78" t="s">
        <v>627</v>
      </c>
      <c r="C22" s="78" t="s">
        <v>642</v>
      </c>
      <c r="D22" s="79">
        <v>41493</v>
      </c>
      <c r="E22" s="78" t="s">
        <v>647</v>
      </c>
      <c r="F22" s="78">
        <v>0.27351300200000001</v>
      </c>
      <c r="G22" s="78">
        <v>32.317073170731703</v>
      </c>
      <c r="H22" s="81">
        <v>20.790000915499999</v>
      </c>
      <c r="I22" s="80">
        <v>1</v>
      </c>
      <c r="J22" s="80">
        <v>0</v>
      </c>
      <c r="K22" s="80">
        <v>0</v>
      </c>
      <c r="L22" s="82"/>
      <c r="M22" s="82"/>
      <c r="N22" s="106"/>
      <c r="O22" s="84"/>
      <c r="P22" s="99"/>
      <c r="Q22" s="99"/>
      <c r="R22" s="103"/>
      <c r="S22" s="103"/>
      <c r="T22" s="99"/>
      <c r="U22" s="84"/>
      <c r="V22" s="84"/>
      <c r="W22" s="84"/>
      <c r="X22" s="103">
        <v>0.69146452140950798</v>
      </c>
      <c r="Y22" s="103">
        <f t="shared" si="0"/>
        <v>6.9146452140950804E-2</v>
      </c>
      <c r="Z22" s="103">
        <v>20.144663031395901</v>
      </c>
      <c r="AA22" s="103">
        <f t="shared" si="1"/>
        <v>2.01446630313959</v>
      </c>
      <c r="AB22" s="80">
        <v>0.30111405763078403</v>
      </c>
      <c r="AC22" s="80">
        <v>3.0111405763078403E-2</v>
      </c>
      <c r="AD22" s="80">
        <v>4.9223638266329797</v>
      </c>
      <c r="AE22" s="80">
        <v>0.492236382663298</v>
      </c>
      <c r="AF22" s="80"/>
      <c r="AG22" s="80"/>
      <c r="AH22" s="85"/>
      <c r="AI22" s="80"/>
      <c r="AJ22" s="80"/>
      <c r="AK22" s="80"/>
      <c r="AL22" s="99"/>
      <c r="AM22" s="99"/>
      <c r="AN22" s="99"/>
    </row>
    <row r="23" spans="1:40">
      <c r="A23" s="78" t="s">
        <v>626</v>
      </c>
      <c r="B23" s="78" t="s">
        <v>627</v>
      </c>
      <c r="C23" s="78" t="s">
        <v>642</v>
      </c>
      <c r="D23" s="79">
        <v>41493</v>
      </c>
      <c r="E23" s="78" t="s">
        <v>643</v>
      </c>
      <c r="F23" s="78">
        <v>0.27351300200000001</v>
      </c>
      <c r="G23" s="78">
        <v>32.317073170731703</v>
      </c>
      <c r="H23" s="81">
        <v>20.790000915499999</v>
      </c>
      <c r="I23" s="80">
        <v>1</v>
      </c>
      <c r="J23" s="80">
        <v>0</v>
      </c>
      <c r="K23" s="80">
        <v>0</v>
      </c>
      <c r="L23" s="82"/>
      <c r="M23" s="82"/>
      <c r="N23" s="106"/>
      <c r="O23" s="84"/>
      <c r="P23" s="99"/>
      <c r="Q23" s="99"/>
      <c r="R23" s="103"/>
      <c r="S23" s="103"/>
      <c r="T23" s="99"/>
      <c r="U23" s="84"/>
      <c r="V23" s="84"/>
      <c r="W23" s="84"/>
      <c r="X23" s="103">
        <v>0.69179577183219998</v>
      </c>
      <c r="Y23" s="103">
        <f t="shared" si="0"/>
        <v>6.9179577183220001E-2</v>
      </c>
      <c r="Z23" s="103">
        <v>20.2103243014305</v>
      </c>
      <c r="AA23" s="103">
        <f t="shared" si="1"/>
        <v>2.02103243014305</v>
      </c>
      <c r="AB23" s="80">
        <v>0.264204248523283</v>
      </c>
      <c r="AC23" s="80">
        <v>2.6420424852328303E-2</v>
      </c>
      <c r="AD23" s="80">
        <v>4.7976683685938299</v>
      </c>
      <c r="AE23" s="80">
        <v>0.47976683685938304</v>
      </c>
      <c r="AF23" s="80"/>
      <c r="AG23" s="80"/>
      <c r="AH23" s="85"/>
      <c r="AI23" s="80"/>
      <c r="AJ23" s="80"/>
      <c r="AK23" s="80"/>
      <c r="AL23" s="99"/>
      <c r="AM23" s="99"/>
      <c r="AN23" s="99"/>
    </row>
    <row r="24" spans="1:40">
      <c r="A24" s="78" t="s">
        <v>626</v>
      </c>
      <c r="B24" s="78" t="s">
        <v>688</v>
      </c>
      <c r="C24" s="78" t="s">
        <v>703</v>
      </c>
      <c r="D24" s="79">
        <v>41534</v>
      </c>
      <c r="E24" s="78" t="s">
        <v>706</v>
      </c>
      <c r="F24" s="78">
        <v>1.0399921783199999</v>
      </c>
      <c r="G24" s="78">
        <v>247.56097560975601</v>
      </c>
      <c r="H24" s="81">
        <v>22.239999771099999</v>
      </c>
      <c r="I24" s="80">
        <v>1</v>
      </c>
      <c r="J24" s="80">
        <v>0</v>
      </c>
      <c r="K24" s="80">
        <v>0</v>
      </c>
      <c r="L24" s="82">
        <v>1.8760000000000001E-7</v>
      </c>
      <c r="M24" s="82">
        <v>1E-10</v>
      </c>
      <c r="N24" s="102">
        <v>1.9850000000000001E-7</v>
      </c>
      <c r="O24" s="78">
        <v>4.6000000000000001E-10</v>
      </c>
      <c r="P24" s="102"/>
      <c r="Q24" s="99"/>
      <c r="R24" s="103"/>
      <c r="S24" s="103"/>
      <c r="T24" s="99"/>
      <c r="U24" s="84"/>
      <c r="V24" s="84"/>
      <c r="W24" s="84"/>
      <c r="X24" s="103">
        <v>0.70941376332466299</v>
      </c>
      <c r="Y24" s="103">
        <f t="shared" si="0"/>
        <v>7.0941376332466305E-2</v>
      </c>
      <c r="Z24" s="103">
        <v>27.609558943478799</v>
      </c>
      <c r="AA24" s="103">
        <f t="shared" si="1"/>
        <v>2.7609558943478802</v>
      </c>
      <c r="AB24" s="80">
        <v>3.2087218443571901</v>
      </c>
      <c r="AC24" s="80">
        <v>0.32087218443571902</v>
      </c>
      <c r="AD24" s="80">
        <v>2.49672009973728</v>
      </c>
      <c r="AE24" s="80">
        <v>0.24967200997372802</v>
      </c>
      <c r="AF24" s="80"/>
      <c r="AG24" s="80"/>
      <c r="AH24" s="80"/>
      <c r="AI24" s="80"/>
      <c r="AJ24" s="80"/>
      <c r="AK24" s="85"/>
      <c r="AL24" s="99"/>
      <c r="AM24" s="99"/>
      <c r="AN24" s="99"/>
    </row>
    <row r="25" spans="1:40">
      <c r="A25" s="78" t="s">
        <v>626</v>
      </c>
      <c r="B25" s="78" t="s">
        <v>688</v>
      </c>
      <c r="C25" s="78" t="s">
        <v>703</v>
      </c>
      <c r="D25" s="79">
        <v>41534</v>
      </c>
      <c r="E25" s="78" t="s">
        <v>704</v>
      </c>
      <c r="F25" s="78">
        <v>1.0399921783199999</v>
      </c>
      <c r="G25" s="78">
        <v>247.56097560975601</v>
      </c>
      <c r="H25" s="81">
        <v>22.239999771099999</v>
      </c>
      <c r="I25" s="80">
        <v>1</v>
      </c>
      <c r="J25" s="80">
        <v>0</v>
      </c>
      <c r="K25" s="80">
        <v>0</v>
      </c>
      <c r="L25" s="82">
        <v>1.8760000000000001E-7</v>
      </c>
      <c r="M25" s="82">
        <v>1E-10</v>
      </c>
      <c r="N25" s="102">
        <v>1.9850000000000001E-7</v>
      </c>
      <c r="O25" s="78">
        <v>4.6000000000000001E-10</v>
      </c>
      <c r="P25" s="99"/>
      <c r="Q25" s="99"/>
      <c r="R25" s="103"/>
      <c r="S25" s="103"/>
      <c r="T25" s="99"/>
      <c r="U25" s="84"/>
      <c r="V25" s="84"/>
      <c r="W25" s="84"/>
      <c r="X25" s="103">
        <v>0.72235373156385896</v>
      </c>
      <c r="Y25" s="103">
        <f t="shared" si="0"/>
        <v>7.2235373156385896E-2</v>
      </c>
      <c r="Z25" s="103">
        <v>28.2907531632376</v>
      </c>
      <c r="AA25" s="103">
        <f t="shared" si="1"/>
        <v>2.8290753163237601</v>
      </c>
      <c r="AB25" s="80">
        <v>4.2474214189931097</v>
      </c>
      <c r="AC25" s="80">
        <v>0.42474214189931098</v>
      </c>
      <c r="AD25" s="80">
        <v>2.2726767235877499</v>
      </c>
      <c r="AE25" s="80">
        <v>0.22726767235877499</v>
      </c>
      <c r="AF25" s="80"/>
      <c r="AG25" s="80"/>
      <c r="AH25" s="80"/>
      <c r="AI25" s="80"/>
      <c r="AJ25" s="80"/>
      <c r="AK25" s="85"/>
      <c r="AL25" s="99"/>
      <c r="AM25" s="99"/>
      <c r="AN25" s="99"/>
    </row>
    <row r="26" spans="1:40">
      <c r="A26" s="78" t="s">
        <v>626</v>
      </c>
      <c r="B26" s="78" t="s">
        <v>688</v>
      </c>
      <c r="C26" s="78" t="s">
        <v>708</v>
      </c>
      <c r="D26" s="79">
        <v>41533</v>
      </c>
      <c r="E26" s="78" t="s">
        <v>711</v>
      </c>
      <c r="F26" s="78">
        <v>0.81669164327999999</v>
      </c>
      <c r="G26" s="78">
        <v>98.780487804878007</v>
      </c>
      <c r="H26" s="81">
        <v>22.399999618500001</v>
      </c>
      <c r="I26" s="80">
        <v>1</v>
      </c>
      <c r="J26" s="80">
        <v>0</v>
      </c>
      <c r="K26" s="80">
        <v>0</v>
      </c>
      <c r="L26" s="82">
        <v>8.1760000000000002E-7</v>
      </c>
      <c r="M26" s="82">
        <v>1.3999999999999999E-9</v>
      </c>
      <c r="N26" s="102">
        <v>2.096E-7</v>
      </c>
      <c r="O26" s="78">
        <v>5.0000000000000003E-10</v>
      </c>
      <c r="P26" s="99"/>
      <c r="Q26" s="99"/>
      <c r="R26" s="103"/>
      <c r="S26" s="103"/>
      <c r="T26" s="99"/>
      <c r="U26" s="84"/>
      <c r="V26" s="84"/>
      <c r="W26" s="84"/>
      <c r="X26" s="103">
        <v>0.60725793580764298</v>
      </c>
      <c r="Y26" s="103">
        <f t="shared" si="0"/>
        <v>6.0725793580764298E-2</v>
      </c>
      <c r="Z26" s="103">
        <v>18.699523701362899</v>
      </c>
      <c r="AA26" s="103">
        <f t="shared" si="1"/>
        <v>1.8699523701362901</v>
      </c>
      <c r="AB26" s="80">
        <v>1.2283152610010799</v>
      </c>
      <c r="AC26" s="80">
        <v>0.122831526100108</v>
      </c>
      <c r="AD26" s="80">
        <v>13.8782576140388</v>
      </c>
      <c r="AE26" s="80">
        <v>1.38782576140388</v>
      </c>
      <c r="AF26" s="80"/>
      <c r="AG26" s="80"/>
      <c r="AH26" s="80"/>
      <c r="AI26" s="80"/>
      <c r="AJ26" s="80"/>
      <c r="AK26" s="85"/>
      <c r="AL26" s="99"/>
      <c r="AM26" s="99"/>
      <c r="AN26" s="99"/>
    </row>
    <row r="27" spans="1:40">
      <c r="A27" s="78" t="s">
        <v>626</v>
      </c>
      <c r="B27" s="78" t="s">
        <v>688</v>
      </c>
      <c r="C27" s="78" t="s">
        <v>708</v>
      </c>
      <c r="D27" s="79">
        <v>41533</v>
      </c>
      <c r="E27" s="78" t="s">
        <v>709</v>
      </c>
      <c r="F27" s="78">
        <v>0.81669164327999999</v>
      </c>
      <c r="G27" s="78">
        <v>98.780487804878007</v>
      </c>
      <c r="H27" s="81">
        <v>22.399999618500001</v>
      </c>
      <c r="I27" s="80">
        <v>1</v>
      </c>
      <c r="J27" s="80">
        <v>0</v>
      </c>
      <c r="K27" s="80">
        <v>0</v>
      </c>
      <c r="L27" s="82">
        <v>8.1760000000000002E-7</v>
      </c>
      <c r="M27" s="82">
        <v>1.3999999999999999E-9</v>
      </c>
      <c r="N27" s="102">
        <v>2.096E-7</v>
      </c>
      <c r="O27" s="78">
        <v>5.0000000000000003E-10</v>
      </c>
      <c r="P27" s="99"/>
      <c r="Q27" s="99"/>
      <c r="R27" s="103"/>
      <c r="S27" s="103"/>
      <c r="T27" s="99"/>
      <c r="U27" s="84"/>
      <c r="V27" s="84"/>
      <c r="W27" s="84"/>
      <c r="X27" s="103">
        <v>0.61073160184211905</v>
      </c>
      <c r="Y27" s="103">
        <f t="shared" si="0"/>
        <v>6.1073160184211911E-2</v>
      </c>
      <c r="Z27" s="103">
        <v>18.932595906619401</v>
      </c>
      <c r="AA27" s="103">
        <f t="shared" si="1"/>
        <v>1.8932595906619403</v>
      </c>
      <c r="AB27" s="80">
        <v>2.4139409910459202</v>
      </c>
      <c r="AC27" s="80">
        <v>0.24139409910459203</v>
      </c>
      <c r="AD27" s="80">
        <v>11.8345720135916</v>
      </c>
      <c r="AE27" s="80">
        <v>1.18345720135916</v>
      </c>
      <c r="AF27" s="80"/>
      <c r="AG27" s="80"/>
      <c r="AH27" s="80"/>
      <c r="AI27" s="80"/>
      <c r="AJ27" s="80"/>
      <c r="AK27" s="85"/>
      <c r="AL27" s="99"/>
      <c r="AM27" s="99"/>
      <c r="AN27" s="99"/>
    </row>
    <row r="28" spans="1:40">
      <c r="A28" s="78" t="s">
        <v>626</v>
      </c>
      <c r="B28" s="78" t="s">
        <v>688</v>
      </c>
      <c r="C28" s="78" t="s">
        <v>723</v>
      </c>
      <c r="D28" s="79">
        <v>41512</v>
      </c>
      <c r="E28" s="78" t="s">
        <v>726</v>
      </c>
      <c r="F28" s="78">
        <v>0.56876166378000004</v>
      </c>
      <c r="G28" s="78">
        <v>81.707317073170699</v>
      </c>
      <c r="H28" s="81">
        <v>20.790000915499999</v>
      </c>
      <c r="I28" s="80">
        <v>1</v>
      </c>
      <c r="J28" s="80">
        <v>0</v>
      </c>
      <c r="K28" s="80">
        <v>0</v>
      </c>
      <c r="L28" s="82"/>
      <c r="M28" s="82"/>
      <c r="N28" s="106"/>
      <c r="O28" s="84"/>
      <c r="P28" s="99"/>
      <c r="Q28" s="99"/>
      <c r="R28" s="103"/>
      <c r="S28" s="103"/>
      <c r="T28" s="99"/>
      <c r="U28" s="84"/>
      <c r="V28" s="84"/>
      <c r="W28" s="84"/>
      <c r="X28" s="103">
        <v>0.65957724716200905</v>
      </c>
      <c r="Y28" s="103">
        <f t="shared" si="0"/>
        <v>6.5957724716200913E-2</v>
      </c>
      <c r="Z28" s="103">
        <v>20.5090041825271</v>
      </c>
      <c r="AA28" s="103">
        <f t="shared" si="1"/>
        <v>2.0509004182527102</v>
      </c>
      <c r="AB28" s="80">
        <v>0.84531897019191105</v>
      </c>
      <c r="AC28" s="80">
        <v>8.4531897019191116E-2</v>
      </c>
      <c r="AD28" s="80">
        <v>31.450660788508099</v>
      </c>
      <c r="AE28" s="80">
        <v>3.1450660788508102</v>
      </c>
      <c r="AF28" s="80"/>
      <c r="AG28" s="80"/>
      <c r="AH28" s="85"/>
      <c r="AI28" s="80"/>
      <c r="AJ28" s="80"/>
      <c r="AK28" s="80"/>
      <c r="AL28" s="99"/>
      <c r="AM28" s="99"/>
      <c r="AN28" s="99"/>
    </row>
    <row r="29" spans="1:40">
      <c r="A29" s="78" t="s">
        <v>626</v>
      </c>
      <c r="B29" s="78" t="s">
        <v>688</v>
      </c>
      <c r="C29" s="78" t="s">
        <v>689</v>
      </c>
      <c r="D29" s="79">
        <v>41527</v>
      </c>
      <c r="E29" s="78" t="s">
        <v>690</v>
      </c>
      <c r="F29" s="78">
        <v>1.04112156672</v>
      </c>
      <c r="G29" s="78">
        <v>10.670731707317</v>
      </c>
      <c r="H29" s="81">
        <v>22.4300003052</v>
      </c>
      <c r="I29" s="80">
        <v>1</v>
      </c>
      <c r="J29" s="80">
        <v>0</v>
      </c>
      <c r="K29" s="80">
        <v>0</v>
      </c>
      <c r="L29" s="82">
        <v>8.3900000000000004E-7</v>
      </c>
      <c r="M29" s="82">
        <v>1.6000000000000001E-9</v>
      </c>
      <c r="N29" s="102">
        <v>1.8610000000000001E-7</v>
      </c>
      <c r="O29" s="78">
        <v>4.3999999999999998E-10</v>
      </c>
      <c r="P29" s="99"/>
      <c r="Q29" s="99"/>
      <c r="R29" s="103"/>
      <c r="S29" s="103"/>
      <c r="T29" s="99"/>
      <c r="U29" s="84"/>
      <c r="V29" s="84"/>
      <c r="W29" s="84"/>
      <c r="X29" s="103">
        <v>0.59213936518923105</v>
      </c>
      <c r="Y29" s="103">
        <f t="shared" si="0"/>
        <v>5.9213936518923108E-2</v>
      </c>
      <c r="Z29" s="103">
        <v>21.094516715225801</v>
      </c>
      <c r="AA29" s="103">
        <f t="shared" si="1"/>
        <v>2.1094516715225802</v>
      </c>
      <c r="AB29" s="80">
        <v>0.22524041093274999</v>
      </c>
      <c r="AC29" s="80">
        <v>2.2524041093275E-2</v>
      </c>
      <c r="AD29" s="80">
        <v>4.7883658219171297</v>
      </c>
      <c r="AE29" s="80">
        <v>0.47883658219171299</v>
      </c>
      <c r="AF29" s="80"/>
      <c r="AG29" s="80"/>
      <c r="AH29" s="85"/>
      <c r="AI29" s="80"/>
      <c r="AJ29" s="80"/>
      <c r="AK29" s="80"/>
      <c r="AL29" s="99"/>
      <c r="AM29" s="99"/>
      <c r="AN29" s="99"/>
    </row>
    <row r="30" spans="1:40">
      <c r="A30" s="78" t="s">
        <v>626</v>
      </c>
      <c r="B30" s="78" t="s">
        <v>688</v>
      </c>
      <c r="C30" s="78" t="s">
        <v>689</v>
      </c>
      <c r="D30" s="79">
        <v>41527</v>
      </c>
      <c r="E30" s="78" t="s">
        <v>692</v>
      </c>
      <c r="F30" s="78">
        <v>1.04112156672</v>
      </c>
      <c r="G30" s="78">
        <v>10.670731707317</v>
      </c>
      <c r="H30" s="81">
        <v>22.4300003052</v>
      </c>
      <c r="I30" s="80">
        <v>1</v>
      </c>
      <c r="J30" s="80">
        <v>0</v>
      </c>
      <c r="K30" s="80">
        <v>0</v>
      </c>
      <c r="L30" s="82">
        <v>8.3900000000000004E-7</v>
      </c>
      <c r="M30" s="82">
        <v>1.6000000000000001E-9</v>
      </c>
      <c r="N30" s="102">
        <v>1.8610000000000001E-7</v>
      </c>
      <c r="O30" s="78">
        <v>4.3999999999999998E-10</v>
      </c>
      <c r="P30" s="99"/>
      <c r="Q30" s="99"/>
      <c r="R30" s="103"/>
      <c r="S30" s="103"/>
      <c r="T30" s="99"/>
      <c r="U30" s="84"/>
      <c r="V30" s="84"/>
      <c r="W30" s="84"/>
      <c r="X30" s="103">
        <v>0.59608402808070504</v>
      </c>
      <c r="Y30" s="103">
        <f t="shared" si="0"/>
        <v>5.9608402808070504E-2</v>
      </c>
      <c r="Z30" s="103">
        <v>21.237262731869301</v>
      </c>
      <c r="AA30" s="103">
        <f t="shared" si="1"/>
        <v>2.12372627318693</v>
      </c>
      <c r="AB30" s="80">
        <v>0.21731980244643501</v>
      </c>
      <c r="AC30" s="80">
        <v>2.1731980244643501E-2</v>
      </c>
      <c r="AD30" s="80">
        <v>4.8563281214912699</v>
      </c>
      <c r="AE30" s="80">
        <v>0.48563281214912701</v>
      </c>
      <c r="AF30" s="80"/>
      <c r="AG30" s="80"/>
      <c r="AH30" s="85"/>
      <c r="AI30" s="80"/>
      <c r="AJ30" s="80"/>
      <c r="AK30" s="80"/>
      <c r="AL30" s="99"/>
      <c r="AM30" s="99"/>
      <c r="AN30" s="99"/>
    </row>
    <row r="31" spans="1:40">
      <c r="A31" s="78" t="s">
        <v>626</v>
      </c>
      <c r="B31" s="78" t="s">
        <v>688</v>
      </c>
      <c r="C31" s="78" t="s">
        <v>698</v>
      </c>
      <c r="D31" s="79">
        <v>41535</v>
      </c>
      <c r="E31" s="78" t="s">
        <v>701</v>
      </c>
      <c r="F31" s="78">
        <v>1.25373368448</v>
      </c>
      <c r="G31" s="78">
        <v>168.292682926829</v>
      </c>
      <c r="H31" s="81">
        <v>22.4300003052</v>
      </c>
      <c r="I31" s="80">
        <v>1</v>
      </c>
      <c r="J31" s="80">
        <v>0</v>
      </c>
      <c r="K31" s="80">
        <v>0</v>
      </c>
      <c r="L31" s="82">
        <v>4.3878127256654503E-6</v>
      </c>
      <c r="M31" s="82">
        <v>4.3878127256654499E-8</v>
      </c>
      <c r="N31" s="106">
        <v>2.3972945070369301E-7</v>
      </c>
      <c r="O31" s="84">
        <v>3.59594176055539E-9</v>
      </c>
      <c r="P31" s="99"/>
      <c r="Q31" s="99"/>
      <c r="R31" s="103"/>
      <c r="S31" s="103"/>
      <c r="T31" s="99"/>
      <c r="U31" s="84"/>
      <c r="V31" s="84"/>
      <c r="W31" s="84"/>
      <c r="X31" s="103">
        <v>0.53517594338781205</v>
      </c>
      <c r="Y31" s="103">
        <f t="shared" si="0"/>
        <v>5.3517594338781206E-2</v>
      </c>
      <c r="Z31" s="103">
        <v>23.827682017208399</v>
      </c>
      <c r="AA31" s="103">
        <f t="shared" si="1"/>
        <v>2.38276820172084</v>
      </c>
      <c r="AB31" s="80">
        <v>0.19788963100798301</v>
      </c>
      <c r="AC31" s="80">
        <v>1.9788963100798303E-2</v>
      </c>
      <c r="AD31" s="80">
        <v>2.3769034449321</v>
      </c>
      <c r="AE31" s="80">
        <v>0.23769034449321003</v>
      </c>
      <c r="AF31" s="80">
        <v>5.2191203385142E-3</v>
      </c>
      <c r="AG31" s="80">
        <v>5.2191203385142007E-4</v>
      </c>
      <c r="AH31" s="80"/>
      <c r="AI31" s="80"/>
      <c r="AJ31" s="80"/>
      <c r="AK31" s="85"/>
      <c r="AL31" s="99"/>
      <c r="AM31" s="99"/>
      <c r="AN31" s="99"/>
    </row>
    <row r="32" spans="1:40">
      <c r="A32" s="78" t="s">
        <v>626</v>
      </c>
      <c r="B32" s="78" t="s">
        <v>688</v>
      </c>
      <c r="C32" s="78" t="s">
        <v>698</v>
      </c>
      <c r="D32" s="79">
        <v>41535</v>
      </c>
      <c r="E32" s="78" t="s">
        <v>699</v>
      </c>
      <c r="F32" s="78">
        <v>1.25373368448</v>
      </c>
      <c r="G32" s="78">
        <v>168.292682926829</v>
      </c>
      <c r="H32" s="81">
        <v>22.4300003052</v>
      </c>
      <c r="I32" s="80">
        <v>1</v>
      </c>
      <c r="J32" s="80">
        <v>0</v>
      </c>
      <c r="K32" s="80">
        <v>0</v>
      </c>
      <c r="L32" s="82">
        <v>4.3878127256654503E-6</v>
      </c>
      <c r="M32" s="82">
        <v>4.3878127256654499E-8</v>
      </c>
      <c r="N32" s="106">
        <v>2.3972945070369301E-7</v>
      </c>
      <c r="O32" s="84">
        <v>3.59594176055539E-9</v>
      </c>
      <c r="P32" s="99"/>
      <c r="Q32" s="99"/>
      <c r="R32" s="103"/>
      <c r="S32" s="103"/>
      <c r="T32" s="99"/>
      <c r="U32" s="84"/>
      <c r="V32" s="84"/>
      <c r="W32" s="84"/>
      <c r="X32" s="103">
        <v>0.54389519053902802</v>
      </c>
      <c r="Y32" s="103">
        <f t="shared" si="0"/>
        <v>5.4389519053902803E-2</v>
      </c>
      <c r="Z32" s="103">
        <v>24.424634718474401</v>
      </c>
      <c r="AA32" s="103">
        <f t="shared" si="1"/>
        <v>2.4424634718474403</v>
      </c>
      <c r="AB32" s="80">
        <v>0.18544833854037601</v>
      </c>
      <c r="AC32" s="80">
        <v>1.8544833854037601E-2</v>
      </c>
      <c r="AD32" s="80">
        <v>2.48593849787044</v>
      </c>
      <c r="AE32" s="80">
        <v>0.24859384978704402</v>
      </c>
      <c r="AF32" s="80">
        <v>5.6204400905179403E-3</v>
      </c>
      <c r="AG32" s="80">
        <v>5.6204400905179408E-4</v>
      </c>
      <c r="AH32" s="80"/>
      <c r="AI32" s="80"/>
      <c r="AJ32" s="80"/>
      <c r="AK32" s="85"/>
      <c r="AL32" s="99"/>
      <c r="AM32" s="99"/>
      <c r="AN32" s="99"/>
    </row>
    <row r="33" spans="1:40">
      <c r="A33" s="78" t="s">
        <v>626</v>
      </c>
      <c r="B33" s="78" t="s">
        <v>688</v>
      </c>
      <c r="C33" s="78" t="s">
        <v>713</v>
      </c>
      <c r="D33" s="79">
        <v>41514</v>
      </c>
      <c r="E33" s="78" t="s">
        <v>716</v>
      </c>
      <c r="F33" s="78">
        <v>2.1379409745000002</v>
      </c>
      <c r="G33" s="78">
        <v>1.82926829268292</v>
      </c>
      <c r="H33" s="81">
        <v>22.020000457799998</v>
      </c>
      <c r="I33" s="80">
        <v>1</v>
      </c>
      <c r="J33" s="80">
        <v>0</v>
      </c>
      <c r="K33" s="80">
        <v>0</v>
      </c>
      <c r="L33" s="82">
        <v>1.0220999999999999E-6</v>
      </c>
      <c r="M33" s="82">
        <v>3.2000000000000001E-9</v>
      </c>
      <c r="N33" s="102">
        <v>2.4130000000000002E-7</v>
      </c>
      <c r="O33" s="78">
        <v>4.8259999999999997E-8</v>
      </c>
      <c r="P33" s="99"/>
      <c r="Q33" s="99"/>
      <c r="R33" s="103"/>
      <c r="S33" s="103"/>
      <c r="T33" s="99"/>
      <c r="U33" s="84"/>
      <c r="V33" s="84"/>
      <c r="W33" s="84"/>
      <c r="X33" s="103">
        <v>0.69106612732890704</v>
      </c>
      <c r="Y33" s="103">
        <f t="shared" si="0"/>
        <v>6.9106612732890704E-2</v>
      </c>
      <c r="Z33" s="103">
        <v>22.023326192086</v>
      </c>
      <c r="AA33" s="103">
        <f t="shared" si="1"/>
        <v>2.2023326192086001</v>
      </c>
      <c r="AB33" s="80">
        <v>0.26016269265926401</v>
      </c>
      <c r="AC33" s="80">
        <v>2.6016269265926401E-2</v>
      </c>
      <c r="AD33" s="80">
        <v>16.816394605794802</v>
      </c>
      <c r="AE33" s="80">
        <v>1.6816394605794802</v>
      </c>
      <c r="AF33" s="80">
        <v>6.1099072249922396E-3</v>
      </c>
      <c r="AG33" s="80">
        <v>6.1099072249922403E-4</v>
      </c>
      <c r="AH33" s="80"/>
      <c r="AI33" s="80"/>
      <c r="AJ33" s="80"/>
      <c r="AK33" s="85"/>
      <c r="AL33" s="99"/>
      <c r="AM33" s="99"/>
      <c r="AN33" s="99"/>
    </row>
    <row r="34" spans="1:40">
      <c r="A34" s="78" t="s">
        <v>626</v>
      </c>
      <c r="B34" s="78" t="s">
        <v>688</v>
      </c>
      <c r="C34" s="78" t="s">
        <v>713</v>
      </c>
      <c r="D34" s="79">
        <v>41514</v>
      </c>
      <c r="E34" s="78" t="s">
        <v>714</v>
      </c>
      <c r="F34" s="78">
        <v>2.1379409745000002</v>
      </c>
      <c r="G34" s="78">
        <v>1.82926829268292</v>
      </c>
      <c r="H34" s="81">
        <v>22.020000457799998</v>
      </c>
      <c r="I34" s="80">
        <v>1</v>
      </c>
      <c r="J34" s="80">
        <v>0</v>
      </c>
      <c r="K34" s="80">
        <v>0</v>
      </c>
      <c r="L34" s="82">
        <v>1.0220999999999999E-6</v>
      </c>
      <c r="M34" s="82">
        <v>3.2000000000000001E-9</v>
      </c>
      <c r="N34" s="102">
        <v>2.4130000000000002E-7</v>
      </c>
      <c r="O34" s="78">
        <v>4.8259999999999997E-8</v>
      </c>
      <c r="P34" s="99"/>
      <c r="Q34" s="99"/>
      <c r="R34" s="103"/>
      <c r="S34" s="103"/>
      <c r="T34" s="99"/>
      <c r="U34" s="84"/>
      <c r="V34" s="84"/>
      <c r="W34" s="84"/>
      <c r="X34" s="103">
        <v>0.69181074705136203</v>
      </c>
      <c r="Y34" s="103">
        <f t="shared" si="0"/>
        <v>6.9181074705136208E-2</v>
      </c>
      <c r="Z34" s="103">
        <v>22.068881977966601</v>
      </c>
      <c r="AA34" s="103">
        <f t="shared" si="1"/>
        <v>2.2068881977966601</v>
      </c>
      <c r="AB34" s="80">
        <v>0.25642139360038102</v>
      </c>
      <c r="AC34" s="80">
        <v>2.5642139360038105E-2</v>
      </c>
      <c r="AD34" s="80">
        <v>20.0280667741022</v>
      </c>
      <c r="AE34" s="80">
        <v>2.00280667741022</v>
      </c>
      <c r="AF34" s="80">
        <v>7.16669297969625E-3</v>
      </c>
      <c r="AG34" s="80">
        <v>7.1666929796962507E-4</v>
      </c>
      <c r="AH34" s="80"/>
      <c r="AI34" s="80"/>
      <c r="AJ34" s="80"/>
      <c r="AK34" s="85"/>
      <c r="AL34" s="99"/>
      <c r="AM34" s="99"/>
      <c r="AN34" s="99"/>
    </row>
    <row r="35" spans="1:40" ht="15.6">
      <c r="A35" s="80" t="s">
        <v>626</v>
      </c>
      <c r="B35" s="78" t="s">
        <v>688</v>
      </c>
      <c r="C35" s="80" t="s">
        <v>733</v>
      </c>
      <c r="D35" s="104">
        <v>41522</v>
      </c>
      <c r="E35" s="80" t="s">
        <v>736</v>
      </c>
      <c r="F35" s="80">
        <v>6.4662381120000001E-2</v>
      </c>
      <c r="G35" s="80">
        <v>64.634146341463406</v>
      </c>
      <c r="H35" s="81">
        <v>18.7999992371</v>
      </c>
      <c r="I35" s="80">
        <v>1</v>
      </c>
      <c r="J35" s="80">
        <v>0</v>
      </c>
      <c r="K35" s="80">
        <v>0</v>
      </c>
      <c r="L35" s="82">
        <v>7.5800000000000004E-8</v>
      </c>
      <c r="M35" s="82">
        <f>0.01*L35</f>
        <v>7.5800000000000007E-10</v>
      </c>
      <c r="N35" s="80">
        <v>3.2020000000000002E-7</v>
      </c>
      <c r="O35" s="80">
        <v>3.9E-10</v>
      </c>
      <c r="P35" s="99"/>
      <c r="Q35" s="99"/>
      <c r="R35" s="103"/>
      <c r="S35" s="103"/>
      <c r="T35" s="86"/>
      <c r="U35" s="82"/>
      <c r="V35" s="82"/>
      <c r="W35" s="82"/>
      <c r="X35" s="103">
        <v>0.667679493460136</v>
      </c>
      <c r="Y35" s="103">
        <f t="shared" si="0"/>
        <v>6.67679493460136E-2</v>
      </c>
      <c r="Z35" s="103">
        <v>21.5319084089844</v>
      </c>
      <c r="AA35" s="103">
        <f t="shared" si="1"/>
        <v>2.1531908408984402</v>
      </c>
      <c r="AB35" s="80">
        <v>0.25138318974491197</v>
      </c>
      <c r="AC35" s="80">
        <v>2.5138318974491199E-2</v>
      </c>
      <c r="AD35" s="80">
        <v>79.483926086455298</v>
      </c>
      <c r="AE35" s="80">
        <v>7.9483926086455305</v>
      </c>
      <c r="AF35" s="80">
        <v>1.9456221274150799E-2</v>
      </c>
      <c r="AG35" s="80">
        <v>1.9456221274150799E-3</v>
      </c>
      <c r="AH35" s="105"/>
      <c r="AI35" s="86"/>
      <c r="AJ35" s="86"/>
      <c r="AK35" s="86"/>
      <c r="AL35" s="99"/>
      <c r="AM35" s="99"/>
      <c r="AN35" s="99"/>
    </row>
    <row r="36" spans="1:40" ht="15.6">
      <c r="A36" s="80" t="s">
        <v>626</v>
      </c>
      <c r="B36" s="78" t="s">
        <v>688</v>
      </c>
      <c r="C36" s="80" t="s">
        <v>733</v>
      </c>
      <c r="D36" s="104">
        <v>41522</v>
      </c>
      <c r="E36" s="80" t="s">
        <v>734</v>
      </c>
      <c r="F36" s="80">
        <v>6.4662381120000001E-2</v>
      </c>
      <c r="G36" s="80">
        <v>64.634146341463406</v>
      </c>
      <c r="H36" s="81">
        <v>18.7999992371</v>
      </c>
      <c r="I36" s="80">
        <v>1</v>
      </c>
      <c r="J36" s="80">
        <v>0</v>
      </c>
      <c r="K36" s="80">
        <v>0</v>
      </c>
      <c r="L36" s="82">
        <v>7.5800000000000004E-8</v>
      </c>
      <c r="M36" s="82">
        <f>0.01*L36</f>
        <v>7.5800000000000007E-10</v>
      </c>
      <c r="N36" s="80">
        <v>3.2020000000000002E-7</v>
      </c>
      <c r="O36" s="80">
        <v>3.9E-10</v>
      </c>
      <c r="P36" s="99"/>
      <c r="Q36" s="99"/>
      <c r="R36" s="103"/>
      <c r="S36" s="103"/>
      <c r="T36" s="99"/>
      <c r="U36" s="82"/>
      <c r="V36" s="82"/>
      <c r="W36" s="82"/>
      <c r="X36" s="103">
        <v>0.671547047127945</v>
      </c>
      <c r="Y36" s="103">
        <f t="shared" si="0"/>
        <v>6.71547047127945E-2</v>
      </c>
      <c r="Z36" s="103">
        <v>21.640836349807099</v>
      </c>
      <c r="AA36" s="103">
        <f t="shared" si="1"/>
        <v>2.16408363498071</v>
      </c>
      <c r="AB36" s="80">
        <v>0.25102677834305298</v>
      </c>
      <c r="AC36" s="80">
        <v>2.5102677834305299E-2</v>
      </c>
      <c r="AD36" s="80">
        <v>80.120938337504001</v>
      </c>
      <c r="AE36" s="80">
        <v>8.0120938337504004</v>
      </c>
      <c r="AF36" s="80">
        <v>1.83497860568748E-2</v>
      </c>
      <c r="AG36" s="80">
        <v>1.8349786056874801E-3</v>
      </c>
      <c r="AH36" s="105"/>
      <c r="AI36" s="86"/>
      <c r="AJ36" s="86"/>
      <c r="AK36" s="86"/>
      <c r="AL36" s="99"/>
      <c r="AM36" s="99"/>
      <c r="AN36" s="99"/>
    </row>
    <row r="37" spans="1:40">
      <c r="A37" s="78" t="s">
        <v>626</v>
      </c>
      <c r="B37" s="78" t="s">
        <v>688</v>
      </c>
      <c r="C37" s="78" t="s">
        <v>695</v>
      </c>
      <c r="D37" s="79">
        <v>41536</v>
      </c>
      <c r="E37" s="78" t="s">
        <v>696</v>
      </c>
      <c r="F37" s="78">
        <v>0.68166631848000003</v>
      </c>
      <c r="G37" s="78">
        <v>37.804878048780402</v>
      </c>
      <c r="H37" s="81">
        <v>22.649999618500001</v>
      </c>
      <c r="I37" s="80">
        <v>1</v>
      </c>
      <c r="J37" s="80">
        <v>0</v>
      </c>
      <c r="K37" s="80">
        <v>0</v>
      </c>
      <c r="L37" s="82">
        <v>9.64E-7</v>
      </c>
      <c r="M37" s="82">
        <v>4.0000000000000002E-9</v>
      </c>
      <c r="N37" s="102">
        <v>3.643E-7</v>
      </c>
      <c r="O37" s="78">
        <v>4.6000000000000001E-10</v>
      </c>
      <c r="P37" s="99"/>
      <c r="Q37" s="99"/>
      <c r="R37" s="103"/>
      <c r="S37" s="103"/>
      <c r="T37" s="99"/>
      <c r="U37" s="84"/>
      <c r="V37" s="84"/>
      <c r="W37" s="84"/>
      <c r="X37" s="103">
        <v>0.56122445643352303</v>
      </c>
      <c r="Y37" s="103">
        <f t="shared" si="0"/>
        <v>5.6122445643352309E-2</v>
      </c>
      <c r="Z37" s="103">
        <v>18.876259987860401</v>
      </c>
      <c r="AA37" s="103">
        <f t="shared" si="1"/>
        <v>1.8876259987860402</v>
      </c>
      <c r="AB37" s="80">
        <v>0.206836738486292</v>
      </c>
      <c r="AC37" s="80">
        <v>2.0683673848629201E-2</v>
      </c>
      <c r="AD37" s="80">
        <v>14.1064469747038</v>
      </c>
      <c r="AE37" s="80">
        <v>1.4106446974703801</v>
      </c>
      <c r="AF37" s="80"/>
      <c r="AG37" s="80"/>
      <c r="AH37" s="85"/>
      <c r="AI37" s="80"/>
      <c r="AJ37" s="80"/>
      <c r="AK37" s="80"/>
      <c r="AL37" s="99"/>
      <c r="AM37" s="99"/>
      <c r="AN37" s="99"/>
    </row>
    <row r="38" spans="1:40">
      <c r="A38" s="80" t="s">
        <v>626</v>
      </c>
      <c r="B38" s="78" t="s">
        <v>688</v>
      </c>
      <c r="C38" s="80" t="s">
        <v>728</v>
      </c>
      <c r="D38" s="104">
        <v>41505</v>
      </c>
      <c r="E38" s="80" t="s">
        <v>729</v>
      </c>
      <c r="F38" s="80">
        <v>0.59795517722000002</v>
      </c>
      <c r="G38" s="80">
        <v>61.890243902439003</v>
      </c>
      <c r="H38" s="81">
        <v>20.020000457799998</v>
      </c>
      <c r="I38" s="80">
        <v>1</v>
      </c>
      <c r="J38" s="80">
        <v>0</v>
      </c>
      <c r="K38" s="80">
        <v>0</v>
      </c>
      <c r="L38" s="82">
        <v>7.36279634517406E-6</v>
      </c>
      <c r="M38" s="82">
        <v>7.3627963451740605E-8</v>
      </c>
      <c r="N38" s="82">
        <v>4.0391994785784199E-7</v>
      </c>
      <c r="O38" s="82">
        <v>6.0587992178676302E-9</v>
      </c>
      <c r="P38" s="99"/>
      <c r="Q38" s="99"/>
      <c r="R38" s="103"/>
      <c r="S38" s="103"/>
      <c r="T38" s="99"/>
      <c r="U38" s="82"/>
      <c r="V38" s="82"/>
      <c r="W38" s="82"/>
      <c r="X38" s="103">
        <v>0.65142040998828699</v>
      </c>
      <c r="Y38" s="103">
        <f t="shared" si="0"/>
        <v>6.5142040998828699E-2</v>
      </c>
      <c r="Z38" s="103">
        <v>21.315372047898599</v>
      </c>
      <c r="AA38" s="103">
        <f t="shared" si="1"/>
        <v>2.13153720478986</v>
      </c>
      <c r="AB38" s="80">
        <v>0.20505551857668899</v>
      </c>
      <c r="AC38" s="80">
        <v>2.0505551857668902E-2</v>
      </c>
      <c r="AD38" s="80">
        <v>20.650693077161701</v>
      </c>
      <c r="AE38" s="80">
        <v>2.0650693077161701</v>
      </c>
      <c r="AF38" s="80">
        <v>21.281877147315999</v>
      </c>
      <c r="AG38" s="80">
        <v>2.1281877147316002</v>
      </c>
      <c r="AH38" s="85"/>
      <c r="AI38" s="80"/>
      <c r="AJ38" s="80"/>
      <c r="AK38" s="80"/>
      <c r="AL38" s="99"/>
      <c r="AM38" s="99"/>
      <c r="AN38" s="99"/>
    </row>
    <row r="39" spans="1:40">
      <c r="A39" s="80" t="s">
        <v>626</v>
      </c>
      <c r="B39" s="78" t="s">
        <v>688</v>
      </c>
      <c r="C39" s="80" t="s">
        <v>728</v>
      </c>
      <c r="D39" s="104">
        <v>41505</v>
      </c>
      <c r="E39" s="80" t="s">
        <v>731</v>
      </c>
      <c r="F39" s="80">
        <v>0.59795517722000002</v>
      </c>
      <c r="G39" s="80">
        <v>61.890243902439003</v>
      </c>
      <c r="H39" s="81">
        <v>20.020000457799998</v>
      </c>
      <c r="I39" s="80">
        <v>1</v>
      </c>
      <c r="J39" s="80">
        <v>0</v>
      </c>
      <c r="K39" s="80">
        <v>0</v>
      </c>
      <c r="L39" s="82">
        <v>7.36279634517406E-6</v>
      </c>
      <c r="M39" s="82">
        <v>7.3627963451740605E-8</v>
      </c>
      <c r="N39" s="82">
        <v>4.0391994785784199E-7</v>
      </c>
      <c r="O39" s="82">
        <v>6.0587992178676302E-9</v>
      </c>
      <c r="P39" s="99"/>
      <c r="Q39" s="99"/>
      <c r="R39" s="103"/>
      <c r="S39" s="103"/>
      <c r="T39" s="99"/>
      <c r="U39" s="82"/>
      <c r="V39" s="82"/>
      <c r="W39" s="82"/>
      <c r="X39" s="103">
        <v>0.68990655298981096</v>
      </c>
      <c r="Y39" s="103">
        <f t="shared" si="0"/>
        <v>6.8990655298981102E-2</v>
      </c>
      <c r="Z39" s="103">
        <v>23.403517875689399</v>
      </c>
      <c r="AA39" s="103">
        <f t="shared" si="1"/>
        <v>2.3403517875689399</v>
      </c>
      <c r="AB39" s="80">
        <v>0.22234188776764399</v>
      </c>
      <c r="AC39" s="80">
        <v>2.2234188776764401E-2</v>
      </c>
      <c r="AD39" s="80">
        <v>16.4822830633439</v>
      </c>
      <c r="AE39" s="80">
        <v>1.6482283063343901</v>
      </c>
      <c r="AF39" s="80">
        <v>22.0824839531031</v>
      </c>
      <c r="AG39" s="80">
        <v>2.20824839531031</v>
      </c>
      <c r="AH39" s="85"/>
      <c r="AI39" s="80"/>
      <c r="AJ39" s="80"/>
      <c r="AK39" s="80"/>
      <c r="AL39" s="99"/>
      <c r="AM39" s="99"/>
      <c r="AN39" s="99"/>
    </row>
    <row r="40" spans="1:40">
      <c r="A40" s="78" t="s">
        <v>626</v>
      </c>
      <c r="B40" s="78" t="s">
        <v>688</v>
      </c>
      <c r="C40" s="78" t="s">
        <v>718</v>
      </c>
      <c r="D40" s="79">
        <v>41529</v>
      </c>
      <c r="E40" s="78" t="s">
        <v>721</v>
      </c>
      <c r="F40" s="78">
        <v>0.79811186249999999</v>
      </c>
      <c r="G40" s="78">
        <v>12.804878048780401</v>
      </c>
      <c r="H40" s="81">
        <v>21.829999923700001</v>
      </c>
      <c r="I40" s="80">
        <v>1</v>
      </c>
      <c r="J40" s="80">
        <v>0</v>
      </c>
      <c r="K40" s="80">
        <v>0</v>
      </c>
      <c r="L40" s="82"/>
      <c r="M40" s="82"/>
      <c r="N40" s="106"/>
      <c r="O40" s="84"/>
      <c r="P40" s="99"/>
      <c r="Q40" s="99"/>
      <c r="R40" s="103"/>
      <c r="S40" s="103"/>
      <c r="T40" s="99"/>
      <c r="U40" s="84"/>
      <c r="V40" s="84"/>
      <c r="W40" s="84"/>
      <c r="X40" s="103">
        <v>0.61643940244318096</v>
      </c>
      <c r="Y40" s="103">
        <f t="shared" si="0"/>
        <v>6.1643940244318102E-2</v>
      </c>
      <c r="Z40" s="103">
        <v>19.900134314163498</v>
      </c>
      <c r="AA40" s="103">
        <f t="shared" si="1"/>
        <v>1.99001343141635</v>
      </c>
      <c r="AB40" s="80">
        <v>0.237718203568514</v>
      </c>
      <c r="AC40" s="80">
        <v>2.3771820356851402E-2</v>
      </c>
      <c r="AD40" s="80">
        <v>4.9873959939945296</v>
      </c>
      <c r="AE40" s="80">
        <v>0.498739599399453</v>
      </c>
      <c r="AF40" s="80">
        <v>0.61594780438002295</v>
      </c>
      <c r="AG40" s="80">
        <v>6.1594780438002296E-2</v>
      </c>
      <c r="AH40" s="80"/>
      <c r="AI40" s="80"/>
      <c r="AJ40" s="80"/>
      <c r="AK40" s="85"/>
      <c r="AL40" s="99"/>
      <c r="AM40" s="99"/>
      <c r="AN40" s="99"/>
    </row>
    <row r="41" spans="1:40">
      <c r="A41" s="78" t="s">
        <v>626</v>
      </c>
      <c r="B41" s="78" t="s">
        <v>688</v>
      </c>
      <c r="C41" s="78" t="s">
        <v>718</v>
      </c>
      <c r="D41" s="79">
        <v>41529</v>
      </c>
      <c r="E41" s="78" t="s">
        <v>719</v>
      </c>
      <c r="F41" s="78">
        <v>0.79811186249999999</v>
      </c>
      <c r="G41" s="78">
        <v>12.804878048780401</v>
      </c>
      <c r="H41" s="81">
        <v>21.829999923700001</v>
      </c>
      <c r="I41" s="80">
        <v>1</v>
      </c>
      <c r="J41" s="80">
        <v>0</v>
      </c>
      <c r="K41" s="80">
        <v>0</v>
      </c>
      <c r="L41" s="82"/>
      <c r="M41" s="82"/>
      <c r="N41" s="106"/>
      <c r="O41" s="84"/>
      <c r="P41" s="99"/>
      <c r="Q41" s="99"/>
      <c r="R41" s="103"/>
      <c r="S41" s="103"/>
      <c r="T41" s="99"/>
      <c r="U41" s="84"/>
      <c r="V41" s="84"/>
      <c r="W41" s="84"/>
      <c r="X41" s="103">
        <v>0.61968022669787903</v>
      </c>
      <c r="Y41" s="103">
        <f t="shared" si="0"/>
        <v>6.1968022669787903E-2</v>
      </c>
      <c r="Z41" s="103">
        <v>20.0919725268704</v>
      </c>
      <c r="AA41" s="103">
        <f t="shared" si="1"/>
        <v>2.0091972526870401</v>
      </c>
      <c r="AB41" s="80">
        <v>0.23051575118141701</v>
      </c>
      <c r="AC41" s="80">
        <v>2.3051575118141703E-2</v>
      </c>
      <c r="AD41" s="80">
        <v>5.3021613594672301</v>
      </c>
      <c r="AE41" s="80">
        <v>0.53021613594672301</v>
      </c>
      <c r="AF41" s="80">
        <v>0.61723536773716503</v>
      </c>
      <c r="AG41" s="80">
        <v>6.1723536773716503E-2</v>
      </c>
      <c r="AH41" s="80"/>
      <c r="AI41" s="80"/>
      <c r="AJ41" s="80"/>
      <c r="AK41" s="85"/>
      <c r="AL41" s="99"/>
      <c r="AM41" s="99"/>
      <c r="AN41" s="99"/>
    </row>
    <row r="42" spans="1:40">
      <c r="A42" s="78" t="s">
        <v>626</v>
      </c>
      <c r="B42" s="78" t="s">
        <v>688</v>
      </c>
      <c r="C42" s="78" t="s">
        <v>723</v>
      </c>
      <c r="D42" s="79">
        <v>41512</v>
      </c>
      <c r="E42" s="78" t="s">
        <v>724</v>
      </c>
      <c r="F42" s="78">
        <v>0.56876166378000004</v>
      </c>
      <c r="G42" s="78">
        <v>81.707317073170699</v>
      </c>
      <c r="H42" s="81">
        <v>20.790000915499999</v>
      </c>
      <c r="I42" s="80">
        <v>1</v>
      </c>
      <c r="J42" s="80">
        <v>0</v>
      </c>
      <c r="K42" s="80">
        <v>0</v>
      </c>
      <c r="L42" s="82"/>
      <c r="M42" s="82"/>
      <c r="N42" s="106"/>
      <c r="O42" s="84"/>
      <c r="P42" s="99"/>
      <c r="Q42" s="99"/>
      <c r="R42" s="103"/>
      <c r="S42" s="103"/>
      <c r="T42" s="99"/>
      <c r="U42" s="84"/>
      <c r="V42" s="84"/>
      <c r="W42" s="84"/>
      <c r="X42" s="103">
        <v>0.67701132661187402</v>
      </c>
      <c r="Y42" s="103">
        <f t="shared" si="0"/>
        <v>6.7701132661187408E-2</v>
      </c>
      <c r="Z42" s="103">
        <v>21.371301771473199</v>
      </c>
      <c r="AA42" s="103">
        <f t="shared" si="1"/>
        <v>2.1371301771473199</v>
      </c>
      <c r="AB42" s="80">
        <v>0.152729695760459</v>
      </c>
      <c r="AC42" s="80">
        <v>1.5272969576045901E-2</v>
      </c>
      <c r="AD42" s="80">
        <v>33.225635685941697</v>
      </c>
      <c r="AE42" s="80">
        <v>3.3225635685941697</v>
      </c>
      <c r="AF42" s="80"/>
      <c r="AG42" s="80"/>
      <c r="AH42" s="85"/>
      <c r="AI42" s="80"/>
      <c r="AJ42" s="80"/>
      <c r="AK42" s="80"/>
      <c r="AL42" s="99"/>
      <c r="AM42" s="99"/>
      <c r="AN42" s="99"/>
    </row>
    <row r="43" spans="1:40">
      <c r="A43" s="78" t="s">
        <v>626</v>
      </c>
      <c r="B43" s="78" t="s">
        <v>738</v>
      </c>
      <c r="C43" s="78" t="s">
        <v>744</v>
      </c>
      <c r="D43" s="79">
        <v>41528</v>
      </c>
      <c r="E43" s="78" t="s">
        <v>747</v>
      </c>
      <c r="F43" s="78">
        <v>0.84992100378000002</v>
      </c>
      <c r="G43" s="78">
        <v>61.890243902439003</v>
      </c>
      <c r="H43" s="81">
        <v>22.1800003052</v>
      </c>
      <c r="I43" s="80">
        <v>1</v>
      </c>
      <c r="J43" s="80">
        <v>0</v>
      </c>
      <c r="K43" s="80">
        <v>0</v>
      </c>
      <c r="L43" s="82"/>
      <c r="M43" s="82"/>
      <c r="N43" s="106"/>
      <c r="O43" s="84"/>
      <c r="P43" s="99"/>
      <c r="Q43" s="99"/>
      <c r="R43" s="103"/>
      <c r="S43" s="103"/>
      <c r="T43" s="99"/>
      <c r="U43" s="84"/>
      <c r="V43" s="84"/>
      <c r="W43" s="84"/>
      <c r="X43" s="103">
        <v>0.64853000310912301</v>
      </c>
      <c r="Y43" s="103">
        <f t="shared" si="0"/>
        <v>6.4853000310912304E-2</v>
      </c>
      <c r="Z43" s="103">
        <v>20.2407096401977</v>
      </c>
      <c r="AA43" s="103">
        <f t="shared" si="1"/>
        <v>2.0240709640197703</v>
      </c>
      <c r="AB43" s="80">
        <v>0.89209129703911205</v>
      </c>
      <c r="AC43" s="80">
        <v>8.9209129703911205E-2</v>
      </c>
      <c r="AD43" s="80">
        <v>20.5062625603748</v>
      </c>
      <c r="AE43" s="80">
        <v>2.0506262560374799</v>
      </c>
      <c r="AF43" s="80"/>
      <c r="AG43" s="80"/>
      <c r="AH43" s="80"/>
      <c r="AI43" s="80"/>
      <c r="AJ43" s="80"/>
      <c r="AK43" s="85"/>
      <c r="AL43" s="99"/>
      <c r="AM43" s="99"/>
      <c r="AN43" s="99"/>
    </row>
    <row r="44" spans="1:40">
      <c r="A44" s="78" t="s">
        <v>626</v>
      </c>
      <c r="B44" s="78" t="s">
        <v>738</v>
      </c>
      <c r="C44" s="78" t="s">
        <v>749</v>
      </c>
      <c r="D44" s="79">
        <v>41513</v>
      </c>
      <c r="E44" s="78" t="s">
        <v>752</v>
      </c>
      <c r="F44" s="78">
        <v>1.5401885613799999</v>
      </c>
      <c r="G44" s="78">
        <v>134.451219512195</v>
      </c>
      <c r="H44" s="81">
        <v>21.290000915499999</v>
      </c>
      <c r="I44" s="80">
        <v>1</v>
      </c>
      <c r="J44" s="80">
        <v>0</v>
      </c>
      <c r="K44" s="80">
        <v>0</v>
      </c>
      <c r="L44" s="82"/>
      <c r="M44" s="82"/>
      <c r="N44" s="106"/>
      <c r="O44" s="84"/>
      <c r="P44" s="99"/>
      <c r="Q44" s="99"/>
      <c r="R44" s="103"/>
      <c r="S44" s="103"/>
      <c r="T44" s="99"/>
      <c r="U44" s="84"/>
      <c r="V44" s="84"/>
      <c r="W44" s="84"/>
      <c r="X44" s="103">
        <v>0.65951185895159004</v>
      </c>
      <c r="Y44" s="103">
        <f t="shared" si="0"/>
        <v>6.5951185895159012E-2</v>
      </c>
      <c r="Z44" s="103">
        <v>20.305013201946299</v>
      </c>
      <c r="AA44" s="103">
        <f t="shared" si="1"/>
        <v>2.03050132019463</v>
      </c>
      <c r="AB44" s="80">
        <v>0.69083194830636696</v>
      </c>
      <c r="AC44" s="80">
        <v>6.9083194830636699E-2</v>
      </c>
      <c r="AD44" s="80">
        <v>34.790811524215499</v>
      </c>
      <c r="AE44" s="80">
        <v>3.4790811524215499</v>
      </c>
      <c r="AF44" s="80"/>
      <c r="AG44" s="80"/>
      <c r="AH44" s="80"/>
      <c r="AI44" s="80"/>
      <c r="AJ44" s="80"/>
      <c r="AK44" s="85"/>
      <c r="AL44" s="99"/>
      <c r="AM44" s="99"/>
      <c r="AN44" s="99"/>
    </row>
    <row r="45" spans="1:40">
      <c r="A45" s="78" t="s">
        <v>626</v>
      </c>
      <c r="B45" s="78" t="s">
        <v>738</v>
      </c>
      <c r="C45" s="78" t="s">
        <v>749</v>
      </c>
      <c r="D45" s="79">
        <v>41513</v>
      </c>
      <c r="E45" s="78" t="s">
        <v>750</v>
      </c>
      <c r="F45" s="78">
        <v>1.5401885613799999</v>
      </c>
      <c r="G45" s="78">
        <v>134.451219512195</v>
      </c>
      <c r="H45" s="81">
        <v>21.290000915499999</v>
      </c>
      <c r="I45" s="80">
        <v>1</v>
      </c>
      <c r="J45" s="80">
        <v>0</v>
      </c>
      <c r="K45" s="80">
        <v>0</v>
      </c>
      <c r="L45" s="82"/>
      <c r="M45" s="82"/>
      <c r="N45" s="106"/>
      <c r="O45" s="84"/>
      <c r="P45" s="99"/>
      <c r="Q45" s="99"/>
      <c r="R45" s="103"/>
      <c r="S45" s="103"/>
      <c r="T45" s="99"/>
      <c r="U45" s="84"/>
      <c r="V45" s="84"/>
      <c r="W45" s="84"/>
      <c r="X45" s="103">
        <v>0.66935689863703995</v>
      </c>
      <c r="Y45" s="103">
        <f t="shared" si="0"/>
        <v>6.6935689863704004E-2</v>
      </c>
      <c r="Z45" s="103">
        <v>20.907551544655899</v>
      </c>
      <c r="AA45" s="103">
        <f t="shared" si="1"/>
        <v>2.0907551544655898</v>
      </c>
      <c r="AB45" s="80">
        <v>0.57225177231139301</v>
      </c>
      <c r="AC45" s="80">
        <v>5.7225177231139304E-2</v>
      </c>
      <c r="AD45" s="80">
        <v>39.726961083331098</v>
      </c>
      <c r="AE45" s="80">
        <v>3.97269610833311</v>
      </c>
      <c r="AF45" s="80"/>
      <c r="AG45" s="80"/>
      <c r="AH45" s="80"/>
      <c r="AI45" s="80"/>
      <c r="AJ45" s="80"/>
      <c r="AK45" s="85"/>
      <c r="AL45" s="99"/>
      <c r="AM45" s="99"/>
      <c r="AN45" s="99"/>
    </row>
    <row r="46" spans="1:40">
      <c r="A46" s="78" t="s">
        <v>626</v>
      </c>
      <c r="B46" s="78" t="s">
        <v>738</v>
      </c>
      <c r="C46" s="78" t="s">
        <v>739</v>
      </c>
      <c r="D46" s="79">
        <v>41526</v>
      </c>
      <c r="E46" s="78" t="s">
        <v>742</v>
      </c>
      <c r="F46" s="78">
        <v>0.61536420000000003</v>
      </c>
      <c r="G46" s="78">
        <v>17.987804878048699</v>
      </c>
      <c r="H46" s="81">
        <v>23.489999771099999</v>
      </c>
      <c r="I46" s="80">
        <v>1</v>
      </c>
      <c r="J46" s="80">
        <v>0</v>
      </c>
      <c r="K46" s="80">
        <v>0</v>
      </c>
      <c r="L46" s="82">
        <v>5.54E-8</v>
      </c>
      <c r="M46" s="82">
        <f>0.01*L46</f>
        <v>5.5400000000000005E-10</v>
      </c>
      <c r="N46" s="102">
        <v>2.1409999999999999E-7</v>
      </c>
      <c r="O46" s="78">
        <v>2.8000000000000002E-10</v>
      </c>
      <c r="P46" s="99"/>
      <c r="Q46" s="99"/>
      <c r="R46" s="103"/>
      <c r="S46" s="103"/>
      <c r="T46" s="99"/>
      <c r="U46" s="84"/>
      <c r="V46" s="84"/>
      <c r="W46" s="84"/>
      <c r="X46" s="103">
        <v>0.54362765874630103</v>
      </c>
      <c r="Y46" s="103">
        <f t="shared" si="0"/>
        <v>5.4362765874630105E-2</v>
      </c>
      <c r="Z46" s="103">
        <v>16.712418633876499</v>
      </c>
      <c r="AA46" s="103">
        <f t="shared" si="1"/>
        <v>1.67124186338765</v>
      </c>
      <c r="AB46" s="80">
        <v>0.37003891438928499</v>
      </c>
      <c r="AC46" s="80">
        <v>3.7003891438928502E-2</v>
      </c>
      <c r="AD46" s="80">
        <v>51.229628697950297</v>
      </c>
      <c r="AE46" s="80">
        <v>5.12296286979503</v>
      </c>
      <c r="AF46" s="80">
        <v>3.5476590249242201E-3</v>
      </c>
      <c r="AG46" s="80">
        <v>3.5476590249242204E-4</v>
      </c>
      <c r="AH46" s="85"/>
      <c r="AI46" s="80"/>
      <c r="AJ46" s="80"/>
      <c r="AK46" s="80"/>
      <c r="AL46" s="99"/>
      <c r="AM46" s="99"/>
      <c r="AN46" s="99"/>
    </row>
    <row r="47" spans="1:40">
      <c r="A47" s="78" t="s">
        <v>626</v>
      </c>
      <c r="B47" s="78" t="s">
        <v>738</v>
      </c>
      <c r="C47" s="78" t="s">
        <v>739</v>
      </c>
      <c r="D47" s="79">
        <v>41526</v>
      </c>
      <c r="E47" s="78" t="s">
        <v>740</v>
      </c>
      <c r="F47" s="78">
        <v>0.61536420000000003</v>
      </c>
      <c r="G47" s="78">
        <v>17.987804878048699</v>
      </c>
      <c r="H47" s="81">
        <v>23.489999771099999</v>
      </c>
      <c r="I47" s="80">
        <v>1</v>
      </c>
      <c r="J47" s="80">
        <v>0</v>
      </c>
      <c r="K47" s="80">
        <v>0</v>
      </c>
      <c r="L47" s="82">
        <v>5.54E-8</v>
      </c>
      <c r="M47" s="82">
        <f>0.01*L47</f>
        <v>5.5400000000000005E-10</v>
      </c>
      <c r="N47" s="102">
        <v>2.1409999999999999E-7</v>
      </c>
      <c r="O47" s="78">
        <v>2.8000000000000002E-10</v>
      </c>
      <c r="P47" s="99"/>
      <c r="Q47" s="99"/>
      <c r="R47" s="103"/>
      <c r="S47" s="103"/>
      <c r="T47" s="99"/>
      <c r="U47" s="84"/>
      <c r="V47" s="84"/>
      <c r="W47" s="84"/>
      <c r="X47" s="103">
        <v>0.54608887632176695</v>
      </c>
      <c r="Y47" s="103">
        <f t="shared" si="0"/>
        <v>5.4608887632176695E-2</v>
      </c>
      <c r="Z47" s="103">
        <v>16.744030025218901</v>
      </c>
      <c r="AA47" s="103">
        <f t="shared" si="1"/>
        <v>1.6744030025218901</v>
      </c>
      <c r="AB47" s="80">
        <v>0.21130528327025899</v>
      </c>
      <c r="AC47" s="80">
        <v>2.1130528327025902E-2</v>
      </c>
      <c r="AD47" s="80">
        <v>52.139600300066697</v>
      </c>
      <c r="AE47" s="80">
        <v>5.2139600300066702</v>
      </c>
      <c r="AF47" s="80">
        <v>3.8905497049326501E-3</v>
      </c>
      <c r="AG47" s="80">
        <v>3.8905497049326502E-4</v>
      </c>
      <c r="AH47" s="85"/>
      <c r="AI47" s="80"/>
      <c r="AJ47" s="80"/>
      <c r="AK47" s="80"/>
      <c r="AL47" s="99"/>
      <c r="AM47" s="99"/>
      <c r="AN47" s="99"/>
    </row>
    <row r="48" spans="1:40">
      <c r="A48" s="78" t="s">
        <v>626</v>
      </c>
      <c r="B48" s="78" t="s">
        <v>738</v>
      </c>
      <c r="C48" s="78" t="s">
        <v>759</v>
      </c>
      <c r="D48" s="79">
        <v>41492</v>
      </c>
      <c r="E48" s="78" t="s">
        <v>760</v>
      </c>
      <c r="F48" s="78">
        <v>0.23046814937999999</v>
      </c>
      <c r="G48" s="78">
        <v>33.536585365853597</v>
      </c>
      <c r="H48" s="81">
        <v>20.670000076299999</v>
      </c>
      <c r="I48" s="80">
        <v>1</v>
      </c>
      <c r="J48" s="80">
        <v>0</v>
      </c>
      <c r="K48" s="80">
        <v>0</v>
      </c>
      <c r="L48" s="82">
        <v>1.5160000000000001E-7</v>
      </c>
      <c r="M48" s="82">
        <v>1E-10</v>
      </c>
      <c r="N48" s="102">
        <v>2.252E-7</v>
      </c>
      <c r="O48" s="78">
        <v>2.8000000000000002E-10</v>
      </c>
      <c r="P48" s="99"/>
      <c r="Q48" s="99"/>
      <c r="R48" s="103"/>
      <c r="S48" s="103"/>
      <c r="T48" s="99"/>
      <c r="U48" s="84"/>
      <c r="V48" s="84"/>
      <c r="W48" s="84"/>
      <c r="X48" s="103">
        <v>0.62496555096018902</v>
      </c>
      <c r="Y48" s="103">
        <f t="shared" si="0"/>
        <v>6.2496555096018903E-2</v>
      </c>
      <c r="Z48" s="103">
        <v>18.3540797053479</v>
      </c>
      <c r="AA48" s="103">
        <f t="shared" si="1"/>
        <v>1.8354079705347901</v>
      </c>
      <c r="AB48" s="80">
        <v>0.23889917229200899</v>
      </c>
      <c r="AC48" s="80">
        <v>2.3889917229200901E-2</v>
      </c>
      <c r="AD48" s="80">
        <v>10.118185285200299</v>
      </c>
      <c r="AE48" s="80">
        <v>1.0118185285200301</v>
      </c>
      <c r="AF48" s="80"/>
      <c r="AG48" s="80"/>
      <c r="AH48" s="85"/>
      <c r="AI48" s="80"/>
      <c r="AJ48" s="80"/>
      <c r="AK48" s="80"/>
      <c r="AL48" s="99"/>
      <c r="AM48" s="99"/>
      <c r="AN48" s="99"/>
    </row>
    <row r="49" spans="1:40">
      <c r="A49" s="78" t="s">
        <v>626</v>
      </c>
      <c r="B49" s="78" t="s">
        <v>738</v>
      </c>
      <c r="C49" s="78" t="s">
        <v>759</v>
      </c>
      <c r="D49" s="79">
        <v>41492</v>
      </c>
      <c r="E49" s="78" t="s">
        <v>762</v>
      </c>
      <c r="F49" s="78">
        <v>0.23046814937999999</v>
      </c>
      <c r="G49" s="78">
        <v>33.536585365853597</v>
      </c>
      <c r="H49" s="81">
        <v>20.670000076299999</v>
      </c>
      <c r="I49" s="80">
        <v>1</v>
      </c>
      <c r="J49" s="80">
        <v>0</v>
      </c>
      <c r="K49" s="80">
        <v>0</v>
      </c>
      <c r="L49" s="82">
        <v>1.5160000000000001E-7</v>
      </c>
      <c r="M49" s="82">
        <v>1E-10</v>
      </c>
      <c r="N49" s="102">
        <v>2.252E-7</v>
      </c>
      <c r="O49" s="78">
        <v>2.8000000000000002E-10</v>
      </c>
      <c r="P49" s="99"/>
      <c r="Q49" s="99"/>
      <c r="R49" s="103"/>
      <c r="S49" s="103"/>
      <c r="T49" s="99"/>
      <c r="U49" s="84"/>
      <c r="V49" s="84"/>
      <c r="W49" s="84"/>
      <c r="X49" s="103">
        <v>0.62647269982155096</v>
      </c>
      <c r="Y49" s="103">
        <f t="shared" si="0"/>
        <v>6.2647269982155099E-2</v>
      </c>
      <c r="Z49" s="103">
        <v>18.3702314954615</v>
      </c>
      <c r="AA49" s="103">
        <f t="shared" si="1"/>
        <v>1.83702314954615</v>
      </c>
      <c r="AB49" s="80">
        <v>0.224388945735082</v>
      </c>
      <c r="AC49" s="80">
        <v>2.24388945735082E-2</v>
      </c>
      <c r="AD49" s="80">
        <v>10.147633985280899</v>
      </c>
      <c r="AE49" s="80">
        <v>1.0147633985280899</v>
      </c>
      <c r="AF49" s="80"/>
      <c r="AG49" s="80"/>
      <c r="AH49" s="85"/>
      <c r="AI49" s="80"/>
      <c r="AJ49" s="80"/>
      <c r="AK49" s="80"/>
      <c r="AL49" s="99"/>
      <c r="AM49" s="99"/>
      <c r="AN49" s="99"/>
    </row>
    <row r="50" spans="1:40">
      <c r="A50" s="78" t="s">
        <v>626</v>
      </c>
      <c r="B50" s="78" t="s">
        <v>738</v>
      </c>
      <c r="C50" s="78" t="s">
        <v>754</v>
      </c>
      <c r="D50" s="79">
        <v>41494</v>
      </c>
      <c r="E50" s="78" t="s">
        <v>757</v>
      </c>
      <c r="F50" s="78">
        <v>0.32665329450000002</v>
      </c>
      <c r="G50" s="78">
        <v>100</v>
      </c>
      <c r="H50" s="81">
        <v>20.9300003052</v>
      </c>
      <c r="I50" s="80">
        <v>1</v>
      </c>
      <c r="J50" s="80">
        <v>0</v>
      </c>
      <c r="K50" s="80">
        <v>0</v>
      </c>
      <c r="L50" s="82">
        <v>1.2739999999999999E-7</v>
      </c>
      <c r="M50" s="82">
        <v>1E-10</v>
      </c>
      <c r="N50" s="102">
        <v>2.3440000000000001E-7</v>
      </c>
      <c r="O50" s="78">
        <v>2.8000000000000002E-10</v>
      </c>
      <c r="P50" s="99"/>
      <c r="Q50" s="99"/>
      <c r="R50" s="103"/>
      <c r="S50" s="103"/>
      <c r="T50" s="99"/>
      <c r="U50" s="84"/>
      <c r="V50" s="84"/>
      <c r="W50" s="84"/>
      <c r="X50" s="103">
        <v>0.68431289806906603</v>
      </c>
      <c r="Y50" s="103">
        <f t="shared" si="0"/>
        <v>6.8431289806906603E-2</v>
      </c>
      <c r="Z50" s="103">
        <v>20.062847104330899</v>
      </c>
      <c r="AA50" s="103">
        <f t="shared" si="1"/>
        <v>2.0062847104330901</v>
      </c>
      <c r="AB50" s="80">
        <v>0.25349737203519201</v>
      </c>
      <c r="AC50" s="80">
        <v>2.5349737203519202E-2</v>
      </c>
      <c r="AD50" s="80">
        <v>12.4202772986617</v>
      </c>
      <c r="AE50" s="80">
        <v>1.2420277298661702</v>
      </c>
      <c r="AF50" s="80"/>
      <c r="AG50" s="80"/>
      <c r="AH50" s="85"/>
      <c r="AI50" s="80"/>
      <c r="AJ50" s="80"/>
      <c r="AK50" s="80"/>
      <c r="AL50" s="99"/>
      <c r="AM50" s="99"/>
      <c r="AN50" s="99"/>
    </row>
    <row r="51" spans="1:40">
      <c r="A51" s="78" t="s">
        <v>626</v>
      </c>
      <c r="B51" s="78" t="s">
        <v>738</v>
      </c>
      <c r="C51" s="78" t="s">
        <v>754</v>
      </c>
      <c r="D51" s="79">
        <v>41494</v>
      </c>
      <c r="E51" s="107" t="s">
        <v>755</v>
      </c>
      <c r="F51" s="78">
        <v>0.32665329450000002</v>
      </c>
      <c r="G51" s="78">
        <v>100</v>
      </c>
      <c r="H51" s="81">
        <v>20.9300003052</v>
      </c>
      <c r="I51" s="80">
        <v>1</v>
      </c>
      <c r="J51" s="80">
        <v>0</v>
      </c>
      <c r="K51" s="80">
        <v>0</v>
      </c>
      <c r="L51" s="82">
        <v>1.2739999999999999E-7</v>
      </c>
      <c r="M51" s="82">
        <v>1E-10</v>
      </c>
      <c r="N51" s="102">
        <v>2.3440000000000001E-7</v>
      </c>
      <c r="O51" s="78">
        <v>2.8000000000000002E-10</v>
      </c>
      <c r="P51" s="99"/>
      <c r="Q51" s="99"/>
      <c r="R51" s="103"/>
      <c r="S51" s="103"/>
      <c r="T51" s="99"/>
      <c r="U51" s="84"/>
      <c r="V51" s="84"/>
      <c r="W51" s="84"/>
      <c r="X51" s="103">
        <v>0.67975215809604805</v>
      </c>
      <c r="Y51" s="103">
        <f t="shared" si="0"/>
        <v>6.7975215809604805E-2</v>
      </c>
      <c r="Z51" s="103">
        <v>19.884128338298598</v>
      </c>
      <c r="AA51" s="103">
        <f t="shared" si="1"/>
        <v>1.9884128338298599</v>
      </c>
      <c r="AB51" s="80">
        <v>0.239554143136127</v>
      </c>
      <c r="AC51" s="80">
        <v>2.39554143136127E-2</v>
      </c>
      <c r="AD51" s="80">
        <v>12.1752725384688</v>
      </c>
      <c r="AE51" s="80">
        <v>1.21752725384688</v>
      </c>
      <c r="AF51" s="80"/>
      <c r="AG51" s="80"/>
      <c r="AH51" s="85"/>
      <c r="AI51" s="80"/>
      <c r="AJ51" s="80"/>
      <c r="AK51" s="80"/>
      <c r="AL51" s="99"/>
      <c r="AM51" s="99"/>
      <c r="AN51" s="99"/>
    </row>
    <row r="52" spans="1:40">
      <c r="A52" s="78" t="s">
        <v>626</v>
      </c>
      <c r="B52" s="78" t="s">
        <v>738</v>
      </c>
      <c r="C52" s="78" t="s">
        <v>764</v>
      </c>
      <c r="D52" s="79">
        <v>41500</v>
      </c>
      <c r="E52" s="78" t="s">
        <v>765</v>
      </c>
      <c r="F52" s="78">
        <v>0.70302982272000003</v>
      </c>
      <c r="G52" s="78">
        <v>100</v>
      </c>
      <c r="H52" s="81">
        <v>20.459999084500001</v>
      </c>
      <c r="I52" s="80">
        <v>1</v>
      </c>
      <c r="J52" s="80">
        <v>0</v>
      </c>
      <c r="K52" s="80">
        <v>0</v>
      </c>
      <c r="L52" s="82">
        <v>7.2802601683677401E-6</v>
      </c>
      <c r="M52" s="82">
        <v>7.2802601683677404E-8</v>
      </c>
      <c r="N52" s="106">
        <v>2.9755819573653701E-7</v>
      </c>
      <c r="O52" s="84">
        <v>4.4633729360480602E-9</v>
      </c>
      <c r="P52" s="99"/>
      <c r="Q52" s="99"/>
      <c r="R52" s="103"/>
      <c r="S52" s="103"/>
      <c r="T52" s="99"/>
      <c r="U52" s="84"/>
      <c r="V52" s="84"/>
      <c r="W52" s="84"/>
      <c r="X52" s="103">
        <v>0.69211109491882705</v>
      </c>
      <c r="Y52" s="103">
        <f t="shared" si="0"/>
        <v>6.9211109491882708E-2</v>
      </c>
      <c r="Z52" s="103">
        <v>22.496772284271501</v>
      </c>
      <c r="AA52" s="103">
        <f t="shared" si="1"/>
        <v>2.2496772284271502</v>
      </c>
      <c r="AB52" s="80">
        <v>0.248184714446466</v>
      </c>
      <c r="AC52" s="80">
        <v>2.4818471444646602E-2</v>
      </c>
      <c r="AD52" s="80">
        <v>6.35667538188466</v>
      </c>
      <c r="AE52" s="80">
        <v>0.635667538188466</v>
      </c>
      <c r="AF52" s="80">
        <v>3.4668166114222898</v>
      </c>
      <c r="AG52" s="80">
        <v>0.34668166114222898</v>
      </c>
      <c r="AH52" s="85"/>
      <c r="AI52" s="80"/>
      <c r="AJ52" s="80"/>
      <c r="AK52" s="80"/>
      <c r="AL52" s="99"/>
      <c r="AM52" s="99"/>
      <c r="AN52" s="99"/>
    </row>
    <row r="53" spans="1:40">
      <c r="A53" s="78" t="s">
        <v>626</v>
      </c>
      <c r="B53" s="78" t="s">
        <v>738</v>
      </c>
      <c r="C53" s="78" t="s">
        <v>764</v>
      </c>
      <c r="D53" s="79">
        <v>41500</v>
      </c>
      <c r="E53" s="78" t="s">
        <v>767</v>
      </c>
      <c r="F53" s="78">
        <v>0.70302982272000003</v>
      </c>
      <c r="G53" s="78">
        <v>100</v>
      </c>
      <c r="H53" s="81">
        <v>20.459999084500001</v>
      </c>
      <c r="I53" s="80">
        <v>1</v>
      </c>
      <c r="J53" s="80">
        <v>0</v>
      </c>
      <c r="K53" s="80">
        <v>0</v>
      </c>
      <c r="L53" s="82">
        <v>7.2802601683677401E-6</v>
      </c>
      <c r="M53" s="82">
        <v>7.2802601683677404E-8</v>
      </c>
      <c r="N53" s="106">
        <v>2.9755819573653701E-7</v>
      </c>
      <c r="O53" s="84">
        <v>4.4633729360480602E-9</v>
      </c>
      <c r="P53" s="99"/>
      <c r="Q53" s="99"/>
      <c r="R53" s="103"/>
      <c r="S53" s="103"/>
      <c r="T53" s="99"/>
      <c r="U53" s="84"/>
      <c r="V53" s="84"/>
      <c r="W53" s="84"/>
      <c r="X53" s="103">
        <v>0.69379746228552897</v>
      </c>
      <c r="Y53" s="103">
        <f t="shared" si="0"/>
        <v>6.9379746228552905E-2</v>
      </c>
      <c r="Z53" s="103">
        <v>22.686020910717598</v>
      </c>
      <c r="AA53" s="103">
        <f t="shared" si="1"/>
        <v>2.2686020910717599</v>
      </c>
      <c r="AB53" s="80">
        <v>0.244546086170469</v>
      </c>
      <c r="AC53" s="80">
        <v>2.4454608617046902E-2</v>
      </c>
      <c r="AD53" s="80">
        <v>6.4699771288838104</v>
      </c>
      <c r="AE53" s="80">
        <v>0.64699771288838104</v>
      </c>
      <c r="AF53" s="80">
        <v>3.5261848712849302</v>
      </c>
      <c r="AG53" s="80">
        <v>0.35261848712849303</v>
      </c>
      <c r="AH53" s="85"/>
      <c r="AI53" s="80"/>
      <c r="AJ53" s="80"/>
      <c r="AK53" s="80"/>
      <c r="AL53" s="99"/>
      <c r="AM53" s="99"/>
      <c r="AN53" s="99"/>
    </row>
    <row r="54" spans="1:40">
      <c r="A54" s="78" t="s">
        <v>626</v>
      </c>
      <c r="B54" s="78" t="s">
        <v>738</v>
      </c>
      <c r="C54" s="78" t="s">
        <v>744</v>
      </c>
      <c r="D54" s="79">
        <v>41528</v>
      </c>
      <c r="E54" s="78" t="s">
        <v>745</v>
      </c>
      <c r="F54" s="78">
        <v>0.84992100378000002</v>
      </c>
      <c r="G54" s="78">
        <v>61.890243902439003</v>
      </c>
      <c r="H54" s="81">
        <v>22.1800003052</v>
      </c>
      <c r="I54" s="80">
        <v>1</v>
      </c>
      <c r="J54" s="80">
        <v>0</v>
      </c>
      <c r="K54" s="80">
        <v>0</v>
      </c>
      <c r="L54" s="82"/>
      <c r="M54" s="82"/>
      <c r="N54" s="106"/>
      <c r="O54" s="84"/>
      <c r="P54" s="99"/>
      <c r="Q54" s="99"/>
      <c r="R54" s="103"/>
      <c r="S54" s="103"/>
      <c r="T54" s="99"/>
      <c r="U54" s="84"/>
      <c r="V54" s="84"/>
      <c r="W54" s="84"/>
      <c r="X54" s="103">
        <v>0.644856604501578</v>
      </c>
      <c r="Y54" s="103">
        <f t="shared" si="0"/>
        <v>6.44856604501578E-2</v>
      </c>
      <c r="Z54" s="103">
        <v>20.137125716733902</v>
      </c>
      <c r="AA54" s="103">
        <f t="shared" si="1"/>
        <v>2.0137125716733904</v>
      </c>
      <c r="AB54" s="80">
        <v>0.46756540942547697</v>
      </c>
      <c r="AC54" s="80">
        <v>4.6756540942547699E-2</v>
      </c>
      <c r="AD54" s="80">
        <v>20.357699360445402</v>
      </c>
      <c r="AE54" s="80">
        <v>2.0357699360445403</v>
      </c>
      <c r="AF54" s="80"/>
      <c r="AG54" s="80"/>
      <c r="AH54" s="80"/>
      <c r="AI54" s="80"/>
      <c r="AJ54" s="80"/>
      <c r="AK54" s="85"/>
      <c r="AL54" s="99"/>
      <c r="AM54" s="99"/>
      <c r="AN54" s="99"/>
    </row>
    <row r="55" spans="1:40">
      <c r="A55" s="40"/>
      <c r="B55" s="40"/>
      <c r="C55" s="43"/>
      <c r="D55" s="73"/>
      <c r="F55" s="42"/>
      <c r="G55" s="40"/>
      <c r="H55" s="44"/>
      <c r="I55" s="40"/>
      <c r="J55" s="40"/>
      <c r="K55" s="40"/>
      <c r="L55" s="40"/>
      <c r="M55" s="40"/>
      <c r="N55" s="40"/>
      <c r="O55" s="40"/>
      <c r="P55" s="40"/>
      <c r="Q55" s="40"/>
      <c r="R55" s="40"/>
      <c r="S55" s="40"/>
      <c r="T55" s="40"/>
      <c r="U55" s="40"/>
    </row>
    <row r="56" spans="1:40">
      <c r="A56" s="40"/>
      <c r="B56" s="40"/>
      <c r="C56" s="43"/>
      <c r="D56" s="73"/>
      <c r="F56" s="42"/>
      <c r="G56" s="40"/>
      <c r="H56" s="44"/>
      <c r="I56" s="40"/>
      <c r="J56" s="40"/>
      <c r="K56" s="40"/>
      <c r="L56" s="40"/>
      <c r="M56" s="40"/>
      <c r="N56" s="40"/>
      <c r="O56" s="40"/>
      <c r="P56" s="40"/>
      <c r="Q56" s="40"/>
      <c r="R56" s="40"/>
      <c r="S56" s="40"/>
      <c r="T56" s="40"/>
      <c r="U56" s="40"/>
    </row>
    <row r="57" spans="1:40">
      <c r="A57" s="40"/>
      <c r="B57" s="40"/>
      <c r="C57" s="43"/>
      <c r="D57" s="73"/>
      <c r="F57" s="42"/>
      <c r="G57" s="40"/>
      <c r="H57" s="44"/>
      <c r="I57" s="40"/>
      <c r="J57" s="40"/>
      <c r="K57" s="40"/>
      <c r="L57" s="40"/>
      <c r="M57" s="40"/>
      <c r="N57" s="40"/>
      <c r="O57" s="40"/>
      <c r="P57" s="40"/>
      <c r="Q57" s="40"/>
      <c r="R57" s="40"/>
      <c r="S57" s="40"/>
      <c r="T57" s="40"/>
      <c r="U57" s="40"/>
    </row>
    <row r="58" spans="1:40">
      <c r="A58" s="40"/>
      <c r="B58" s="40"/>
      <c r="C58" s="43"/>
      <c r="D58" s="73"/>
      <c r="F58" s="42"/>
      <c r="G58" s="40"/>
      <c r="H58" s="44"/>
      <c r="I58" s="40"/>
      <c r="J58" s="40"/>
      <c r="K58" s="40"/>
      <c r="L58" s="40"/>
      <c r="M58" s="40"/>
      <c r="N58" s="40"/>
      <c r="O58" s="40"/>
      <c r="P58" s="40"/>
      <c r="Q58" s="40"/>
      <c r="R58" s="40"/>
      <c r="S58" s="40"/>
      <c r="T58" s="40"/>
      <c r="U58" s="40"/>
    </row>
    <row r="59" spans="1:40">
      <c r="A59" s="40"/>
      <c r="B59" s="40"/>
      <c r="C59" s="43"/>
      <c r="D59" s="73"/>
      <c r="F59" s="42"/>
      <c r="G59" s="40"/>
      <c r="H59" s="44"/>
      <c r="I59" s="40"/>
      <c r="J59" s="40"/>
      <c r="K59" s="40"/>
      <c r="L59" s="40"/>
      <c r="M59" s="40"/>
      <c r="N59" s="40"/>
      <c r="O59" s="40"/>
      <c r="P59" s="40"/>
      <c r="Q59" s="40"/>
      <c r="R59" s="40"/>
      <c r="S59" s="40"/>
      <c r="T59" s="40"/>
      <c r="U59" s="40"/>
    </row>
    <row r="60" spans="1:40">
      <c r="A60" s="40"/>
      <c r="B60" s="40"/>
      <c r="C60" s="43"/>
      <c r="D60" s="73"/>
      <c r="F60" s="42"/>
      <c r="G60" s="40"/>
      <c r="H60" s="44"/>
      <c r="I60" s="40"/>
      <c r="J60" s="40"/>
      <c r="K60" s="40"/>
      <c r="L60" s="40"/>
      <c r="M60" s="40"/>
      <c r="N60" s="40"/>
      <c r="O60" s="40"/>
      <c r="P60" s="40"/>
      <c r="Q60" s="40"/>
      <c r="R60" s="40"/>
      <c r="S60" s="40"/>
      <c r="T60" s="40"/>
      <c r="U60" s="40"/>
    </row>
    <row r="61" spans="1:40">
      <c r="A61" s="40"/>
      <c r="B61" s="40"/>
      <c r="C61" s="43"/>
      <c r="D61" s="73"/>
      <c r="F61" s="42"/>
      <c r="G61" s="40"/>
      <c r="H61" s="44"/>
      <c r="I61" s="40"/>
      <c r="J61" s="40"/>
      <c r="K61" s="40"/>
      <c r="L61" s="40"/>
      <c r="M61" s="40"/>
      <c r="N61" s="40"/>
      <c r="O61" s="40"/>
      <c r="P61" s="40"/>
      <c r="Q61" s="40"/>
      <c r="R61" s="40"/>
      <c r="S61" s="40"/>
      <c r="T61" s="40"/>
      <c r="U61" s="40"/>
    </row>
    <row r="62" spans="1:40">
      <c r="A62" s="40"/>
      <c r="B62" s="40"/>
      <c r="C62" s="43"/>
      <c r="D62" s="73"/>
      <c r="F62" s="42"/>
      <c r="G62" s="40"/>
      <c r="H62" s="44"/>
      <c r="I62" s="40"/>
      <c r="J62" s="40"/>
      <c r="K62" s="40"/>
      <c r="L62" s="40"/>
      <c r="M62" s="40"/>
      <c r="N62" s="40"/>
      <c r="O62" s="40"/>
      <c r="P62" s="40"/>
      <c r="Q62" s="40"/>
      <c r="R62" s="40"/>
      <c r="S62" s="40"/>
      <c r="T62" s="40"/>
      <c r="U62" s="40"/>
    </row>
    <row r="63" spans="1:40">
      <c r="A63" s="40"/>
      <c r="B63" s="40"/>
      <c r="C63" s="43"/>
      <c r="D63" s="73"/>
      <c r="F63" s="42"/>
      <c r="G63" s="40"/>
      <c r="H63" s="44"/>
      <c r="I63" s="40"/>
      <c r="J63" s="40"/>
      <c r="K63" s="40"/>
      <c r="L63" s="40"/>
      <c r="M63" s="40"/>
      <c r="N63" s="40"/>
      <c r="O63" s="40"/>
      <c r="P63" s="40"/>
      <c r="Q63" s="40"/>
      <c r="R63" s="40"/>
      <c r="S63" s="40"/>
      <c r="T63" s="40"/>
      <c r="U63" s="40"/>
    </row>
    <row r="64" spans="1:40">
      <c r="A64" s="40"/>
      <c r="B64" s="40"/>
      <c r="C64" s="43"/>
      <c r="D64" s="73"/>
      <c r="F64" s="42"/>
      <c r="G64" s="40"/>
      <c r="H64" s="44"/>
      <c r="I64" s="40"/>
      <c r="J64" s="40"/>
      <c r="K64" s="40"/>
      <c r="L64" s="40"/>
      <c r="M64" s="40"/>
      <c r="N64" s="40"/>
      <c r="O64" s="40"/>
      <c r="P64" s="40"/>
      <c r="Q64" s="40"/>
      <c r="R64" s="40"/>
      <c r="S64" s="40"/>
      <c r="T64" s="40"/>
      <c r="U64" s="40"/>
    </row>
    <row r="65" spans="1:37">
      <c r="A65" s="40"/>
      <c r="B65" s="40"/>
      <c r="C65" s="43"/>
      <c r="D65" s="73"/>
      <c r="F65" s="42"/>
      <c r="G65" s="40"/>
      <c r="H65" s="44"/>
      <c r="I65" s="40"/>
      <c r="J65" s="40"/>
      <c r="K65" s="40"/>
      <c r="L65" s="40"/>
      <c r="M65" s="40"/>
      <c r="N65" s="40"/>
      <c r="O65" s="40"/>
      <c r="P65" s="40"/>
      <c r="Q65" s="40"/>
      <c r="R65" s="40"/>
      <c r="S65" s="40"/>
      <c r="T65" s="40"/>
      <c r="U65" s="40"/>
    </row>
    <row r="66" spans="1:37">
      <c r="A66" s="40"/>
      <c r="B66" s="40"/>
      <c r="C66" s="43"/>
      <c r="D66" s="73"/>
      <c r="F66" s="42"/>
      <c r="G66" s="40"/>
      <c r="H66" s="44"/>
      <c r="I66" s="40"/>
      <c r="J66" s="40"/>
      <c r="K66" s="40"/>
      <c r="L66" s="40"/>
      <c r="M66" s="40"/>
      <c r="N66" s="40"/>
      <c r="O66" s="40"/>
      <c r="P66" s="40"/>
      <c r="Q66" s="40"/>
      <c r="R66" s="40"/>
      <c r="S66" s="40"/>
      <c r="T66" s="40"/>
      <c r="U66" s="40"/>
    </row>
    <row r="67" spans="1:37">
      <c r="A67" s="40"/>
      <c r="B67" s="40"/>
      <c r="C67" s="43"/>
      <c r="D67" s="73"/>
      <c r="F67" s="42"/>
      <c r="G67" s="40"/>
      <c r="H67" s="44"/>
      <c r="I67" s="40"/>
      <c r="J67" s="40"/>
      <c r="K67" s="40"/>
      <c r="L67" s="40"/>
      <c r="M67" s="40"/>
      <c r="N67" s="40"/>
      <c r="O67" s="40"/>
      <c r="P67" s="40"/>
      <c r="Q67" s="40"/>
      <c r="R67" s="40"/>
      <c r="S67" s="40"/>
      <c r="T67" s="40"/>
      <c r="U67" s="40"/>
    </row>
    <row r="68" spans="1:37">
      <c r="A68" s="40"/>
      <c r="B68" s="40"/>
      <c r="C68" s="43"/>
      <c r="D68" s="73"/>
      <c r="F68" s="42"/>
      <c r="G68" s="40"/>
      <c r="H68" s="44"/>
      <c r="I68" s="40"/>
      <c r="J68" s="40"/>
      <c r="K68" s="40"/>
      <c r="L68" s="40"/>
      <c r="M68" s="40"/>
      <c r="N68" s="40"/>
      <c r="O68" s="40"/>
      <c r="P68" s="40"/>
      <c r="Q68" s="40"/>
      <c r="R68" s="40"/>
      <c r="S68" s="40"/>
      <c r="T68" s="40"/>
      <c r="U68" s="40"/>
    </row>
    <row r="69" spans="1:37">
      <c r="A69" s="40"/>
      <c r="B69" s="40"/>
      <c r="C69" s="43"/>
      <c r="D69" s="73"/>
      <c r="F69" s="42"/>
      <c r="G69" s="40"/>
      <c r="H69" s="44"/>
      <c r="I69" s="40"/>
      <c r="J69" s="40"/>
      <c r="K69" s="40"/>
      <c r="L69" s="40"/>
      <c r="M69" s="40"/>
      <c r="N69" s="40"/>
      <c r="O69" s="40"/>
      <c r="P69" s="40"/>
      <c r="Q69" s="40"/>
      <c r="R69" s="40"/>
      <c r="S69" s="40"/>
      <c r="T69" s="40"/>
      <c r="U69" s="40"/>
    </row>
    <row r="70" spans="1:37">
      <c r="A70" s="40"/>
      <c r="B70" s="40"/>
      <c r="C70" s="43"/>
      <c r="D70" s="73"/>
      <c r="F70" s="42"/>
      <c r="G70" s="40"/>
      <c r="H70" s="44"/>
      <c r="I70" s="40"/>
      <c r="J70" s="40"/>
      <c r="K70" s="40"/>
      <c r="L70" s="40"/>
      <c r="M70" s="40"/>
      <c r="N70" s="40"/>
      <c r="O70" s="40"/>
      <c r="P70" s="40"/>
      <c r="Q70" s="40"/>
      <c r="R70" s="40"/>
      <c r="S70" s="40"/>
      <c r="T70" s="40"/>
      <c r="U70" s="40"/>
    </row>
    <row r="71" spans="1:37">
      <c r="A71" s="40"/>
      <c r="B71" s="40"/>
      <c r="C71" s="43"/>
      <c r="D71" s="73"/>
      <c r="F71" s="42"/>
      <c r="G71" s="40"/>
      <c r="H71" s="44"/>
      <c r="I71" s="40"/>
      <c r="J71" s="40"/>
      <c r="K71" s="40"/>
      <c r="L71" s="40"/>
      <c r="M71" s="40"/>
      <c r="N71" s="40"/>
      <c r="O71" s="40"/>
      <c r="P71" s="40"/>
      <c r="Q71" s="40"/>
      <c r="R71" s="40"/>
      <c r="S71" s="40"/>
      <c r="T71" s="40"/>
      <c r="U71" s="40"/>
    </row>
    <row r="72" spans="1:37">
      <c r="A72" s="40"/>
      <c r="B72" s="40"/>
      <c r="C72" s="43"/>
      <c r="D72" s="73"/>
      <c r="F72" s="42"/>
      <c r="G72" s="40"/>
      <c r="H72" s="44"/>
      <c r="I72" s="40"/>
      <c r="J72" s="40"/>
      <c r="K72" s="40"/>
      <c r="L72" s="40"/>
      <c r="M72" s="40"/>
      <c r="N72" s="40"/>
      <c r="O72" s="40"/>
      <c r="P72" s="40"/>
      <c r="Q72" s="40"/>
      <c r="R72" s="40"/>
      <c r="S72" s="40"/>
      <c r="T72" s="40"/>
      <c r="U72" s="40"/>
    </row>
    <row r="73" spans="1:37">
      <c r="A73" s="40"/>
      <c r="B73" s="40"/>
      <c r="C73" s="43"/>
      <c r="D73" s="73"/>
      <c r="F73" s="42"/>
      <c r="G73" s="40"/>
      <c r="H73" s="44"/>
      <c r="I73" s="40"/>
      <c r="J73" s="40"/>
      <c r="K73" s="40"/>
      <c r="L73" s="40"/>
      <c r="M73" s="40"/>
      <c r="N73" s="40"/>
      <c r="O73" s="40"/>
      <c r="P73" s="40"/>
      <c r="Q73" s="40"/>
      <c r="R73" s="40"/>
      <c r="S73" s="40"/>
      <c r="T73" s="40"/>
      <c r="U73" s="40"/>
    </row>
    <row r="74" spans="1:37">
      <c r="A74" s="40"/>
      <c r="B74" s="40"/>
      <c r="C74" s="43"/>
      <c r="D74" s="73"/>
      <c r="F74" s="42"/>
      <c r="G74" s="40"/>
      <c r="H74" s="44"/>
      <c r="I74" s="40"/>
      <c r="J74" s="40"/>
      <c r="K74" s="40"/>
      <c r="L74" s="40"/>
      <c r="M74" s="40"/>
      <c r="N74" s="40"/>
      <c r="O74" s="40"/>
      <c r="P74" s="40"/>
      <c r="Q74" s="40"/>
      <c r="R74" s="40"/>
      <c r="S74" s="40"/>
      <c r="T74" s="40"/>
      <c r="U74" s="40"/>
    </row>
    <row r="75" spans="1:37">
      <c r="A75" s="40"/>
      <c r="B75" s="40"/>
      <c r="C75" s="43"/>
      <c r="D75" s="73"/>
      <c r="F75" s="42"/>
      <c r="G75" s="40"/>
      <c r="H75" s="44"/>
      <c r="I75" s="40"/>
      <c r="J75" s="40"/>
      <c r="K75" s="40"/>
      <c r="L75" s="40"/>
      <c r="M75" s="40"/>
      <c r="N75" s="40"/>
      <c r="O75" s="40"/>
      <c r="P75" s="40"/>
      <c r="Q75" s="40"/>
      <c r="R75" s="40"/>
      <c r="S75" s="40"/>
      <c r="T75" s="40"/>
      <c r="U75" s="40"/>
    </row>
    <row r="76" spans="1:37">
      <c r="A76" s="40"/>
      <c r="B76" s="40"/>
      <c r="C76" s="43"/>
      <c r="D76" s="73"/>
      <c r="F76" s="42"/>
      <c r="G76" s="40"/>
      <c r="H76" s="44"/>
      <c r="I76" s="40"/>
      <c r="J76" s="40"/>
      <c r="K76" s="40"/>
      <c r="L76" s="40"/>
      <c r="M76" s="40"/>
      <c r="N76" s="40"/>
      <c r="O76" s="40"/>
      <c r="P76" s="40"/>
      <c r="Q76" s="40"/>
      <c r="R76" s="40"/>
      <c r="S76" s="40"/>
      <c r="T76" s="40"/>
      <c r="U76" s="40"/>
    </row>
    <row r="77" spans="1:37">
      <c r="A77" s="40"/>
      <c r="B77" s="40"/>
      <c r="C77" s="43"/>
      <c r="D77" s="73"/>
      <c r="F77" s="42"/>
      <c r="G77" s="40"/>
      <c r="H77" s="44"/>
      <c r="I77" s="40"/>
      <c r="J77" s="40"/>
      <c r="K77" s="40"/>
      <c r="L77" s="40"/>
      <c r="M77" s="40"/>
      <c r="N77" s="40"/>
      <c r="O77" s="40"/>
      <c r="P77" s="40"/>
      <c r="Q77" s="40"/>
      <c r="R77" s="40"/>
      <c r="S77" s="40"/>
      <c r="T77" s="40"/>
      <c r="U77" s="40"/>
    </row>
    <row r="78" spans="1:37">
      <c r="A78" s="40"/>
      <c r="B78" s="40"/>
      <c r="C78" s="43"/>
      <c r="D78" s="73"/>
      <c r="F78" s="42"/>
      <c r="G78" s="40"/>
      <c r="H78" s="44"/>
      <c r="I78" s="40"/>
      <c r="J78" s="40"/>
      <c r="K78" s="40"/>
      <c r="L78" s="40"/>
      <c r="M78" s="40"/>
      <c r="N78" s="40"/>
      <c r="O78" s="40"/>
      <c r="P78" s="40"/>
      <c r="Q78" s="40"/>
      <c r="R78" s="40"/>
      <c r="S78" s="40"/>
      <c r="T78" s="40"/>
      <c r="U78" s="40"/>
    </row>
    <row r="79" spans="1:37" s="86" customFormat="1" ht="15.6">
      <c r="A79" s="78"/>
      <c r="B79" s="78"/>
      <c r="C79" s="78"/>
      <c r="D79" s="79"/>
      <c r="E79" s="80"/>
      <c r="F79" s="78"/>
      <c r="G79" s="78"/>
      <c r="H79" s="81"/>
      <c r="I79" s="80"/>
      <c r="J79" s="80"/>
      <c r="K79" s="80"/>
      <c r="L79" s="82"/>
      <c r="M79" s="82"/>
      <c r="N79" s="83"/>
      <c r="O79" s="84"/>
      <c r="P79" s="83"/>
      <c r="Q79" s="84"/>
      <c r="R79" s="83"/>
      <c r="S79" s="84"/>
      <c r="T79" s="83"/>
      <c r="U79" s="84"/>
      <c r="V79" s="82"/>
      <c r="W79" s="80"/>
      <c r="X79" s="80"/>
      <c r="Y79" s="80"/>
      <c r="Z79" s="80"/>
      <c r="AA79" s="85"/>
      <c r="AB79" s="80"/>
      <c r="AC79" s="85"/>
      <c r="AD79" s="85"/>
      <c r="AE79" s="80"/>
      <c r="AF79" s="80"/>
      <c r="AG79" s="80"/>
      <c r="AI79" s="87"/>
      <c r="AJ79" s="88"/>
      <c r="AK79" s="88"/>
    </row>
    <row r="80" spans="1:37" s="86" customFormat="1" ht="15.6">
      <c r="A80" s="78"/>
      <c r="B80" s="78"/>
      <c r="C80" s="78"/>
      <c r="D80" s="79"/>
      <c r="E80" s="80"/>
      <c r="F80" s="78"/>
      <c r="G80" s="78"/>
      <c r="H80" s="81"/>
      <c r="I80" s="80"/>
      <c r="J80" s="80"/>
      <c r="K80" s="80"/>
      <c r="L80" s="82"/>
      <c r="M80" s="82"/>
      <c r="N80" s="82"/>
      <c r="O80" s="82"/>
      <c r="P80" s="82"/>
      <c r="Q80" s="82"/>
      <c r="R80" s="82"/>
      <c r="S80" s="82"/>
      <c r="T80" s="82"/>
      <c r="U80" s="82"/>
      <c r="V80" s="80"/>
      <c r="W80" s="80"/>
      <c r="X80" s="80"/>
      <c r="Y80" s="80"/>
      <c r="Z80" s="80"/>
      <c r="AA80" s="85"/>
      <c r="AB80" s="80"/>
      <c r="AC80" s="85"/>
      <c r="AD80" s="85"/>
      <c r="AE80" s="80"/>
      <c r="AF80" s="80"/>
      <c r="AG80" s="80"/>
      <c r="AI80" s="87"/>
      <c r="AJ80" s="88"/>
      <c r="AK80" s="88"/>
    </row>
    <row r="81" spans="1:37" s="86" customFormat="1" ht="15.6">
      <c r="A81" s="78"/>
      <c r="B81" s="78"/>
      <c r="C81" s="78"/>
      <c r="D81" s="79"/>
      <c r="E81" s="80"/>
      <c r="F81" s="78"/>
      <c r="G81" s="78"/>
      <c r="H81" s="81"/>
      <c r="I81" s="80"/>
      <c r="J81" s="80"/>
      <c r="K81" s="80"/>
      <c r="L81" s="82"/>
      <c r="M81" s="82"/>
      <c r="N81" s="82"/>
      <c r="O81" s="82"/>
      <c r="P81" s="82"/>
      <c r="Q81" s="82"/>
      <c r="R81" s="82"/>
      <c r="S81" s="82"/>
      <c r="T81" s="82"/>
      <c r="U81" s="82"/>
      <c r="V81" s="80"/>
      <c r="W81" s="80"/>
      <c r="X81" s="80"/>
      <c r="Y81" s="80"/>
      <c r="Z81" s="80"/>
      <c r="AA81" s="85"/>
      <c r="AB81" s="80"/>
      <c r="AC81" s="85"/>
      <c r="AD81" s="85"/>
      <c r="AE81" s="80"/>
      <c r="AF81" s="80"/>
      <c r="AG81" s="80"/>
      <c r="AI81" s="87"/>
      <c r="AJ81" s="88"/>
      <c r="AK81" s="88"/>
    </row>
    <row r="82" spans="1:37" s="86" customFormat="1" ht="15.6">
      <c r="A82" s="78"/>
      <c r="B82" s="78"/>
      <c r="C82" s="78"/>
      <c r="D82" s="79"/>
      <c r="E82" s="80"/>
      <c r="F82" s="78"/>
      <c r="G82" s="78"/>
      <c r="H82" s="81"/>
      <c r="I82" s="80"/>
      <c r="J82" s="80"/>
      <c r="K82" s="80"/>
      <c r="L82" s="82"/>
      <c r="M82" s="82"/>
      <c r="N82" s="82"/>
      <c r="O82" s="82"/>
      <c r="P82" s="82"/>
      <c r="Q82" s="82"/>
      <c r="R82" s="82"/>
      <c r="S82" s="82"/>
      <c r="T82" s="82"/>
      <c r="U82" s="82"/>
      <c r="V82" s="80"/>
      <c r="W82" s="80"/>
      <c r="X82" s="80"/>
      <c r="Y82" s="80"/>
      <c r="Z82" s="80"/>
      <c r="AA82" s="85"/>
      <c r="AB82" s="80"/>
      <c r="AC82" s="85"/>
      <c r="AD82" s="85"/>
      <c r="AE82" s="80"/>
      <c r="AF82" s="80"/>
      <c r="AG82" s="80"/>
      <c r="AI82" s="87"/>
      <c r="AJ82" s="88"/>
      <c r="AK82" s="88"/>
    </row>
    <row r="83" spans="1:37" s="86" customFormat="1" ht="15.6">
      <c r="A83" s="78"/>
      <c r="B83" s="78"/>
      <c r="C83" s="78"/>
      <c r="D83" s="79"/>
      <c r="E83" s="80"/>
      <c r="F83" s="78"/>
      <c r="G83" s="78"/>
      <c r="H83" s="81"/>
      <c r="I83" s="80"/>
      <c r="J83" s="80"/>
      <c r="K83" s="80"/>
      <c r="L83" s="82"/>
      <c r="M83" s="82"/>
      <c r="N83" s="82"/>
      <c r="O83" s="82"/>
      <c r="P83" s="82"/>
      <c r="Q83" s="82"/>
      <c r="R83" s="82"/>
      <c r="S83" s="82"/>
      <c r="T83" s="82"/>
      <c r="U83" s="82"/>
      <c r="V83" s="80"/>
      <c r="W83" s="80"/>
      <c r="X83" s="80"/>
      <c r="Y83" s="80"/>
      <c r="Z83" s="80"/>
      <c r="AA83" s="85"/>
      <c r="AB83" s="80"/>
      <c r="AC83" s="85"/>
      <c r="AD83" s="85"/>
      <c r="AE83" s="80"/>
      <c r="AF83" s="80"/>
      <c r="AG83" s="80"/>
      <c r="AI83" s="87"/>
      <c r="AJ83" s="88"/>
      <c r="AK83" s="88"/>
    </row>
    <row r="84" spans="1:37" s="86" customFormat="1" ht="15.6">
      <c r="A84" s="78"/>
      <c r="B84" s="78"/>
      <c r="C84" s="78"/>
      <c r="D84" s="79"/>
      <c r="E84" s="80"/>
      <c r="F84" s="78"/>
      <c r="G84" s="78"/>
      <c r="H84" s="81"/>
      <c r="I84" s="80"/>
      <c r="J84" s="80"/>
      <c r="K84" s="80"/>
      <c r="L84" s="82"/>
      <c r="M84" s="82"/>
      <c r="N84" s="82"/>
      <c r="O84" s="82"/>
      <c r="P84" s="82"/>
      <c r="Q84" s="82"/>
      <c r="R84" s="82"/>
      <c r="S84" s="82"/>
      <c r="T84" s="82"/>
      <c r="U84" s="82"/>
      <c r="V84" s="80"/>
      <c r="W84" s="80"/>
      <c r="X84" s="80"/>
      <c r="Y84" s="80"/>
      <c r="Z84" s="92"/>
      <c r="AA84" s="82"/>
      <c r="AB84" s="80"/>
      <c r="AC84" s="85"/>
      <c r="AD84" s="85"/>
      <c r="AE84" s="80"/>
      <c r="AF84" s="80"/>
      <c r="AG84" s="80"/>
      <c r="AI84" s="87"/>
      <c r="AJ84" s="88"/>
      <c r="AK84" s="88"/>
    </row>
    <row r="85" spans="1:37" s="86" customFormat="1" ht="15.6">
      <c r="A85" s="78"/>
      <c r="B85" s="78"/>
      <c r="C85" s="78"/>
      <c r="D85" s="79"/>
      <c r="E85" s="80"/>
      <c r="F85" s="78"/>
      <c r="G85" s="78"/>
      <c r="H85" s="81"/>
      <c r="I85" s="80"/>
      <c r="J85" s="80"/>
      <c r="K85" s="80"/>
      <c r="L85" s="82"/>
      <c r="M85" s="82"/>
      <c r="N85" s="82"/>
      <c r="O85" s="82"/>
      <c r="P85" s="82"/>
      <c r="Q85" s="82"/>
      <c r="R85" s="82"/>
      <c r="S85" s="82"/>
      <c r="T85" s="82"/>
      <c r="U85" s="82"/>
      <c r="V85" s="80"/>
      <c r="W85" s="80"/>
      <c r="X85" s="80"/>
      <c r="Y85" s="80"/>
      <c r="Z85" s="92"/>
      <c r="AA85" s="82"/>
      <c r="AB85" s="80"/>
      <c r="AC85" s="85"/>
      <c r="AD85" s="85"/>
      <c r="AE85" s="80"/>
      <c r="AF85" s="80"/>
      <c r="AG85" s="80"/>
      <c r="AI85" s="87"/>
      <c r="AJ85" s="88"/>
      <c r="AK85" s="88"/>
    </row>
    <row r="86" spans="1:37" s="86" customFormat="1" ht="15.6">
      <c r="A86" s="78"/>
      <c r="B86" s="78"/>
      <c r="C86" s="78"/>
      <c r="D86" s="79"/>
      <c r="E86" s="80"/>
      <c r="F86" s="78"/>
      <c r="G86" s="78"/>
      <c r="H86" s="81"/>
      <c r="I86" s="80"/>
      <c r="J86" s="80"/>
      <c r="K86" s="80"/>
      <c r="L86" s="82"/>
      <c r="M86" s="82"/>
      <c r="N86" s="82"/>
      <c r="O86" s="82"/>
      <c r="P86" s="82"/>
      <c r="Q86" s="82"/>
      <c r="R86" s="82"/>
      <c r="S86" s="82"/>
      <c r="T86" s="82"/>
      <c r="U86" s="82"/>
      <c r="V86" s="80"/>
      <c r="W86" s="80"/>
      <c r="X86" s="80"/>
      <c r="Y86" s="80"/>
      <c r="Z86" s="92"/>
      <c r="AA86" s="82"/>
      <c r="AB86" s="80"/>
      <c r="AC86" s="85"/>
      <c r="AD86" s="85"/>
      <c r="AE86" s="80"/>
      <c r="AF86" s="80"/>
      <c r="AG86" s="80"/>
      <c r="AI86" s="87"/>
      <c r="AJ86" s="88"/>
      <c r="AK86" s="88"/>
    </row>
    <row r="87" spans="1:37" s="86" customFormat="1" ht="15.6">
      <c r="A87" s="78"/>
      <c r="B87" s="78"/>
      <c r="C87" s="78"/>
      <c r="D87" s="79"/>
      <c r="E87" s="80"/>
      <c r="F87" s="78"/>
      <c r="G87" s="78"/>
      <c r="H87" s="81"/>
      <c r="I87" s="80"/>
      <c r="J87" s="80"/>
      <c r="K87" s="80"/>
      <c r="L87" s="82"/>
      <c r="M87" s="82"/>
      <c r="N87" s="82"/>
      <c r="O87" s="82"/>
      <c r="P87" s="82"/>
      <c r="Q87" s="82"/>
      <c r="R87" s="82"/>
      <c r="S87" s="82"/>
      <c r="T87" s="82"/>
      <c r="U87" s="82"/>
      <c r="V87" s="80"/>
      <c r="W87" s="80"/>
      <c r="X87" s="80"/>
      <c r="Y87" s="80"/>
      <c r="Z87" s="92"/>
      <c r="AA87" s="82"/>
      <c r="AB87" s="80"/>
      <c r="AC87" s="85"/>
      <c r="AD87" s="85"/>
      <c r="AE87" s="80"/>
      <c r="AF87" s="80"/>
      <c r="AG87" s="80"/>
      <c r="AI87" s="87"/>
      <c r="AJ87" s="88"/>
      <c r="AK87" s="88"/>
    </row>
    <row r="88" spans="1:37" s="86" customFormat="1" ht="15.6">
      <c r="A88" s="78"/>
      <c r="B88" s="78"/>
      <c r="C88" s="78"/>
      <c r="D88" s="79"/>
      <c r="E88" s="80"/>
      <c r="F88" s="78"/>
      <c r="G88" s="78"/>
      <c r="H88" s="81"/>
      <c r="I88" s="80"/>
      <c r="J88" s="80"/>
      <c r="K88" s="80"/>
      <c r="L88" s="82"/>
      <c r="M88" s="82"/>
      <c r="N88" s="82"/>
      <c r="O88" s="82"/>
      <c r="P88" s="82"/>
      <c r="Q88" s="82"/>
      <c r="R88" s="82"/>
      <c r="S88" s="82"/>
      <c r="T88" s="82"/>
      <c r="U88" s="82"/>
      <c r="V88" s="80"/>
      <c r="W88" s="80"/>
      <c r="X88" s="80"/>
      <c r="Y88" s="80"/>
      <c r="Z88" s="92"/>
      <c r="AA88" s="82"/>
      <c r="AB88" s="80"/>
      <c r="AC88" s="85"/>
      <c r="AD88" s="85"/>
      <c r="AE88" s="80"/>
      <c r="AF88" s="80"/>
      <c r="AG88" s="80"/>
      <c r="AI88" s="87"/>
      <c r="AJ88" s="88"/>
      <c r="AK88" s="88"/>
    </row>
    <row r="89" spans="1:37">
      <c r="A89" s="78"/>
      <c r="B89" s="40"/>
      <c r="C89" s="78"/>
      <c r="D89" s="73"/>
      <c r="E89" s="80"/>
      <c r="F89" s="78"/>
      <c r="G89" s="78"/>
      <c r="H89" s="44"/>
      <c r="I89" s="40"/>
      <c r="J89" s="40"/>
      <c r="K89" s="40"/>
      <c r="L89" s="82"/>
      <c r="M89" s="82"/>
      <c r="N89" s="82"/>
      <c r="O89" s="82"/>
      <c r="P89" s="82"/>
      <c r="Q89" s="82"/>
      <c r="R89" s="82"/>
      <c r="S89" s="82"/>
      <c r="T89" s="82"/>
      <c r="U89" s="82"/>
      <c r="V89" s="80"/>
      <c r="W89" s="80"/>
      <c r="X89" s="80"/>
      <c r="Y89" s="80"/>
      <c r="Z89" s="92"/>
      <c r="AA89" s="82"/>
    </row>
    <row r="90" spans="1:37">
      <c r="A90" s="78"/>
      <c r="B90" s="40"/>
      <c r="C90" s="78"/>
      <c r="D90" s="73"/>
      <c r="E90" s="80"/>
      <c r="F90" s="78"/>
      <c r="G90" s="78"/>
      <c r="H90" s="44"/>
      <c r="I90" s="40"/>
      <c r="J90" s="40"/>
      <c r="K90" s="40"/>
      <c r="L90" s="82"/>
      <c r="M90" s="82"/>
      <c r="N90" s="82"/>
      <c r="O90" s="82"/>
      <c r="P90" s="82"/>
      <c r="Q90" s="82"/>
      <c r="R90" s="82"/>
      <c r="S90" s="82"/>
      <c r="T90" s="82"/>
      <c r="U90" s="82"/>
      <c r="V90" s="80"/>
      <c r="W90" s="80"/>
      <c r="X90" s="80"/>
      <c r="Y90" s="80"/>
      <c r="Z90" s="92"/>
      <c r="AA90" s="82"/>
    </row>
    <row r="91" spans="1:37">
      <c r="A91" s="78"/>
      <c r="B91" s="40"/>
      <c r="C91" s="78"/>
      <c r="D91" s="73"/>
      <c r="E91" s="80"/>
      <c r="F91" s="78"/>
      <c r="G91" s="78"/>
      <c r="H91" s="44"/>
      <c r="I91" s="40"/>
      <c r="J91" s="40"/>
      <c r="K91" s="40"/>
      <c r="L91" s="82"/>
      <c r="M91" s="82"/>
      <c r="N91" s="82"/>
      <c r="O91" s="82"/>
      <c r="P91" s="82"/>
      <c r="Q91" s="82"/>
      <c r="R91" s="82"/>
      <c r="S91" s="82"/>
      <c r="T91" s="82"/>
      <c r="U91" s="82"/>
      <c r="V91" s="80"/>
      <c r="W91" s="80"/>
      <c r="X91" s="80"/>
      <c r="Y91" s="80"/>
      <c r="Z91" s="92"/>
      <c r="AA91" s="82"/>
    </row>
    <row r="92" spans="1:37">
      <c r="A92" s="78"/>
      <c r="B92" s="40"/>
      <c r="C92" s="78"/>
      <c r="D92" s="73"/>
      <c r="E92" s="80"/>
      <c r="F92" s="78"/>
      <c r="G92" s="78"/>
      <c r="H92" s="44"/>
      <c r="I92" s="40"/>
      <c r="J92" s="40"/>
      <c r="K92" s="40"/>
      <c r="L92" s="82"/>
      <c r="M92" s="82"/>
      <c r="N92" s="82"/>
      <c r="O92" s="82"/>
      <c r="P92" s="82"/>
      <c r="Q92" s="82"/>
      <c r="R92" s="82"/>
      <c r="S92" s="82"/>
      <c r="T92" s="82"/>
      <c r="U92" s="82"/>
      <c r="V92" s="80"/>
      <c r="W92" s="80"/>
      <c r="X92" s="80"/>
      <c r="Y92" s="80"/>
      <c r="Z92" s="92"/>
      <c r="AA92" s="82"/>
    </row>
    <row r="93" spans="1:37">
      <c r="A93" s="40"/>
      <c r="B93" s="40"/>
      <c r="C93" s="43"/>
      <c r="D93" s="73"/>
      <c r="F93" s="42"/>
      <c r="G93" s="40"/>
      <c r="H93" s="44"/>
      <c r="I93" s="40"/>
      <c r="J93" s="40"/>
      <c r="K93" s="40"/>
      <c r="L93" s="82"/>
      <c r="M93" s="82"/>
      <c r="N93" s="82"/>
      <c r="O93" s="82"/>
      <c r="P93" s="82"/>
      <c r="Q93" s="82"/>
      <c r="R93" s="82"/>
      <c r="S93" s="82"/>
      <c r="T93" s="82"/>
      <c r="U93" s="82"/>
      <c r="V93" s="80"/>
      <c r="W93" s="80"/>
      <c r="X93" s="80"/>
      <c r="Y93" s="80"/>
      <c r="Z93" s="92"/>
      <c r="AA93" s="82"/>
    </row>
    <row r="94" spans="1:37">
      <c r="A94" s="40"/>
      <c r="B94" s="40"/>
      <c r="C94" s="43"/>
      <c r="D94" s="73"/>
      <c r="F94" s="42"/>
      <c r="G94" s="40"/>
      <c r="H94" s="44"/>
      <c r="I94" s="40"/>
      <c r="J94" s="40"/>
      <c r="K94" s="40"/>
      <c r="L94" s="2"/>
      <c r="N94" s="2"/>
      <c r="P94" s="2"/>
      <c r="R94" s="2"/>
      <c r="T94" s="2"/>
      <c r="Z94" s="2"/>
    </row>
    <row r="95" spans="1:37">
      <c r="A95" s="40"/>
      <c r="B95" s="40"/>
      <c r="C95" s="43"/>
      <c r="D95" s="73"/>
      <c r="F95" s="42"/>
      <c r="G95" s="40"/>
      <c r="H95" s="44"/>
      <c r="I95" s="40"/>
      <c r="J95" s="40"/>
      <c r="K95" s="40"/>
      <c r="L95" s="40"/>
      <c r="M95" s="40"/>
      <c r="N95" s="40"/>
      <c r="O95" s="40"/>
      <c r="P95" s="40"/>
      <c r="Q95" s="40"/>
      <c r="R95" s="40"/>
      <c r="S95" s="40"/>
      <c r="T95" s="40"/>
      <c r="U95" s="40"/>
    </row>
    <row r="96" spans="1:37">
      <c r="A96" s="40"/>
      <c r="B96" s="40"/>
      <c r="C96" s="43"/>
      <c r="D96" s="73"/>
      <c r="F96" s="42"/>
      <c r="G96" s="40"/>
      <c r="H96" s="44"/>
      <c r="I96" s="40"/>
      <c r="J96" s="40"/>
      <c r="K96" s="40"/>
      <c r="L96" s="40"/>
      <c r="M96" s="40"/>
      <c r="N96" s="40"/>
      <c r="O96" s="40"/>
      <c r="P96" s="40"/>
      <c r="Q96" s="40"/>
      <c r="R96" s="40"/>
      <c r="S96" s="40"/>
      <c r="T96" s="40"/>
      <c r="U96" s="40"/>
    </row>
    <row r="97" spans="1:21">
      <c r="A97" s="40"/>
      <c r="B97" s="40"/>
      <c r="C97" s="43"/>
      <c r="D97" s="73"/>
      <c r="F97" s="42"/>
      <c r="G97" s="40"/>
      <c r="H97" s="44"/>
      <c r="I97" s="40"/>
      <c r="J97" s="40"/>
      <c r="K97" s="40"/>
      <c r="L97" s="40"/>
      <c r="M97" s="40"/>
      <c r="N97" s="40"/>
      <c r="O97" s="40"/>
      <c r="P97" s="40"/>
      <c r="Q97" s="40"/>
      <c r="R97" s="40"/>
      <c r="S97" s="40"/>
      <c r="T97" s="40"/>
      <c r="U97" s="40"/>
    </row>
    <row r="98" spans="1:21">
      <c r="A98" s="40"/>
      <c r="B98" s="40"/>
      <c r="C98" s="43"/>
      <c r="D98" s="73"/>
      <c r="F98" s="42"/>
      <c r="G98" s="40"/>
      <c r="H98" s="44"/>
      <c r="I98" s="40"/>
      <c r="J98" s="40"/>
      <c r="K98" s="40"/>
      <c r="L98" s="40"/>
      <c r="M98" s="40"/>
      <c r="N98" s="40"/>
      <c r="O98" s="40"/>
      <c r="P98" s="40"/>
      <c r="Q98" s="40"/>
      <c r="R98" s="40"/>
      <c r="S98" s="40"/>
      <c r="T98" s="40"/>
      <c r="U98" s="40"/>
    </row>
    <row r="99" spans="1:21">
      <c r="A99" s="40"/>
      <c r="B99" s="40"/>
      <c r="C99" s="43"/>
      <c r="D99" s="73"/>
      <c r="F99" s="42"/>
      <c r="G99" s="40"/>
      <c r="H99" s="44"/>
      <c r="I99" s="40"/>
      <c r="J99" s="40"/>
      <c r="K99" s="40"/>
      <c r="L99" s="40"/>
      <c r="M99" s="40"/>
      <c r="N99" s="40"/>
      <c r="O99" s="40"/>
      <c r="P99" s="40"/>
      <c r="Q99" s="40"/>
      <c r="R99" s="40"/>
      <c r="S99" s="40"/>
      <c r="T99" s="40"/>
      <c r="U99" s="40"/>
    </row>
    <row r="100" spans="1:21">
      <c r="A100" s="40"/>
      <c r="B100" s="40"/>
      <c r="C100" s="43"/>
      <c r="D100" s="73"/>
      <c r="F100" s="42"/>
      <c r="G100" s="40"/>
      <c r="H100" s="44"/>
      <c r="I100" s="40"/>
      <c r="J100" s="40"/>
      <c r="K100" s="40"/>
      <c r="L100" s="40"/>
      <c r="M100" s="40"/>
      <c r="N100" s="40"/>
      <c r="O100" s="40"/>
      <c r="P100" s="40"/>
      <c r="Q100" s="40"/>
      <c r="R100" s="40"/>
      <c r="S100" s="40"/>
      <c r="T100" s="40"/>
      <c r="U100" s="40"/>
    </row>
    <row r="101" spans="1:21">
      <c r="A101" s="40"/>
      <c r="B101" s="40"/>
      <c r="C101" s="43"/>
      <c r="D101" s="73"/>
      <c r="F101" s="42"/>
      <c r="G101" s="40"/>
      <c r="H101" s="44"/>
      <c r="I101" s="40"/>
      <c r="J101" s="40"/>
      <c r="K101" s="40"/>
      <c r="L101" s="40"/>
      <c r="M101" s="40"/>
      <c r="N101" s="40"/>
      <c r="O101" s="40"/>
      <c r="P101" s="40"/>
      <c r="Q101" s="40"/>
      <c r="R101" s="40"/>
      <c r="S101" s="40"/>
      <c r="T101" s="40"/>
      <c r="U101" s="40"/>
    </row>
    <row r="102" spans="1:21">
      <c r="A102" s="40"/>
      <c r="B102" s="40"/>
      <c r="C102" s="43"/>
      <c r="D102" s="73"/>
      <c r="F102" s="42"/>
      <c r="G102" s="40"/>
      <c r="H102" s="44"/>
      <c r="I102" s="40"/>
      <c r="J102" s="40"/>
      <c r="K102" s="40"/>
      <c r="L102" s="40"/>
      <c r="M102" s="40"/>
      <c r="N102" s="40"/>
      <c r="O102" s="40"/>
      <c r="P102" s="40"/>
      <c r="Q102" s="40"/>
      <c r="R102" s="40"/>
      <c r="S102" s="40"/>
      <c r="T102" s="40"/>
      <c r="U102" s="40"/>
    </row>
    <row r="103" spans="1:21">
      <c r="A103" s="40"/>
      <c r="B103" s="40"/>
      <c r="C103" s="43"/>
      <c r="D103" s="73"/>
      <c r="F103" s="42"/>
      <c r="G103" s="40"/>
      <c r="H103" s="44"/>
      <c r="I103" s="40"/>
      <c r="J103" s="40"/>
      <c r="K103" s="40"/>
      <c r="L103" s="40"/>
      <c r="M103" s="40"/>
      <c r="N103" s="40"/>
      <c r="O103" s="40"/>
      <c r="P103" s="40"/>
      <c r="Q103" s="40"/>
      <c r="R103" s="40"/>
      <c r="S103" s="40"/>
      <c r="T103" s="40"/>
      <c r="U103" s="40"/>
    </row>
    <row r="104" spans="1:21">
      <c r="A104" s="40"/>
      <c r="B104" s="40"/>
      <c r="C104" s="43"/>
      <c r="D104" s="73"/>
      <c r="F104" s="42"/>
      <c r="G104" s="40"/>
      <c r="H104" s="44"/>
      <c r="I104" s="40"/>
      <c r="J104" s="40"/>
      <c r="K104" s="40"/>
      <c r="L104" s="40"/>
      <c r="M104" s="40"/>
      <c r="N104" s="40"/>
      <c r="O104" s="40"/>
      <c r="P104" s="40"/>
      <c r="Q104" s="40"/>
      <c r="R104" s="40"/>
      <c r="S104" s="40"/>
      <c r="T104" s="40"/>
      <c r="U104" s="40"/>
    </row>
    <row r="105" spans="1:21">
      <c r="A105" s="40"/>
      <c r="B105" s="40"/>
      <c r="C105" s="43"/>
      <c r="D105" s="73"/>
      <c r="F105" s="42"/>
      <c r="G105" s="40"/>
      <c r="H105" s="44"/>
      <c r="I105" s="40"/>
      <c r="J105" s="40"/>
      <c r="K105" s="40"/>
      <c r="L105" s="40"/>
      <c r="M105" s="40"/>
      <c r="N105" s="40"/>
      <c r="O105" s="40"/>
      <c r="P105" s="40"/>
      <c r="Q105" s="40"/>
      <c r="R105" s="40"/>
      <c r="S105" s="40"/>
      <c r="T105" s="40"/>
      <c r="U105" s="40"/>
    </row>
    <row r="106" spans="1:21">
      <c r="A106" s="40"/>
      <c r="B106" s="40"/>
      <c r="C106" s="43"/>
      <c r="D106" s="73"/>
      <c r="F106" s="42"/>
      <c r="G106" s="40"/>
      <c r="H106" s="44"/>
      <c r="I106" s="40"/>
      <c r="J106" s="40"/>
      <c r="K106" s="40"/>
      <c r="L106" s="40"/>
      <c r="M106" s="40"/>
      <c r="N106" s="40"/>
      <c r="O106" s="40"/>
      <c r="P106" s="40"/>
      <c r="Q106" s="40"/>
      <c r="R106" s="40"/>
      <c r="S106" s="40"/>
      <c r="T106" s="40"/>
      <c r="U106" s="40"/>
    </row>
    <row r="107" spans="1:21">
      <c r="A107" s="40"/>
      <c r="B107" s="40"/>
      <c r="C107" s="43"/>
      <c r="D107" s="73"/>
      <c r="F107" s="42"/>
      <c r="G107" s="40"/>
      <c r="H107" s="44"/>
      <c r="I107" s="40"/>
      <c r="J107" s="40"/>
      <c r="K107" s="40"/>
      <c r="L107" s="40"/>
      <c r="M107" s="40"/>
      <c r="N107" s="40"/>
      <c r="O107" s="40"/>
      <c r="P107" s="40"/>
      <c r="Q107" s="40"/>
      <c r="R107" s="40"/>
      <c r="S107" s="40"/>
      <c r="T107" s="40"/>
      <c r="U107" s="40"/>
    </row>
    <row r="108" spans="1:21">
      <c r="A108" s="40"/>
      <c r="B108" s="40"/>
      <c r="C108" s="43"/>
      <c r="D108" s="73"/>
      <c r="F108" s="42"/>
      <c r="G108" s="40"/>
      <c r="H108" s="44"/>
      <c r="I108" s="40"/>
      <c r="J108" s="40"/>
      <c r="K108" s="40"/>
      <c r="L108" s="40"/>
      <c r="M108" s="40"/>
      <c r="N108" s="40"/>
      <c r="O108" s="40"/>
      <c r="P108" s="40"/>
      <c r="Q108" s="40"/>
      <c r="R108" s="40"/>
      <c r="S108" s="40"/>
      <c r="T108" s="40"/>
      <c r="U108" s="40"/>
    </row>
    <row r="109" spans="1:21">
      <c r="A109" s="40"/>
      <c r="B109" s="40"/>
      <c r="C109" s="43"/>
      <c r="D109" s="73"/>
      <c r="F109" s="42"/>
      <c r="G109" s="40"/>
      <c r="H109" s="44"/>
      <c r="I109" s="40"/>
      <c r="J109" s="40"/>
      <c r="K109" s="40"/>
      <c r="L109" s="40"/>
      <c r="M109" s="40"/>
      <c r="N109" s="40"/>
      <c r="O109" s="40"/>
      <c r="P109" s="40"/>
      <c r="Q109" s="40"/>
      <c r="R109" s="40"/>
      <c r="S109" s="40"/>
      <c r="T109" s="40"/>
      <c r="U109" s="40"/>
    </row>
    <row r="110" spans="1:21">
      <c r="A110" s="40"/>
      <c r="B110" s="40"/>
      <c r="C110" s="43"/>
      <c r="D110" s="73"/>
      <c r="F110" s="42"/>
      <c r="G110" s="40"/>
      <c r="H110" s="44"/>
      <c r="I110" s="40"/>
      <c r="J110" s="40"/>
      <c r="K110" s="40"/>
      <c r="L110" s="40"/>
      <c r="M110" s="40"/>
      <c r="N110" s="40"/>
      <c r="O110" s="40"/>
      <c r="P110" s="40"/>
      <c r="Q110" s="40"/>
      <c r="R110" s="40"/>
      <c r="S110" s="40"/>
      <c r="T110" s="40"/>
      <c r="U110" s="40"/>
    </row>
    <row r="111" spans="1:21">
      <c r="A111" s="40"/>
      <c r="B111" s="40"/>
      <c r="C111" s="43"/>
      <c r="D111" s="73"/>
      <c r="F111" s="42"/>
      <c r="G111" s="40"/>
      <c r="H111" s="44"/>
      <c r="I111" s="40"/>
      <c r="J111" s="40"/>
      <c r="K111" s="40"/>
      <c r="L111" s="40"/>
      <c r="M111" s="40"/>
      <c r="N111" s="40"/>
      <c r="O111" s="40"/>
      <c r="P111" s="40"/>
      <c r="Q111" s="40"/>
      <c r="R111" s="40"/>
      <c r="S111" s="40"/>
      <c r="T111" s="40"/>
      <c r="U111" s="40"/>
    </row>
    <row r="112" spans="1:21">
      <c r="A112" s="40"/>
      <c r="B112" s="40"/>
      <c r="C112" s="43"/>
      <c r="D112" s="73"/>
      <c r="F112" s="42"/>
      <c r="G112" s="40"/>
      <c r="H112" s="44"/>
      <c r="I112" s="40"/>
      <c r="J112" s="40"/>
      <c r="K112" s="40"/>
      <c r="L112" s="40"/>
      <c r="M112" s="40"/>
      <c r="N112" s="40"/>
      <c r="O112" s="40"/>
      <c r="P112" s="40"/>
      <c r="Q112" s="40"/>
      <c r="R112" s="40"/>
      <c r="S112" s="40"/>
      <c r="T112" s="40"/>
      <c r="U112" s="40"/>
    </row>
    <row r="113" spans="1:21">
      <c r="A113" s="40"/>
      <c r="B113" s="40"/>
      <c r="C113" s="43"/>
      <c r="D113" s="73"/>
      <c r="F113" s="42"/>
      <c r="G113" s="40"/>
      <c r="H113" s="44"/>
      <c r="I113" s="40"/>
      <c r="J113" s="40"/>
      <c r="K113" s="40"/>
      <c r="L113" s="40"/>
      <c r="M113" s="40"/>
      <c r="N113" s="40"/>
      <c r="O113" s="40"/>
      <c r="P113" s="40"/>
      <c r="Q113" s="40"/>
      <c r="R113" s="40"/>
      <c r="S113" s="40"/>
      <c r="T113" s="40"/>
      <c r="U113" s="40"/>
    </row>
    <row r="114" spans="1:21">
      <c r="A114" s="40"/>
      <c r="B114" s="40"/>
      <c r="C114" s="43"/>
      <c r="D114" s="73"/>
      <c r="F114" s="42"/>
      <c r="G114" s="40"/>
      <c r="H114" s="44"/>
      <c r="I114" s="40"/>
      <c r="J114" s="40"/>
      <c r="K114" s="40"/>
      <c r="L114" s="40"/>
      <c r="M114" s="40"/>
      <c r="N114" s="40"/>
      <c r="O114" s="40"/>
      <c r="P114" s="40"/>
      <c r="Q114" s="40"/>
      <c r="R114" s="40"/>
      <c r="S114" s="40"/>
      <c r="T114" s="40"/>
      <c r="U114" s="40"/>
    </row>
    <row r="115" spans="1:21">
      <c r="A115" s="40"/>
      <c r="B115" s="40"/>
      <c r="C115" s="43"/>
      <c r="D115" s="73"/>
      <c r="F115" s="42"/>
      <c r="G115" s="40"/>
      <c r="H115" s="44"/>
      <c r="I115" s="40"/>
      <c r="J115" s="40"/>
      <c r="K115" s="40"/>
      <c r="L115" s="40"/>
      <c r="M115" s="40"/>
      <c r="N115" s="40"/>
      <c r="O115" s="40"/>
      <c r="P115" s="40"/>
      <c r="Q115" s="40"/>
      <c r="R115" s="40"/>
      <c r="S115" s="40"/>
      <c r="T115" s="40"/>
      <c r="U115" s="40"/>
    </row>
    <row r="116" spans="1:21">
      <c r="A116" s="40"/>
      <c r="B116" s="40"/>
      <c r="C116" s="43"/>
      <c r="D116" s="73"/>
      <c r="F116" s="42"/>
      <c r="G116" s="40"/>
      <c r="H116" s="44"/>
      <c r="I116" s="40"/>
      <c r="J116" s="40"/>
      <c r="K116" s="40"/>
      <c r="L116" s="40"/>
      <c r="M116" s="40"/>
      <c r="N116" s="40"/>
      <c r="O116" s="40"/>
      <c r="P116" s="40"/>
      <c r="Q116" s="40"/>
      <c r="R116" s="40"/>
      <c r="S116" s="40"/>
      <c r="T116" s="40"/>
      <c r="U116" s="40"/>
    </row>
    <row r="117" spans="1:21">
      <c r="A117" s="40"/>
      <c r="B117" s="40"/>
      <c r="C117" s="43"/>
      <c r="D117" s="73"/>
      <c r="F117" s="42"/>
      <c r="G117" s="40"/>
      <c r="H117" s="44"/>
      <c r="I117" s="40"/>
      <c r="J117" s="40"/>
      <c r="K117" s="40"/>
      <c r="L117" s="40"/>
      <c r="M117" s="40"/>
      <c r="N117" s="40"/>
      <c r="O117" s="40"/>
      <c r="P117" s="40"/>
      <c r="Q117" s="40"/>
      <c r="R117" s="40"/>
      <c r="S117" s="40"/>
      <c r="T117" s="40"/>
      <c r="U117" s="40"/>
    </row>
    <row r="118" spans="1:21">
      <c r="A118" s="40"/>
      <c r="B118" s="40"/>
      <c r="C118" s="43"/>
      <c r="D118" s="73"/>
      <c r="F118" s="42"/>
      <c r="G118" s="40"/>
      <c r="H118" s="44"/>
      <c r="I118" s="40"/>
      <c r="J118" s="40"/>
      <c r="K118" s="40"/>
      <c r="L118" s="40"/>
      <c r="M118" s="40"/>
      <c r="N118" s="40"/>
      <c r="O118" s="40"/>
      <c r="P118" s="40"/>
      <c r="Q118" s="40"/>
      <c r="R118" s="40"/>
      <c r="S118" s="40"/>
      <c r="T118" s="40"/>
      <c r="U118" s="40"/>
    </row>
    <row r="119" spans="1:21">
      <c r="A119" s="40"/>
      <c r="B119" s="40"/>
      <c r="C119" s="43"/>
      <c r="D119" s="73"/>
      <c r="F119" s="42"/>
      <c r="G119" s="40"/>
      <c r="H119" s="44"/>
      <c r="I119" s="40"/>
      <c r="J119" s="40"/>
      <c r="K119" s="40"/>
      <c r="L119" s="40"/>
      <c r="M119" s="40"/>
      <c r="N119" s="40"/>
      <c r="O119" s="40"/>
      <c r="P119" s="40"/>
      <c r="Q119" s="40"/>
      <c r="R119" s="40"/>
      <c r="S119" s="40"/>
      <c r="T119" s="40"/>
      <c r="U119" s="40"/>
    </row>
    <row r="120" spans="1:21">
      <c r="A120" s="40"/>
      <c r="B120" s="40"/>
      <c r="C120" s="43"/>
      <c r="D120" s="73"/>
      <c r="F120" s="42"/>
      <c r="G120" s="40"/>
      <c r="H120" s="44"/>
      <c r="I120" s="40"/>
      <c r="J120" s="40"/>
      <c r="K120" s="40"/>
      <c r="L120" s="40"/>
      <c r="M120" s="40"/>
      <c r="N120" s="40"/>
      <c r="O120" s="40"/>
      <c r="P120" s="40"/>
      <c r="Q120" s="40"/>
      <c r="R120" s="40"/>
      <c r="S120" s="40"/>
      <c r="T120" s="40"/>
      <c r="U120" s="40"/>
    </row>
    <row r="121" spans="1:21">
      <c r="A121" s="40"/>
      <c r="B121" s="40"/>
      <c r="C121" s="43"/>
      <c r="D121" s="73"/>
      <c r="F121" s="42"/>
      <c r="G121" s="40"/>
      <c r="H121" s="44"/>
      <c r="I121" s="40"/>
      <c r="J121" s="40"/>
      <c r="K121" s="40"/>
      <c r="L121" s="40"/>
      <c r="M121" s="40"/>
      <c r="N121" s="40"/>
      <c r="O121" s="40"/>
      <c r="P121" s="40"/>
      <c r="Q121" s="40"/>
      <c r="R121" s="40"/>
      <c r="S121" s="40"/>
      <c r="T121" s="40"/>
      <c r="U121" s="40"/>
    </row>
    <row r="122" spans="1:21">
      <c r="A122" s="40"/>
      <c r="B122" s="40"/>
      <c r="C122" s="43"/>
      <c r="D122" s="73"/>
      <c r="F122" s="42"/>
      <c r="G122" s="40"/>
      <c r="H122" s="44"/>
      <c r="I122" s="40"/>
      <c r="J122" s="40"/>
      <c r="K122" s="40"/>
      <c r="L122" s="40"/>
      <c r="M122" s="40"/>
      <c r="N122" s="40"/>
      <c r="O122" s="40"/>
      <c r="P122" s="40"/>
      <c r="Q122" s="40"/>
      <c r="R122" s="40"/>
      <c r="S122" s="40"/>
      <c r="T122" s="40"/>
      <c r="U122" s="40"/>
    </row>
    <row r="123" spans="1:21">
      <c r="A123" s="40"/>
      <c r="B123" s="40"/>
      <c r="C123" s="43"/>
      <c r="D123" s="73"/>
      <c r="F123" s="42"/>
      <c r="G123" s="40"/>
      <c r="H123" s="44"/>
      <c r="I123" s="40"/>
      <c r="J123" s="40"/>
      <c r="K123" s="40"/>
      <c r="L123" s="40"/>
      <c r="M123" s="40"/>
      <c r="N123" s="40"/>
      <c r="O123" s="40"/>
      <c r="P123" s="40"/>
      <c r="Q123" s="40"/>
      <c r="R123" s="40"/>
      <c r="S123" s="40"/>
      <c r="T123" s="40"/>
      <c r="U123" s="40"/>
    </row>
    <row r="124" spans="1:21">
      <c r="A124" s="40"/>
      <c r="B124" s="40"/>
      <c r="C124" s="43"/>
      <c r="D124" s="73"/>
      <c r="F124" s="42"/>
      <c r="G124" s="40"/>
      <c r="H124" s="44"/>
      <c r="I124" s="40"/>
      <c r="J124" s="40"/>
      <c r="K124" s="40"/>
      <c r="L124" s="40"/>
      <c r="M124" s="40"/>
      <c r="N124" s="40"/>
      <c r="O124" s="40"/>
      <c r="P124" s="40"/>
      <c r="Q124" s="40"/>
      <c r="R124" s="40"/>
      <c r="S124" s="40"/>
      <c r="T124" s="40"/>
      <c r="U124" s="40"/>
    </row>
    <row r="125" spans="1:21">
      <c r="A125" s="40"/>
      <c r="B125" s="40"/>
      <c r="C125" s="40"/>
      <c r="D125" s="45"/>
      <c r="F125" s="40"/>
      <c r="G125" s="40"/>
      <c r="H125" s="44"/>
      <c r="I125" s="40"/>
      <c r="J125" s="40"/>
      <c r="K125" s="40"/>
      <c r="L125" s="40"/>
      <c r="M125" s="40"/>
      <c r="N125" s="40"/>
      <c r="O125" s="40"/>
      <c r="P125" s="40"/>
      <c r="Q125" s="40"/>
      <c r="R125" s="40"/>
      <c r="S125" s="40"/>
      <c r="T125" s="40"/>
      <c r="U125" s="41"/>
    </row>
    <row r="126" spans="1:21">
      <c r="A126" s="40"/>
      <c r="B126" s="40"/>
      <c r="C126" s="40"/>
      <c r="D126" s="45"/>
      <c r="F126" s="40"/>
      <c r="G126" s="40"/>
      <c r="H126" s="44"/>
      <c r="I126" s="40"/>
      <c r="J126" s="40"/>
      <c r="K126" s="40"/>
      <c r="L126" s="40"/>
      <c r="M126" s="40"/>
      <c r="N126" s="40"/>
      <c r="O126" s="40"/>
      <c r="P126" s="40"/>
      <c r="Q126" s="40"/>
      <c r="R126" s="40"/>
      <c r="S126" s="40"/>
      <c r="T126" s="40"/>
      <c r="U126" s="40"/>
    </row>
    <row r="127" spans="1:21">
      <c r="A127" s="40"/>
      <c r="B127" s="40"/>
      <c r="C127" s="40"/>
      <c r="D127" s="45"/>
      <c r="F127" s="40"/>
      <c r="G127" s="40"/>
      <c r="H127" s="44"/>
      <c r="I127" s="40"/>
      <c r="J127" s="40"/>
      <c r="K127" s="40"/>
      <c r="L127" s="41"/>
      <c r="M127" s="41"/>
      <c r="N127" s="41"/>
      <c r="O127" s="41"/>
      <c r="P127" s="41"/>
      <c r="Q127" s="41"/>
      <c r="R127" s="41"/>
      <c r="S127" s="41"/>
      <c r="T127" s="41"/>
      <c r="U127" s="41"/>
    </row>
    <row r="128" spans="1:21">
      <c r="A128" s="40"/>
      <c r="B128" s="40"/>
      <c r="C128" s="40"/>
      <c r="D128" s="45"/>
      <c r="F128" s="40"/>
      <c r="G128" s="40"/>
      <c r="H128" s="44"/>
      <c r="I128" s="40"/>
      <c r="J128" s="40"/>
      <c r="K128" s="40"/>
      <c r="L128" s="40"/>
      <c r="M128" s="40"/>
      <c r="N128" s="40"/>
      <c r="O128" s="40"/>
      <c r="P128" s="40"/>
      <c r="Q128" s="40"/>
      <c r="R128" s="40"/>
      <c r="S128" s="40"/>
      <c r="T128" s="40"/>
      <c r="U128" s="40"/>
    </row>
    <row r="129" spans="1:21">
      <c r="A129" s="40"/>
      <c r="B129" s="40"/>
      <c r="C129" s="40"/>
      <c r="D129" s="45"/>
      <c r="F129" s="40"/>
      <c r="G129" s="40"/>
      <c r="H129" s="44"/>
      <c r="I129" s="40"/>
      <c r="J129" s="40"/>
      <c r="K129" s="40"/>
      <c r="L129" s="40"/>
      <c r="M129" s="40"/>
      <c r="N129" s="40"/>
      <c r="O129" s="40"/>
      <c r="P129" s="40"/>
      <c r="Q129" s="40"/>
      <c r="R129" s="40"/>
      <c r="S129" s="40"/>
      <c r="T129" s="40"/>
      <c r="U129" s="40"/>
    </row>
    <row r="130" spans="1:21">
      <c r="A130" s="40"/>
      <c r="B130" s="40"/>
      <c r="C130" s="40"/>
      <c r="D130" s="45"/>
      <c r="F130" s="40"/>
      <c r="G130" s="40"/>
      <c r="H130" s="44"/>
      <c r="I130" s="40"/>
      <c r="J130" s="40"/>
      <c r="K130" s="40"/>
      <c r="L130" s="40"/>
      <c r="M130" s="40"/>
      <c r="N130" s="40"/>
      <c r="O130" s="40"/>
      <c r="P130" s="40"/>
      <c r="Q130" s="40"/>
      <c r="R130" s="40"/>
      <c r="S130" s="40"/>
      <c r="T130" s="40"/>
      <c r="U130" s="40"/>
    </row>
    <row r="131" spans="1:21">
      <c r="A131" s="40"/>
      <c r="B131" s="40"/>
      <c r="C131" s="40"/>
      <c r="D131" s="45"/>
      <c r="F131" s="40"/>
      <c r="G131" s="40"/>
      <c r="H131" s="44"/>
      <c r="I131" s="40"/>
      <c r="J131" s="40"/>
      <c r="K131" s="40"/>
      <c r="L131" s="40"/>
      <c r="M131" s="40"/>
      <c r="N131" s="40"/>
      <c r="O131" s="40"/>
      <c r="P131" s="40"/>
      <c r="Q131" s="40"/>
      <c r="R131" s="40"/>
      <c r="S131" s="40"/>
      <c r="T131" s="40"/>
      <c r="U131" s="40"/>
    </row>
    <row r="132" spans="1:21">
      <c r="A132" s="40"/>
      <c r="B132" s="40"/>
      <c r="C132" s="40"/>
      <c r="D132" s="45"/>
      <c r="F132" s="40"/>
      <c r="G132" s="40"/>
      <c r="H132" s="44"/>
      <c r="I132" s="40"/>
      <c r="J132" s="40"/>
      <c r="K132" s="40"/>
      <c r="L132" s="40"/>
      <c r="M132" s="40"/>
      <c r="N132" s="40"/>
      <c r="O132" s="40"/>
      <c r="P132" s="40"/>
      <c r="Q132" s="40"/>
      <c r="R132" s="40"/>
      <c r="S132" s="40"/>
      <c r="T132" s="40"/>
      <c r="U132" s="40"/>
    </row>
    <row r="133" spans="1:21">
      <c r="A133" s="40"/>
      <c r="B133" s="40"/>
      <c r="C133" s="40"/>
      <c r="D133" s="45"/>
      <c r="F133" s="40"/>
      <c r="G133" s="40"/>
      <c r="H133" s="44"/>
      <c r="I133" s="40"/>
      <c r="J133" s="40"/>
      <c r="K133" s="40"/>
      <c r="L133" s="40"/>
      <c r="M133" s="40"/>
      <c r="N133" s="40"/>
      <c r="O133" s="40"/>
      <c r="P133" s="40"/>
      <c r="Q133" s="40"/>
      <c r="R133" s="40"/>
      <c r="S133" s="40"/>
      <c r="T133" s="40"/>
      <c r="U133" s="40"/>
    </row>
    <row r="136" spans="1:21">
      <c r="A136" s="46"/>
    </row>
    <row r="137" spans="1:21">
      <c r="A137" s="46"/>
    </row>
    <row r="138" spans="1:21">
      <c r="A138" s="46"/>
    </row>
    <row r="139" spans="1:21">
      <c r="B139" s="46"/>
    </row>
    <row r="141" spans="1:21">
      <c r="A141" s="46"/>
    </row>
  </sheetData>
  <mergeCells count="13">
    <mergeCell ref="A1:D1"/>
    <mergeCell ref="E1:K1"/>
    <mergeCell ref="A2:A3"/>
    <mergeCell ref="B2:B3"/>
    <mergeCell ref="C2:C3"/>
    <mergeCell ref="D2:D3"/>
    <mergeCell ref="E2:E3"/>
    <mergeCell ref="F2:F3"/>
    <mergeCell ref="G2:G3"/>
    <mergeCell ref="H2:H3"/>
    <mergeCell ref="I2:I3"/>
    <mergeCell ref="J2:J3"/>
    <mergeCell ref="K2:K3"/>
  </mergeCells>
  <phoneticPr fontId="31" type="noConversion"/>
  <dataValidations count="4">
    <dataValidation type="list" allowBlank="1" showInputMessage="1" showErrorMessage="1" promptTitle="Gas or Tracer Name" prompt="Select a gas for this column" sqref="BK2" xr:uid="{7D84C417-4193-4955-8D46-6EF1BA22A2FE}">
      <formula1>"He,errHe,Ne,errNe,Ar,errAr,Kr,errKr,Xe,errXe,N2,errN2,O2,errO2,CO2,errCO2,CH4,errCH4,CO,errCO,H2,errH2,N2O,errN2O,CFC-11,errCFC-11,CFC-12,errCFC-12,CFC-113,errCFC-113,SF6,errSF6,Halon-1301,errHalon-1301,20Ne,err20Ne,22Ne,err22Ne"</formula1>
    </dataValidation>
    <dataValidation type="list" allowBlank="1" showInputMessage="1" showErrorMessage="1" promptTitle="Units" prompt="Select units for gas" sqref="BK3" xr:uid="{A0C90A4F-C6CC-4800-BE62-781A8DE1F8E3}">
      <formula1>"cm3/g, mmol/L, mmol/kg, mg/L"</formula1>
    </dataValidation>
    <dataValidation type="list" allowBlank="1" showInputMessage="1" showErrorMessage="1" promptTitle="Gas or Tracer Name" prompt="Select a gas for this column" sqref="L2:BJ2" xr:uid="{CF3DF7F9-B336-41B8-B423-AD753D05167B}">
      <formula1>"He,errHe,Ne,errNe,Ar,errAr,Kr,errKr,Xe,errXe,N2,errN2,O2,errO2,CO2,errCO2,CH4,errCH4,CO,errCO,H2,errH2,N2O,errN2O,CFC-11,errCFC-11,CFC-12,errCFC-12,CFC-113,errCFC-113,SF6,errSF6,Halon-1301,errHalon-1301"</formula1>
    </dataValidation>
    <dataValidation type="list" allowBlank="1" showInputMessage="1" showErrorMessage="1" promptTitle="Units" prompt="Select units for gas" sqref="L3:BJ3" xr:uid="{D3463126-C2F9-427C-809B-1FCDA3E202F9}">
      <formula1>"cm3/g, mmol/L, mmol/kg, mg/L"</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A4232-151F-4863-A4BD-BE94CC21992E}">
  <sheetPr codeName="Sheet13">
    <tabColor theme="8"/>
  </sheetPr>
  <dimension ref="A1:AJ79"/>
  <sheetViews>
    <sheetView workbookViewId="0">
      <pane ySplit="3" topLeftCell="A4" activePane="bottomLeft" state="frozen"/>
      <selection pane="bottomLeft" activeCell="A4" sqref="A4:XFD52"/>
    </sheetView>
  </sheetViews>
  <sheetFormatPr defaultColWidth="9.33203125" defaultRowHeight="14.4"/>
  <cols>
    <col min="1" max="1" width="22.44140625" style="16" bestFit="1" customWidth="1"/>
    <col min="2" max="2" width="9.33203125" style="16"/>
    <col min="3" max="3" width="19" style="76" bestFit="1" customWidth="1"/>
    <col min="4" max="4" width="11.88671875" style="17" bestFit="1" customWidth="1"/>
    <col min="5" max="5" width="12.33203125" style="16" customWidth="1"/>
    <col min="6" max="15" width="9.33203125" style="16"/>
    <col min="16" max="16" width="15.44140625" style="17" bestFit="1" customWidth="1"/>
    <col min="17" max="17" width="9.33203125" style="16"/>
    <col min="18" max="18" width="11.44140625" style="16" customWidth="1"/>
    <col min="19" max="19" width="9.33203125" style="16"/>
    <col min="20" max="20" width="11.6640625" style="16" customWidth="1"/>
    <col min="21" max="21" width="9.33203125" style="16"/>
    <col min="22" max="22" width="13.33203125" style="16" customWidth="1"/>
    <col min="23" max="25" width="9.33203125" style="16"/>
    <col min="26" max="26" width="10.44140625" style="16" customWidth="1"/>
    <col min="27" max="16384" width="9.33203125" style="16"/>
  </cols>
  <sheetData>
    <row r="1" spans="1:36" ht="15" thickBot="1">
      <c r="A1" s="18" t="s">
        <v>141</v>
      </c>
      <c r="B1" s="18"/>
      <c r="C1" s="74"/>
      <c r="D1" s="35"/>
      <c r="E1" s="19"/>
      <c r="F1" s="33" t="s">
        <v>166</v>
      </c>
      <c r="G1" s="18"/>
      <c r="H1" s="18"/>
      <c r="I1" s="18"/>
      <c r="J1" s="18"/>
      <c r="K1" s="18"/>
      <c r="L1" s="18"/>
      <c r="M1" s="18"/>
      <c r="N1" s="18"/>
      <c r="O1" s="18"/>
      <c r="P1" s="34"/>
      <c r="Q1" s="33" t="s">
        <v>167</v>
      </c>
      <c r="R1" s="18"/>
      <c r="S1" s="18"/>
      <c r="T1" s="18"/>
      <c r="U1" s="18"/>
      <c r="V1" s="18"/>
      <c r="W1" s="18"/>
      <c r="X1" s="18"/>
      <c r="Y1" s="18"/>
      <c r="Z1" s="18"/>
      <c r="AA1" s="18"/>
      <c r="AB1" s="18"/>
      <c r="AC1" s="18"/>
      <c r="AD1" s="18"/>
      <c r="AE1" s="18"/>
      <c r="AF1" s="18"/>
      <c r="AG1" s="18"/>
      <c r="AH1" s="18"/>
      <c r="AI1" s="18"/>
      <c r="AJ1" s="18"/>
    </row>
    <row r="2" spans="1:36" ht="29.4">
      <c r="A2" s="129" t="s">
        <v>142</v>
      </c>
      <c r="B2" s="129" t="s">
        <v>143</v>
      </c>
      <c r="C2" s="135" t="s">
        <v>144</v>
      </c>
      <c r="D2" s="137" t="s">
        <v>145</v>
      </c>
      <c r="E2" s="133" t="s">
        <v>146</v>
      </c>
      <c r="F2" s="20" t="s">
        <v>168</v>
      </c>
      <c r="G2" s="21" t="s">
        <v>184</v>
      </c>
      <c r="H2" s="21" t="s">
        <v>169</v>
      </c>
      <c r="I2" s="21" t="s">
        <v>182</v>
      </c>
      <c r="J2" s="21" t="s">
        <v>170</v>
      </c>
      <c r="K2" s="21" t="s">
        <v>183</v>
      </c>
      <c r="L2" s="21" t="s">
        <v>64</v>
      </c>
      <c r="M2" s="21" t="s">
        <v>148</v>
      </c>
      <c r="N2" s="21" t="s">
        <v>72</v>
      </c>
      <c r="O2" s="21" t="s">
        <v>149</v>
      </c>
      <c r="P2" s="133" t="s">
        <v>171</v>
      </c>
      <c r="Q2" s="22" t="s">
        <v>122</v>
      </c>
      <c r="R2" s="22" t="s">
        <v>158</v>
      </c>
      <c r="S2" s="22" t="s">
        <v>126</v>
      </c>
      <c r="T2" s="22" t="s">
        <v>172</v>
      </c>
      <c r="U2" s="22" t="s">
        <v>129</v>
      </c>
      <c r="V2" s="22" t="s">
        <v>173</v>
      </c>
      <c r="W2" s="23" t="s">
        <v>132</v>
      </c>
      <c r="X2" s="23" t="s">
        <v>174</v>
      </c>
      <c r="Y2" s="22" t="s">
        <v>136</v>
      </c>
      <c r="Z2" s="22" t="s">
        <v>175</v>
      </c>
      <c r="AA2" s="22"/>
      <c r="AB2" s="22"/>
      <c r="AC2" s="22"/>
      <c r="AD2" s="22"/>
      <c r="AE2" s="22"/>
      <c r="AF2" s="22"/>
      <c r="AG2" s="22"/>
      <c r="AH2" s="22"/>
      <c r="AI2" s="22"/>
      <c r="AJ2" s="22"/>
    </row>
    <row r="3" spans="1:36" ht="27.6" thickBot="1">
      <c r="A3" s="130"/>
      <c r="B3" s="130"/>
      <c r="C3" s="136"/>
      <c r="D3" s="138"/>
      <c r="E3" s="134"/>
      <c r="F3" s="24" t="s">
        <v>176</v>
      </c>
      <c r="G3" s="25" t="s">
        <v>176</v>
      </c>
      <c r="H3" s="25" t="s">
        <v>177</v>
      </c>
      <c r="I3" s="25" t="s">
        <v>177</v>
      </c>
      <c r="J3" s="25" t="s">
        <v>178</v>
      </c>
      <c r="K3" s="25" t="s">
        <v>178</v>
      </c>
      <c r="L3" s="25" t="s">
        <v>198</v>
      </c>
      <c r="M3" s="25"/>
      <c r="N3" s="25" t="s">
        <v>198</v>
      </c>
      <c r="O3" s="25"/>
      <c r="P3" s="134"/>
      <c r="Q3" s="26" t="s">
        <v>179</v>
      </c>
      <c r="R3" s="27"/>
      <c r="S3" s="27" t="s">
        <v>179</v>
      </c>
      <c r="T3" s="27"/>
      <c r="U3" s="27" t="s">
        <v>179</v>
      </c>
      <c r="V3" s="27"/>
      <c r="W3" s="28" t="s">
        <v>180</v>
      </c>
      <c r="X3" s="28"/>
      <c r="Y3" s="27" t="s">
        <v>179</v>
      </c>
      <c r="Z3" s="27"/>
      <c r="AA3" s="27"/>
      <c r="AB3" s="27"/>
      <c r="AC3" s="27"/>
      <c r="AD3" s="27"/>
      <c r="AE3" s="27"/>
      <c r="AF3" s="27"/>
      <c r="AG3" s="27"/>
      <c r="AH3" s="27"/>
      <c r="AI3" s="27"/>
      <c r="AJ3" s="27"/>
    </row>
    <row r="4" spans="1:36" s="99" customFormat="1">
      <c r="A4" s="99" t="s">
        <v>769</v>
      </c>
      <c r="B4" s="99" t="s">
        <v>626</v>
      </c>
      <c r="C4" s="99" t="s">
        <v>739</v>
      </c>
      <c r="D4" s="100">
        <v>41526</v>
      </c>
      <c r="E4" s="99" t="s">
        <v>740</v>
      </c>
      <c r="F4" s="99">
        <v>-0.37</v>
      </c>
      <c r="G4" s="99">
        <v>0.1</v>
      </c>
      <c r="H4" s="99">
        <v>-3.25</v>
      </c>
      <c r="I4" s="99">
        <v>1</v>
      </c>
      <c r="J4" s="101"/>
      <c r="K4" s="101"/>
      <c r="L4" s="99">
        <v>5.54E-8</v>
      </c>
      <c r="M4" s="99">
        <v>0</v>
      </c>
      <c r="N4" s="99">
        <v>2.1409999999999999E-7</v>
      </c>
      <c r="O4" s="99">
        <v>2.8000000000000002E-10</v>
      </c>
      <c r="P4" s="100" t="s">
        <v>770</v>
      </c>
      <c r="W4" s="99">
        <v>2.3737420254751074</v>
      </c>
      <c r="X4" s="99">
        <f>0.1*W4</f>
        <v>0.23737420254751074</v>
      </c>
    </row>
    <row r="5" spans="1:36" s="99" customFormat="1">
      <c r="A5" s="99" t="s">
        <v>769</v>
      </c>
      <c r="B5" s="99" t="s">
        <v>626</v>
      </c>
      <c r="C5" s="99" t="s">
        <v>739</v>
      </c>
      <c r="D5" s="100">
        <v>41526</v>
      </c>
      <c r="E5" s="99" t="s">
        <v>742</v>
      </c>
      <c r="F5" s="99">
        <v>-0.37</v>
      </c>
      <c r="G5" s="99">
        <v>0.1</v>
      </c>
      <c r="H5" s="99">
        <v>-3.25</v>
      </c>
      <c r="I5" s="99">
        <v>1</v>
      </c>
      <c r="J5" s="101"/>
      <c r="K5" s="101"/>
      <c r="L5" s="99">
        <v>5.54E-8</v>
      </c>
      <c r="M5" s="99">
        <v>0</v>
      </c>
      <c r="N5" s="99">
        <v>2.1409999999999999E-7</v>
      </c>
      <c r="O5" s="99">
        <v>2.8000000000000002E-10</v>
      </c>
      <c r="P5" s="100" t="s">
        <v>770</v>
      </c>
      <c r="W5" s="99">
        <v>2.3936342413774474</v>
      </c>
      <c r="X5" s="99">
        <f t="shared" ref="X5:X47" si="0">0.1*W5</f>
        <v>0.23936342413774475</v>
      </c>
    </row>
    <row r="6" spans="1:36" s="99" customFormat="1">
      <c r="A6" s="99" t="s">
        <v>769</v>
      </c>
      <c r="B6" s="99" t="s">
        <v>626</v>
      </c>
      <c r="C6" s="99" t="s">
        <v>689</v>
      </c>
      <c r="D6" s="100">
        <v>41527</v>
      </c>
      <c r="E6" s="99" t="s">
        <v>690</v>
      </c>
      <c r="F6" s="99">
        <v>-0.71</v>
      </c>
      <c r="G6" s="99">
        <v>0.1</v>
      </c>
      <c r="H6" s="99">
        <v>-91.99</v>
      </c>
      <c r="I6" s="99">
        <v>1</v>
      </c>
      <c r="J6" s="101"/>
      <c r="K6" s="101"/>
      <c r="L6" s="99">
        <v>8.3900000000000004E-7</v>
      </c>
      <c r="M6" s="99">
        <v>1.6000000000000001E-9</v>
      </c>
      <c r="N6" s="99">
        <v>1.8610000000000001E-7</v>
      </c>
      <c r="O6" s="99">
        <v>4.3999999999999998E-10</v>
      </c>
      <c r="P6" s="100" t="s">
        <v>771</v>
      </c>
      <c r="W6" s="99">
        <v>0.86476674170258983</v>
      </c>
      <c r="X6" s="99">
        <f t="shared" si="0"/>
        <v>8.6476674170258991E-2</v>
      </c>
    </row>
    <row r="7" spans="1:36" s="99" customFormat="1">
      <c r="A7" s="99" t="s">
        <v>769</v>
      </c>
      <c r="B7" s="99" t="s">
        <v>626</v>
      </c>
      <c r="C7" s="99" t="s">
        <v>689</v>
      </c>
      <c r="D7" s="100">
        <v>41527</v>
      </c>
      <c r="E7" s="99" t="s">
        <v>692</v>
      </c>
      <c r="F7" s="99">
        <v>-0.71</v>
      </c>
      <c r="G7" s="99">
        <v>0.1</v>
      </c>
      <c r="H7" s="99">
        <v>-91.99</v>
      </c>
      <c r="I7" s="99">
        <v>1</v>
      </c>
      <c r="J7" s="101"/>
      <c r="K7" s="101"/>
      <c r="L7" s="99">
        <v>8.3900000000000004E-7</v>
      </c>
      <c r="M7" s="99">
        <v>1.6000000000000001E-9</v>
      </c>
      <c r="N7" s="99">
        <v>1.8610000000000001E-7</v>
      </c>
      <c r="O7" s="99">
        <v>4.3999999999999998E-10</v>
      </c>
      <c r="P7" s="100" t="s">
        <v>771</v>
      </c>
      <c r="W7" s="99">
        <v>0.85193690358529872</v>
      </c>
      <c r="X7" s="99">
        <f t="shared" si="0"/>
        <v>8.5193690358529875E-2</v>
      </c>
    </row>
    <row r="8" spans="1:36" s="99" customFormat="1">
      <c r="A8" s="99" t="s">
        <v>769</v>
      </c>
      <c r="B8" s="99" t="s">
        <v>626</v>
      </c>
      <c r="C8" s="99" t="s">
        <v>695</v>
      </c>
      <c r="D8" s="100">
        <v>41536</v>
      </c>
      <c r="E8" s="99" t="s">
        <v>696</v>
      </c>
      <c r="F8" s="99">
        <v>-0.09</v>
      </c>
      <c r="G8" s="99">
        <v>0.1</v>
      </c>
      <c r="H8" s="99">
        <v>-87.64</v>
      </c>
      <c r="I8" s="99">
        <v>1</v>
      </c>
      <c r="J8" s="101"/>
      <c r="K8" s="101"/>
      <c r="L8" s="99">
        <v>9.64E-7</v>
      </c>
      <c r="M8" s="99">
        <v>4.0000000000000002E-9</v>
      </c>
      <c r="N8" s="99">
        <v>3.643E-7</v>
      </c>
      <c r="O8" s="99">
        <v>4.6000000000000001E-10</v>
      </c>
      <c r="P8" s="100" t="s">
        <v>772</v>
      </c>
      <c r="W8" s="99">
        <v>1.6324784479363939</v>
      </c>
      <c r="X8" s="99">
        <f t="shared" si="0"/>
        <v>0.16324784479363941</v>
      </c>
    </row>
    <row r="9" spans="1:36" s="99" customFormat="1">
      <c r="A9" s="99" t="s">
        <v>769</v>
      </c>
      <c r="B9" s="99" t="s">
        <v>626</v>
      </c>
      <c r="C9" s="99" t="s">
        <v>695</v>
      </c>
      <c r="D9" s="100">
        <v>41536</v>
      </c>
      <c r="E9" s="99" t="s">
        <v>773</v>
      </c>
      <c r="F9" s="99">
        <v>-0.09</v>
      </c>
      <c r="G9" s="99">
        <v>0.1</v>
      </c>
      <c r="H9" s="99">
        <v>-87.64</v>
      </c>
      <c r="I9" s="99">
        <v>1</v>
      </c>
      <c r="J9" s="101"/>
      <c r="K9" s="101"/>
      <c r="L9" s="99">
        <v>9.64E-7</v>
      </c>
      <c r="M9" s="99">
        <v>4.0000000000000002E-9</v>
      </c>
      <c r="N9" s="99">
        <v>3.643E-7</v>
      </c>
      <c r="O9" s="99">
        <v>4.6000000000000001E-10</v>
      </c>
      <c r="P9" s="100" t="s">
        <v>772</v>
      </c>
      <c r="W9" s="99">
        <v>1.5600053509618861</v>
      </c>
      <c r="X9" s="99">
        <f t="shared" si="0"/>
        <v>0.15600053509618861</v>
      </c>
    </row>
    <row r="10" spans="1:36" s="99" customFormat="1">
      <c r="A10" s="99" t="s">
        <v>769</v>
      </c>
      <c r="B10" s="99" t="s">
        <v>626</v>
      </c>
      <c r="C10" s="99" t="s">
        <v>698</v>
      </c>
      <c r="D10" s="100">
        <v>41535</v>
      </c>
      <c r="E10" s="99" t="s">
        <v>699</v>
      </c>
      <c r="F10" s="99">
        <v>-0.47</v>
      </c>
      <c r="G10" s="99">
        <v>0.1</v>
      </c>
      <c r="J10" s="101">
        <v>4.1910554764803102E-8</v>
      </c>
      <c r="K10" s="99">
        <v>1.384E-8</v>
      </c>
      <c r="L10" s="101">
        <v>4.3878127256654503E-6</v>
      </c>
      <c r="M10" s="101">
        <v>4.3878127256654499E-8</v>
      </c>
      <c r="N10" s="101">
        <v>2.3972945070369301E-7</v>
      </c>
      <c r="O10" s="101">
        <v>3.59594176055539E-9</v>
      </c>
      <c r="P10" s="100" t="s">
        <v>774</v>
      </c>
      <c r="W10" s="99">
        <v>0.13071024793911729</v>
      </c>
      <c r="X10" s="99">
        <f t="shared" si="0"/>
        <v>1.3071024793911729E-2</v>
      </c>
    </row>
    <row r="11" spans="1:36" s="99" customFormat="1">
      <c r="A11" s="99" t="s">
        <v>769</v>
      </c>
      <c r="B11" s="99" t="s">
        <v>626</v>
      </c>
      <c r="C11" s="99" t="s">
        <v>698</v>
      </c>
      <c r="D11" s="100">
        <v>41535</v>
      </c>
      <c r="E11" s="99" t="s">
        <v>701</v>
      </c>
      <c r="F11" s="99">
        <v>-0.47</v>
      </c>
      <c r="G11" s="99">
        <v>0.1</v>
      </c>
      <c r="J11" s="101">
        <v>4.1910554764803102E-8</v>
      </c>
      <c r="K11" s="99">
        <v>1.384E-8</v>
      </c>
      <c r="L11" s="101">
        <v>4.3878127256654503E-6</v>
      </c>
      <c r="M11" s="101">
        <v>4.3878127256654499E-8</v>
      </c>
      <c r="N11" s="101">
        <v>2.3972945070369301E-7</v>
      </c>
      <c r="O11" s="101">
        <v>3.59594176055539E-9</v>
      </c>
      <c r="P11" s="100" t="s">
        <v>774</v>
      </c>
      <c r="W11" s="99">
        <v>0.11061677449154142</v>
      </c>
      <c r="X11" s="99">
        <f t="shared" si="0"/>
        <v>1.1061677449154143E-2</v>
      </c>
    </row>
    <row r="12" spans="1:36" s="99" customFormat="1">
      <c r="A12" s="99" t="s">
        <v>769</v>
      </c>
      <c r="B12" s="99" t="s">
        <v>626</v>
      </c>
      <c r="C12" s="99" t="s">
        <v>703</v>
      </c>
      <c r="D12" s="100">
        <v>41534</v>
      </c>
      <c r="E12" s="99" t="s">
        <v>704</v>
      </c>
      <c r="F12" s="99">
        <v>8.8800000000000008</v>
      </c>
      <c r="G12" s="99">
        <v>0.1</v>
      </c>
      <c r="H12" s="99">
        <v>-71.95</v>
      </c>
      <c r="I12" s="99">
        <v>1</v>
      </c>
      <c r="J12" s="101"/>
      <c r="K12" s="101"/>
      <c r="L12" s="99">
        <v>1.8760000000000001E-7</v>
      </c>
      <c r="M12" s="99">
        <v>1E-10</v>
      </c>
      <c r="N12" s="99">
        <v>1.9850000000000001E-7</v>
      </c>
      <c r="O12" s="99">
        <v>4.6000000000000001E-10</v>
      </c>
      <c r="P12" s="100" t="s">
        <v>771</v>
      </c>
      <c r="W12" s="99">
        <v>3.4639886161398445</v>
      </c>
      <c r="X12" s="99">
        <f t="shared" si="0"/>
        <v>0.34639886161398448</v>
      </c>
    </row>
    <row r="13" spans="1:36" s="99" customFormat="1">
      <c r="A13" s="99" t="s">
        <v>769</v>
      </c>
      <c r="B13" s="99" t="s">
        <v>626</v>
      </c>
      <c r="C13" s="99" t="s">
        <v>703</v>
      </c>
      <c r="D13" s="100">
        <v>41534</v>
      </c>
      <c r="E13" s="99" t="s">
        <v>706</v>
      </c>
      <c r="F13" s="99">
        <v>8.8800000000000008</v>
      </c>
      <c r="G13" s="99">
        <v>0.1</v>
      </c>
      <c r="H13" s="99">
        <v>-71.95</v>
      </c>
      <c r="I13" s="99">
        <v>1</v>
      </c>
      <c r="J13" s="101"/>
      <c r="K13" s="101"/>
      <c r="L13" s="99">
        <v>1.8760000000000001E-7</v>
      </c>
      <c r="M13" s="99">
        <v>1E-10</v>
      </c>
      <c r="N13" s="99">
        <v>1.9850000000000001E-7</v>
      </c>
      <c r="O13" s="99">
        <v>4.6000000000000001E-10</v>
      </c>
      <c r="P13" s="100" t="s">
        <v>771</v>
      </c>
      <c r="W13" s="99">
        <v>5.1474505111265163</v>
      </c>
      <c r="X13" s="99">
        <f t="shared" si="0"/>
        <v>0.51474505111265167</v>
      </c>
    </row>
    <row r="14" spans="1:36" s="99" customFormat="1">
      <c r="A14" s="99" t="s">
        <v>769</v>
      </c>
      <c r="B14" s="99" t="s">
        <v>626</v>
      </c>
      <c r="C14" s="99" t="s">
        <v>708</v>
      </c>
      <c r="D14" s="100">
        <v>41533</v>
      </c>
      <c r="E14" s="99" t="s">
        <v>709</v>
      </c>
      <c r="F14" s="99">
        <v>0.11</v>
      </c>
      <c r="G14" s="99">
        <v>0.1</v>
      </c>
      <c r="H14" s="99">
        <v>-90.56</v>
      </c>
      <c r="I14" s="99">
        <v>1</v>
      </c>
      <c r="J14" s="101"/>
      <c r="K14" s="101"/>
      <c r="L14" s="99">
        <v>8.1760000000000002E-7</v>
      </c>
      <c r="M14" s="99">
        <v>1.3999999999999999E-9</v>
      </c>
      <c r="N14" s="99">
        <v>2.096E-7</v>
      </c>
      <c r="O14" s="99">
        <v>5.0000000000000003E-10</v>
      </c>
      <c r="P14" s="100" t="s">
        <v>775</v>
      </c>
      <c r="W14" s="99">
        <v>2.3679652994559452</v>
      </c>
      <c r="X14" s="99">
        <f t="shared" si="0"/>
        <v>0.23679652994559452</v>
      </c>
    </row>
    <row r="15" spans="1:36" s="99" customFormat="1">
      <c r="A15" s="99" t="s">
        <v>769</v>
      </c>
      <c r="B15" s="99" t="s">
        <v>626</v>
      </c>
      <c r="C15" s="99" t="s">
        <v>708</v>
      </c>
      <c r="D15" s="100">
        <v>41533</v>
      </c>
      <c r="E15" s="99" t="s">
        <v>711</v>
      </c>
      <c r="F15" s="99">
        <v>0.11</v>
      </c>
      <c r="G15" s="99">
        <v>0.1</v>
      </c>
      <c r="H15" s="99">
        <v>-90.56</v>
      </c>
      <c r="I15" s="99">
        <v>1</v>
      </c>
      <c r="J15" s="101"/>
      <c r="K15" s="101"/>
      <c r="L15" s="99">
        <v>8.1760000000000002E-7</v>
      </c>
      <c r="M15" s="99">
        <v>1.3999999999999999E-9</v>
      </c>
      <c r="N15" s="99">
        <v>2.096E-7</v>
      </c>
      <c r="O15" s="99">
        <v>5.0000000000000003E-10</v>
      </c>
      <c r="P15" s="100" t="s">
        <v>775</v>
      </c>
      <c r="W15" s="99">
        <v>2.5096509394083082</v>
      </c>
      <c r="X15" s="99">
        <f t="shared" si="0"/>
        <v>0.25096509394083083</v>
      </c>
    </row>
    <row r="16" spans="1:36" s="99" customFormat="1">
      <c r="A16" s="99" t="s">
        <v>769</v>
      </c>
      <c r="B16" s="99" t="s">
        <v>626</v>
      </c>
      <c r="C16" s="99" t="s">
        <v>744</v>
      </c>
      <c r="D16" s="100">
        <v>41528</v>
      </c>
      <c r="E16" s="99" t="s">
        <v>745</v>
      </c>
      <c r="F16" s="99">
        <v>-0.62</v>
      </c>
      <c r="G16" s="99">
        <v>0.1</v>
      </c>
      <c r="J16" s="101"/>
      <c r="K16" s="101"/>
      <c r="L16" s="101"/>
      <c r="M16" s="101"/>
      <c r="N16" s="101"/>
      <c r="O16" s="101"/>
      <c r="W16" s="99">
        <v>2.543228613015001</v>
      </c>
      <c r="X16" s="99">
        <f t="shared" si="0"/>
        <v>0.25432286130150011</v>
      </c>
    </row>
    <row r="17" spans="1:24" s="99" customFormat="1">
      <c r="A17" s="99" t="s">
        <v>769</v>
      </c>
      <c r="B17" s="99" t="s">
        <v>626</v>
      </c>
      <c r="C17" s="99" t="s">
        <v>744</v>
      </c>
      <c r="D17" s="100">
        <v>41528</v>
      </c>
      <c r="E17" s="99" t="s">
        <v>747</v>
      </c>
      <c r="F17" s="99">
        <v>-0.62</v>
      </c>
      <c r="G17" s="99">
        <v>0.1</v>
      </c>
      <c r="J17" s="101"/>
      <c r="K17" s="101"/>
      <c r="L17" s="101"/>
      <c r="M17" s="101"/>
      <c r="N17" s="101"/>
      <c r="O17" s="101"/>
      <c r="W17" s="99">
        <v>2.2877061791423161</v>
      </c>
      <c r="X17" s="99">
        <f t="shared" si="0"/>
        <v>0.22877061791423162</v>
      </c>
    </row>
    <row r="18" spans="1:24" s="99" customFormat="1">
      <c r="A18" s="99" t="s">
        <v>769</v>
      </c>
      <c r="B18" s="99" t="s">
        <v>626</v>
      </c>
      <c r="C18" s="99" t="s">
        <v>713</v>
      </c>
      <c r="D18" s="100">
        <v>41514</v>
      </c>
      <c r="E18" s="99" t="s">
        <v>714</v>
      </c>
      <c r="F18" s="99">
        <v>-0.17</v>
      </c>
      <c r="G18" s="99">
        <v>0.1</v>
      </c>
      <c r="H18" s="99">
        <v>-91.76</v>
      </c>
      <c r="I18" s="99">
        <v>1</v>
      </c>
      <c r="J18" s="101"/>
      <c r="K18" s="101"/>
      <c r="L18" s="99">
        <v>1.0220999999999999E-6</v>
      </c>
      <c r="M18" s="99">
        <v>3.2000000000000001E-9</v>
      </c>
      <c r="N18" s="99">
        <v>2.4130000000000002E-7</v>
      </c>
      <c r="O18" s="99">
        <v>4.8259999999999997E-8</v>
      </c>
      <c r="P18" s="100" t="s">
        <v>775</v>
      </c>
      <c r="W18" s="99">
        <v>0.21146383437710498</v>
      </c>
      <c r="X18" s="99">
        <f t="shared" si="0"/>
        <v>2.1146383437710498E-2</v>
      </c>
    </row>
    <row r="19" spans="1:24" s="99" customFormat="1">
      <c r="A19" s="99" t="s">
        <v>769</v>
      </c>
      <c r="B19" s="99" t="s">
        <v>626</v>
      </c>
      <c r="C19" s="99" t="s">
        <v>713</v>
      </c>
      <c r="D19" s="100">
        <v>41514</v>
      </c>
      <c r="E19" s="99" t="s">
        <v>716</v>
      </c>
      <c r="F19" s="99">
        <v>-0.17</v>
      </c>
      <c r="G19" s="99">
        <v>0.1</v>
      </c>
      <c r="H19" s="99">
        <v>-91.76</v>
      </c>
      <c r="I19" s="99">
        <v>1</v>
      </c>
      <c r="J19" s="101"/>
      <c r="K19" s="101"/>
      <c r="L19" s="99">
        <v>1.0220999999999999E-6</v>
      </c>
      <c r="M19" s="99">
        <v>3.2000000000000001E-9</v>
      </c>
      <c r="N19" s="99">
        <v>2.4130000000000002E-7</v>
      </c>
      <c r="O19" s="99">
        <v>4.8259999999999997E-8</v>
      </c>
      <c r="P19" s="100" t="s">
        <v>775</v>
      </c>
      <c r="W19" s="99">
        <v>1.5163406185430746</v>
      </c>
      <c r="X19" s="99">
        <f t="shared" si="0"/>
        <v>0.15163406185430747</v>
      </c>
    </row>
    <row r="20" spans="1:24" s="99" customFormat="1">
      <c r="A20" s="99" t="s">
        <v>769</v>
      </c>
      <c r="B20" s="99" t="s">
        <v>626</v>
      </c>
      <c r="C20" s="99" t="s">
        <v>718</v>
      </c>
      <c r="D20" s="100">
        <v>41529</v>
      </c>
      <c r="E20" s="99" t="s">
        <v>719</v>
      </c>
      <c r="F20" s="99">
        <v>-0.36</v>
      </c>
      <c r="G20" s="99">
        <v>0.1</v>
      </c>
      <c r="J20" s="101"/>
      <c r="K20" s="101"/>
      <c r="L20" s="101"/>
      <c r="M20" s="101"/>
      <c r="N20" s="101"/>
      <c r="O20" s="101"/>
      <c r="W20" s="99">
        <v>0.61280381462471056</v>
      </c>
      <c r="X20" s="99">
        <f t="shared" si="0"/>
        <v>6.1280381462471056E-2</v>
      </c>
    </row>
    <row r="21" spans="1:24" s="99" customFormat="1">
      <c r="A21" s="99" t="s">
        <v>769</v>
      </c>
      <c r="B21" s="99" t="s">
        <v>626</v>
      </c>
      <c r="C21" s="99" t="s">
        <v>718</v>
      </c>
      <c r="D21" s="100">
        <v>41529</v>
      </c>
      <c r="E21" s="99" t="s">
        <v>721</v>
      </c>
      <c r="F21" s="99">
        <v>-0.36</v>
      </c>
      <c r="G21" s="99">
        <v>0.1</v>
      </c>
      <c r="J21" s="101"/>
      <c r="K21" s="101"/>
      <c r="L21" s="101"/>
      <c r="M21" s="101"/>
      <c r="N21" s="101"/>
      <c r="O21" s="101"/>
      <c r="W21" s="99">
        <v>0.58491000684853989</v>
      </c>
      <c r="X21" s="99">
        <f t="shared" si="0"/>
        <v>5.8491000684853994E-2</v>
      </c>
    </row>
    <row r="22" spans="1:24" s="99" customFormat="1">
      <c r="A22" s="99" t="s">
        <v>769</v>
      </c>
      <c r="B22" s="99" t="s">
        <v>626</v>
      </c>
      <c r="C22" s="99" t="s">
        <v>749</v>
      </c>
      <c r="D22" s="100">
        <v>41513</v>
      </c>
      <c r="E22" s="99" t="s">
        <v>750</v>
      </c>
      <c r="F22" s="99">
        <v>0.13</v>
      </c>
      <c r="G22" s="99">
        <v>0.1</v>
      </c>
      <c r="J22" s="101"/>
      <c r="K22" s="101"/>
      <c r="L22" s="101"/>
      <c r="M22" s="101"/>
      <c r="N22" s="101"/>
      <c r="O22" s="101"/>
      <c r="W22" s="99">
        <v>0.84600511748290341</v>
      </c>
      <c r="X22" s="99">
        <f t="shared" si="0"/>
        <v>8.460051174829035E-2</v>
      </c>
    </row>
    <row r="23" spans="1:24" s="99" customFormat="1">
      <c r="A23" s="99" t="s">
        <v>769</v>
      </c>
      <c r="B23" s="99" t="s">
        <v>626</v>
      </c>
      <c r="C23" s="99" t="s">
        <v>749</v>
      </c>
      <c r="D23" s="100">
        <v>41513</v>
      </c>
      <c r="E23" s="99" t="s">
        <v>752</v>
      </c>
      <c r="F23" s="99">
        <v>0.13</v>
      </c>
      <c r="G23" s="99">
        <v>0.1</v>
      </c>
      <c r="J23" s="101"/>
      <c r="K23" s="101"/>
      <c r="L23" s="101"/>
      <c r="M23" s="101"/>
      <c r="N23" s="101"/>
      <c r="O23" s="101"/>
      <c r="W23" s="99">
        <v>0.83051500354911356</v>
      </c>
      <c r="X23" s="99">
        <f t="shared" si="0"/>
        <v>8.3051500354911365E-2</v>
      </c>
    </row>
    <row r="24" spans="1:24" s="99" customFormat="1">
      <c r="A24" s="99" t="s">
        <v>769</v>
      </c>
      <c r="B24" s="99" t="s">
        <v>626</v>
      </c>
      <c r="C24" s="99" t="s">
        <v>754</v>
      </c>
      <c r="D24" s="100">
        <v>41494</v>
      </c>
      <c r="E24" s="99" t="s">
        <v>755</v>
      </c>
      <c r="F24" s="99">
        <v>-0.31</v>
      </c>
      <c r="G24" s="99">
        <v>0.1</v>
      </c>
      <c r="H24" s="99">
        <v>-56.47</v>
      </c>
      <c r="I24" s="99">
        <v>1</v>
      </c>
      <c r="J24" s="101"/>
      <c r="K24" s="101"/>
      <c r="L24" s="99">
        <v>1.2739999999999999E-7</v>
      </c>
      <c r="M24" s="99">
        <v>1E-10</v>
      </c>
      <c r="N24" s="99">
        <v>2.3440000000000001E-7</v>
      </c>
      <c r="O24" s="99">
        <v>2.8000000000000002E-10</v>
      </c>
      <c r="P24" s="100" t="s">
        <v>776</v>
      </c>
      <c r="W24" s="99">
        <v>0.39405775067591364</v>
      </c>
      <c r="X24" s="99">
        <f t="shared" si="0"/>
        <v>3.9405775067591367E-2</v>
      </c>
    </row>
    <row r="25" spans="1:24" s="99" customFormat="1">
      <c r="A25" s="99" t="s">
        <v>769</v>
      </c>
      <c r="B25" s="99" t="s">
        <v>626</v>
      </c>
      <c r="C25" s="99" t="s">
        <v>754</v>
      </c>
      <c r="D25" s="100">
        <v>41494</v>
      </c>
      <c r="E25" s="99" t="s">
        <v>757</v>
      </c>
      <c r="F25" s="99">
        <v>-0.31</v>
      </c>
      <c r="G25" s="99">
        <v>0.1</v>
      </c>
      <c r="H25" s="99">
        <v>-56.47</v>
      </c>
      <c r="I25" s="99">
        <v>1</v>
      </c>
      <c r="J25" s="101"/>
      <c r="K25" s="101"/>
      <c r="L25" s="99">
        <v>1.2739999999999999E-7</v>
      </c>
      <c r="M25" s="99">
        <v>1E-10</v>
      </c>
      <c r="N25" s="99">
        <v>2.3440000000000001E-7</v>
      </c>
      <c r="O25" s="99">
        <v>2.8000000000000002E-10</v>
      </c>
      <c r="P25" s="100" t="s">
        <v>776</v>
      </c>
      <c r="W25" s="99">
        <v>0.33362393591759865</v>
      </c>
      <c r="X25" s="99">
        <f t="shared" si="0"/>
        <v>3.3362393591759867E-2</v>
      </c>
    </row>
    <row r="26" spans="1:24" s="99" customFormat="1">
      <c r="A26" s="99" t="s">
        <v>769</v>
      </c>
      <c r="B26" s="99" t="s">
        <v>626</v>
      </c>
      <c r="C26" s="99" t="s">
        <v>723</v>
      </c>
      <c r="D26" s="100">
        <v>41512</v>
      </c>
      <c r="E26" s="99" t="s">
        <v>724</v>
      </c>
      <c r="F26" s="99">
        <v>-0.06</v>
      </c>
      <c r="G26" s="99">
        <v>0.1</v>
      </c>
      <c r="J26" s="101"/>
      <c r="K26" s="101"/>
      <c r="L26" s="101"/>
      <c r="M26" s="101"/>
      <c r="N26" s="101"/>
      <c r="O26" s="101"/>
      <c r="W26" s="99">
        <v>0.46007576726065053</v>
      </c>
      <c r="X26" s="99">
        <f t="shared" si="0"/>
        <v>4.6007576726065057E-2</v>
      </c>
    </row>
    <row r="27" spans="1:24" s="99" customFormat="1">
      <c r="A27" s="99" t="s">
        <v>769</v>
      </c>
      <c r="B27" s="99" t="s">
        <v>626</v>
      </c>
      <c r="C27" s="99" t="s">
        <v>628</v>
      </c>
      <c r="D27" s="100">
        <v>41541</v>
      </c>
      <c r="E27" s="99" t="s">
        <v>629</v>
      </c>
      <c r="F27" s="99">
        <v>-0.22</v>
      </c>
      <c r="G27" s="99">
        <v>0.1</v>
      </c>
      <c r="J27" s="101">
        <v>4.5101277117751E-8</v>
      </c>
      <c r="K27" s="99">
        <v>1.384E-8</v>
      </c>
      <c r="L27" s="101">
        <v>4.4477003383180896E-6</v>
      </c>
      <c r="M27" s="101">
        <v>4.4477003383180903E-8</v>
      </c>
      <c r="N27" s="101">
        <v>2.5373849131212002E-7</v>
      </c>
      <c r="O27" s="101">
        <v>3.8060773696818E-9</v>
      </c>
      <c r="P27" s="100" t="s">
        <v>777</v>
      </c>
      <c r="W27" s="99">
        <v>0.14840705965873327</v>
      </c>
      <c r="X27" s="99">
        <f t="shared" si="0"/>
        <v>1.4840705965873328E-2</v>
      </c>
    </row>
    <row r="28" spans="1:24" s="99" customFormat="1">
      <c r="A28" s="99" t="s">
        <v>769</v>
      </c>
      <c r="B28" s="99" t="s">
        <v>626</v>
      </c>
      <c r="C28" s="99" t="s">
        <v>628</v>
      </c>
      <c r="D28" s="100">
        <v>41541</v>
      </c>
      <c r="E28" s="99" t="s">
        <v>635</v>
      </c>
      <c r="F28" s="99">
        <v>-0.22</v>
      </c>
      <c r="G28" s="99">
        <v>0.1</v>
      </c>
      <c r="J28" s="101">
        <v>4.5101277117751E-8</v>
      </c>
      <c r="K28" s="99">
        <v>1.384E-8</v>
      </c>
      <c r="L28" s="101">
        <v>4.4477003383180896E-6</v>
      </c>
      <c r="M28" s="101">
        <v>4.4477003383180903E-8</v>
      </c>
      <c r="N28" s="101">
        <v>2.5373849131212002E-7</v>
      </c>
      <c r="O28" s="101">
        <v>3.8060773696818E-9</v>
      </c>
      <c r="P28" s="100" t="s">
        <v>777</v>
      </c>
      <c r="W28" s="99">
        <v>0.15118975408655308</v>
      </c>
      <c r="X28" s="99">
        <f t="shared" si="0"/>
        <v>1.5118975408655309E-2</v>
      </c>
    </row>
    <row r="29" spans="1:24" s="99" customFormat="1">
      <c r="A29" s="99" t="s">
        <v>769</v>
      </c>
      <c r="B29" s="99" t="s">
        <v>626</v>
      </c>
      <c r="C29" s="99" t="s">
        <v>637</v>
      </c>
      <c r="D29" s="100">
        <v>41541</v>
      </c>
      <c r="E29" s="99" t="s">
        <v>638</v>
      </c>
      <c r="F29" s="99">
        <v>0.06</v>
      </c>
      <c r="G29" s="99">
        <v>0.1</v>
      </c>
      <c r="J29" s="101">
        <v>6.6790404693956095E-8</v>
      </c>
      <c r="K29" s="99">
        <v>1.384E-8</v>
      </c>
      <c r="L29" s="101">
        <v>1.9146646739520499E-6</v>
      </c>
      <c r="M29" s="101">
        <v>1.91466467395205E-8</v>
      </c>
      <c r="N29" s="101">
        <v>2.49842150704935E-7</v>
      </c>
      <c r="O29" s="101">
        <v>3.7476322605740302E-9</v>
      </c>
      <c r="P29" s="100" t="s">
        <v>774</v>
      </c>
      <c r="W29" s="99">
        <v>0.26633935680232101</v>
      </c>
      <c r="X29" s="99">
        <f t="shared" si="0"/>
        <v>2.6633935680232104E-2</v>
      </c>
    </row>
    <row r="30" spans="1:24" s="99" customFormat="1">
      <c r="A30" s="99" t="s">
        <v>769</v>
      </c>
      <c r="B30" s="99" t="s">
        <v>626</v>
      </c>
      <c r="C30" s="99" t="s">
        <v>637</v>
      </c>
      <c r="D30" s="100">
        <v>41541</v>
      </c>
      <c r="E30" s="99" t="s">
        <v>640</v>
      </c>
      <c r="F30" s="99">
        <v>0.06</v>
      </c>
      <c r="G30" s="99">
        <v>0.1</v>
      </c>
      <c r="J30" s="101">
        <v>6.6790404693956095E-8</v>
      </c>
      <c r="K30" s="99">
        <v>1.384E-8</v>
      </c>
      <c r="L30" s="101">
        <v>1.9146646739520499E-6</v>
      </c>
      <c r="M30" s="101">
        <v>1.91466467395205E-8</v>
      </c>
      <c r="N30" s="101">
        <v>2.49842150704935E-7</v>
      </c>
      <c r="O30" s="101">
        <v>3.7476322605740302E-9</v>
      </c>
      <c r="P30" s="100" t="s">
        <v>774</v>
      </c>
      <c r="W30" s="99">
        <v>0.23460878655163234</v>
      </c>
      <c r="X30" s="99">
        <f t="shared" si="0"/>
        <v>2.3460878655163234E-2</v>
      </c>
    </row>
    <row r="31" spans="1:24" s="99" customFormat="1">
      <c r="A31" s="99" t="s">
        <v>769</v>
      </c>
      <c r="B31" s="99" t="s">
        <v>626</v>
      </c>
      <c r="C31" s="99" t="s">
        <v>759</v>
      </c>
      <c r="D31" s="100">
        <v>41492</v>
      </c>
      <c r="E31" s="99" t="s">
        <v>760</v>
      </c>
      <c r="F31" s="99">
        <v>-0.09</v>
      </c>
      <c r="G31" s="99">
        <v>0.1</v>
      </c>
      <c r="H31" s="99">
        <v>-61.39</v>
      </c>
      <c r="I31" s="99">
        <v>1</v>
      </c>
      <c r="J31" s="101"/>
      <c r="K31" s="101"/>
      <c r="L31" s="99">
        <v>1.5160000000000001E-7</v>
      </c>
      <c r="M31" s="99">
        <v>1E-10</v>
      </c>
      <c r="N31" s="99">
        <v>2.252E-7</v>
      </c>
      <c r="O31" s="99">
        <v>2.8000000000000002E-10</v>
      </c>
      <c r="P31" s="100" t="s">
        <v>770</v>
      </c>
      <c r="W31" s="99">
        <v>0.13923560872019394</v>
      </c>
      <c r="X31" s="99">
        <f t="shared" si="0"/>
        <v>1.3923560872019396E-2</v>
      </c>
    </row>
    <row r="32" spans="1:24" s="99" customFormat="1">
      <c r="A32" s="99" t="s">
        <v>769</v>
      </c>
      <c r="B32" s="99" t="s">
        <v>626</v>
      </c>
      <c r="C32" s="99" t="s">
        <v>759</v>
      </c>
      <c r="D32" s="100">
        <v>41492</v>
      </c>
      <c r="E32" s="99" t="s">
        <v>762</v>
      </c>
      <c r="F32" s="99">
        <v>-0.09</v>
      </c>
      <c r="G32" s="99">
        <v>0.1</v>
      </c>
      <c r="H32" s="99">
        <v>-61.39</v>
      </c>
      <c r="I32" s="99">
        <v>1</v>
      </c>
      <c r="J32" s="101"/>
      <c r="K32" s="101"/>
      <c r="L32" s="99">
        <v>1.5160000000000001E-7</v>
      </c>
      <c r="M32" s="99">
        <v>1E-10</v>
      </c>
      <c r="N32" s="99">
        <v>2.252E-7</v>
      </c>
      <c r="O32" s="99">
        <v>2.8000000000000002E-10</v>
      </c>
      <c r="P32" s="100" t="s">
        <v>770</v>
      </c>
      <c r="W32" s="99">
        <v>0.47264080919931117</v>
      </c>
      <c r="X32" s="99">
        <f t="shared" si="0"/>
        <v>4.7264080919931117E-2</v>
      </c>
    </row>
    <row r="33" spans="1:24" s="99" customFormat="1">
      <c r="A33" s="99" t="s">
        <v>769</v>
      </c>
      <c r="B33" s="99" t="s">
        <v>626</v>
      </c>
      <c r="C33" s="99" t="s">
        <v>764</v>
      </c>
      <c r="D33" s="100">
        <v>41500</v>
      </c>
      <c r="E33" s="99" t="s">
        <v>765</v>
      </c>
      <c r="F33" s="99">
        <v>0.02</v>
      </c>
      <c r="G33" s="99">
        <v>0.1</v>
      </c>
      <c r="J33" s="101">
        <v>3.3408718239223903E-8</v>
      </c>
      <c r="K33" s="99">
        <v>1.384E-8</v>
      </c>
      <c r="L33" s="101">
        <v>7.2802601683677401E-6</v>
      </c>
      <c r="M33" s="101">
        <v>7.2802601683677404E-8</v>
      </c>
      <c r="N33" s="101">
        <v>2.9755819573653701E-7</v>
      </c>
      <c r="O33" s="101">
        <v>4.4633729360480602E-9</v>
      </c>
      <c r="P33" s="100" t="s">
        <v>777</v>
      </c>
      <c r="W33" s="99">
        <v>0.68968053018385311</v>
      </c>
      <c r="X33" s="99">
        <f t="shared" si="0"/>
        <v>6.8968053018385309E-2</v>
      </c>
    </row>
    <row r="34" spans="1:24" s="99" customFormat="1">
      <c r="A34" s="99" t="s">
        <v>769</v>
      </c>
      <c r="B34" s="99" t="s">
        <v>626</v>
      </c>
      <c r="C34" s="99" t="s">
        <v>764</v>
      </c>
      <c r="D34" s="100">
        <v>41500</v>
      </c>
      <c r="E34" s="99" t="s">
        <v>767</v>
      </c>
      <c r="F34" s="99">
        <v>0.02</v>
      </c>
      <c r="G34" s="99">
        <v>0.1</v>
      </c>
      <c r="J34" s="101">
        <v>3.3408718239223903E-8</v>
      </c>
      <c r="K34" s="99">
        <v>1.384E-8</v>
      </c>
      <c r="L34" s="101">
        <v>7.2802601683677401E-6</v>
      </c>
      <c r="M34" s="101">
        <v>7.2802601683677404E-8</v>
      </c>
      <c r="N34" s="101">
        <v>2.9755819573653701E-7</v>
      </c>
      <c r="O34" s="101">
        <v>4.4633729360480602E-9</v>
      </c>
      <c r="P34" s="100" t="s">
        <v>777</v>
      </c>
      <c r="W34" s="99">
        <v>0.62043543838422777</v>
      </c>
      <c r="X34" s="99">
        <f t="shared" si="0"/>
        <v>6.2043543838422782E-2</v>
      </c>
    </row>
    <row r="35" spans="1:24" s="99" customFormat="1">
      <c r="A35" s="99" t="s">
        <v>769</v>
      </c>
      <c r="B35" s="99" t="s">
        <v>626</v>
      </c>
      <c r="C35" s="99" t="s">
        <v>649</v>
      </c>
      <c r="D35" s="100">
        <v>41508</v>
      </c>
      <c r="E35" s="99" t="s">
        <v>650</v>
      </c>
      <c r="F35" s="99">
        <v>-0.06</v>
      </c>
      <c r="G35" s="99">
        <v>0.1</v>
      </c>
      <c r="H35" s="99">
        <v>-80.12</v>
      </c>
      <c r="I35" s="99">
        <v>1</v>
      </c>
      <c r="J35" s="101"/>
      <c r="K35" s="101"/>
      <c r="L35" s="99">
        <v>4.3230000000000003E-7</v>
      </c>
      <c r="M35" s="99">
        <v>3E-10</v>
      </c>
      <c r="N35" s="99">
        <v>2.0840000000000001E-7</v>
      </c>
      <c r="O35" s="99">
        <v>4.8E-10</v>
      </c>
      <c r="P35" s="100" t="s">
        <v>771</v>
      </c>
      <c r="W35" s="99">
        <v>0.22683903285595164</v>
      </c>
      <c r="X35" s="99">
        <f t="shared" si="0"/>
        <v>2.2683903285595164E-2</v>
      </c>
    </row>
    <row r="36" spans="1:24" s="99" customFormat="1">
      <c r="A36" s="99" t="s">
        <v>769</v>
      </c>
      <c r="B36" s="99" t="s">
        <v>626</v>
      </c>
      <c r="C36" s="99" t="s">
        <v>656</v>
      </c>
      <c r="D36" s="100">
        <v>41540</v>
      </c>
      <c r="E36" s="99" t="s">
        <v>657</v>
      </c>
      <c r="F36" s="99">
        <v>0.12</v>
      </c>
      <c r="G36" s="99">
        <v>0.1</v>
      </c>
      <c r="H36" s="99">
        <v>-85.11</v>
      </c>
      <c r="I36" s="99">
        <v>1</v>
      </c>
      <c r="J36" s="101"/>
      <c r="K36" s="101"/>
      <c r="L36" s="99">
        <v>9.1480000000000001E-7</v>
      </c>
      <c r="M36" s="99">
        <v>3.3000000000000002E-9</v>
      </c>
      <c r="N36" s="99">
        <v>2.4400000000000001E-7</v>
      </c>
      <c r="O36" s="99">
        <v>3.1999999999999998E-10</v>
      </c>
      <c r="P36" s="100" t="s">
        <v>772</v>
      </c>
      <c r="W36" s="99">
        <v>0.11976865895868338</v>
      </c>
      <c r="X36" s="99">
        <f t="shared" si="0"/>
        <v>1.1976865895868339E-2</v>
      </c>
    </row>
    <row r="37" spans="1:24" s="99" customFormat="1">
      <c r="A37" s="99" t="s">
        <v>769</v>
      </c>
      <c r="B37" s="99" t="s">
        <v>626</v>
      </c>
      <c r="C37" s="99" t="s">
        <v>656</v>
      </c>
      <c r="D37" s="100">
        <v>41540</v>
      </c>
      <c r="E37" s="99" t="s">
        <v>659</v>
      </c>
      <c r="F37" s="99">
        <v>0.12</v>
      </c>
      <c r="G37" s="99">
        <v>0.1</v>
      </c>
      <c r="H37" s="99">
        <v>-85.11</v>
      </c>
      <c r="I37" s="99">
        <v>1</v>
      </c>
      <c r="J37" s="101"/>
      <c r="K37" s="101"/>
      <c r="L37" s="99">
        <v>9.1480000000000001E-7</v>
      </c>
      <c r="M37" s="99">
        <v>3.3000000000000002E-9</v>
      </c>
      <c r="N37" s="99">
        <v>2.4400000000000001E-7</v>
      </c>
      <c r="O37" s="99">
        <v>3.1999999999999998E-10</v>
      </c>
      <c r="P37" s="100" t="s">
        <v>772</v>
      </c>
      <c r="W37" s="99">
        <v>0.11954540624659668</v>
      </c>
      <c r="X37" s="99">
        <f t="shared" si="0"/>
        <v>1.1954540624659669E-2</v>
      </c>
    </row>
    <row r="38" spans="1:24" s="99" customFormat="1">
      <c r="A38" s="99" t="s">
        <v>769</v>
      </c>
      <c r="B38" s="99" t="s">
        <v>626</v>
      </c>
      <c r="C38" s="99" t="s">
        <v>661</v>
      </c>
      <c r="D38" s="100">
        <v>41507</v>
      </c>
      <c r="E38" s="99" t="s">
        <v>662</v>
      </c>
      <c r="F38" s="99">
        <v>-0.18</v>
      </c>
      <c r="G38" s="99">
        <v>0.1</v>
      </c>
      <c r="H38" s="99">
        <v>-14.73</v>
      </c>
      <c r="I38" s="99">
        <v>1</v>
      </c>
      <c r="J38" s="101"/>
      <c r="K38" s="101"/>
      <c r="L38" s="99">
        <v>6.5699999999999999E-8</v>
      </c>
      <c r="M38" s="99">
        <v>0</v>
      </c>
      <c r="N38" s="99">
        <v>2.326E-7</v>
      </c>
      <c r="O38" s="99">
        <v>2.8000000000000002E-10</v>
      </c>
      <c r="P38" s="100" t="s">
        <v>770</v>
      </c>
      <c r="W38" s="99">
        <v>0.97039890170995624</v>
      </c>
      <c r="X38" s="99">
        <f t="shared" si="0"/>
        <v>9.7039890170995624E-2</v>
      </c>
    </row>
    <row r="39" spans="1:24" s="99" customFormat="1">
      <c r="A39" s="99" t="s">
        <v>769</v>
      </c>
      <c r="B39" s="99" t="s">
        <v>626</v>
      </c>
      <c r="C39" s="99" t="s">
        <v>728</v>
      </c>
      <c r="D39" s="100">
        <v>41505</v>
      </c>
      <c r="E39" s="99" t="s">
        <v>729</v>
      </c>
      <c r="F39" s="99">
        <v>7.0000000000000007E-2</v>
      </c>
      <c r="G39" s="99">
        <v>0.1</v>
      </c>
      <c r="J39" s="101">
        <v>4.2878063796385703E-8</v>
      </c>
      <c r="K39" s="99">
        <v>1.384E-8</v>
      </c>
      <c r="L39" s="101">
        <v>7.36279634517406E-6</v>
      </c>
      <c r="M39" s="101">
        <v>7.3627963451740605E-8</v>
      </c>
      <c r="N39" s="101">
        <v>4.0391994785784199E-7</v>
      </c>
      <c r="O39" s="101">
        <v>6.0587992178676302E-9</v>
      </c>
      <c r="P39" s="100" t="s">
        <v>777</v>
      </c>
      <c r="W39" s="99">
        <v>0.12182926157651089</v>
      </c>
      <c r="X39" s="99">
        <f t="shared" si="0"/>
        <v>1.218292615765109E-2</v>
      </c>
    </row>
    <row r="40" spans="1:24" s="99" customFormat="1">
      <c r="A40" s="99" t="s">
        <v>769</v>
      </c>
      <c r="B40" s="99" t="s">
        <v>626</v>
      </c>
      <c r="C40" s="99" t="s">
        <v>672</v>
      </c>
      <c r="D40" s="100">
        <v>41507</v>
      </c>
      <c r="E40" s="99" t="s">
        <v>673</v>
      </c>
      <c r="F40" s="99">
        <v>0.3</v>
      </c>
      <c r="G40" s="99">
        <v>0.1</v>
      </c>
      <c r="J40" s="101"/>
      <c r="K40" s="101"/>
      <c r="L40" s="101"/>
      <c r="M40" s="101"/>
      <c r="N40" s="101"/>
      <c r="O40" s="101"/>
      <c r="W40" s="99">
        <v>0.72030360377971547</v>
      </c>
      <c r="X40" s="99">
        <f t="shared" si="0"/>
        <v>7.2030360377971545E-2</v>
      </c>
    </row>
    <row r="41" spans="1:24" s="99" customFormat="1">
      <c r="A41" s="99" t="s">
        <v>769</v>
      </c>
      <c r="B41" s="99" t="s">
        <v>626</v>
      </c>
      <c r="C41" s="99" t="s">
        <v>672</v>
      </c>
      <c r="D41" s="100">
        <v>41507</v>
      </c>
      <c r="E41" s="99" t="s">
        <v>676</v>
      </c>
      <c r="F41" s="99">
        <v>0.3</v>
      </c>
      <c r="G41" s="99">
        <v>0.1</v>
      </c>
      <c r="J41" s="101"/>
      <c r="K41" s="101"/>
      <c r="L41" s="101"/>
      <c r="M41" s="101"/>
      <c r="N41" s="101"/>
      <c r="O41" s="101"/>
      <c r="W41" s="99">
        <v>0.59529675940114746</v>
      </c>
      <c r="X41" s="99">
        <f t="shared" si="0"/>
        <v>5.9529675940114747E-2</v>
      </c>
    </row>
    <row r="42" spans="1:24" s="99" customFormat="1">
      <c r="A42" s="99" t="s">
        <v>769</v>
      </c>
      <c r="B42" s="99" t="s">
        <v>626</v>
      </c>
      <c r="C42" s="99" t="s">
        <v>678</v>
      </c>
      <c r="D42" s="100">
        <v>41520</v>
      </c>
      <c r="E42" s="99" t="s">
        <v>679</v>
      </c>
      <c r="F42" s="99">
        <v>0.08</v>
      </c>
      <c r="G42" s="99">
        <v>0.1</v>
      </c>
      <c r="H42" s="99">
        <v>-49.63</v>
      </c>
      <c r="I42" s="99">
        <v>1</v>
      </c>
      <c r="J42" s="101"/>
      <c r="K42" s="101"/>
      <c r="L42" s="99">
        <v>1.178E-7</v>
      </c>
      <c r="M42" s="99">
        <v>1E-10</v>
      </c>
      <c r="N42" s="99">
        <v>2.4289999999999998E-7</v>
      </c>
      <c r="O42" s="99">
        <v>2.8999999999999998E-10</v>
      </c>
      <c r="P42" s="100" t="s">
        <v>770</v>
      </c>
      <c r="W42" s="99">
        <v>0.21140448341287421</v>
      </c>
      <c r="X42" s="99">
        <f t="shared" si="0"/>
        <v>2.1140448341287421E-2</v>
      </c>
    </row>
    <row r="43" spans="1:24" s="99" customFormat="1">
      <c r="A43" s="99" t="s">
        <v>769</v>
      </c>
      <c r="B43" s="99" t="s">
        <v>626</v>
      </c>
      <c r="C43" s="99" t="s">
        <v>678</v>
      </c>
      <c r="D43" s="100">
        <v>41520</v>
      </c>
      <c r="E43" s="99" t="s">
        <v>681</v>
      </c>
      <c r="F43" s="99">
        <v>0.08</v>
      </c>
      <c r="G43" s="99">
        <v>0.1</v>
      </c>
      <c r="H43" s="99">
        <v>-49.63</v>
      </c>
      <c r="I43" s="99">
        <v>1</v>
      </c>
      <c r="J43" s="101"/>
      <c r="K43" s="101"/>
      <c r="L43" s="99">
        <v>1.178E-7</v>
      </c>
      <c r="M43" s="99">
        <v>1E-10</v>
      </c>
      <c r="N43" s="99">
        <v>2.4289999999999998E-7</v>
      </c>
      <c r="O43" s="99">
        <v>2.8999999999999998E-10</v>
      </c>
      <c r="P43" s="100" t="s">
        <v>770</v>
      </c>
      <c r="W43" s="99">
        <v>0.21988822400719166</v>
      </c>
      <c r="X43" s="99">
        <f t="shared" si="0"/>
        <v>2.1988822400719168E-2</v>
      </c>
    </row>
    <row r="44" spans="1:24" s="99" customFormat="1">
      <c r="A44" s="99" t="s">
        <v>769</v>
      </c>
      <c r="B44" s="99" t="s">
        <v>626</v>
      </c>
      <c r="C44" s="99" t="s">
        <v>683</v>
      </c>
      <c r="D44" s="100">
        <v>41521</v>
      </c>
      <c r="E44" s="99" t="s">
        <v>684</v>
      </c>
      <c r="F44" s="99">
        <v>-0.23</v>
      </c>
      <c r="G44" s="99">
        <v>0.1</v>
      </c>
      <c r="H44" s="99">
        <v>-68.739999999999995</v>
      </c>
      <c r="I44" s="99">
        <v>1</v>
      </c>
      <c r="J44" s="101"/>
      <c r="K44" s="101"/>
      <c r="L44" s="99">
        <v>2.2100000000000001E-7</v>
      </c>
      <c r="M44" s="99">
        <v>4.0000000000000001E-10</v>
      </c>
      <c r="N44" s="99">
        <v>2.5629999999999999E-7</v>
      </c>
      <c r="O44" s="99">
        <v>2.8999999999999998E-10</v>
      </c>
      <c r="P44" s="100" t="s">
        <v>776</v>
      </c>
      <c r="W44" s="99">
        <v>0.18296164431399911</v>
      </c>
      <c r="X44" s="99">
        <f t="shared" si="0"/>
        <v>1.8296164431399912E-2</v>
      </c>
    </row>
    <row r="45" spans="1:24" s="99" customFormat="1">
      <c r="A45" s="99" t="s">
        <v>769</v>
      </c>
      <c r="B45" s="99" t="s">
        <v>626</v>
      </c>
      <c r="C45" s="99" t="s">
        <v>683</v>
      </c>
      <c r="D45" s="100">
        <v>41521</v>
      </c>
      <c r="E45" s="99" t="s">
        <v>686</v>
      </c>
      <c r="F45" s="99">
        <v>-0.23</v>
      </c>
      <c r="G45" s="99">
        <v>0.1</v>
      </c>
      <c r="H45" s="99">
        <v>-68.739999999999995</v>
      </c>
      <c r="I45" s="99">
        <v>1</v>
      </c>
      <c r="J45" s="101"/>
      <c r="K45" s="101"/>
      <c r="L45" s="99">
        <v>2.2100000000000001E-7</v>
      </c>
      <c r="M45" s="99">
        <v>4.0000000000000001E-10</v>
      </c>
      <c r="N45" s="99">
        <v>2.5629999999999999E-7</v>
      </c>
      <c r="O45" s="99">
        <v>2.8999999999999998E-10</v>
      </c>
      <c r="P45" s="100" t="s">
        <v>776</v>
      </c>
      <c r="W45" s="99">
        <v>0.16940868867400052</v>
      </c>
      <c r="X45" s="99">
        <f t="shared" si="0"/>
        <v>1.6940868867400052E-2</v>
      </c>
    </row>
    <row r="46" spans="1:24" s="99" customFormat="1">
      <c r="A46" s="99" t="s">
        <v>769</v>
      </c>
      <c r="B46" s="99" t="s">
        <v>626</v>
      </c>
      <c r="C46" s="99" t="s">
        <v>733</v>
      </c>
      <c r="D46" s="100">
        <v>41522</v>
      </c>
      <c r="E46" s="99" t="s">
        <v>734</v>
      </c>
      <c r="F46" s="99">
        <v>5.35</v>
      </c>
      <c r="G46" s="99">
        <v>0.1</v>
      </c>
      <c r="H46" s="99">
        <v>12.52</v>
      </c>
      <c r="I46" s="99">
        <v>1</v>
      </c>
      <c r="J46" s="101"/>
      <c r="K46" s="101"/>
      <c r="L46" s="99">
        <v>7.5800000000000004E-8</v>
      </c>
      <c r="M46" s="99">
        <v>0</v>
      </c>
      <c r="N46" s="99">
        <v>3.2020000000000002E-7</v>
      </c>
      <c r="O46" s="99">
        <v>3.9E-10</v>
      </c>
      <c r="P46" s="100" t="s">
        <v>778</v>
      </c>
      <c r="W46" s="99">
        <v>1.2850077238203621</v>
      </c>
      <c r="X46" s="99">
        <f t="shared" si="0"/>
        <v>0.12850077238203622</v>
      </c>
    </row>
    <row r="47" spans="1:24" s="99" customFormat="1">
      <c r="A47" s="99" t="s">
        <v>769</v>
      </c>
      <c r="B47" s="99" t="s">
        <v>626</v>
      </c>
      <c r="C47" s="99" t="s">
        <v>733</v>
      </c>
      <c r="D47" s="100">
        <v>41522</v>
      </c>
      <c r="E47" s="99" t="s">
        <v>736</v>
      </c>
      <c r="F47" s="99">
        <v>5.35</v>
      </c>
      <c r="G47" s="99">
        <v>0.1</v>
      </c>
      <c r="H47" s="99">
        <v>12.52</v>
      </c>
      <c r="I47" s="99">
        <v>1</v>
      </c>
      <c r="J47" s="101"/>
      <c r="K47" s="101"/>
      <c r="L47" s="99">
        <v>7.5800000000000004E-8</v>
      </c>
      <c r="M47" s="99">
        <v>0</v>
      </c>
      <c r="N47" s="99">
        <v>3.2020000000000002E-7</v>
      </c>
      <c r="O47" s="99">
        <v>3.9E-10</v>
      </c>
      <c r="P47" s="100" t="s">
        <v>778</v>
      </c>
      <c r="W47" s="99">
        <v>1.2381203780340129</v>
      </c>
      <c r="X47" s="99">
        <f t="shared" si="0"/>
        <v>0.12381203780340129</v>
      </c>
    </row>
    <row r="48" spans="1:24" s="99" customFormat="1">
      <c r="A48" s="99" t="s">
        <v>769</v>
      </c>
      <c r="B48" s="99" t="s">
        <v>626</v>
      </c>
      <c r="C48" s="99" t="s">
        <v>642</v>
      </c>
      <c r="D48" s="100">
        <v>41493</v>
      </c>
      <c r="E48" s="99" t="s">
        <v>779</v>
      </c>
      <c r="F48" s="99">
        <v>-0.43</v>
      </c>
      <c r="G48" s="99">
        <v>0.1</v>
      </c>
      <c r="H48" s="99">
        <v>-82.37</v>
      </c>
      <c r="I48" s="99">
        <v>1</v>
      </c>
      <c r="J48" s="101"/>
      <c r="K48" s="101"/>
      <c r="L48" s="99">
        <v>4.2249999999999998E-7</v>
      </c>
      <c r="M48" s="99">
        <v>1.3999999999999999E-9</v>
      </c>
      <c r="N48" s="99">
        <v>2.5260000000000003E-7</v>
      </c>
      <c r="O48" s="99">
        <v>3E-10</v>
      </c>
      <c r="P48" s="100" t="s">
        <v>778</v>
      </c>
    </row>
    <row r="49" spans="1:16" s="99" customFormat="1">
      <c r="A49" s="99" t="s">
        <v>769</v>
      </c>
      <c r="B49" s="99" t="s">
        <v>626</v>
      </c>
      <c r="C49" s="99" t="s">
        <v>666</v>
      </c>
      <c r="D49" s="100">
        <v>41506</v>
      </c>
      <c r="E49" s="99" t="s">
        <v>780</v>
      </c>
      <c r="F49" s="99">
        <v>0.05</v>
      </c>
      <c r="G49" s="99">
        <v>0.1</v>
      </c>
      <c r="H49" s="99">
        <v>-74.510000000000005</v>
      </c>
      <c r="I49" s="99">
        <v>1</v>
      </c>
      <c r="J49" s="101"/>
      <c r="K49" s="101"/>
      <c r="L49" s="99">
        <v>2.3440000000000001E-7</v>
      </c>
      <c r="M49" s="99">
        <v>4.0000000000000001E-10</v>
      </c>
      <c r="N49" s="99">
        <v>2.2980000000000001E-7</v>
      </c>
      <c r="O49" s="99">
        <v>2.8000000000000002E-10</v>
      </c>
      <c r="P49" s="100" t="s">
        <v>770</v>
      </c>
    </row>
    <row r="50" spans="1:16" s="99" customFormat="1">
      <c r="D50" s="100"/>
    </row>
    <row r="51" spans="1:16" s="99" customFormat="1">
      <c r="D51" s="100"/>
    </row>
    <row r="52" spans="1:16" s="99" customFormat="1">
      <c r="D52" s="100"/>
    </row>
    <row r="53" spans="1:16">
      <c r="C53" s="75"/>
    </row>
    <row r="54" spans="1:16">
      <c r="C54" s="75"/>
    </row>
    <row r="55" spans="1:16">
      <c r="C55" s="75"/>
    </row>
    <row r="56" spans="1:16">
      <c r="A56" s="66"/>
      <c r="E56" s="67"/>
    </row>
    <row r="57" spans="1:16">
      <c r="C57" s="75"/>
    </row>
    <row r="59" spans="1:16">
      <c r="C59" s="75"/>
    </row>
    <row r="60" spans="1:16">
      <c r="C60" s="75"/>
    </row>
    <row r="61" spans="1:16">
      <c r="A61" s="66"/>
      <c r="E61" s="67"/>
    </row>
    <row r="62" spans="1:16">
      <c r="C62" s="75"/>
    </row>
    <row r="66" spans="1:16">
      <c r="C66" s="75"/>
    </row>
    <row r="67" spans="1:16">
      <c r="C67" s="75"/>
    </row>
    <row r="68" spans="1:16">
      <c r="C68" s="75"/>
    </row>
    <row r="69" spans="1:16">
      <c r="C69" s="75"/>
    </row>
    <row r="73" spans="1:16">
      <c r="P73" s="16"/>
    </row>
    <row r="74" spans="1:16">
      <c r="A74" s="66"/>
      <c r="C74" s="75"/>
      <c r="E74" s="67"/>
    </row>
    <row r="75" spans="1:16">
      <c r="A75" s="66"/>
      <c r="C75" s="75"/>
      <c r="E75" s="67"/>
    </row>
    <row r="76" spans="1:16">
      <c r="A76" s="66"/>
      <c r="E76" s="67"/>
    </row>
    <row r="77" spans="1:16">
      <c r="A77" s="66"/>
      <c r="C77" s="77"/>
      <c r="E77" s="67"/>
    </row>
    <row r="78" spans="1:16">
      <c r="A78" s="66"/>
      <c r="C78" s="77"/>
      <c r="E78" s="67"/>
    </row>
    <row r="79" spans="1:16">
      <c r="A79" s="66"/>
      <c r="C79" s="77"/>
      <c r="E79" s="67"/>
    </row>
  </sheetData>
  <sortState xmlns:xlrd2="http://schemas.microsoft.com/office/spreadsheetml/2017/richdata2" ref="A4:AJ81">
    <sortCondition ref="A4:A81"/>
    <sortCondition ref="B4:B81"/>
    <sortCondition ref="C4:C81"/>
  </sortState>
  <mergeCells count="6">
    <mergeCell ref="P2:P3"/>
    <mergeCell ref="A2:A3"/>
    <mergeCell ref="B2:B3"/>
    <mergeCell ref="C2:C3"/>
    <mergeCell ref="D2:D3"/>
    <mergeCell ref="E2:E3"/>
  </mergeCells>
  <dataValidations count="2">
    <dataValidation type="list" allowBlank="1" showInputMessage="1" showErrorMessage="1" promptTitle="Gas or Tracer Name" prompt="Select a tracer for this column" sqref="Q2:AY2" xr:uid="{C3AC5F3B-635B-43B2-9F3B-A5D6F0F96D07}">
      <formula1>"He,errHe,Ne,errNe,Ar,errAr,Kr,errKr,Xe,errXe,N2,errN2,O2,errO2,CO2,errCO2,CH4,errCH4,CO,errCO,H2,errH2,N2O,errN2O,CFC-11,errCFC-11,CFC-12,errCFC-12,CFC-113,errCFC-113,SF6,errSF6,Halon-1301,errHalon-1301"</formula1>
    </dataValidation>
    <dataValidation type="list" allowBlank="1" showInputMessage="1" showErrorMessage="1" promptTitle="Units" prompt="Select units for tracer" sqref="Q3:AY3" xr:uid="{4C65D229-9F6F-4113-AE6F-E9605673FB90}">
      <formula1>"mmol/kg, pmol/kg, fmol/kg"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C2DEE-020C-40E9-9A17-DABC393E5CA2}">
  <sheetPr codeName="Sheet1"/>
  <dimension ref="A1:CJ174"/>
  <sheetViews>
    <sheetView zoomScale="80" zoomScaleNormal="80" workbookViewId="0">
      <selection activeCell="A48" sqref="A48"/>
    </sheetView>
  </sheetViews>
  <sheetFormatPr defaultRowHeight="13.2"/>
  <cols>
    <col min="1" max="1" width="9.5546875" style="108" customWidth="1"/>
    <col min="2" max="9" width="9" style="108" bestFit="1" customWidth="1"/>
    <col min="10" max="10" width="11.21875" style="108" bestFit="1" customWidth="1"/>
    <col min="11" max="11" width="12.21875" style="108" bestFit="1" customWidth="1"/>
    <col min="12" max="12" width="9" style="108" bestFit="1" customWidth="1"/>
    <col min="13" max="13" width="12.21875" style="108" bestFit="1" customWidth="1"/>
    <col min="14" max="26" width="9" style="108" bestFit="1" customWidth="1"/>
    <col min="27" max="31" width="8.88671875" style="108"/>
    <col min="32" max="32" width="8.88671875" style="115"/>
    <col min="33" max="36" width="8.88671875" style="108"/>
    <col min="37" max="37" width="8.88671875" style="116"/>
    <col min="38" max="16384" width="8.88671875" style="108"/>
  </cols>
  <sheetData>
    <row r="1" spans="1:88" ht="16.2">
      <c r="C1" s="141" t="s">
        <v>802</v>
      </c>
      <c r="D1" s="151"/>
      <c r="E1" s="151"/>
      <c r="F1" s="151"/>
      <c r="G1" s="151"/>
      <c r="H1" s="151"/>
      <c r="I1" s="151"/>
      <c r="N1" s="141" t="s">
        <v>827</v>
      </c>
      <c r="O1" s="151"/>
      <c r="P1" s="151"/>
      <c r="Q1" s="151"/>
      <c r="R1" s="151"/>
      <c r="S1" s="151"/>
      <c r="T1" s="151"/>
      <c r="AB1" s="141" t="s">
        <v>141</v>
      </c>
      <c r="AC1" s="142"/>
      <c r="AD1" s="142"/>
      <c r="AE1" s="142"/>
      <c r="AF1" s="142"/>
      <c r="AG1" s="142"/>
      <c r="AH1" s="141" t="s">
        <v>830</v>
      </c>
      <c r="AI1" s="142"/>
      <c r="AJ1" s="142"/>
      <c r="AK1" s="142"/>
      <c r="AL1" s="142"/>
      <c r="AM1" s="142"/>
      <c r="AN1" s="142"/>
      <c r="AO1" s="142"/>
      <c r="AP1" s="142"/>
      <c r="AQ1" s="142"/>
      <c r="AR1" s="142"/>
      <c r="AS1" s="142"/>
      <c r="AT1" s="142"/>
      <c r="AU1" s="142"/>
      <c r="AV1" s="142"/>
      <c r="AW1" s="142"/>
      <c r="AX1" s="141" t="s">
        <v>857</v>
      </c>
      <c r="AY1" s="142"/>
      <c r="AZ1" s="142"/>
      <c r="BA1" s="142"/>
      <c r="BB1" s="142"/>
      <c r="BC1" s="142"/>
      <c r="BD1" s="142"/>
      <c r="BE1" s="142"/>
      <c r="BF1" s="142"/>
      <c r="BG1" s="142"/>
      <c r="BH1" s="142"/>
      <c r="BI1" s="142"/>
      <c r="BJ1" s="142"/>
      <c r="BK1" s="142"/>
      <c r="BL1" s="142"/>
      <c r="BM1" s="142"/>
      <c r="BN1" s="142"/>
      <c r="BO1" s="142"/>
      <c r="BP1" s="142"/>
      <c r="BQ1" s="142"/>
      <c r="BR1" s="142"/>
      <c r="BS1" s="142"/>
      <c r="BT1" s="142"/>
      <c r="BU1" s="142"/>
      <c r="BV1" s="142"/>
      <c r="BW1" s="142"/>
      <c r="BX1" s="142"/>
      <c r="BY1" s="142"/>
      <c r="BZ1" s="142"/>
      <c r="CA1" s="142"/>
      <c r="CB1" s="142"/>
      <c r="CC1" s="142"/>
      <c r="CD1" s="142"/>
      <c r="CE1" s="142"/>
      <c r="CF1" s="142"/>
      <c r="CG1" s="142"/>
      <c r="CH1" s="142"/>
      <c r="CI1" s="142"/>
      <c r="CJ1" s="142"/>
    </row>
    <row r="2" spans="1:88" ht="13.8">
      <c r="C2" s="139" t="s">
        <v>803</v>
      </c>
      <c r="D2" s="152"/>
      <c r="E2" s="152"/>
      <c r="F2" s="152"/>
      <c r="G2" s="111" t="s">
        <v>804</v>
      </c>
      <c r="H2" s="139" t="s">
        <v>805</v>
      </c>
      <c r="I2" s="152"/>
      <c r="N2" s="139" t="s">
        <v>803</v>
      </c>
      <c r="O2" s="152"/>
      <c r="P2" s="152"/>
      <c r="Q2" s="152"/>
      <c r="R2" s="111" t="s">
        <v>804</v>
      </c>
      <c r="S2" s="139" t="s">
        <v>805</v>
      </c>
      <c r="T2" s="152"/>
      <c r="AB2" s="111"/>
      <c r="AC2" s="143" t="s">
        <v>142</v>
      </c>
      <c r="AD2" s="143" t="s">
        <v>143</v>
      </c>
      <c r="AE2" s="143" t="s">
        <v>144</v>
      </c>
      <c r="AF2" s="147" t="s">
        <v>145</v>
      </c>
      <c r="AG2" s="143" t="s">
        <v>146</v>
      </c>
      <c r="AH2" s="143" t="s">
        <v>353</v>
      </c>
      <c r="AI2" s="143" t="s">
        <v>354</v>
      </c>
      <c r="AJ2" s="143" t="s">
        <v>355</v>
      </c>
      <c r="AK2" s="144" t="s">
        <v>356</v>
      </c>
      <c r="AL2" s="143" t="s">
        <v>349</v>
      </c>
      <c r="AM2" s="143" t="s">
        <v>366</v>
      </c>
      <c r="AN2" s="143" t="s">
        <v>350</v>
      </c>
      <c r="AO2" s="143" t="s">
        <v>367</v>
      </c>
      <c r="AP2" s="143" t="s">
        <v>831</v>
      </c>
      <c r="AQ2" s="143" t="s">
        <v>832</v>
      </c>
      <c r="AR2" s="143" t="s">
        <v>833</v>
      </c>
      <c r="AS2" s="143" t="s">
        <v>834</v>
      </c>
      <c r="AT2" s="143" t="s">
        <v>362</v>
      </c>
      <c r="AU2" s="143" t="s">
        <v>363</v>
      </c>
      <c r="AV2" s="143" t="s">
        <v>364</v>
      </c>
      <c r="AW2" s="143" t="s">
        <v>365</v>
      </c>
      <c r="AX2" s="139" t="s">
        <v>64</v>
      </c>
      <c r="AY2" s="139" t="s">
        <v>835</v>
      </c>
      <c r="AZ2" s="139" t="s">
        <v>836</v>
      </c>
      <c r="BA2" s="139" t="s">
        <v>73</v>
      </c>
      <c r="BB2" s="139" t="s">
        <v>837</v>
      </c>
      <c r="BC2" s="139" t="s">
        <v>838</v>
      </c>
      <c r="BD2" s="139" t="s">
        <v>82</v>
      </c>
      <c r="BE2" s="139" t="s">
        <v>839</v>
      </c>
      <c r="BF2" s="139" t="s">
        <v>840</v>
      </c>
      <c r="BG2" s="139" t="s">
        <v>89</v>
      </c>
      <c r="BH2" s="139" t="s">
        <v>841</v>
      </c>
      <c r="BI2" s="139" t="s">
        <v>842</v>
      </c>
      <c r="BJ2" s="139" t="s">
        <v>94</v>
      </c>
      <c r="BK2" s="139" t="s">
        <v>843</v>
      </c>
      <c r="BL2" s="139" t="s">
        <v>844</v>
      </c>
      <c r="BM2" s="139" t="s">
        <v>98</v>
      </c>
      <c r="BN2" s="139" t="s">
        <v>845</v>
      </c>
      <c r="BO2" s="139" t="s">
        <v>846</v>
      </c>
      <c r="BP2" s="139" t="s">
        <v>102</v>
      </c>
      <c r="BQ2" s="139" t="s">
        <v>847</v>
      </c>
      <c r="BR2" s="139" t="s">
        <v>848</v>
      </c>
      <c r="BS2" s="139" t="s">
        <v>77</v>
      </c>
      <c r="BT2" s="139" t="s">
        <v>849</v>
      </c>
      <c r="BU2" s="139" t="s">
        <v>850</v>
      </c>
      <c r="BV2" s="139" t="s">
        <v>110</v>
      </c>
      <c r="BW2" s="139" t="s">
        <v>851</v>
      </c>
      <c r="BX2" s="139" t="s">
        <v>852</v>
      </c>
      <c r="BY2" s="139" t="s">
        <v>118</v>
      </c>
      <c r="BZ2" s="139" t="s">
        <v>853</v>
      </c>
      <c r="CA2" s="139" t="s">
        <v>854</v>
      </c>
      <c r="CB2" s="139" t="s">
        <v>78</v>
      </c>
      <c r="CC2" s="139" t="s">
        <v>855</v>
      </c>
      <c r="CD2" s="139" t="s">
        <v>856</v>
      </c>
      <c r="CE2" s="139" t="s">
        <v>796</v>
      </c>
      <c r="CF2" s="139" t="s">
        <v>797</v>
      </c>
      <c r="CG2" s="139" t="s">
        <v>798</v>
      </c>
      <c r="CH2" s="139" t="s">
        <v>799</v>
      </c>
      <c r="CI2" s="139" t="s">
        <v>800</v>
      </c>
      <c r="CJ2" s="139" t="s">
        <v>801</v>
      </c>
    </row>
    <row r="3" spans="1:88" ht="66">
      <c r="C3" s="113" t="s">
        <v>349</v>
      </c>
      <c r="D3" s="113" t="s">
        <v>806</v>
      </c>
      <c r="E3" s="113" t="s">
        <v>807</v>
      </c>
      <c r="F3" s="113" t="s">
        <v>808</v>
      </c>
      <c r="G3" s="113" t="s">
        <v>147</v>
      </c>
      <c r="H3" s="113" t="s">
        <v>809</v>
      </c>
      <c r="I3" s="113" t="s">
        <v>810</v>
      </c>
      <c r="N3" s="113" t="s">
        <v>349</v>
      </c>
      <c r="O3" s="113" t="s">
        <v>806</v>
      </c>
      <c r="P3" s="113" t="s">
        <v>807</v>
      </c>
      <c r="Q3" s="113" t="s">
        <v>808</v>
      </c>
      <c r="R3" s="113" t="s">
        <v>147</v>
      </c>
      <c r="S3" s="113" t="s">
        <v>809</v>
      </c>
      <c r="T3" s="113" t="s">
        <v>810</v>
      </c>
      <c r="AB3" s="113" t="s">
        <v>829</v>
      </c>
      <c r="AC3" s="140"/>
      <c r="AD3" s="140"/>
      <c r="AE3" s="140"/>
      <c r="AF3" s="148"/>
      <c r="AG3" s="140"/>
      <c r="AH3" s="140"/>
      <c r="AI3" s="140"/>
      <c r="AJ3" s="140"/>
      <c r="AK3" s="145"/>
      <c r="AL3" s="140"/>
      <c r="AM3" s="140"/>
      <c r="AN3" s="140"/>
      <c r="AO3" s="140"/>
      <c r="AP3" s="140"/>
      <c r="AQ3" s="140"/>
      <c r="AR3" s="140"/>
      <c r="AS3" s="140"/>
      <c r="AT3" s="140"/>
      <c r="AU3" s="140"/>
      <c r="AV3" s="140"/>
      <c r="AW3" s="140"/>
      <c r="AX3" s="140"/>
      <c r="AY3" s="140"/>
      <c r="AZ3" s="140"/>
      <c r="BA3" s="140"/>
      <c r="BB3" s="140"/>
      <c r="BC3" s="140"/>
      <c r="BD3" s="140"/>
      <c r="BE3" s="140"/>
      <c r="BF3" s="140"/>
      <c r="BG3" s="140"/>
      <c r="BH3" s="140"/>
      <c r="BI3" s="140"/>
      <c r="BJ3" s="140"/>
      <c r="BK3" s="140"/>
      <c r="BL3" s="140"/>
      <c r="BM3" s="140"/>
      <c r="BN3" s="140"/>
      <c r="BO3" s="140"/>
      <c r="BP3" s="140"/>
      <c r="BQ3" s="140"/>
      <c r="BR3" s="140"/>
      <c r="BS3" s="140"/>
      <c r="BT3" s="140"/>
      <c r="BU3" s="140"/>
      <c r="BV3" s="140"/>
      <c r="BW3" s="140"/>
      <c r="BX3" s="140"/>
      <c r="BY3" s="140"/>
      <c r="BZ3" s="140"/>
      <c r="CA3" s="140"/>
      <c r="CB3" s="140"/>
      <c r="CC3" s="140"/>
      <c r="CD3" s="140"/>
      <c r="CE3" s="140"/>
      <c r="CF3" s="140"/>
      <c r="CG3" s="140"/>
      <c r="CH3" s="140"/>
      <c r="CI3" s="140"/>
      <c r="CJ3" s="140"/>
    </row>
    <row r="4" spans="1:88" ht="14.4">
      <c r="C4" s="112">
        <v>0.60581683578000001</v>
      </c>
      <c r="D4" s="112">
        <v>61.585365853658502</v>
      </c>
      <c r="E4" s="112">
        <v>20.790000915499999</v>
      </c>
      <c r="F4" s="112">
        <v>0</v>
      </c>
      <c r="G4" s="112">
        <v>0.5</v>
      </c>
      <c r="H4" s="112">
        <v>1</v>
      </c>
      <c r="I4" s="112">
        <v>20</v>
      </c>
      <c r="N4" s="112">
        <v>0.60581683578000001</v>
      </c>
      <c r="O4" s="112">
        <v>61.585365853658502</v>
      </c>
      <c r="P4" s="112">
        <v>20.790000915499999</v>
      </c>
      <c r="Q4" s="112">
        <v>0</v>
      </c>
      <c r="R4" s="112">
        <v>0.5</v>
      </c>
      <c r="S4" s="112">
        <v>1</v>
      </c>
      <c r="T4" s="112">
        <v>20</v>
      </c>
      <c r="AB4" s="114" t="s">
        <v>858</v>
      </c>
      <c r="AC4" s="117" t="s">
        <v>626</v>
      </c>
      <c r="AD4" s="117" t="s">
        <v>627</v>
      </c>
      <c r="AE4" s="117" t="s">
        <v>661</v>
      </c>
      <c r="AF4" s="118">
        <v>41507</v>
      </c>
      <c r="AG4" s="117" t="s">
        <v>662</v>
      </c>
      <c r="AH4" s="114" t="s">
        <v>270</v>
      </c>
      <c r="AI4" s="114" t="s">
        <v>270</v>
      </c>
      <c r="AJ4" s="114" t="s">
        <v>270</v>
      </c>
      <c r="AK4" s="119" t="s">
        <v>270</v>
      </c>
      <c r="AL4" s="114">
        <v>0.22376201802000001</v>
      </c>
      <c r="AM4" s="114">
        <v>2.2376201801999999E-2</v>
      </c>
      <c r="AN4" s="114">
        <v>39.024390243902403</v>
      </c>
      <c r="AO4" s="114">
        <v>3.9024390243902403</v>
      </c>
      <c r="AP4" s="114">
        <v>20.090000152599998</v>
      </c>
      <c r="AQ4" s="114">
        <v>2.0090000152599998</v>
      </c>
      <c r="AR4" s="114">
        <v>1</v>
      </c>
      <c r="AS4" s="114">
        <v>0.1</v>
      </c>
      <c r="AT4" s="114">
        <v>0</v>
      </c>
      <c r="AU4" s="114">
        <v>0</v>
      </c>
      <c r="AV4" s="114">
        <v>0</v>
      </c>
      <c r="AW4" s="114">
        <v>0</v>
      </c>
      <c r="AX4" s="114">
        <f>ConvertUnits(0.0000000657, "He_Weiss", $AZ$4, $B$11, $AP$4, $AL$4)</f>
        <v>6.5699999999999999E-8</v>
      </c>
      <c r="AY4" s="114">
        <f>ConvertUnits(0.0000000657, "He_Weiss", $AZ$4, $B$11, $AP$4, $AL$4)</f>
        <v>6.5699999999999999E-8</v>
      </c>
      <c r="AZ4" s="114" t="s">
        <v>198</v>
      </c>
      <c r="BA4" s="114">
        <f>ConvertUnits(0.0000002326, "Ne_Weiss", $BC$4, $B$12, $AP$4, $AL$4)</f>
        <v>2.326E-7</v>
      </c>
      <c r="BB4" s="114">
        <f>ConvertUnits(0.0000002326, "Ne_Weiss", $BC$4, $B$12, $AP$4, $AL$4)</f>
        <v>2.326E-7</v>
      </c>
      <c r="BC4" s="114" t="s">
        <v>198</v>
      </c>
      <c r="BD4" s="114">
        <f>ConvertUnits(0.629795336974401, "Ar_Weiss", $BF$4, $B$13, $AP$4, $AL$4)</f>
        <v>3.5360456264912525E-4</v>
      </c>
      <c r="BE4" s="114">
        <f>ConvertUnits(0.0629795336974401, "Ar_Weiss", $BF$4, $B$13, $AP$4, $AL$4)</f>
        <v>3.5360456264912516E-5</v>
      </c>
      <c r="BF4" s="114" t="s">
        <v>165</v>
      </c>
      <c r="BG4" s="114"/>
      <c r="BH4" s="114"/>
      <c r="BI4" s="114"/>
      <c r="BJ4" s="114"/>
      <c r="BK4" s="114"/>
      <c r="BL4" s="114"/>
      <c r="BM4" s="114">
        <f>ConvertUnits(17.871653837797, "N2_Weiss", $BO$4, $B$16, $AP$4, $AL$4)</f>
        <v>1.4309376265223543E-2</v>
      </c>
      <c r="BN4" s="114">
        <f>ConvertUnits(1.7871653837797, "N2_Weiss", $BO$4, $B$16, $AP$4, $AL$4)</f>
        <v>1.4309376265223544E-3</v>
      </c>
      <c r="BO4" s="114" t="s">
        <v>165</v>
      </c>
      <c r="BP4" s="114">
        <f>ConvertUnits(1.42687857026998, "O2_B&amp;K", $BR$4, $B$17, $AP$4, $AL$4)</f>
        <v>1.0001567173866693E-3</v>
      </c>
      <c r="BQ4" s="114">
        <f>ConvertUnits(0.142687857026998, "O2_B&amp;K", $BR$4, $B$17, $AP$4, $AL$4)</f>
        <v>1.0001567173866691E-4</v>
      </c>
      <c r="BR4" s="114" t="s">
        <v>165</v>
      </c>
      <c r="BS4" s="114">
        <f>ConvertUnits(15.4357918899496, "CO2_Weiss_F", $BU$4, $B$18, $AP$4, $AL$4)</f>
        <v>7.8205179069109169E-3</v>
      </c>
      <c r="BT4" s="114">
        <f>ConvertUnits(1.54357918899496, "CO2_Weiss_F", $BU$4, $B$18, $AP$4, $AL$4)</f>
        <v>7.8205179069109167E-4</v>
      </c>
      <c r="BU4" s="114" t="s">
        <v>165</v>
      </c>
      <c r="BV4" s="114"/>
      <c r="BW4" s="114"/>
      <c r="BX4" s="114"/>
      <c r="BY4" s="114"/>
      <c r="BZ4" s="114"/>
      <c r="CA4" s="114"/>
      <c r="CB4" s="114"/>
      <c r="CC4" s="114"/>
      <c r="CD4" s="114"/>
      <c r="CE4" s="114">
        <f>$BD$4/$BA$4</f>
        <v>1520.2259787150699</v>
      </c>
      <c r="CF4" s="114"/>
      <c r="CG4" s="114"/>
      <c r="CH4" s="114"/>
      <c r="CI4" s="114">
        <f>$BM$4/$BD$4</f>
        <v>40.467170892878016</v>
      </c>
      <c r="CJ4" s="114" t="e">
        <f>$AU$4/$AU$4</f>
        <v>#DIV/0!</v>
      </c>
    </row>
    <row r="5" spans="1:88" ht="14.4">
      <c r="A5" s="109" t="s">
        <v>781</v>
      </c>
      <c r="B5" s="109"/>
      <c r="L5" s="109" t="s">
        <v>781</v>
      </c>
      <c r="M5" s="109"/>
      <c r="AB5" s="114" t="s">
        <v>858</v>
      </c>
      <c r="AC5" s="117" t="s">
        <v>626</v>
      </c>
      <c r="AD5" s="117" t="s">
        <v>627</v>
      </c>
      <c r="AE5" s="117" t="s">
        <v>661</v>
      </c>
      <c r="AF5" s="118">
        <v>41507</v>
      </c>
      <c r="AG5" s="120" t="s">
        <v>664</v>
      </c>
      <c r="AH5" s="114" t="s">
        <v>270</v>
      </c>
      <c r="AI5" s="114" t="s">
        <v>270</v>
      </c>
      <c r="AJ5" s="114" t="s">
        <v>270</v>
      </c>
      <c r="AK5" s="119" t="s">
        <v>270</v>
      </c>
      <c r="AL5" s="114">
        <v>0.22376201802000001</v>
      </c>
      <c r="AM5" s="114">
        <v>2.2376201801999999E-2</v>
      </c>
      <c r="AN5" s="114">
        <v>39.024390243902403</v>
      </c>
      <c r="AO5" s="114">
        <v>3.9024390243902403</v>
      </c>
      <c r="AP5" s="114">
        <v>20.090000152599998</v>
      </c>
      <c r="AQ5" s="114">
        <v>2.0090000152599998</v>
      </c>
      <c r="AR5" s="114">
        <v>1</v>
      </c>
      <c r="AS5" s="114">
        <v>0.1</v>
      </c>
      <c r="AT5" s="114">
        <v>0</v>
      </c>
      <c r="AU5" s="114">
        <v>0</v>
      </c>
      <c r="AV5" s="114">
        <v>0</v>
      </c>
      <c r="AW5" s="114">
        <v>0</v>
      </c>
      <c r="AX5" s="114">
        <f>ConvertUnits(0.0000000657, "He_Weiss", $AZ$5, $B$11, $AP$5, $AL$5)</f>
        <v>6.5699999999999999E-8</v>
      </c>
      <c r="AY5" s="114">
        <f>ConvertUnits(0.0000000657, "He_Weiss", $AZ$5, $B$11, $AP$5, $AL$5)</f>
        <v>6.5699999999999999E-8</v>
      </c>
      <c r="AZ5" s="114" t="s">
        <v>198</v>
      </c>
      <c r="BA5" s="114">
        <f>ConvertUnits(0.0000002326, "Ne_Weiss", $BC$5, $B$12, $AP$5, $AL$5)</f>
        <v>2.326E-7</v>
      </c>
      <c r="BB5" s="114">
        <f>ConvertUnits(0.0000002326, "Ne_Weiss", $BC$5, $B$12, $AP$5, $AL$5)</f>
        <v>2.326E-7</v>
      </c>
      <c r="BC5" s="114" t="s">
        <v>198</v>
      </c>
      <c r="BD5" s="114">
        <f>ConvertUnits(0.622486400747036, "Ar_Weiss", $BF$5, $B$13, $AP$5, $AL$5)</f>
        <v>3.4950089111271176E-4</v>
      </c>
      <c r="BE5" s="114">
        <f>ConvertUnits(0.0622486400747036, "Ar_Weiss", $BF$5, $B$13, $AP$5, $AL$5)</f>
        <v>3.495008911127118E-5</v>
      </c>
      <c r="BF5" s="114" t="s">
        <v>165</v>
      </c>
      <c r="BG5" s="114"/>
      <c r="BH5" s="114"/>
      <c r="BI5" s="114"/>
      <c r="BJ5" s="114"/>
      <c r="BK5" s="114"/>
      <c r="BL5" s="114"/>
      <c r="BM5" s="114">
        <f>ConvertUnits(17.6198808096013, "N2_Weiss", $BO$5, $B$16, $AP$5, $AL$5)</f>
        <v>1.4107788039165386E-2</v>
      </c>
      <c r="BN5" s="114">
        <f>ConvertUnits(1.76198808096013, "N2_Weiss", $BO$5, $B$16, $AP$5, $AL$5)</f>
        <v>1.4107788039165385E-3</v>
      </c>
      <c r="BO5" s="114" t="s">
        <v>165</v>
      </c>
      <c r="BP5" s="114">
        <f>ConvertUnits(1.76029662671395, "O2_B&amp;K", $BR$5, $B$17, $AP$5, $AL$5)</f>
        <v>1.2338628755689651E-3</v>
      </c>
      <c r="BQ5" s="114">
        <f>ConvertUnits(0.176029662671395, "O2_B&amp;K", $BR$5, $B$17, $AP$5, $AL$5)</f>
        <v>1.2338628755689652E-4</v>
      </c>
      <c r="BR5" s="114" t="s">
        <v>165</v>
      </c>
      <c r="BS5" s="114">
        <f>ConvertUnits(17.7955173661342, "CO2_Weiss_F", $BU$5, $B$18, $AP$5, $AL$5)</f>
        <v>9.0160688364302067E-3</v>
      </c>
      <c r="BT5" s="114">
        <f>ConvertUnits(1.77955173661342, "CO2_Weiss_F", $BU$5, $B$18, $AP$5, $AL$5)</f>
        <v>9.0160688364302063E-4</v>
      </c>
      <c r="BU5" s="114" t="s">
        <v>165</v>
      </c>
      <c r="BV5" s="114"/>
      <c r="BW5" s="114"/>
      <c r="BX5" s="114"/>
      <c r="BY5" s="114"/>
      <c r="BZ5" s="114"/>
      <c r="CA5" s="114"/>
      <c r="CB5" s="114"/>
      <c r="CC5" s="114"/>
      <c r="CD5" s="114"/>
      <c r="CE5" s="114">
        <f>$BD$5/$BA$5</f>
        <v>1502.5833667786403</v>
      </c>
      <c r="CF5" s="114"/>
      <c r="CG5" s="114"/>
      <c r="CH5" s="114"/>
      <c r="CI5" s="114">
        <f>$BM$5/$BD$5</f>
        <v>40.365528094220842</v>
      </c>
      <c r="CJ5" s="114" t="e">
        <f>$AU$5/$AU$5</f>
        <v>#DIV/0!</v>
      </c>
    </row>
    <row r="6" spans="1:88" ht="14.4">
      <c r="A6" s="109">
        <v>1</v>
      </c>
      <c r="B6" s="109" t="s">
        <v>198</v>
      </c>
      <c r="L6" s="109">
        <v>1</v>
      </c>
      <c r="M6" s="109" t="s">
        <v>198</v>
      </c>
      <c r="AB6" s="114" t="s">
        <v>858</v>
      </c>
      <c r="AC6" s="117" t="s">
        <v>626</v>
      </c>
      <c r="AD6" s="117" t="s">
        <v>627</v>
      </c>
      <c r="AE6" s="117" t="s">
        <v>649</v>
      </c>
      <c r="AF6" s="118">
        <v>41508</v>
      </c>
      <c r="AG6" s="117" t="s">
        <v>650</v>
      </c>
      <c r="AH6" s="114" t="s">
        <v>270</v>
      </c>
      <c r="AI6" s="114" t="s">
        <v>270</v>
      </c>
      <c r="AJ6" s="114" t="s">
        <v>270</v>
      </c>
      <c r="AK6" s="119" t="s">
        <v>270</v>
      </c>
      <c r="AL6" s="114">
        <v>0.70640354088000001</v>
      </c>
      <c r="AM6" s="114">
        <v>7.0640354087999999E-2</v>
      </c>
      <c r="AN6" s="114">
        <v>19.8170731707317</v>
      </c>
      <c r="AO6" s="114">
        <v>1.98170731707317</v>
      </c>
      <c r="AP6" s="114">
        <v>20.159999847400002</v>
      </c>
      <c r="AQ6" s="114">
        <v>2.0159999847400001</v>
      </c>
      <c r="AR6" s="114">
        <v>1</v>
      </c>
      <c r="AS6" s="114">
        <v>0.1</v>
      </c>
      <c r="AT6" s="114">
        <v>0</v>
      </c>
      <c r="AU6" s="114">
        <v>0</v>
      </c>
      <c r="AV6" s="114">
        <v>0</v>
      </c>
      <c r="AW6" s="114">
        <v>0</v>
      </c>
      <c r="AX6" s="114">
        <f>ConvertUnits(0.0000004323, "He_Weiss", $AZ$6, $B$11, $AP$6, $AL$6)</f>
        <v>4.3230000000000003E-7</v>
      </c>
      <c r="AY6" s="114">
        <f>ConvertUnits(0.0000004323, "He_Weiss", $AZ$6, $B$11, $AP$6, $AL$6)</f>
        <v>4.3230000000000003E-7</v>
      </c>
      <c r="AZ6" s="114" t="s">
        <v>198</v>
      </c>
      <c r="BA6" s="114">
        <f>ConvertUnits(0.0000002084, "Ne_Weiss", $BC$6, $B$12, $AP$6, $AL$6)</f>
        <v>2.0840000000000001E-7</v>
      </c>
      <c r="BB6" s="114">
        <f>ConvertUnits(0.0000002084, "Ne_Weiss", $BC$6, $B$12, $AP$6, $AL$6)</f>
        <v>2.0840000000000001E-7</v>
      </c>
      <c r="BC6" s="114" t="s">
        <v>198</v>
      </c>
      <c r="BD6" s="114">
        <f>ConvertUnits(0.672351702002661, "Ar_Weiss", $BF$6, $B$13, $AP$6, $AL$6)</f>
        <v>3.7736448976833655E-4</v>
      </c>
      <c r="BE6" s="114">
        <f>ConvertUnits(0.0672351702002661, "Ar_Weiss", $BF$6, $B$13, $AP$6, $AL$6)</f>
        <v>3.7736448976833656E-5</v>
      </c>
      <c r="BF6" s="114" t="s">
        <v>165</v>
      </c>
      <c r="BG6" s="114"/>
      <c r="BH6" s="114"/>
      <c r="BI6" s="114"/>
      <c r="BJ6" s="114"/>
      <c r="BK6" s="114"/>
      <c r="BL6" s="114"/>
      <c r="BM6" s="114">
        <f>ConvertUnits(18.8177038930281, "N2_Weiss", $BO$6, $B$16, $AP$6, $AL$6)</f>
        <v>1.5061516174202195E-2</v>
      </c>
      <c r="BN6" s="114">
        <f>ConvertUnits(1.88177038930281, "N2_Weiss", $BO$6, $B$16, $AP$6, $AL$6)</f>
        <v>1.5061516174202194E-3</v>
      </c>
      <c r="BO6" s="114" t="s">
        <v>165</v>
      </c>
      <c r="BP6" s="114">
        <f>ConvertUnits(0.249017721966944, "O2_B&amp;K", $BR$6, $B$17, $AP$6, $AL$6)</f>
        <v>1.7448471919999256E-4</v>
      </c>
      <c r="BQ6" s="114">
        <f>ConvertUnits(0.0249017721966944, "O2_B&amp;K", $BR$6, $B$17, $AP$6, $AL$6)</f>
        <v>1.7448471919999257E-5</v>
      </c>
      <c r="BR6" s="114" t="s">
        <v>165</v>
      </c>
      <c r="BS6" s="114">
        <f>ConvertUnits(2.28740903318885, "CO2_Weiss_F", $BU$6, $B$18, $AP$6, $AL$6)</f>
        <v>1.1585013236997612E-3</v>
      </c>
      <c r="BT6" s="114">
        <f>ConvertUnits(0.228740903318885, "CO2_Weiss_F", $BU$6, $B$18, $AP$6, $AL$6)</f>
        <v>1.158501323699761E-4</v>
      </c>
      <c r="BU6" s="114" t="s">
        <v>165</v>
      </c>
      <c r="BV6" s="114">
        <f>ConvertUnits(0.00592962525906257, "CH4_Wies", $BX$6, $B$19, $AP$6, $AL$6)</f>
        <v>8.2864864538148077E-6</v>
      </c>
      <c r="BW6" s="114">
        <f>ConvertUnits(0.000592962525906257, "CH4_Wies", $BX$6, $B$19, $AP$6, $AL$6)</f>
        <v>8.2864864538148072E-7</v>
      </c>
      <c r="BX6" s="114" t="s">
        <v>165</v>
      </c>
      <c r="BY6" s="114"/>
      <c r="BZ6" s="114"/>
      <c r="CA6" s="114"/>
      <c r="CB6" s="114"/>
      <c r="CC6" s="114"/>
      <c r="CD6" s="114"/>
      <c r="CE6" s="114">
        <f>$BD$6/$BA$6</f>
        <v>1810.77010445459</v>
      </c>
      <c r="CF6" s="114"/>
      <c r="CG6" s="114"/>
      <c r="CH6" s="114"/>
      <c r="CI6" s="114">
        <f>$BM$6/$BD$6</f>
        <v>39.912383339111834</v>
      </c>
      <c r="CJ6" s="114" t="e">
        <f>$AU$6/$AU$6</f>
        <v>#DIV/0!</v>
      </c>
    </row>
    <row r="7" spans="1:88" ht="14.4">
      <c r="A7" s="109">
        <v>2</v>
      </c>
      <c r="B7" s="109" t="s">
        <v>782</v>
      </c>
      <c r="L7" s="109">
        <v>2</v>
      </c>
      <c r="M7" s="109" t="s">
        <v>782</v>
      </c>
      <c r="AB7" s="114" t="s">
        <v>858</v>
      </c>
      <c r="AC7" s="117" t="s">
        <v>626</v>
      </c>
      <c r="AD7" s="117" t="s">
        <v>627</v>
      </c>
      <c r="AE7" s="117" t="s">
        <v>649</v>
      </c>
      <c r="AF7" s="118">
        <v>41508</v>
      </c>
      <c r="AG7" s="117" t="s">
        <v>653</v>
      </c>
      <c r="AH7" s="114" t="s">
        <v>270</v>
      </c>
      <c r="AI7" s="114" t="s">
        <v>270</v>
      </c>
      <c r="AJ7" s="114" t="s">
        <v>270</v>
      </c>
      <c r="AK7" s="119" t="s">
        <v>270</v>
      </c>
      <c r="AL7" s="114">
        <v>0.70640354088000001</v>
      </c>
      <c r="AM7" s="114">
        <v>7.0640354087999999E-2</v>
      </c>
      <c r="AN7" s="114">
        <v>19.8170731707317</v>
      </c>
      <c r="AO7" s="114">
        <v>1.98170731707317</v>
      </c>
      <c r="AP7" s="114">
        <v>20.159999847400002</v>
      </c>
      <c r="AQ7" s="114">
        <v>2.0159999847400001</v>
      </c>
      <c r="AR7" s="114">
        <v>1</v>
      </c>
      <c r="AS7" s="114">
        <v>0.1</v>
      </c>
      <c r="AT7" s="114">
        <v>0</v>
      </c>
      <c r="AU7" s="114">
        <v>0</v>
      </c>
      <c r="AV7" s="114">
        <v>0</v>
      </c>
      <c r="AW7" s="114">
        <v>0</v>
      </c>
      <c r="AX7" s="114">
        <f>ConvertUnits(0.0000004323, "He_Weiss", $AZ$7, $B$11, $AP$7, $AL$7)</f>
        <v>4.3230000000000003E-7</v>
      </c>
      <c r="AY7" s="114">
        <f>ConvertUnits(0.0000004323, "He_Weiss", $AZ$7, $B$11, $AP$7, $AL$7)</f>
        <v>4.3230000000000003E-7</v>
      </c>
      <c r="AZ7" s="114" t="s">
        <v>198</v>
      </c>
      <c r="BA7" s="114">
        <f>ConvertUnits(0.0000002084, "Ne_Weiss", $BC$7, $B$12, $AP$7, $AL$7)</f>
        <v>2.0840000000000001E-7</v>
      </c>
      <c r="BB7" s="114">
        <f>ConvertUnits(0.0000002084, "Ne_Weiss", $BC$7, $B$12, $AP$7, $AL$7)</f>
        <v>2.0840000000000001E-7</v>
      </c>
      <c r="BC7" s="114" t="s">
        <v>198</v>
      </c>
      <c r="BD7" s="114">
        <f>ConvertUnits(0.674387788802412, "Ar_Weiss", $BF$7, $B$13, $AP$7, $AL$7)</f>
        <v>3.7850726497664418E-4</v>
      </c>
      <c r="BE7" s="114">
        <f>ConvertUnits(0.0674387788802412, "Ar_Weiss", $BF$7, $B$13, $AP$7, $AL$7)</f>
        <v>3.7850726497664421E-5</v>
      </c>
      <c r="BF7" s="114" t="s">
        <v>165</v>
      </c>
      <c r="BG7" s="114"/>
      <c r="BH7" s="114"/>
      <c r="BI7" s="114"/>
      <c r="BJ7" s="114"/>
      <c r="BK7" s="114"/>
      <c r="BL7" s="114"/>
      <c r="BM7" s="114">
        <f>ConvertUnits(18.8206368054116, "N2_Weiss", $BO$7, $B$16, $AP$7, $AL$7)</f>
        <v>1.5063863650151051E-2</v>
      </c>
      <c r="BN7" s="114">
        <f>ConvertUnits(1.88206368054116, "N2_Weiss", $BO$7, $B$16, $AP$7, $AL$7)</f>
        <v>1.5063863650151051E-3</v>
      </c>
      <c r="BO7" s="114" t="s">
        <v>165</v>
      </c>
      <c r="BP7" s="114">
        <f>ConvertUnits(0.248109331462472, "O2_B&amp;K", $BR$7, $B$17, $AP$7, $AL$7)</f>
        <v>1.738482172641272E-4</v>
      </c>
      <c r="BQ7" s="114">
        <f>ConvertUnits(0.0248109331462472, "O2_B&amp;K", $BR$7, $B$17, $AP$7, $AL$7)</f>
        <v>1.7384821726412722E-5</v>
      </c>
      <c r="BR7" s="114" t="s">
        <v>165</v>
      </c>
      <c r="BS7" s="114">
        <f>ConvertUnits(2.29314438913491, "CO2_Weiss_F", $BU$7, $B$18, $AP$7, $AL$7)</f>
        <v>1.1614061025823279E-3</v>
      </c>
      <c r="BT7" s="114">
        <f>ConvertUnits(0.229314438913491, "CO2_Weiss_F", $BU$7, $B$18, $AP$7, $AL$7)</f>
        <v>1.1614061025823279E-4</v>
      </c>
      <c r="BU7" s="114" t="s">
        <v>165</v>
      </c>
      <c r="BV7" s="114">
        <f>ConvertUnits(0.00572353812493416, "CH4_Wies", $BX$7, $B$19, $AP$7, $AL$7)</f>
        <v>7.9984854131671612E-6</v>
      </c>
      <c r="BW7" s="114">
        <f>ConvertUnits(0.000572353812493416, "CH4_Wies", $BX$7, $B$19, $AP$7, $AL$7)</f>
        <v>7.9984854131671627E-7</v>
      </c>
      <c r="BX7" s="114" t="s">
        <v>165</v>
      </c>
      <c r="BY7" s="114"/>
      <c r="BZ7" s="114"/>
      <c r="CA7" s="114"/>
      <c r="CB7" s="114"/>
      <c r="CC7" s="114"/>
      <c r="CD7" s="114"/>
      <c r="CE7" s="114">
        <f>$BD$7/$BA$7</f>
        <v>1816.2536707132638</v>
      </c>
      <c r="CF7" s="114"/>
      <c r="CG7" s="114"/>
      <c r="CH7" s="114"/>
      <c r="CI7" s="114">
        <f>$BM$7/$BD$7</f>
        <v>39.798083270820619</v>
      </c>
      <c r="CJ7" s="114" t="e">
        <f>$AU$7/$AU$7</f>
        <v>#DIV/0!</v>
      </c>
    </row>
    <row r="8" spans="1:88" ht="14.4">
      <c r="A8" s="109">
        <v>3</v>
      </c>
      <c r="B8" s="109" t="s">
        <v>165</v>
      </c>
      <c r="L8" s="109">
        <v>3</v>
      </c>
      <c r="M8" s="109" t="s">
        <v>165</v>
      </c>
      <c r="AB8" s="114" t="s">
        <v>858</v>
      </c>
      <c r="AC8" s="120" t="s">
        <v>626</v>
      </c>
      <c r="AD8" s="117" t="s">
        <v>627</v>
      </c>
      <c r="AE8" s="120" t="s">
        <v>678</v>
      </c>
      <c r="AF8" s="121">
        <v>41520</v>
      </c>
      <c r="AG8" s="120" t="s">
        <v>679</v>
      </c>
      <c r="AH8" s="114" t="s">
        <v>270</v>
      </c>
      <c r="AI8" s="114" t="s">
        <v>270</v>
      </c>
      <c r="AJ8" s="114" t="s">
        <v>270</v>
      </c>
      <c r="AK8" s="119" t="s">
        <v>270</v>
      </c>
      <c r="AL8" s="114">
        <v>0.14891640378000001</v>
      </c>
      <c r="AM8" s="114">
        <v>1.4891640378E-2</v>
      </c>
      <c r="AN8" s="114">
        <v>61.585365853658502</v>
      </c>
      <c r="AO8" s="114">
        <v>6.1585365853658498</v>
      </c>
      <c r="AP8" s="114">
        <v>19.219999313399999</v>
      </c>
      <c r="AQ8" s="114">
        <v>1.9219999313399998</v>
      </c>
      <c r="AR8" s="114">
        <v>1</v>
      </c>
      <c r="AS8" s="114">
        <v>0.1</v>
      </c>
      <c r="AT8" s="114">
        <v>0</v>
      </c>
      <c r="AU8" s="114">
        <v>0</v>
      </c>
      <c r="AV8" s="114">
        <v>0</v>
      </c>
      <c r="AW8" s="114">
        <v>0</v>
      </c>
      <c r="AX8" s="114">
        <f>ConvertUnits(0.0000001178, "He_Weiss", $AZ$8, $B$11, $AP$8, $AL$8)</f>
        <v>1.178E-7</v>
      </c>
      <c r="AY8" s="114">
        <f>ConvertUnits(0.0000001178, "He_Weiss", $AZ$8, $B$11, $AP$8, $AL$8)</f>
        <v>1.178E-7</v>
      </c>
      <c r="AZ8" s="114" t="s">
        <v>198</v>
      </c>
      <c r="BA8" s="114">
        <f>ConvertUnits(0.0000002429, "Ne_Weiss", $BC$8, $B$12, $AP$8, $AL$8)</f>
        <v>2.4289999999999998E-7</v>
      </c>
      <c r="BB8" s="114">
        <f>ConvertUnits(0.0000002429, "Ne_Weiss", $BC$8, $B$12, $AP$8, $AL$8)</f>
        <v>2.4289999999999998E-7</v>
      </c>
      <c r="BC8" s="114" t="s">
        <v>198</v>
      </c>
      <c r="BD8" s="114">
        <f>ConvertUnits(0.702976746667246, "Ar_Weiss", $BF$8, $B$13, $AP$8, $AL$8)</f>
        <v>3.94645799929978E-4</v>
      </c>
      <c r="BE8" s="114">
        <f>ConvertUnits(0.0702976746667246, "Ar_Weiss", $BF$8, $B$13, $AP$8, $AL$8)</f>
        <v>3.9464579992997802E-5</v>
      </c>
      <c r="BF8" s="114" t="s">
        <v>165</v>
      </c>
      <c r="BG8" s="114"/>
      <c r="BH8" s="114"/>
      <c r="BI8" s="114"/>
      <c r="BJ8" s="114"/>
      <c r="BK8" s="114"/>
      <c r="BL8" s="114"/>
      <c r="BM8" s="114">
        <f>ConvertUnits(19.9916785275908, "N2_Weiss", $BO$8, $B$16, $AP$8, $AL$8)</f>
        <v>1.6004913288418389E-2</v>
      </c>
      <c r="BN8" s="114">
        <f>ConvertUnits(1.99916785275908, "N2_Weiss", $BO$8, $B$16, $AP$8, $AL$8)</f>
        <v>1.6004913288418389E-3</v>
      </c>
      <c r="BO8" s="114" t="s">
        <v>165</v>
      </c>
      <c r="BP8" s="114">
        <f>ConvertUnits(0.264178566310848, "O2_B&amp;K", $BR$8, $B$17, $AP$8, $AL$8)</f>
        <v>1.8515128300013785E-4</v>
      </c>
      <c r="BQ8" s="114">
        <f>ConvertUnits(0.0264178566310848, "O2_B&amp;K", $BR$8, $B$17, $AP$8, $AL$8)</f>
        <v>1.8515128300013783E-5</v>
      </c>
      <c r="BR8" s="114" t="s">
        <v>165</v>
      </c>
      <c r="BS8" s="114">
        <f>ConvertUnits(1.82915433431525, "CO2_Weiss_F", $BU$8, $B$18, $AP$8, $AL$8)</f>
        <v>9.2662722689333048E-4</v>
      </c>
      <c r="BT8" s="114">
        <f>ConvertUnits(0.182915433431525, "CO2_Weiss_F", $BU$8, $B$18, $AP$8, $AL$8)</f>
        <v>9.2662722689333048E-5</v>
      </c>
      <c r="BU8" s="114" t="s">
        <v>165</v>
      </c>
      <c r="BV8" s="114"/>
      <c r="BW8" s="114"/>
      <c r="BX8" s="114"/>
      <c r="BY8" s="114"/>
      <c r="BZ8" s="114"/>
      <c r="CA8" s="114"/>
      <c r="CB8" s="114"/>
      <c r="CC8" s="114"/>
      <c r="CD8" s="114"/>
      <c r="CE8" s="114">
        <f>$BD$8/$BA$8</f>
        <v>1624.725401111478</v>
      </c>
      <c r="CF8" s="114"/>
      <c r="CG8" s="114"/>
      <c r="CH8" s="114"/>
      <c r="CI8" s="114">
        <f>$BM$8/$BD$8</f>
        <v>40.555133973953708</v>
      </c>
      <c r="CJ8" s="114" t="e">
        <f>$AU$8/$AU$8</f>
        <v>#DIV/0!</v>
      </c>
    </row>
    <row r="9" spans="1:88" ht="14.4">
      <c r="A9" s="109">
        <v>4</v>
      </c>
      <c r="B9" s="109" t="s">
        <v>783</v>
      </c>
      <c r="L9" s="109">
        <v>4</v>
      </c>
      <c r="M9" s="109" t="s">
        <v>783</v>
      </c>
      <c r="AB9" s="114" t="s">
        <v>858</v>
      </c>
      <c r="AC9" s="120" t="s">
        <v>626</v>
      </c>
      <c r="AD9" s="117" t="s">
        <v>627</v>
      </c>
      <c r="AE9" s="120" t="s">
        <v>678</v>
      </c>
      <c r="AF9" s="121">
        <v>41520</v>
      </c>
      <c r="AG9" s="120" t="s">
        <v>681</v>
      </c>
      <c r="AH9" s="114" t="s">
        <v>270</v>
      </c>
      <c r="AI9" s="114" t="s">
        <v>270</v>
      </c>
      <c r="AJ9" s="114" t="s">
        <v>270</v>
      </c>
      <c r="AK9" s="119" t="s">
        <v>270</v>
      </c>
      <c r="AL9" s="114">
        <v>0.14891640378000001</v>
      </c>
      <c r="AM9" s="114">
        <v>1.4891640378E-2</v>
      </c>
      <c r="AN9" s="114">
        <v>61.585365853658502</v>
      </c>
      <c r="AO9" s="114">
        <v>6.1585365853658498</v>
      </c>
      <c r="AP9" s="114">
        <v>19.219999313399999</v>
      </c>
      <c r="AQ9" s="114">
        <v>1.9219999313399998</v>
      </c>
      <c r="AR9" s="114">
        <v>1</v>
      </c>
      <c r="AS9" s="114">
        <v>0.1</v>
      </c>
      <c r="AT9" s="114">
        <v>0</v>
      </c>
      <c r="AU9" s="114">
        <v>0</v>
      </c>
      <c r="AV9" s="114">
        <v>0</v>
      </c>
      <c r="AW9" s="114">
        <v>0</v>
      </c>
      <c r="AX9" s="114">
        <f>ConvertUnits(0.0000001178, "He_Weiss", $AZ$9, $B$11, $AP$9, $AL$9)</f>
        <v>1.178E-7</v>
      </c>
      <c r="AY9" s="114">
        <f>ConvertUnits(0.0000001178, "He_Weiss", $AZ$9, $B$11, $AP$9, $AL$9)</f>
        <v>1.178E-7</v>
      </c>
      <c r="AZ9" s="114" t="s">
        <v>198</v>
      </c>
      <c r="BA9" s="114">
        <f>ConvertUnits(0.0000002429, "Ne_Weiss", $BC$9, $B$12, $AP$9, $AL$9)</f>
        <v>2.4289999999999998E-7</v>
      </c>
      <c r="BB9" s="114">
        <f>ConvertUnits(0.0000002429, "Ne_Weiss", $BC$9, $B$12, $AP$9, $AL$9)</f>
        <v>2.4289999999999998E-7</v>
      </c>
      <c r="BC9" s="114" t="s">
        <v>198</v>
      </c>
      <c r="BD9" s="114">
        <f>ConvertUnits(0.703134726960703, "Ar_Weiss", $BF$9, $B$13, $AP$9, $AL$9)</f>
        <v>3.9473448886539461E-4</v>
      </c>
      <c r="BE9" s="114">
        <f>ConvertUnits(0.0703134726960703, "Ar_Weiss", $BF$9, $B$13, $AP$9, $AL$9)</f>
        <v>3.9473448886539457E-5</v>
      </c>
      <c r="BF9" s="114" t="s">
        <v>165</v>
      </c>
      <c r="BG9" s="114"/>
      <c r="BH9" s="114"/>
      <c r="BI9" s="114"/>
      <c r="BJ9" s="114"/>
      <c r="BK9" s="114"/>
      <c r="BL9" s="114"/>
      <c r="BM9" s="114">
        <f>ConvertUnits(19.9869725639762, "N2_Weiss", $BO$9, $B$16, $AP$9, $AL$9)</f>
        <v>1.600114579388379E-2</v>
      </c>
      <c r="BN9" s="114">
        <f>ConvertUnits(1.99869725639762, "N2_Weiss", $BO$9, $B$16, $AP$9, $AL$9)</f>
        <v>1.6001145793883792E-3</v>
      </c>
      <c r="BO9" s="114" t="s">
        <v>165</v>
      </c>
      <c r="BP9" s="114">
        <f>ConvertUnits(0.264137737722392, "O2_B&amp;K", $BR$9, $B$17, $AP$9, $AL$9)</f>
        <v>1.8512266801580629E-4</v>
      </c>
      <c r="BQ9" s="114">
        <f>ConvertUnits(0.0264137737722392, "O2_B&amp;K", $BR$9, $B$17, $AP$9, $AL$9)</f>
        <v>1.851226680158063E-5</v>
      </c>
      <c r="BR9" s="114" t="s">
        <v>165</v>
      </c>
      <c r="BS9" s="114">
        <f>ConvertUnits(1.94117429177748, "CO2_Weiss_F", $BU$9, $B$18, $AP$9, $AL$9)</f>
        <v>9.8337516805532821E-4</v>
      </c>
      <c r="BT9" s="114">
        <f>ConvertUnits(0.194117429177748, "CO2_Weiss_F", $BU$9, $B$18, $AP$9, $AL$9)</f>
        <v>9.8337516805532821E-5</v>
      </c>
      <c r="BU9" s="114" t="s">
        <v>165</v>
      </c>
      <c r="BV9" s="114"/>
      <c r="BW9" s="114"/>
      <c r="BX9" s="114"/>
      <c r="BY9" s="114"/>
      <c r="BZ9" s="114"/>
      <c r="CA9" s="114"/>
      <c r="CB9" s="114"/>
      <c r="CC9" s="114"/>
      <c r="CD9" s="114"/>
      <c r="CE9" s="114">
        <f>$BD$9/$BA$9</f>
        <v>1625.09052641167</v>
      </c>
      <c r="CF9" s="114"/>
      <c r="CG9" s="114"/>
      <c r="CH9" s="114"/>
      <c r="CI9" s="114">
        <f>$BM$9/$BD$9</f>
        <v>40.536477671045915</v>
      </c>
      <c r="CJ9" s="114" t="e">
        <f>$AU$9/$AU$9</f>
        <v>#DIV/0!</v>
      </c>
    </row>
    <row r="10" spans="1:88" ht="14.4">
      <c r="A10" s="149" t="s">
        <v>784</v>
      </c>
      <c r="B10" s="150"/>
      <c r="L10" s="149" t="s">
        <v>826</v>
      </c>
      <c r="M10" s="150"/>
      <c r="AB10" s="114" t="s">
        <v>859</v>
      </c>
      <c r="AC10" s="117" t="s">
        <v>626</v>
      </c>
      <c r="AD10" s="117" t="s">
        <v>627</v>
      </c>
      <c r="AE10" s="117" t="s">
        <v>661</v>
      </c>
      <c r="AF10" s="118">
        <v>41507</v>
      </c>
      <c r="AG10" s="117" t="s">
        <v>662</v>
      </c>
      <c r="AH10" s="114" t="s">
        <v>270</v>
      </c>
      <c r="AI10" s="114" t="s">
        <v>270</v>
      </c>
      <c r="AJ10" s="114" t="s">
        <v>270</v>
      </c>
      <c r="AK10" s="119" t="s">
        <v>270</v>
      </c>
      <c r="AL10" s="114">
        <v>0.22376201802000001</v>
      </c>
      <c r="AM10" s="114">
        <v>2.2376201801999999E-2</v>
      </c>
      <c r="AN10" s="114">
        <v>39.024390243902403</v>
      </c>
      <c r="AO10" s="114">
        <v>3.9024390243902403</v>
      </c>
      <c r="AP10" s="114">
        <v>20.090000152599998</v>
      </c>
      <c r="AQ10" s="114">
        <v>2.0090000152599998</v>
      </c>
      <c r="AR10" s="114">
        <v>1</v>
      </c>
      <c r="AS10" s="114">
        <v>0.1</v>
      </c>
      <c r="AT10" s="114">
        <v>0</v>
      </c>
      <c r="AU10" s="114">
        <v>0</v>
      </c>
      <c r="AV10" s="114">
        <v>0</v>
      </c>
      <c r="AW10" s="114">
        <v>0</v>
      </c>
      <c r="AX10" s="114">
        <f>ConvertUnits(0.0000000657, "He_Weiss", $AZ$10, $M$11, $AP$10, $AL$10)</f>
        <v>6.5699999999999999E-8</v>
      </c>
      <c r="AY10" s="114">
        <f>ConvertUnits(0.0000000657, "He_Weiss", $AZ$10, $M$11, $AP$10, $AL$10)</f>
        <v>6.5699999999999999E-8</v>
      </c>
      <c r="AZ10" s="114" t="s">
        <v>198</v>
      </c>
      <c r="BA10" s="114">
        <f>ConvertUnits(0.0000002326, "Ne_Weiss", $BC$10, $M$12, $AP$10, $AL$10)</f>
        <v>2.326E-7</v>
      </c>
      <c r="BB10" s="114">
        <f>ConvertUnits(0.0000002326, "Ne_Weiss", $BC$10, $M$12, $AP$10, $AL$10)</f>
        <v>2.326E-7</v>
      </c>
      <c r="BC10" s="114" t="s">
        <v>198</v>
      </c>
      <c r="BD10" s="114">
        <f>ConvertUnits(0.629795336974401, "Ar_Weiss", $BF$10, $M$13, $AP$10, $AL$10)</f>
        <v>3.5360456264912525E-4</v>
      </c>
      <c r="BE10" s="114">
        <f>ConvertUnits(0.0629795336974401, "Ar_Weiss", $BF$10, $M$13, $AP$10, $AL$10)</f>
        <v>3.5360456264912516E-5</v>
      </c>
      <c r="BF10" s="114" t="s">
        <v>165</v>
      </c>
      <c r="BG10" s="114"/>
      <c r="BH10" s="114"/>
      <c r="BI10" s="114"/>
      <c r="BJ10" s="114"/>
      <c r="BK10" s="114"/>
      <c r="BL10" s="114"/>
      <c r="BM10" s="114">
        <f>ConvertUnits(17.871653837797, "N2_Weiss", $BO$10, $M$16, $AP$10, $AL$10)</f>
        <v>1.4309376265223543E-2</v>
      </c>
      <c r="BN10" s="114">
        <f>ConvertUnits(1.7871653837797, "N2_Weiss", $BO$10, $M$16, $AP$10, $AL$10)</f>
        <v>1.4309376265223544E-3</v>
      </c>
      <c r="BO10" s="114" t="s">
        <v>165</v>
      </c>
      <c r="BP10" s="114">
        <f>ConvertUnits(1.42687857026998, "O2_B&amp;K", $BR$10, $M$17, $AP$10, $AL$10)</f>
        <v>1.0001567173866693E-3</v>
      </c>
      <c r="BQ10" s="114">
        <f>ConvertUnits(0.142687857026998, "O2_B&amp;K", $BR$10, $M$17, $AP$10, $AL$10)</f>
        <v>1.0001567173866691E-4</v>
      </c>
      <c r="BR10" s="114" t="s">
        <v>165</v>
      </c>
      <c r="BS10" s="114">
        <f>ConvertUnits(15.4357918899496, "CO2_Weiss_F", $BU$10, $M$18, $AP$10, $AL$10)</f>
        <v>7.8205179069109169E-3</v>
      </c>
      <c r="BT10" s="114">
        <f>ConvertUnits(1.54357918899496, "CO2_Weiss_F", $BU$10, $M$18, $AP$10, $AL$10)</f>
        <v>7.8205179069109167E-4</v>
      </c>
      <c r="BU10" s="114" t="s">
        <v>165</v>
      </c>
      <c r="BV10" s="114"/>
      <c r="BW10" s="114"/>
      <c r="BX10" s="114"/>
      <c r="BY10" s="114"/>
      <c r="BZ10" s="114"/>
      <c r="CA10" s="114"/>
      <c r="CB10" s="114"/>
      <c r="CC10" s="114"/>
      <c r="CD10" s="114"/>
      <c r="CE10" s="114">
        <f>$BD$10/$BA$10</f>
        <v>1520.2259787150699</v>
      </c>
      <c r="CF10" s="114"/>
      <c r="CG10" s="114"/>
      <c r="CH10" s="114"/>
      <c r="CI10" s="114">
        <f>$BM$10/$BD$10</f>
        <v>40.467170892878016</v>
      </c>
      <c r="CJ10" s="114" t="e">
        <f>$AU$10/$AU$10</f>
        <v>#DIV/0!</v>
      </c>
    </row>
    <row r="11" spans="1:88" ht="14.4">
      <c r="A11" s="108" t="s">
        <v>785</v>
      </c>
      <c r="B11" s="110" t="s">
        <v>198</v>
      </c>
      <c r="C11" s="108" t="str">
        <f>LEFT($A$11,LEN($A$11)-6)&amp;", "&amp;$B$11</f>
        <v>He, cm3/g</v>
      </c>
      <c r="L11" s="108" t="s">
        <v>785</v>
      </c>
      <c r="M11" s="110" t="s">
        <v>198</v>
      </c>
      <c r="N11" s="108" t="str">
        <f>LEFT($L$11,LEN($L$11)-6)&amp;", "&amp;$M$11</f>
        <v>He, cm3/g</v>
      </c>
      <c r="AB11" s="114" t="s">
        <v>859</v>
      </c>
      <c r="AC11" s="117" t="s">
        <v>626</v>
      </c>
      <c r="AD11" s="117" t="s">
        <v>627</v>
      </c>
      <c r="AE11" s="117" t="s">
        <v>661</v>
      </c>
      <c r="AF11" s="118">
        <v>41507</v>
      </c>
      <c r="AG11" s="120" t="s">
        <v>664</v>
      </c>
      <c r="AH11" s="114" t="s">
        <v>270</v>
      </c>
      <c r="AI11" s="114" t="s">
        <v>270</v>
      </c>
      <c r="AJ11" s="114" t="s">
        <v>270</v>
      </c>
      <c r="AK11" s="119" t="s">
        <v>270</v>
      </c>
      <c r="AL11" s="114">
        <v>0.22376201802000001</v>
      </c>
      <c r="AM11" s="114">
        <v>2.2376201801999999E-2</v>
      </c>
      <c r="AN11" s="114">
        <v>39.024390243902403</v>
      </c>
      <c r="AO11" s="114">
        <v>3.9024390243902403</v>
      </c>
      <c r="AP11" s="114">
        <v>20.090000152599998</v>
      </c>
      <c r="AQ11" s="114">
        <v>2.0090000152599998</v>
      </c>
      <c r="AR11" s="114">
        <v>1</v>
      </c>
      <c r="AS11" s="114">
        <v>0.1</v>
      </c>
      <c r="AT11" s="114">
        <v>0</v>
      </c>
      <c r="AU11" s="114">
        <v>0</v>
      </c>
      <c r="AV11" s="114">
        <v>0</v>
      </c>
      <c r="AW11" s="114">
        <v>0</v>
      </c>
      <c r="AX11" s="114">
        <f>ConvertUnits(0.0000000657, "He_Weiss", $AZ$11, $M$11, $AP$11, $AL$11)</f>
        <v>6.5699999999999999E-8</v>
      </c>
      <c r="AY11" s="114">
        <f>ConvertUnits(0.0000000657, "He_Weiss", $AZ$11, $M$11, $AP$11, $AL$11)</f>
        <v>6.5699999999999999E-8</v>
      </c>
      <c r="AZ11" s="114" t="s">
        <v>198</v>
      </c>
      <c r="BA11" s="114">
        <f>ConvertUnits(0.0000002326, "Ne_Weiss", $BC$11, $M$12, $AP$11, $AL$11)</f>
        <v>2.326E-7</v>
      </c>
      <c r="BB11" s="114">
        <f>ConvertUnits(0.0000002326, "Ne_Weiss", $BC$11, $M$12, $AP$11, $AL$11)</f>
        <v>2.326E-7</v>
      </c>
      <c r="BC11" s="114" t="s">
        <v>198</v>
      </c>
      <c r="BD11" s="114">
        <f>ConvertUnits(0.622486400747036, "Ar_Weiss", $BF$11, $M$13, $AP$11, $AL$11)</f>
        <v>3.4950089111271176E-4</v>
      </c>
      <c r="BE11" s="114">
        <f>ConvertUnits(0.0622486400747036, "Ar_Weiss", $BF$11, $M$13, $AP$11, $AL$11)</f>
        <v>3.495008911127118E-5</v>
      </c>
      <c r="BF11" s="114" t="s">
        <v>165</v>
      </c>
      <c r="BG11" s="114"/>
      <c r="BH11" s="114"/>
      <c r="BI11" s="114"/>
      <c r="BJ11" s="114"/>
      <c r="BK11" s="114"/>
      <c r="BL11" s="114"/>
      <c r="BM11" s="114">
        <f>ConvertUnits(17.6198808096013, "N2_Weiss", $BO$11, $M$16, $AP$11, $AL$11)</f>
        <v>1.4107788039165386E-2</v>
      </c>
      <c r="BN11" s="114">
        <f>ConvertUnits(1.76198808096013, "N2_Weiss", $BO$11, $M$16, $AP$11, $AL$11)</f>
        <v>1.4107788039165385E-3</v>
      </c>
      <c r="BO11" s="114" t="s">
        <v>165</v>
      </c>
      <c r="BP11" s="114">
        <f>ConvertUnits(1.76029662671395, "O2_B&amp;K", $BR$11, $M$17, $AP$11, $AL$11)</f>
        <v>1.2338628755689651E-3</v>
      </c>
      <c r="BQ11" s="114">
        <f>ConvertUnits(0.176029662671395, "O2_B&amp;K", $BR$11, $M$17, $AP$11, $AL$11)</f>
        <v>1.2338628755689652E-4</v>
      </c>
      <c r="BR11" s="114" t="s">
        <v>165</v>
      </c>
      <c r="BS11" s="114">
        <f>ConvertUnits(17.7955173661342, "CO2_Weiss_F", $BU$11, $M$18, $AP$11, $AL$11)</f>
        <v>9.0160688364302067E-3</v>
      </c>
      <c r="BT11" s="114">
        <f>ConvertUnits(1.77955173661342, "CO2_Weiss_F", $BU$11, $M$18, $AP$11, $AL$11)</f>
        <v>9.0160688364302063E-4</v>
      </c>
      <c r="BU11" s="114" t="s">
        <v>165</v>
      </c>
      <c r="BV11" s="114"/>
      <c r="BW11" s="114"/>
      <c r="BX11" s="114"/>
      <c r="BY11" s="114"/>
      <c r="BZ11" s="114"/>
      <c r="CA11" s="114"/>
      <c r="CB11" s="114"/>
      <c r="CC11" s="114"/>
      <c r="CD11" s="114"/>
      <c r="CE11" s="114">
        <f>$BD$11/$BA$11</f>
        <v>1502.5833667786403</v>
      </c>
      <c r="CF11" s="114"/>
      <c r="CG11" s="114"/>
      <c r="CH11" s="114"/>
      <c r="CI11" s="114">
        <f>$BM$11/$BD$11</f>
        <v>40.365528094220842</v>
      </c>
      <c r="CJ11" s="114" t="e">
        <f>$AU$11/$AU$11</f>
        <v>#DIV/0!</v>
      </c>
    </row>
    <row r="12" spans="1:88" ht="14.4">
      <c r="A12" s="108" t="s">
        <v>786</v>
      </c>
      <c r="B12" s="110" t="s">
        <v>198</v>
      </c>
      <c r="C12" s="108" t="str">
        <f>LEFT($A$12,LEN($A$12)-6)&amp;", "&amp;$B$12</f>
        <v>Ne, cm3/g</v>
      </c>
      <c r="L12" s="108" t="s">
        <v>786</v>
      </c>
      <c r="M12" s="110" t="s">
        <v>198</v>
      </c>
      <c r="N12" s="108" t="str">
        <f>LEFT($L$12,LEN($L$12)-6)&amp;", "&amp;$M$12</f>
        <v>Ne, cm3/g</v>
      </c>
      <c r="AB12" s="114" t="s">
        <v>859</v>
      </c>
      <c r="AC12" s="117" t="s">
        <v>626</v>
      </c>
      <c r="AD12" s="117" t="s">
        <v>627</v>
      </c>
      <c r="AE12" s="117" t="s">
        <v>649</v>
      </c>
      <c r="AF12" s="118">
        <v>41508</v>
      </c>
      <c r="AG12" s="117" t="s">
        <v>650</v>
      </c>
      <c r="AH12" s="114" t="s">
        <v>270</v>
      </c>
      <c r="AI12" s="114" t="s">
        <v>270</v>
      </c>
      <c r="AJ12" s="114" t="s">
        <v>270</v>
      </c>
      <c r="AK12" s="119" t="s">
        <v>270</v>
      </c>
      <c r="AL12" s="114">
        <v>0.70640354088000001</v>
      </c>
      <c r="AM12" s="114">
        <v>7.0640354087999999E-2</v>
      </c>
      <c r="AN12" s="114">
        <v>19.8170731707317</v>
      </c>
      <c r="AO12" s="114">
        <v>1.98170731707317</v>
      </c>
      <c r="AP12" s="114">
        <v>20.159999847400002</v>
      </c>
      <c r="AQ12" s="114">
        <v>2.0159999847400001</v>
      </c>
      <c r="AR12" s="114">
        <v>1</v>
      </c>
      <c r="AS12" s="114">
        <v>0.1</v>
      </c>
      <c r="AT12" s="114">
        <v>0</v>
      </c>
      <c r="AU12" s="114">
        <v>0</v>
      </c>
      <c r="AV12" s="114">
        <v>0</v>
      </c>
      <c r="AW12" s="114">
        <v>0</v>
      </c>
      <c r="AX12" s="114">
        <f>ConvertUnits(0.0000004323, "He_Weiss", $AZ$12, $M$11, $AP$12, $AL$12)</f>
        <v>4.3230000000000003E-7</v>
      </c>
      <c r="AY12" s="114">
        <f>ConvertUnits(0.0000004323, "He_Weiss", $AZ$12, $M$11, $AP$12, $AL$12)</f>
        <v>4.3230000000000003E-7</v>
      </c>
      <c r="AZ12" s="114" t="s">
        <v>198</v>
      </c>
      <c r="BA12" s="114">
        <f>ConvertUnits(0.0000002084, "Ne_Weiss", $BC$12, $M$12, $AP$12, $AL$12)</f>
        <v>2.0840000000000001E-7</v>
      </c>
      <c r="BB12" s="114">
        <f>ConvertUnits(0.0000002084, "Ne_Weiss", $BC$12, $M$12, $AP$12, $AL$12)</f>
        <v>2.0840000000000001E-7</v>
      </c>
      <c r="BC12" s="114" t="s">
        <v>198</v>
      </c>
      <c r="BD12" s="114">
        <f>ConvertUnits(0.672351702002661, "Ar_Weiss", $BF$12, $M$13, $AP$12, $AL$12)</f>
        <v>3.7736448976833655E-4</v>
      </c>
      <c r="BE12" s="114">
        <f>ConvertUnits(0.0672351702002661, "Ar_Weiss", $BF$12, $M$13, $AP$12, $AL$12)</f>
        <v>3.7736448976833656E-5</v>
      </c>
      <c r="BF12" s="114" t="s">
        <v>165</v>
      </c>
      <c r="BG12" s="114"/>
      <c r="BH12" s="114"/>
      <c r="BI12" s="114"/>
      <c r="BJ12" s="114"/>
      <c r="BK12" s="114"/>
      <c r="BL12" s="114"/>
      <c r="BM12" s="114">
        <f>ConvertUnits(18.8177038930281, "N2_Weiss", $BO$12, $M$16, $AP$12, $AL$12)</f>
        <v>1.5061516174202195E-2</v>
      </c>
      <c r="BN12" s="114">
        <f>ConvertUnits(1.88177038930281, "N2_Weiss", $BO$12, $M$16, $AP$12, $AL$12)</f>
        <v>1.5061516174202194E-3</v>
      </c>
      <c r="BO12" s="114" t="s">
        <v>165</v>
      </c>
      <c r="BP12" s="114">
        <f>ConvertUnits(0.249017721966944, "O2_B&amp;K", $BR$12, $M$17, $AP$12, $AL$12)</f>
        <v>1.7448471919999256E-4</v>
      </c>
      <c r="BQ12" s="114">
        <f>ConvertUnits(0.0249017721966944, "O2_B&amp;K", $BR$12, $M$17, $AP$12, $AL$12)</f>
        <v>1.7448471919999257E-5</v>
      </c>
      <c r="BR12" s="114" t="s">
        <v>165</v>
      </c>
      <c r="BS12" s="114">
        <f>ConvertUnits(2.28740903318885, "CO2_Weiss_F", $BU$12, $M$18, $AP$12, $AL$12)</f>
        <v>1.1585013236997612E-3</v>
      </c>
      <c r="BT12" s="114">
        <f>ConvertUnits(0.228740903318885, "CO2_Weiss_F", $BU$12, $M$18, $AP$12, $AL$12)</f>
        <v>1.158501323699761E-4</v>
      </c>
      <c r="BU12" s="114" t="s">
        <v>165</v>
      </c>
      <c r="BV12" s="114">
        <f>ConvertUnits(0.00592962525906257, "CH4_Wies", $BX$12, $M$19, $AP$12, $AL$12)</f>
        <v>8.2864864538148077E-6</v>
      </c>
      <c r="BW12" s="114">
        <f>ConvertUnits(0.000592962525906257, "CH4_Wies", $BX$12, $M$19, $AP$12, $AL$12)</f>
        <v>8.2864864538148072E-7</v>
      </c>
      <c r="BX12" s="114" t="s">
        <v>165</v>
      </c>
      <c r="BY12" s="114"/>
      <c r="BZ12" s="114"/>
      <c r="CA12" s="114"/>
      <c r="CB12" s="114"/>
      <c r="CC12" s="114"/>
      <c r="CD12" s="114"/>
      <c r="CE12" s="114">
        <f>$BD$12/$BA$12</f>
        <v>1810.77010445459</v>
      </c>
      <c r="CF12" s="114"/>
      <c r="CG12" s="114"/>
      <c r="CH12" s="114"/>
      <c r="CI12" s="114">
        <f>$BM$12/$BD$12</f>
        <v>39.912383339111834</v>
      </c>
      <c r="CJ12" s="114" t="e">
        <f>$AU$12/$AU$12</f>
        <v>#DIV/0!</v>
      </c>
    </row>
    <row r="13" spans="1:88" ht="14.4">
      <c r="A13" s="108" t="s">
        <v>787</v>
      </c>
      <c r="B13" s="110" t="s">
        <v>198</v>
      </c>
      <c r="C13" s="108" t="str">
        <f>LEFT($A$13,LEN($A$13)-6)&amp;", "&amp;$B$13</f>
        <v>Ar, cm3/g</v>
      </c>
      <c r="L13" s="108" t="s">
        <v>787</v>
      </c>
      <c r="M13" s="110" t="s">
        <v>198</v>
      </c>
      <c r="N13" s="108" t="str">
        <f>LEFT($L$13,LEN($L$13)-6)&amp;", "&amp;$M$13</f>
        <v>Ar, cm3/g</v>
      </c>
      <c r="AB13" s="114" t="s">
        <v>859</v>
      </c>
      <c r="AC13" s="117" t="s">
        <v>626</v>
      </c>
      <c r="AD13" s="117" t="s">
        <v>627</v>
      </c>
      <c r="AE13" s="117" t="s">
        <v>649</v>
      </c>
      <c r="AF13" s="118">
        <v>41508</v>
      </c>
      <c r="AG13" s="117" t="s">
        <v>653</v>
      </c>
      <c r="AH13" s="114" t="s">
        <v>270</v>
      </c>
      <c r="AI13" s="114" t="s">
        <v>270</v>
      </c>
      <c r="AJ13" s="114" t="s">
        <v>270</v>
      </c>
      <c r="AK13" s="119" t="s">
        <v>270</v>
      </c>
      <c r="AL13" s="114">
        <v>0.70640354088000001</v>
      </c>
      <c r="AM13" s="114">
        <v>7.0640354087999999E-2</v>
      </c>
      <c r="AN13" s="114">
        <v>19.8170731707317</v>
      </c>
      <c r="AO13" s="114">
        <v>1.98170731707317</v>
      </c>
      <c r="AP13" s="114">
        <v>20.159999847400002</v>
      </c>
      <c r="AQ13" s="114">
        <v>2.0159999847400001</v>
      </c>
      <c r="AR13" s="114">
        <v>1</v>
      </c>
      <c r="AS13" s="114">
        <v>0.1</v>
      </c>
      <c r="AT13" s="114">
        <v>0</v>
      </c>
      <c r="AU13" s="114">
        <v>0</v>
      </c>
      <c r="AV13" s="114">
        <v>0</v>
      </c>
      <c r="AW13" s="114">
        <v>0</v>
      </c>
      <c r="AX13" s="114">
        <f>ConvertUnits(0.0000004323, "He_Weiss", $AZ$13, $M$11, $AP$13, $AL$13)</f>
        <v>4.3230000000000003E-7</v>
      </c>
      <c r="AY13" s="114">
        <f>ConvertUnits(0.0000004323, "He_Weiss", $AZ$13, $M$11, $AP$13, $AL$13)</f>
        <v>4.3230000000000003E-7</v>
      </c>
      <c r="AZ13" s="114" t="s">
        <v>198</v>
      </c>
      <c r="BA13" s="114">
        <f>ConvertUnits(0.0000002084, "Ne_Weiss", $BC$13, $M$12, $AP$13, $AL$13)</f>
        <v>2.0840000000000001E-7</v>
      </c>
      <c r="BB13" s="114">
        <f>ConvertUnits(0.0000002084, "Ne_Weiss", $BC$13, $M$12, $AP$13, $AL$13)</f>
        <v>2.0840000000000001E-7</v>
      </c>
      <c r="BC13" s="114" t="s">
        <v>198</v>
      </c>
      <c r="BD13" s="114">
        <f>ConvertUnits(0.674387788802412, "Ar_Weiss", $BF$13, $M$13, $AP$13, $AL$13)</f>
        <v>3.7850726497664418E-4</v>
      </c>
      <c r="BE13" s="114">
        <f>ConvertUnits(0.0674387788802412, "Ar_Weiss", $BF$13, $M$13, $AP$13, $AL$13)</f>
        <v>3.7850726497664421E-5</v>
      </c>
      <c r="BF13" s="114" t="s">
        <v>165</v>
      </c>
      <c r="BG13" s="114"/>
      <c r="BH13" s="114"/>
      <c r="BI13" s="114"/>
      <c r="BJ13" s="114"/>
      <c r="BK13" s="114"/>
      <c r="BL13" s="114"/>
      <c r="BM13" s="114">
        <f>ConvertUnits(18.8206368054116, "N2_Weiss", $BO$13, $M$16, $AP$13, $AL$13)</f>
        <v>1.5063863650151051E-2</v>
      </c>
      <c r="BN13" s="114">
        <f>ConvertUnits(1.88206368054116, "N2_Weiss", $BO$13, $M$16, $AP$13, $AL$13)</f>
        <v>1.5063863650151051E-3</v>
      </c>
      <c r="BO13" s="114" t="s">
        <v>165</v>
      </c>
      <c r="BP13" s="114">
        <f>ConvertUnits(0.248109331462472, "O2_B&amp;K", $BR$13, $M$17, $AP$13, $AL$13)</f>
        <v>1.738482172641272E-4</v>
      </c>
      <c r="BQ13" s="114">
        <f>ConvertUnits(0.0248109331462472, "O2_B&amp;K", $BR$13, $M$17, $AP$13, $AL$13)</f>
        <v>1.7384821726412722E-5</v>
      </c>
      <c r="BR13" s="114" t="s">
        <v>165</v>
      </c>
      <c r="BS13" s="114">
        <f>ConvertUnits(2.29314438913491, "CO2_Weiss_F", $BU$13, $M$18, $AP$13, $AL$13)</f>
        <v>1.1614061025823279E-3</v>
      </c>
      <c r="BT13" s="114">
        <f>ConvertUnits(0.229314438913491, "CO2_Weiss_F", $BU$13, $M$18, $AP$13, $AL$13)</f>
        <v>1.1614061025823279E-4</v>
      </c>
      <c r="BU13" s="114" t="s">
        <v>165</v>
      </c>
      <c r="BV13" s="114">
        <f>ConvertUnits(0.00572353812493416, "CH4_Wies", $BX$13, $M$19, $AP$13, $AL$13)</f>
        <v>7.9984854131671612E-6</v>
      </c>
      <c r="BW13" s="114">
        <f>ConvertUnits(0.000572353812493416, "CH4_Wies", $BX$13, $M$19, $AP$13, $AL$13)</f>
        <v>7.9984854131671627E-7</v>
      </c>
      <c r="BX13" s="114" t="s">
        <v>165</v>
      </c>
      <c r="BY13" s="114"/>
      <c r="BZ13" s="114"/>
      <c r="CA13" s="114"/>
      <c r="CB13" s="114"/>
      <c r="CC13" s="114"/>
      <c r="CD13" s="114"/>
      <c r="CE13" s="114">
        <f>$BD$13/$BA$13</f>
        <v>1816.2536707132638</v>
      </c>
      <c r="CF13" s="114"/>
      <c r="CG13" s="114"/>
      <c r="CH13" s="114"/>
      <c r="CI13" s="114">
        <f>$BM$13/$BD$13</f>
        <v>39.798083270820619</v>
      </c>
      <c r="CJ13" s="114" t="e">
        <f>$AU$13/$AU$13</f>
        <v>#DIV/0!</v>
      </c>
    </row>
    <row r="14" spans="1:88" ht="14.4">
      <c r="A14" s="108" t="s">
        <v>788</v>
      </c>
      <c r="B14" s="110" t="s">
        <v>198</v>
      </c>
      <c r="C14" s="108" t="str">
        <f>LEFT($A$14,LEN($A$14)-6)&amp;", "&amp;$B$14</f>
        <v>Kr, cm3/g</v>
      </c>
      <c r="L14" s="108" t="s">
        <v>788</v>
      </c>
      <c r="M14" s="110" t="s">
        <v>198</v>
      </c>
      <c r="N14" s="108" t="str">
        <f>LEFT($L$14,LEN($L$14)-6)&amp;", "&amp;$M$14</f>
        <v>Kr, cm3/g</v>
      </c>
      <c r="AB14" s="114" t="s">
        <v>859</v>
      </c>
      <c r="AC14" s="120" t="s">
        <v>626</v>
      </c>
      <c r="AD14" s="117" t="s">
        <v>627</v>
      </c>
      <c r="AE14" s="120" t="s">
        <v>678</v>
      </c>
      <c r="AF14" s="121">
        <v>41520</v>
      </c>
      <c r="AG14" s="120" t="s">
        <v>679</v>
      </c>
      <c r="AH14" s="114" t="s">
        <v>270</v>
      </c>
      <c r="AI14" s="114" t="s">
        <v>270</v>
      </c>
      <c r="AJ14" s="114" t="s">
        <v>270</v>
      </c>
      <c r="AK14" s="119" t="s">
        <v>270</v>
      </c>
      <c r="AL14" s="114">
        <v>0.14891640378000001</v>
      </c>
      <c r="AM14" s="114">
        <v>1.4891640378E-2</v>
      </c>
      <c r="AN14" s="114">
        <v>61.585365853658502</v>
      </c>
      <c r="AO14" s="114">
        <v>6.1585365853658498</v>
      </c>
      <c r="AP14" s="114">
        <v>19.219999313399999</v>
      </c>
      <c r="AQ14" s="114">
        <v>1.9219999313399998</v>
      </c>
      <c r="AR14" s="114">
        <v>1</v>
      </c>
      <c r="AS14" s="114">
        <v>0.1</v>
      </c>
      <c r="AT14" s="114">
        <v>0</v>
      </c>
      <c r="AU14" s="114">
        <v>0</v>
      </c>
      <c r="AV14" s="114">
        <v>0</v>
      </c>
      <c r="AW14" s="114">
        <v>0</v>
      </c>
      <c r="AX14" s="114">
        <f>ConvertUnits(0.0000001178, "He_Weiss", $AZ$14, $M$11, $AP$14, $AL$14)</f>
        <v>1.178E-7</v>
      </c>
      <c r="AY14" s="114">
        <f>ConvertUnits(0.0000001178, "He_Weiss", $AZ$14, $M$11, $AP$14, $AL$14)</f>
        <v>1.178E-7</v>
      </c>
      <c r="AZ14" s="114" t="s">
        <v>198</v>
      </c>
      <c r="BA14" s="114">
        <f>ConvertUnits(0.0000002429, "Ne_Weiss", $BC$14, $M$12, $AP$14, $AL$14)</f>
        <v>2.4289999999999998E-7</v>
      </c>
      <c r="BB14" s="114">
        <f>ConvertUnits(0.0000002429, "Ne_Weiss", $BC$14, $M$12, $AP$14, $AL$14)</f>
        <v>2.4289999999999998E-7</v>
      </c>
      <c r="BC14" s="114" t="s">
        <v>198</v>
      </c>
      <c r="BD14" s="114">
        <f>ConvertUnits(0.702976746667246, "Ar_Weiss", $BF$14, $M$13, $AP$14, $AL$14)</f>
        <v>3.94645799929978E-4</v>
      </c>
      <c r="BE14" s="114">
        <f>ConvertUnits(0.0702976746667246, "Ar_Weiss", $BF$14, $M$13, $AP$14, $AL$14)</f>
        <v>3.9464579992997802E-5</v>
      </c>
      <c r="BF14" s="114" t="s">
        <v>165</v>
      </c>
      <c r="BG14" s="114"/>
      <c r="BH14" s="114"/>
      <c r="BI14" s="114"/>
      <c r="BJ14" s="114"/>
      <c r="BK14" s="114"/>
      <c r="BL14" s="114"/>
      <c r="BM14" s="114">
        <f>ConvertUnits(19.9916785275908, "N2_Weiss", $BO$14, $M$16, $AP$14, $AL$14)</f>
        <v>1.6004913288418389E-2</v>
      </c>
      <c r="BN14" s="114">
        <f>ConvertUnits(1.99916785275908, "N2_Weiss", $BO$14, $M$16, $AP$14, $AL$14)</f>
        <v>1.6004913288418389E-3</v>
      </c>
      <c r="BO14" s="114" t="s">
        <v>165</v>
      </c>
      <c r="BP14" s="114">
        <f>ConvertUnits(0.264178566310848, "O2_B&amp;K", $BR$14, $M$17, $AP$14, $AL$14)</f>
        <v>1.8515128300013785E-4</v>
      </c>
      <c r="BQ14" s="114">
        <f>ConvertUnits(0.0264178566310848, "O2_B&amp;K", $BR$14, $M$17, $AP$14, $AL$14)</f>
        <v>1.8515128300013783E-5</v>
      </c>
      <c r="BR14" s="114" t="s">
        <v>165</v>
      </c>
      <c r="BS14" s="114">
        <f>ConvertUnits(1.82915433431525, "CO2_Weiss_F", $BU$14, $M$18, $AP$14, $AL$14)</f>
        <v>9.2662722689333048E-4</v>
      </c>
      <c r="BT14" s="114">
        <f>ConvertUnits(0.182915433431525, "CO2_Weiss_F", $BU$14, $M$18, $AP$14, $AL$14)</f>
        <v>9.2662722689333048E-5</v>
      </c>
      <c r="BU14" s="114" t="s">
        <v>165</v>
      </c>
      <c r="BV14" s="114"/>
      <c r="BW14" s="114"/>
      <c r="BX14" s="114"/>
      <c r="BY14" s="114"/>
      <c r="BZ14" s="114"/>
      <c r="CA14" s="114"/>
      <c r="CB14" s="114"/>
      <c r="CC14" s="114"/>
      <c r="CD14" s="114"/>
      <c r="CE14" s="114">
        <f>$BD$14/$BA$14</f>
        <v>1624.725401111478</v>
      </c>
      <c r="CF14" s="114"/>
      <c r="CG14" s="114"/>
      <c r="CH14" s="114"/>
      <c r="CI14" s="114">
        <f>$BM$14/$BD$14</f>
        <v>40.555133973953708</v>
      </c>
      <c r="CJ14" s="114" t="e">
        <f>$AU$14/$AU$14</f>
        <v>#DIV/0!</v>
      </c>
    </row>
    <row r="15" spans="1:88" ht="14.4">
      <c r="A15" s="108" t="s">
        <v>789</v>
      </c>
      <c r="B15" s="110" t="s">
        <v>198</v>
      </c>
      <c r="C15" s="108" t="str">
        <f>LEFT($A$15,LEN($A$15)-6)&amp;", "&amp;$B$15</f>
        <v>Xe, cm3/g</v>
      </c>
      <c r="L15" s="108" t="s">
        <v>789</v>
      </c>
      <c r="M15" s="110" t="s">
        <v>198</v>
      </c>
      <c r="N15" s="108" t="str">
        <f>LEFT($L$15,LEN($L$15)-6)&amp;", "&amp;$M$15</f>
        <v>Xe, cm3/g</v>
      </c>
      <c r="AB15" s="114" t="s">
        <v>859</v>
      </c>
      <c r="AC15" s="120" t="s">
        <v>626</v>
      </c>
      <c r="AD15" s="117" t="s">
        <v>627</v>
      </c>
      <c r="AE15" s="120" t="s">
        <v>678</v>
      </c>
      <c r="AF15" s="121">
        <v>41520</v>
      </c>
      <c r="AG15" s="120" t="s">
        <v>681</v>
      </c>
      <c r="AH15" s="114" t="s">
        <v>270</v>
      </c>
      <c r="AI15" s="114" t="s">
        <v>270</v>
      </c>
      <c r="AJ15" s="114" t="s">
        <v>270</v>
      </c>
      <c r="AK15" s="119" t="s">
        <v>270</v>
      </c>
      <c r="AL15" s="114">
        <v>0.14891640378000001</v>
      </c>
      <c r="AM15" s="114">
        <v>1.4891640378E-2</v>
      </c>
      <c r="AN15" s="114">
        <v>61.585365853658502</v>
      </c>
      <c r="AO15" s="114">
        <v>6.1585365853658498</v>
      </c>
      <c r="AP15" s="114">
        <v>19.219999313399999</v>
      </c>
      <c r="AQ15" s="114">
        <v>1.9219999313399998</v>
      </c>
      <c r="AR15" s="114">
        <v>1</v>
      </c>
      <c r="AS15" s="114">
        <v>0.1</v>
      </c>
      <c r="AT15" s="114">
        <v>0</v>
      </c>
      <c r="AU15" s="114">
        <v>0</v>
      </c>
      <c r="AV15" s="114">
        <v>0</v>
      </c>
      <c r="AW15" s="114">
        <v>0</v>
      </c>
      <c r="AX15" s="114">
        <f>ConvertUnits(0.0000001178, "He_Weiss", $AZ$15, $M$11, $AP$15, $AL$15)</f>
        <v>1.178E-7</v>
      </c>
      <c r="AY15" s="114">
        <f>ConvertUnits(0.0000001178, "He_Weiss", $AZ$15, $M$11, $AP$15, $AL$15)</f>
        <v>1.178E-7</v>
      </c>
      <c r="AZ15" s="114" t="s">
        <v>198</v>
      </c>
      <c r="BA15" s="114">
        <f>ConvertUnits(0.0000002429, "Ne_Weiss", $BC$15, $M$12, $AP$15, $AL$15)</f>
        <v>2.4289999999999998E-7</v>
      </c>
      <c r="BB15" s="114">
        <f>ConvertUnits(0.0000002429, "Ne_Weiss", $BC$15, $M$12, $AP$15, $AL$15)</f>
        <v>2.4289999999999998E-7</v>
      </c>
      <c r="BC15" s="114" t="s">
        <v>198</v>
      </c>
      <c r="BD15" s="114">
        <f>ConvertUnits(0.703134726960703, "Ar_Weiss", $BF$15, $M$13, $AP$15, $AL$15)</f>
        <v>3.9473448886539461E-4</v>
      </c>
      <c r="BE15" s="114">
        <f>ConvertUnits(0.0703134726960703, "Ar_Weiss", $BF$15, $M$13, $AP$15, $AL$15)</f>
        <v>3.9473448886539457E-5</v>
      </c>
      <c r="BF15" s="114" t="s">
        <v>165</v>
      </c>
      <c r="BG15" s="114"/>
      <c r="BH15" s="114"/>
      <c r="BI15" s="114"/>
      <c r="BJ15" s="114"/>
      <c r="BK15" s="114"/>
      <c r="BL15" s="114"/>
      <c r="BM15" s="114">
        <f>ConvertUnits(19.9869725639762, "N2_Weiss", $BO$15, $M$16, $AP$15, $AL$15)</f>
        <v>1.600114579388379E-2</v>
      </c>
      <c r="BN15" s="114">
        <f>ConvertUnits(1.99869725639762, "N2_Weiss", $BO$15, $M$16, $AP$15, $AL$15)</f>
        <v>1.6001145793883792E-3</v>
      </c>
      <c r="BO15" s="114" t="s">
        <v>165</v>
      </c>
      <c r="BP15" s="114">
        <f>ConvertUnits(0.264137737722392, "O2_B&amp;K", $BR$15, $M$17, $AP$15, $AL$15)</f>
        <v>1.8512266801580629E-4</v>
      </c>
      <c r="BQ15" s="114">
        <f>ConvertUnits(0.0264137737722392, "O2_B&amp;K", $BR$15, $M$17, $AP$15, $AL$15)</f>
        <v>1.851226680158063E-5</v>
      </c>
      <c r="BR15" s="114" t="s">
        <v>165</v>
      </c>
      <c r="BS15" s="114">
        <f>ConvertUnits(1.94117429177748, "CO2_Weiss_F", $BU$15, $M$18, $AP$15, $AL$15)</f>
        <v>9.8337516805532821E-4</v>
      </c>
      <c r="BT15" s="114">
        <f>ConvertUnits(0.194117429177748, "CO2_Weiss_F", $BU$15, $M$18, $AP$15, $AL$15)</f>
        <v>9.8337516805532821E-5</v>
      </c>
      <c r="BU15" s="114" t="s">
        <v>165</v>
      </c>
      <c r="BV15" s="114"/>
      <c r="BW15" s="114"/>
      <c r="BX15" s="114"/>
      <c r="BY15" s="114"/>
      <c r="BZ15" s="114"/>
      <c r="CA15" s="114"/>
      <c r="CB15" s="114"/>
      <c r="CC15" s="114"/>
      <c r="CD15" s="114"/>
      <c r="CE15" s="114">
        <f>$BD$15/$BA$15</f>
        <v>1625.09052641167</v>
      </c>
      <c r="CF15" s="114"/>
      <c r="CG15" s="114"/>
      <c r="CH15" s="114"/>
      <c r="CI15" s="114">
        <f>$BM$15/$BD$15</f>
        <v>40.536477671045915</v>
      </c>
      <c r="CJ15" s="114" t="e">
        <f>$AU$15/$AU$15</f>
        <v>#DIV/0!</v>
      </c>
    </row>
    <row r="16" spans="1:88">
      <c r="A16" s="108" t="s">
        <v>790</v>
      </c>
      <c r="B16" s="110" t="s">
        <v>198</v>
      </c>
      <c r="C16" s="108" t="str">
        <f>LEFT($A$16,LEN($A$16)-6)&amp;", "&amp;$B$16</f>
        <v>N2, cm3/g</v>
      </c>
      <c r="L16" s="108" t="s">
        <v>790</v>
      </c>
      <c r="M16" s="110" t="s">
        <v>198</v>
      </c>
      <c r="N16" s="108" t="str">
        <f>LEFT($L$16,LEN($L$16)-6)&amp;", "&amp;$M$16</f>
        <v>N2, cm3/g</v>
      </c>
    </row>
    <row r="17" spans="1:14">
      <c r="A17" s="108" t="s">
        <v>791</v>
      </c>
      <c r="B17" s="110" t="s">
        <v>198</v>
      </c>
      <c r="C17" s="108" t="str">
        <f>LEFT($A$17,LEN($A$17)-6)&amp;", "&amp;$B$17</f>
        <v>O2, cm3/g</v>
      </c>
      <c r="L17" s="108" t="s">
        <v>791</v>
      </c>
      <c r="M17" s="110" t="s">
        <v>198</v>
      </c>
      <c r="N17" s="108" t="str">
        <f>LEFT($L$17,LEN($L$17)-6)&amp;", "&amp;$M$17</f>
        <v>O2, cm3/g</v>
      </c>
    </row>
    <row r="18" spans="1:14">
      <c r="A18" s="108" t="s">
        <v>792</v>
      </c>
      <c r="B18" s="110" t="s">
        <v>198</v>
      </c>
      <c r="C18" s="108" t="str">
        <f>LEFT($A$18,LEN($A$18)-6)&amp;", "&amp;$B$18</f>
        <v>CO2, cm3/g</v>
      </c>
      <c r="L18" s="108" t="s">
        <v>792</v>
      </c>
      <c r="M18" s="110" t="s">
        <v>198</v>
      </c>
      <c r="N18" s="108" t="str">
        <f>LEFT($L$18,LEN($L$18)-6)&amp;", "&amp;$M$18</f>
        <v>CO2, cm3/g</v>
      </c>
    </row>
    <row r="19" spans="1:14">
      <c r="A19" s="108" t="s">
        <v>793</v>
      </c>
      <c r="B19" s="110" t="s">
        <v>198</v>
      </c>
      <c r="C19" s="108" t="str">
        <f>LEFT($A$19,LEN($A$19)-6)&amp;", "&amp;$B$19</f>
        <v>CH4, cm3/g</v>
      </c>
      <c r="L19" s="108" t="s">
        <v>793</v>
      </c>
      <c r="M19" s="110" t="s">
        <v>198</v>
      </c>
      <c r="N19" s="108" t="str">
        <f>LEFT($L$19,LEN($L$19)-6)&amp;", "&amp;$M$19</f>
        <v>CH4, cm3/g</v>
      </c>
    </row>
    <row r="20" spans="1:14">
      <c r="A20" s="108" t="s">
        <v>794</v>
      </c>
      <c r="B20" s="110" t="s">
        <v>198</v>
      </c>
      <c r="C20" s="108" t="str">
        <f>LEFT($A$20,LEN($A$20)-6)&amp;", "&amp;$B$20</f>
        <v>H2, cm3/g</v>
      </c>
      <c r="L20" s="108" t="s">
        <v>794</v>
      </c>
      <c r="M20" s="110" t="s">
        <v>198</v>
      </c>
      <c r="N20" s="108" t="str">
        <f>LEFT($L$20,LEN($L$20)-6)&amp;", "&amp;$M$20</f>
        <v>H2, cm3/g</v>
      </c>
    </row>
    <row r="21" spans="1:14">
      <c r="A21" s="108" t="s">
        <v>795</v>
      </c>
      <c r="B21" s="110" t="s">
        <v>198</v>
      </c>
      <c r="C21" s="108" t="str">
        <f>LEFT($A$21,LEN($A$21)-6)&amp;", "&amp;$B$21</f>
        <v>N2O, cm3/g</v>
      </c>
      <c r="L21" s="108" t="s">
        <v>795</v>
      </c>
      <c r="M21" s="110" t="s">
        <v>198</v>
      </c>
      <c r="N21" s="108" t="str">
        <f>LEFT($L$21,LEN($L$21)-6)&amp;", "&amp;$M$21</f>
        <v>N2O, cm3/g</v>
      </c>
    </row>
    <row r="22" spans="1:14">
      <c r="A22" s="108" t="s">
        <v>796</v>
      </c>
      <c r="B22" s="110" t="s">
        <v>270</v>
      </c>
      <c r="C22" s="108" t="str">
        <f>LEFT($A$22, 2)&amp;" to "&amp;RIGHT($A$22, 2)&amp;" ratio"</f>
        <v>Ar to Ne ratio</v>
      </c>
      <c r="L22" s="108" t="s">
        <v>796</v>
      </c>
      <c r="M22" s="110" t="s">
        <v>270</v>
      </c>
      <c r="N22" s="108" t="str">
        <f>LEFT($L$22, 2)&amp;" to "&amp;RIGHT($L$22, 2)&amp;" ratio"</f>
        <v>Ar to Ne ratio</v>
      </c>
    </row>
    <row r="23" spans="1:14">
      <c r="A23" s="108" t="s">
        <v>797</v>
      </c>
      <c r="B23" s="110" t="s">
        <v>270</v>
      </c>
      <c r="C23" s="108" t="str">
        <f>LEFT($A$23, 2)&amp;" to "&amp;RIGHT($A$23, 2)&amp;" ratio"</f>
        <v>Kr to Xe ratio</v>
      </c>
      <c r="L23" s="108" t="s">
        <v>797</v>
      </c>
      <c r="M23" s="110" t="s">
        <v>270</v>
      </c>
      <c r="N23" s="108" t="str">
        <f>LEFT($L$23, 2)&amp;" to "&amp;RIGHT($L$23, 2)&amp;" ratio"</f>
        <v>Kr to Xe ratio</v>
      </c>
    </row>
    <row r="24" spans="1:14">
      <c r="A24" s="108" t="s">
        <v>798</v>
      </c>
      <c r="B24" s="110" t="s">
        <v>270</v>
      </c>
      <c r="C24" s="108" t="str">
        <f>LEFT($A$24, 2)&amp;" to "&amp;RIGHT($A$24, 2)&amp;" ratio"</f>
        <v>Xe to Ne ratio</v>
      </c>
      <c r="L24" s="108" t="s">
        <v>798</v>
      </c>
      <c r="M24" s="110" t="s">
        <v>270</v>
      </c>
      <c r="N24" s="108" t="str">
        <f>LEFT($L$24, 2)&amp;" to "&amp;RIGHT($L$24, 2)&amp;" ratio"</f>
        <v>Xe to Ne ratio</v>
      </c>
    </row>
    <row r="25" spans="1:14">
      <c r="A25" s="108" t="s">
        <v>799</v>
      </c>
      <c r="B25" s="110" t="s">
        <v>270</v>
      </c>
      <c r="C25" s="108" t="str">
        <f>LEFT($A$25, 2)&amp;" to "&amp;RIGHT($A$25, 2)&amp;" ratio"</f>
        <v>Kr to Ar ratio</v>
      </c>
      <c r="L25" s="108" t="s">
        <v>799</v>
      </c>
      <c r="M25" s="110" t="s">
        <v>270</v>
      </c>
      <c r="N25" s="108" t="str">
        <f>LEFT($L$25, 2)&amp;" to "&amp;RIGHT($L$25, 2)&amp;" ratio"</f>
        <v>Kr to Ar ratio</v>
      </c>
    </row>
    <row r="26" spans="1:14">
      <c r="A26" s="108" t="s">
        <v>800</v>
      </c>
      <c r="B26" s="110" t="s">
        <v>270</v>
      </c>
      <c r="C26" s="108" t="str">
        <f>LEFT($A$26, 2)&amp;" to "&amp;RIGHT($A$26, 2)&amp;" ratio"</f>
        <v>N2 to Ar ratio</v>
      </c>
      <c r="L26" s="108" t="s">
        <v>800</v>
      </c>
      <c r="M26" s="110" t="s">
        <v>270</v>
      </c>
      <c r="N26" s="108" t="str">
        <f>LEFT($L$26, 2)&amp;" to "&amp;RIGHT($L$26, 2)&amp;" ratio"</f>
        <v>N2 to Ar ratio</v>
      </c>
    </row>
    <row r="27" spans="1:14">
      <c r="A27" s="108" t="s">
        <v>801</v>
      </c>
      <c r="B27" s="110" t="s">
        <v>270</v>
      </c>
      <c r="C27" s="108" t="str">
        <f>LEFT($A$27, 2)&amp;" to "&amp;RIGHT($A$27, 2)&amp;" ratio"</f>
        <v>20 to Ne ratio</v>
      </c>
      <c r="L27" s="108" t="s">
        <v>801</v>
      </c>
      <c r="M27" s="110" t="s">
        <v>270</v>
      </c>
      <c r="N27" s="108" t="str">
        <f>LEFT($L$27, 2)&amp;" to "&amp;RIGHT($L$27, 2)&amp;" ratio"</f>
        <v>20 to Ne ratio</v>
      </c>
    </row>
    <row r="35" spans="1:26" ht="16.2">
      <c r="A35" s="141" t="s">
        <v>816</v>
      </c>
      <c r="B35" s="142"/>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row>
    <row r="36" spans="1:26" ht="13.8">
      <c r="A36" s="111"/>
      <c r="B36" s="111"/>
      <c r="C36" s="111"/>
      <c r="D36" s="111"/>
      <c r="E36" s="111"/>
      <c r="F36" s="111"/>
      <c r="G36" s="111"/>
      <c r="H36" s="111"/>
      <c r="I36" s="111"/>
      <c r="J36" s="139" t="s">
        <v>817</v>
      </c>
      <c r="K36" s="146"/>
      <c r="L36" s="146"/>
      <c r="M36" s="146"/>
      <c r="N36" s="146"/>
      <c r="O36" s="146"/>
      <c r="P36" s="146"/>
      <c r="Q36" s="146"/>
      <c r="R36" s="146"/>
      <c r="S36" s="146"/>
      <c r="T36" s="146"/>
      <c r="U36" s="146"/>
      <c r="V36" s="146"/>
      <c r="W36" s="146"/>
      <c r="X36" s="146"/>
      <c r="Y36" s="146"/>
      <c r="Z36" s="146"/>
    </row>
    <row r="37" spans="1:26" ht="39.6">
      <c r="A37" s="113" t="s">
        <v>811</v>
      </c>
      <c r="B37" s="113" t="s">
        <v>349</v>
      </c>
      <c r="C37" s="113" t="s">
        <v>806</v>
      </c>
      <c r="D37" s="113" t="s">
        <v>807</v>
      </c>
      <c r="E37" s="113" t="s">
        <v>812</v>
      </c>
      <c r="F37" s="113" t="s">
        <v>813</v>
      </c>
      <c r="G37" s="113" t="s">
        <v>147</v>
      </c>
      <c r="H37" s="113" t="s">
        <v>814</v>
      </c>
      <c r="I37" s="113" t="s">
        <v>815</v>
      </c>
      <c r="J37" s="113" t="s">
        <v>64</v>
      </c>
      <c r="K37" s="113" t="s">
        <v>73</v>
      </c>
      <c r="L37" s="113" t="s">
        <v>82</v>
      </c>
      <c r="M37" s="113" t="s">
        <v>89</v>
      </c>
      <c r="N37" s="113" t="s">
        <v>94</v>
      </c>
      <c r="O37" s="113" t="s">
        <v>98</v>
      </c>
      <c r="P37" s="113" t="s">
        <v>102</v>
      </c>
      <c r="Q37" s="113" t="s">
        <v>77</v>
      </c>
      <c r="R37" s="113" t="s">
        <v>110</v>
      </c>
      <c r="S37" s="113" t="s">
        <v>118</v>
      </c>
      <c r="T37" s="113" t="s">
        <v>78</v>
      </c>
      <c r="U37" s="113" t="s">
        <v>796</v>
      </c>
      <c r="V37" s="113" t="s">
        <v>797</v>
      </c>
      <c r="W37" s="113" t="s">
        <v>798</v>
      </c>
      <c r="X37" s="113" t="s">
        <v>799</v>
      </c>
      <c r="Y37" s="113" t="s">
        <v>800</v>
      </c>
      <c r="Z37" s="113" t="s">
        <v>801</v>
      </c>
    </row>
    <row r="38" spans="1:26">
      <c r="A38" s="114" t="s">
        <v>818</v>
      </c>
      <c r="B38" s="114">
        <f t="shared" ref="B38:B69" si="0">$C$4</f>
        <v>0.60581683578000001</v>
      </c>
      <c r="C38" s="114">
        <f t="shared" ref="C38:C69" si="1">$D$4</f>
        <v>61.585365853658502</v>
      </c>
      <c r="D38" s="114">
        <v>0</v>
      </c>
      <c r="E38" s="114">
        <v>0</v>
      </c>
      <c r="F38" s="114">
        <v>0</v>
      </c>
      <c r="G38" s="114">
        <v>0</v>
      </c>
      <c r="H38" s="114">
        <v>0</v>
      </c>
      <c r="I38" s="114" t="s">
        <v>10</v>
      </c>
      <c r="J38" s="114">
        <f>GasModel($I$38,"He_Weiss",$D$38,$E$38,$B$38,$C$38,$G$38,$H$38,$B$11)</f>
        <v>4.8498030268302786E-8</v>
      </c>
      <c r="K38" s="114">
        <f>GasModel($I$38,"Ne_Weiss",$D$38,$E$38,$B$38,$C$38,$G$38,$H$38,$B$12)</f>
        <v>2.2237496323577475E-7</v>
      </c>
      <c r="L38" s="114">
        <f>GasModel($I$38,"Ar_Weiss",$D$38,$E$38,$B$38,$C$38,$G$38,$H$38,$B$13)</f>
        <v>4.9198914519646886E-4</v>
      </c>
      <c r="M38" s="114">
        <f>GasModel($I$38,"Kr_Weiss",$D$38,$E$38,$B$38,$C$38,$G$38,$H$38,$B$14)</f>
        <v>1.2262527561780184E-7</v>
      </c>
      <c r="N38" s="114">
        <f>GasModel($I$38,"Xe_Clvr",$D$38,$E$38,$B$38,$C$38,$G$38,$H$38,$B$15)</f>
        <v>1.9006201657263662E-8</v>
      </c>
      <c r="O38" s="114">
        <f>GasModel($I$38,"N2_Weiss",$D$38,$E$38,$B$38,$C$38,$G$38,$H$38,$B$16)</f>
        <v>1.8199635160810284E-2</v>
      </c>
      <c r="P38" s="114">
        <f>GasModel($I$38,"O2_B&amp;K",$D$38,$E$38,$B$38,$C$38,$G$38,$H$38,$B$17)</f>
        <v>1.0119999280037794E-2</v>
      </c>
      <c r="Q38" s="114">
        <f>GasModel($I$38,"CO2_Weiss_F",$D$38,$E$38,$B$38,$C$38,$G$38,$H$38,$B$18)</f>
        <v>5.9195425675261516E-4</v>
      </c>
      <c r="R38" s="114">
        <f>GasModel($I$38,"CH4_Wies",$D$38,$E$38,$B$38,$C$38,$G$38,$H$38,$B$19)</f>
        <v>7.9559819619814769E-8</v>
      </c>
      <c r="S38" s="114">
        <f>GasModel($I$38,"H2_Wies",$D$38,$E$38,$B$38,$C$38,$G$38,$H$38,$B$20)</f>
        <v>1.2567155845475863E-8</v>
      </c>
      <c r="T38" s="114">
        <f>GasModel($I$38,"N2O_Weiss_F",$D$38,$E$38,$B$38,$C$38,$G$38,$H$38,$B$21)</f>
        <v>4.136866460624681E-7</v>
      </c>
      <c r="U38" s="114">
        <f>$L$38/$K$38</f>
        <v>2212.4304734559241</v>
      </c>
      <c r="V38" s="114">
        <f>$M$38/$N$38</f>
        <v>6.4518559693876414</v>
      </c>
      <c r="W38" s="114">
        <f>$N$38/$K$38</f>
        <v>8.5469161549055289E-2</v>
      </c>
      <c r="X38" s="114">
        <f>$M$38/$L$38</f>
        <v>2.4924386404670204E-4</v>
      </c>
      <c r="Y38" s="114">
        <f>$O$38/$L$38</f>
        <v>36.991944514431346</v>
      </c>
      <c r="Z38" s="114" t="e">
        <f>$I$38/$I$38</f>
        <v>#VALUE!</v>
      </c>
    </row>
    <row r="39" spans="1:26">
      <c r="A39" s="114" t="s">
        <v>818</v>
      </c>
      <c r="B39" s="114">
        <f t="shared" si="0"/>
        <v>0.60581683578000001</v>
      </c>
      <c r="C39" s="114">
        <f t="shared" si="1"/>
        <v>61.585365853658502</v>
      </c>
      <c r="D39" s="114">
        <v>0</v>
      </c>
      <c r="E39" s="114">
        <v>2</v>
      </c>
      <c r="F39" s="114">
        <v>0</v>
      </c>
      <c r="G39" s="114">
        <v>0</v>
      </c>
      <c r="H39" s="114">
        <v>0</v>
      </c>
      <c r="I39" s="114" t="s">
        <v>10</v>
      </c>
      <c r="J39" s="114">
        <f>GasModel($I$39,"He_Weiss",$D$39,$E$39,$B$39,$C$39,$G$39,$H$39,$B$11)</f>
        <v>5.8978030268302785E-8</v>
      </c>
      <c r="K39" s="114">
        <f>GasModel($I$39,"Ne_Weiss",$D$39,$E$39,$B$39,$C$39,$G$39,$H$39,$B$12)</f>
        <v>2.5873496323577474E-7</v>
      </c>
      <c r="L39" s="114">
        <f>GasModel($I$39,"Ar_Weiss",$D$39,$E$39,$B$39,$C$39,$G$39,$H$39,$B$13)</f>
        <v>5.1066914519646883E-4</v>
      </c>
      <c r="M39" s="114">
        <f>GasModel($I$39,"Kr_Weiss",$D$39,$E$39,$B$39,$C$39,$G$39,$H$39,$B$14)</f>
        <v>1.2490527561780183E-7</v>
      </c>
      <c r="N39" s="114">
        <f>GasModel($I$39,"Xe_Clvr",$D$39,$E$39,$B$39,$C$39,$G$39,$H$39,$B$15)</f>
        <v>1.9180201657263661E-8</v>
      </c>
      <c r="O39" s="114">
        <f>GasModel($I$39,"N2_Weiss",$D$39,$E$39,$B$39,$C$39,$G$39,$H$39,$B$16)</f>
        <v>1.9761315160810283E-2</v>
      </c>
      <c r="P39" s="114">
        <f>GasModel($I$39,"O2_B&amp;K",$D$39,$E$39,$B$39,$C$39,$G$39,$H$39,$B$17)</f>
        <v>1.0538999280037794E-2</v>
      </c>
      <c r="Q39" s="114">
        <f>GasModel($I$39,"CO2_Weiss_F",$D$39,$E$39,$B$39,$C$39,$G$39,$H$39,$B$18)</f>
        <v>5.9265425675261512E-4</v>
      </c>
      <c r="R39" s="114">
        <f>GasModel($I$39,"CH4_Wies",$D$39,$E$39,$B$39,$C$39,$G$39,$H$39,$B$19)</f>
        <v>8.2379819619814763E-8</v>
      </c>
      <c r="S39" s="114">
        <f>GasModel($I$39,"H2_Wies",$D$39,$E$39,$B$39,$C$39,$G$39,$H$39,$B$20)</f>
        <v>1.3727155845475863E-8</v>
      </c>
      <c r="T39" s="114">
        <f>GasModel($I$39,"N2O_Weiss_F",$D$39,$E$39,$B$39,$C$39,$G$39,$H$39,$B$21)</f>
        <v>4.1432664606246809E-7</v>
      </c>
      <c r="U39" s="114">
        <f>$L$39/$K$39</f>
        <v>1973.7152598549917</v>
      </c>
      <c r="V39" s="114">
        <f>$M$39/$N$39</f>
        <v>6.5121982474308053</v>
      </c>
      <c r="W39" s="114">
        <f>$N$39/$K$39</f>
        <v>7.4130691180633049E-2</v>
      </c>
      <c r="X39" s="114">
        <f>$M$39/$L$39</f>
        <v>2.4459138914638607E-4</v>
      </c>
      <c r="Y39" s="114">
        <f>$O$39/$L$39</f>
        <v>38.696904535337744</v>
      </c>
      <c r="Z39" s="114" t="e">
        <f>$I$39/$I$39</f>
        <v>#VALUE!</v>
      </c>
    </row>
    <row r="40" spans="1:26">
      <c r="A40" s="114" t="s">
        <v>818</v>
      </c>
      <c r="B40" s="114">
        <f t="shared" si="0"/>
        <v>0.60581683578000001</v>
      </c>
      <c r="C40" s="114">
        <f t="shared" si="1"/>
        <v>61.585365853658502</v>
      </c>
      <c r="D40" s="114">
        <v>0</v>
      </c>
      <c r="E40" s="114">
        <v>4</v>
      </c>
      <c r="F40" s="114">
        <v>0</v>
      </c>
      <c r="G40" s="114">
        <v>0</v>
      </c>
      <c r="H40" s="114">
        <v>0</v>
      </c>
      <c r="I40" s="114" t="s">
        <v>10</v>
      </c>
      <c r="J40" s="114">
        <f>GasModel($I$40,"He_Weiss",$D$40,$E$40,$B$40,$C$40,$G$40,$H$40,$B$11)</f>
        <v>6.9458030268302783E-8</v>
      </c>
      <c r="K40" s="114">
        <f>GasModel($I$40,"Ne_Weiss",$D$40,$E$40,$B$40,$C$40,$G$40,$H$40,$B$12)</f>
        <v>2.9509496323577478E-7</v>
      </c>
      <c r="L40" s="114">
        <f>GasModel($I$40,"Ar_Weiss",$D$40,$E$40,$B$40,$C$40,$G$40,$H$40,$B$13)</f>
        <v>5.2934914519646881E-4</v>
      </c>
      <c r="M40" s="114">
        <f>GasModel($I$40,"Kr_Weiss",$D$40,$E$40,$B$40,$C$40,$G$40,$H$40,$B$14)</f>
        <v>1.2718527561780185E-7</v>
      </c>
      <c r="N40" s="114">
        <f>GasModel($I$40,"Xe_Clvr",$D$40,$E$40,$B$40,$C$40,$G$40,$H$40,$B$15)</f>
        <v>1.9354201657263663E-8</v>
      </c>
      <c r="O40" s="114">
        <f>GasModel($I$40,"N2_Weiss",$D$40,$E$40,$B$40,$C$40,$G$40,$H$40,$B$16)</f>
        <v>2.1322995160810283E-2</v>
      </c>
      <c r="P40" s="114">
        <f>GasModel($I$40,"O2_B&amp;K",$D$40,$E$40,$B$40,$C$40,$G$40,$H$40,$B$17)</f>
        <v>1.0957999280037795E-2</v>
      </c>
      <c r="Q40" s="114">
        <f>GasModel($I$40,"CO2_Weiss_F",$D$40,$E$40,$B$40,$C$40,$G$40,$H$40,$B$18)</f>
        <v>5.9335425675261519E-4</v>
      </c>
      <c r="R40" s="114">
        <f>GasModel($I$40,"CH4_Wies",$D$40,$E$40,$B$40,$C$40,$G$40,$H$40,$B$19)</f>
        <v>8.5199819619814771E-8</v>
      </c>
      <c r="S40" s="114">
        <f>GasModel($I$40,"H2_Wies",$D$40,$E$40,$B$40,$C$40,$G$40,$H$40,$B$20)</f>
        <v>1.4887155845475863E-8</v>
      </c>
      <c r="T40" s="114">
        <f>GasModel($I$40,"N2O_Weiss_F",$D$40,$E$40,$B$40,$C$40,$G$40,$H$40,$B$21)</f>
        <v>4.1496664606246812E-7</v>
      </c>
      <c r="U40" s="114">
        <f>$L$40/$K$40</f>
        <v>1793.8264326576452</v>
      </c>
      <c r="V40" s="114">
        <f>$M$40/$N$40</f>
        <v>6.5714555356029898</v>
      </c>
      <c r="W40" s="114">
        <f>$N$40/$K$40</f>
        <v>6.5586350390535314E-2</v>
      </c>
      <c r="X40" s="114">
        <f>$M$40/$L$40</f>
        <v>2.4026727306907585E-4</v>
      </c>
      <c r="Y40" s="114">
        <f>$O$40/$L$40</f>
        <v>40.281533189018788</v>
      </c>
      <c r="Z40" s="114" t="e">
        <f>$I$40/$I$40</f>
        <v>#VALUE!</v>
      </c>
    </row>
    <row r="41" spans="1:26">
      <c r="A41" s="114" t="s">
        <v>818</v>
      </c>
      <c r="B41" s="114">
        <f t="shared" si="0"/>
        <v>0.60581683578000001</v>
      </c>
      <c r="C41" s="114">
        <f t="shared" si="1"/>
        <v>61.585365853658502</v>
      </c>
      <c r="D41" s="114">
        <v>0</v>
      </c>
      <c r="E41" s="114">
        <v>6</v>
      </c>
      <c r="F41" s="114">
        <v>0</v>
      </c>
      <c r="G41" s="114">
        <v>0</v>
      </c>
      <c r="H41" s="114">
        <v>0</v>
      </c>
      <c r="I41" s="114" t="s">
        <v>10</v>
      </c>
      <c r="J41" s="114">
        <f>GasModel($I$41,"He_Weiss",$D$41,$E$41,$B$41,$C$41,$G$41,$H$41,$B$11)</f>
        <v>7.9938030268302782E-8</v>
      </c>
      <c r="K41" s="114">
        <f>GasModel($I$41,"Ne_Weiss",$D$41,$E$41,$B$41,$C$41,$G$41,$H$41,$B$12)</f>
        <v>3.3145496323577472E-7</v>
      </c>
      <c r="L41" s="114">
        <f>GasModel($I$41,"Ar_Weiss",$D$41,$E$41,$B$41,$C$41,$G$41,$H$41,$B$13)</f>
        <v>5.480291451964689E-4</v>
      </c>
      <c r="M41" s="114">
        <f>GasModel($I$41,"Kr_Weiss",$D$41,$E$41,$B$41,$C$41,$G$41,$H$41,$B$14)</f>
        <v>1.2946527561780184E-7</v>
      </c>
      <c r="N41" s="114">
        <f>GasModel($I$41,"Xe_Clvr",$D$41,$E$41,$B$41,$C$41,$G$41,$H$41,$B$15)</f>
        <v>1.9528201657263662E-8</v>
      </c>
      <c r="O41" s="114">
        <f>GasModel($I$41,"N2_Weiss",$D$41,$E$41,$B$41,$C$41,$G$41,$H$41,$B$16)</f>
        <v>2.2884675160810282E-2</v>
      </c>
      <c r="P41" s="114">
        <f>GasModel($I$41,"O2_B&amp;K",$D$41,$E$41,$B$41,$C$41,$G$41,$H$41,$B$17)</f>
        <v>1.1376999280037794E-2</v>
      </c>
      <c r="Q41" s="114">
        <f>GasModel($I$41,"CO2_Weiss_F",$D$41,$E$41,$B$41,$C$41,$G$41,$H$41,$B$18)</f>
        <v>5.9405425675261516E-4</v>
      </c>
      <c r="R41" s="114">
        <f>GasModel($I$41,"CH4_Wies",$D$41,$E$41,$B$41,$C$41,$G$41,$H$41,$B$19)</f>
        <v>8.8019819619814766E-8</v>
      </c>
      <c r="S41" s="114">
        <f>GasModel($I$41,"H2_Wies",$D$41,$E$41,$B$41,$C$41,$G$41,$H$41,$B$20)</f>
        <v>1.6047155845475864E-8</v>
      </c>
      <c r="T41" s="114">
        <f>GasModel($I$41,"N2O_Weiss_F",$D$41,$E$41,$B$41,$C$41,$G$41,$H$41,$B$21)</f>
        <v>4.1560664606246811E-7</v>
      </c>
      <c r="U41" s="114">
        <f>$L$41/$K$41</f>
        <v>1653.4045526017298</v>
      </c>
      <c r="V41" s="114">
        <f>$M$41/$N$41</f>
        <v>6.6296568363040365</v>
      </c>
      <c r="W41" s="114">
        <f>$N$41/$K$41</f>
        <v>5.8916606547757787E-2</v>
      </c>
      <c r="X41" s="114">
        <f>$M$41/$L$41</f>
        <v>2.3623793871654114E-4</v>
      </c>
      <c r="Y41" s="114">
        <f>$O$41/$L$41</f>
        <v>41.758135240427968</v>
      </c>
      <c r="Z41" s="114" t="e">
        <f>$I$41/$I$41</f>
        <v>#VALUE!</v>
      </c>
    </row>
    <row r="42" spans="1:26">
      <c r="A42" s="114" t="s">
        <v>818</v>
      </c>
      <c r="B42" s="114">
        <f t="shared" si="0"/>
        <v>0.60581683578000001</v>
      </c>
      <c r="C42" s="114">
        <f t="shared" si="1"/>
        <v>61.585365853658502</v>
      </c>
      <c r="D42" s="114">
        <v>0</v>
      </c>
      <c r="E42" s="114">
        <v>8</v>
      </c>
      <c r="F42" s="114">
        <v>0</v>
      </c>
      <c r="G42" s="114">
        <v>0</v>
      </c>
      <c r="H42" s="114">
        <v>0</v>
      </c>
      <c r="I42" s="114" t="s">
        <v>10</v>
      </c>
      <c r="J42" s="114">
        <f>GasModel($I$42,"He_Weiss",$D$42,$E$42,$B$42,$C$42,$G$42,$H$42,$B$11)</f>
        <v>9.0418030268302781E-8</v>
      </c>
      <c r="K42" s="114">
        <f>GasModel($I$42,"Ne_Weiss",$D$42,$E$42,$B$42,$C$42,$G$42,$H$42,$B$12)</f>
        <v>3.6781496323577476E-7</v>
      </c>
      <c r="L42" s="114">
        <f>GasModel($I$42,"Ar_Weiss",$D$42,$E$42,$B$42,$C$42,$G$42,$H$42,$B$13)</f>
        <v>5.6670914519646887E-4</v>
      </c>
      <c r="M42" s="114">
        <f>GasModel($I$42,"Kr_Weiss",$D$42,$E$42,$B$42,$C$42,$G$42,$H$42,$B$14)</f>
        <v>1.3174527561780183E-7</v>
      </c>
      <c r="N42" s="114">
        <f>GasModel($I$42,"Xe_Clvr",$D$42,$E$42,$B$42,$C$42,$G$42,$H$42,$B$15)</f>
        <v>1.970220165726366E-8</v>
      </c>
      <c r="O42" s="114">
        <f>GasModel($I$42,"N2_Weiss",$D$42,$E$42,$B$42,$C$42,$G$42,$H$42,$B$16)</f>
        <v>2.4446355160810285E-2</v>
      </c>
      <c r="P42" s="114">
        <f>GasModel($I$42,"O2_B&amp;K",$D$42,$E$42,$B$42,$C$42,$G$42,$H$42,$B$17)</f>
        <v>1.1795999280037795E-2</v>
      </c>
      <c r="Q42" s="114">
        <f>GasModel($I$42,"CO2_Weiss_F",$D$42,$E$42,$B$42,$C$42,$G$42,$H$42,$B$18)</f>
        <v>5.9475425675261512E-4</v>
      </c>
      <c r="R42" s="114">
        <f>GasModel($I$42,"CH4_Wies",$D$42,$E$42,$B$42,$C$42,$G$42,$H$42,$B$19)</f>
        <v>9.0839819619814761E-8</v>
      </c>
      <c r="S42" s="114">
        <f>GasModel($I$42,"H2_Wies",$D$42,$E$42,$B$42,$C$42,$G$42,$H$42,$B$20)</f>
        <v>1.7207155845475862E-8</v>
      </c>
      <c r="T42" s="114">
        <f>GasModel($I$42,"N2O_Weiss_F",$D$42,$E$42,$B$42,$C$42,$G$42,$H$42,$B$21)</f>
        <v>4.1624664606246809E-7</v>
      </c>
      <c r="U42" s="114">
        <f>$L$42/$K$42</f>
        <v>1540.7452165919635</v>
      </c>
      <c r="V42" s="114">
        <f>$M$42/$N$42</f>
        <v>6.6868301273949742</v>
      </c>
      <c r="W42" s="114">
        <f>$N$42/$K$42</f>
        <v>5.3565525132359182E-2</v>
      </c>
      <c r="X42" s="114">
        <f>$M$42/$L$42</f>
        <v>2.3247423609535695E-4</v>
      </c>
      <c r="Y42" s="114">
        <f>$O$42/$L$42</f>
        <v>43.137393084304527</v>
      </c>
      <c r="Z42" s="114" t="e">
        <f>$I$42/$I$42</f>
        <v>#VALUE!</v>
      </c>
    </row>
    <row r="43" spans="1:26">
      <c r="A43" s="114" t="s">
        <v>818</v>
      </c>
      <c r="B43" s="114">
        <f t="shared" si="0"/>
        <v>0.60581683578000001</v>
      </c>
      <c r="C43" s="114">
        <f t="shared" si="1"/>
        <v>61.585365853658502</v>
      </c>
      <c r="D43" s="114">
        <v>0</v>
      </c>
      <c r="E43" s="114">
        <v>10</v>
      </c>
      <c r="F43" s="114">
        <v>0</v>
      </c>
      <c r="G43" s="114">
        <v>0</v>
      </c>
      <c r="H43" s="114">
        <v>0</v>
      </c>
      <c r="I43" s="114" t="s">
        <v>10</v>
      </c>
      <c r="J43" s="114">
        <f>GasModel($I$43,"He_Weiss",$D$43,$E$43,$B$43,$C$43,$G$43,$H$43,$B$11)</f>
        <v>1.0089803026830278E-7</v>
      </c>
      <c r="K43" s="114">
        <f>GasModel($I$43,"Ne_Weiss",$D$43,$E$43,$B$43,$C$43,$G$43,$H$43,$B$12)</f>
        <v>4.0417496323577475E-7</v>
      </c>
      <c r="L43" s="114">
        <f>GasModel($I$43,"Ar_Weiss",$D$43,$E$43,$B$43,$C$43,$G$43,$H$43,$B$13)</f>
        <v>5.8538914519646885E-4</v>
      </c>
      <c r="M43" s="114">
        <f>GasModel($I$43,"Kr_Weiss",$D$43,$E$43,$B$43,$C$43,$G$43,$H$43,$B$14)</f>
        <v>1.3402527561780185E-7</v>
      </c>
      <c r="N43" s="114">
        <f>GasModel($I$43,"Xe_Clvr",$D$43,$E$43,$B$43,$C$43,$G$43,$H$43,$B$15)</f>
        <v>1.9876201657263663E-8</v>
      </c>
      <c r="O43" s="114">
        <f>GasModel($I$43,"N2_Weiss",$D$43,$E$43,$B$43,$C$43,$G$43,$H$43,$B$16)</f>
        <v>2.6008035160810284E-2</v>
      </c>
      <c r="P43" s="114">
        <f>GasModel($I$43,"O2_B&amp;K",$D$43,$E$43,$B$43,$C$43,$G$43,$H$43,$B$17)</f>
        <v>1.2214999280037794E-2</v>
      </c>
      <c r="Q43" s="114">
        <f>GasModel($I$43,"CO2_Weiss_F",$D$43,$E$43,$B$43,$C$43,$G$43,$H$43,$B$18)</f>
        <v>5.9545425675261519E-4</v>
      </c>
      <c r="R43" s="114">
        <f>GasModel($I$43,"CH4_Wies",$D$43,$E$43,$B$43,$C$43,$G$43,$H$43,$B$19)</f>
        <v>9.3659819619814769E-8</v>
      </c>
      <c r="S43" s="114">
        <f>GasModel($I$43,"H2_Wies",$D$43,$E$43,$B$43,$C$43,$G$43,$H$43,$B$20)</f>
        <v>1.8367155845475864E-8</v>
      </c>
      <c r="T43" s="114">
        <f>GasModel($I$43,"N2O_Weiss_F",$D$43,$E$43,$B$43,$C$43,$G$43,$H$43,$B$21)</f>
        <v>4.1688664606246808E-7</v>
      </c>
      <c r="U43" s="114">
        <f>$L$43/$K$43</f>
        <v>1448.3557826291758</v>
      </c>
      <c r="V43" s="114">
        <f>$M$43/$N$43</f>
        <v>6.7430024070430461</v>
      </c>
      <c r="W43" s="114">
        <f>$N$43/$K$43</f>
        <v>4.9177221414550894E-2</v>
      </c>
      <c r="X43" s="114">
        <f>$M$43/$L$43</f>
        <v>2.2895073596354467E-4</v>
      </c>
      <c r="Y43" s="114">
        <f>$O$43/$L$43</f>
        <v>44.428625597561165</v>
      </c>
      <c r="Z43" s="114" t="e">
        <f>$I$43/$I$43</f>
        <v>#VALUE!</v>
      </c>
    </row>
    <row r="44" spans="1:26">
      <c r="A44" s="114" t="s">
        <v>819</v>
      </c>
      <c r="B44" s="114">
        <f t="shared" si="0"/>
        <v>0.60581683578000001</v>
      </c>
      <c r="C44" s="114">
        <f t="shared" si="1"/>
        <v>61.585365853658502</v>
      </c>
      <c r="D44" s="114">
        <v>40</v>
      </c>
      <c r="E44" s="114">
        <v>0</v>
      </c>
      <c r="F44" s="114">
        <v>0</v>
      </c>
      <c r="G44" s="114">
        <v>0</v>
      </c>
      <c r="H44" s="114">
        <v>0</v>
      </c>
      <c r="I44" s="114" t="s">
        <v>10</v>
      </c>
      <c r="J44" s="114">
        <f>GasModel($I$44,"He_Weiss",$D$44,$E$44,$B$44,$C$44,$G$44,$H$44,$B$11)</f>
        <v>4.2116068369396931E-8</v>
      </c>
      <c r="K44" s="114">
        <f>GasModel($I$44,"Ne_Weiss",$D$44,$E$44,$B$44,$C$44,$G$44,$H$44,$B$12)</f>
        <v>1.6012006422190466E-7</v>
      </c>
      <c r="L44" s="114">
        <f>GasModel($I$44,"Ar_Weiss",$D$44,$E$44,$B$44,$C$44,$G$44,$H$44,$B$13)</f>
        <v>2.1906196144748735E-4</v>
      </c>
      <c r="M44" s="114">
        <f>GasModel($I$44,"Kr_Weiss",$D$44,$E$44,$B$44,$C$44,$G$44,$H$44,$B$14)</f>
        <v>4.45763354816901E-8</v>
      </c>
      <c r="N44" s="114">
        <f>GasModel($I$44,"Xe_Clvr",$D$44,$E$44,$B$44,$C$44,$G$44,$H$44,$B$15)</f>
        <v>5.5268281086807843E-9</v>
      </c>
      <c r="O44" s="114">
        <f>GasModel($I$44,"N2_Weiss",$D$44,$E$44,$B$44,$C$44,$G$44,$H$44,$B$16)</f>
        <v>8.6732956461058556E-3</v>
      </c>
      <c r="P44" s="114">
        <f>GasModel($I$44,"O2_B&amp;K",$D$44,$E$44,$B$44,$C$44,$G$44,$H$44,$B$17)</f>
        <v>4.4755614044207585E-3</v>
      </c>
      <c r="Q44" s="114">
        <f>GasModel($I$44,"CO2_Weiss_F",$D$44,$E$44,$B$44,$C$44,$G$44,$H$44,$B$18)</f>
        <v>1.7030317285018413E-4</v>
      </c>
      <c r="R44" s="114">
        <f>GasModel($I$44,"CH4_Wies",$D$44,$E$44,$B$44,$C$44,$G$44,$H$44,$B$19)</f>
        <v>3.2321105815531143E-8</v>
      </c>
      <c r="S44" s="114">
        <f>GasModel($I$44,"H2_Wies",$D$44,$E$44,$B$44,$C$44,$G$44,$H$44,$B$20)</f>
        <v>8.7746693676279108E-9</v>
      </c>
      <c r="T44" s="114">
        <f>GasModel($I$44,"N2O_Weiss_F",$D$44,$E$44,$B$44,$C$44,$G$44,$H$44,$B$21)</f>
        <v>1.114418058255042E-7</v>
      </c>
      <c r="U44" s="114">
        <f>$L$44/$K$44</f>
        <v>1368.1106269349057</v>
      </c>
      <c r="V44" s="114">
        <f>$M$44/$N$44</f>
        <v>8.0654463292744172</v>
      </c>
      <c r="W44" s="114">
        <f>$N$44/$K$44</f>
        <v>3.4516774243990758E-2</v>
      </c>
      <c r="X44" s="114">
        <f>$M$44/$L$44</f>
        <v>2.0348733840939228E-4</v>
      </c>
      <c r="Y44" s="114">
        <f>$O$44/$L$44</f>
        <v>39.592887732747627</v>
      </c>
      <c r="Z44" s="114" t="e">
        <f>$I$44/$I$44</f>
        <v>#VALUE!</v>
      </c>
    </row>
    <row r="45" spans="1:26">
      <c r="A45" s="114" t="s">
        <v>819</v>
      </c>
      <c r="B45" s="114">
        <f t="shared" si="0"/>
        <v>0.60581683578000001</v>
      </c>
      <c r="C45" s="114">
        <f t="shared" si="1"/>
        <v>61.585365853658502</v>
      </c>
      <c r="D45" s="114">
        <v>40</v>
      </c>
      <c r="E45" s="114">
        <v>2</v>
      </c>
      <c r="F45" s="114">
        <v>0</v>
      </c>
      <c r="G45" s="114">
        <v>0</v>
      </c>
      <c r="H45" s="114">
        <v>0</v>
      </c>
      <c r="I45" s="114" t="s">
        <v>10</v>
      </c>
      <c r="J45" s="114">
        <f>GasModel($I$45,"He_Weiss",$D$45,$E$45,$B$45,$C$45,$G$45,$H$45,$B$11)</f>
        <v>5.259606836939693E-8</v>
      </c>
      <c r="K45" s="114">
        <f>GasModel($I$45,"Ne_Weiss",$D$45,$E$45,$B$45,$C$45,$G$45,$H$45,$B$12)</f>
        <v>1.9648006422190468E-7</v>
      </c>
      <c r="L45" s="114">
        <f>GasModel($I$45,"Ar_Weiss",$D$45,$E$45,$B$45,$C$45,$G$45,$H$45,$B$13)</f>
        <v>2.3774196144748735E-4</v>
      </c>
      <c r="M45" s="114">
        <f>GasModel($I$45,"Kr_Weiss",$D$45,$E$45,$B$45,$C$45,$G$45,$H$45,$B$14)</f>
        <v>4.6856335481690098E-8</v>
      </c>
      <c r="N45" s="114">
        <f>GasModel($I$45,"Xe_Clvr",$D$45,$E$45,$B$45,$C$45,$G$45,$H$45,$B$15)</f>
        <v>5.7008281086807839E-9</v>
      </c>
      <c r="O45" s="114">
        <f>GasModel($I$45,"N2_Weiss",$D$45,$E$45,$B$45,$C$45,$G$45,$H$45,$B$16)</f>
        <v>1.0234975646105855E-2</v>
      </c>
      <c r="P45" s="114">
        <f>GasModel($I$45,"O2_B&amp;K",$D$45,$E$45,$B$45,$C$45,$G$45,$H$45,$B$17)</f>
        <v>4.8945614044207586E-3</v>
      </c>
      <c r="Q45" s="114">
        <f>GasModel($I$45,"CO2_Weiss_F",$D$45,$E$45,$B$45,$C$45,$G$45,$H$45,$B$18)</f>
        <v>1.7100317285018412E-4</v>
      </c>
      <c r="R45" s="114">
        <f>GasModel($I$45,"CH4_Wies",$D$45,$E$45,$B$45,$C$45,$G$45,$H$45,$B$19)</f>
        <v>3.5141105815531144E-8</v>
      </c>
      <c r="S45" s="114">
        <f>GasModel($I$45,"H2_Wies",$D$45,$E$45,$B$45,$C$45,$G$45,$H$45,$B$20)</f>
        <v>9.934669367627911E-9</v>
      </c>
      <c r="T45" s="114">
        <f>GasModel($I$45,"N2O_Weiss_F",$D$45,$E$45,$B$45,$C$45,$G$45,$H$45,$B$21)</f>
        <v>1.1208180582550419E-7</v>
      </c>
      <c r="U45" s="114">
        <f>$L$45/$K$45</f>
        <v>1210.0055157707068</v>
      </c>
      <c r="V45" s="114">
        <f>$M$45/$N$45</f>
        <v>8.2192156276981692</v>
      </c>
      <c r="W45" s="114">
        <f>$N$45/$K$45</f>
        <v>2.9014791557897018E-2</v>
      </c>
      <c r="X45" s="114">
        <f>$M$45/$L$45</f>
        <v>1.9708904223893081E-4</v>
      </c>
      <c r="Y45" s="114">
        <f>$O$45/$L$45</f>
        <v>43.050774813963855</v>
      </c>
      <c r="Z45" s="114" t="e">
        <f>$I$45/$I$45</f>
        <v>#VALUE!</v>
      </c>
    </row>
    <row r="46" spans="1:26">
      <c r="A46" s="114" t="s">
        <v>819</v>
      </c>
      <c r="B46" s="114">
        <f t="shared" si="0"/>
        <v>0.60581683578000001</v>
      </c>
      <c r="C46" s="114">
        <f t="shared" si="1"/>
        <v>61.585365853658502</v>
      </c>
      <c r="D46" s="114">
        <v>40</v>
      </c>
      <c r="E46" s="114">
        <v>4</v>
      </c>
      <c r="F46" s="114">
        <v>0</v>
      </c>
      <c r="G46" s="114">
        <v>0</v>
      </c>
      <c r="H46" s="114">
        <v>0</v>
      </c>
      <c r="I46" s="114" t="s">
        <v>10</v>
      </c>
      <c r="J46" s="114">
        <f>GasModel($I$46,"He_Weiss",$D$46,$E$46,$B$46,$C$46,$G$46,$H$46,$B$11)</f>
        <v>6.3076068369396928E-8</v>
      </c>
      <c r="K46" s="114">
        <f>GasModel($I$46,"Ne_Weiss",$D$46,$E$46,$B$46,$C$46,$G$46,$H$46,$B$12)</f>
        <v>2.3284006422190467E-7</v>
      </c>
      <c r="L46" s="114">
        <f>GasModel($I$46,"Ar_Weiss",$D$46,$E$46,$B$46,$C$46,$G$46,$H$46,$B$13)</f>
        <v>2.5642196144748733E-4</v>
      </c>
      <c r="M46" s="114">
        <f>GasModel($I$46,"Kr_Weiss",$D$46,$E$46,$B$46,$C$46,$G$46,$H$46,$B$14)</f>
        <v>4.9136335481690103E-8</v>
      </c>
      <c r="N46" s="114">
        <f>GasModel($I$46,"Xe_Clvr",$D$46,$E$46,$B$46,$C$46,$G$46,$H$46,$B$15)</f>
        <v>5.8748281086807844E-9</v>
      </c>
      <c r="O46" s="114">
        <f>GasModel($I$46,"N2_Weiss",$D$46,$E$46,$B$46,$C$46,$G$46,$H$46,$B$16)</f>
        <v>1.1796655646105856E-2</v>
      </c>
      <c r="P46" s="114">
        <f>GasModel($I$46,"O2_B&amp;K",$D$46,$E$46,$B$46,$C$46,$G$46,$H$46,$B$17)</f>
        <v>5.3135614044207587E-3</v>
      </c>
      <c r="Q46" s="114">
        <f>GasModel($I$46,"CO2_Weiss_F",$D$46,$E$46,$B$46,$C$46,$G$46,$H$46,$B$18)</f>
        <v>1.7170317285018414E-4</v>
      </c>
      <c r="R46" s="114">
        <f>GasModel($I$46,"CH4_Wies",$D$46,$E$46,$B$46,$C$46,$G$46,$H$46,$B$19)</f>
        <v>3.7961105815531145E-8</v>
      </c>
      <c r="S46" s="114">
        <f>GasModel($I$46,"H2_Wies",$D$46,$E$46,$B$46,$C$46,$G$46,$H$46,$B$20)</f>
        <v>1.1094669367627911E-8</v>
      </c>
      <c r="T46" s="114">
        <f>GasModel($I$46,"N2O_Weiss_F",$D$46,$E$46,$B$46,$C$46,$G$46,$H$46,$B$21)</f>
        <v>1.1272180582550419E-7</v>
      </c>
      <c r="U46" s="114">
        <f>$L$46/$K$46</f>
        <v>1101.2793794933345</v>
      </c>
      <c r="V46" s="114">
        <f>$M$46/$N$46</f>
        <v>8.3638762824541359</v>
      </c>
      <c r="W46" s="114">
        <f>$N$46/$K$46</f>
        <v>2.5231173717087919E-2</v>
      </c>
      <c r="X46" s="114">
        <f>$M$46/$L$46</f>
        <v>1.9162296085841593E-4</v>
      </c>
      <c r="Y46" s="114">
        <f>$O$46/$L$46</f>
        <v>46.004856914417189</v>
      </c>
      <c r="Z46" s="114" t="e">
        <f>$I$46/$I$46</f>
        <v>#VALUE!</v>
      </c>
    </row>
    <row r="47" spans="1:26">
      <c r="A47" s="114" t="s">
        <v>819</v>
      </c>
      <c r="B47" s="114">
        <f t="shared" si="0"/>
        <v>0.60581683578000001</v>
      </c>
      <c r="C47" s="114">
        <f t="shared" si="1"/>
        <v>61.585365853658502</v>
      </c>
      <c r="D47" s="114">
        <v>40</v>
      </c>
      <c r="E47" s="114">
        <v>6</v>
      </c>
      <c r="F47" s="114">
        <v>0</v>
      </c>
      <c r="G47" s="114">
        <v>0</v>
      </c>
      <c r="H47" s="114">
        <v>0</v>
      </c>
      <c r="I47" s="114" t="s">
        <v>10</v>
      </c>
      <c r="J47" s="114">
        <f>GasModel($I$47,"He_Weiss",$D$47,$E$47,$B$47,$C$47,$G$47,$H$47,$B$11)</f>
        <v>7.3556068369396927E-8</v>
      </c>
      <c r="K47" s="114">
        <f>GasModel($I$47,"Ne_Weiss",$D$47,$E$47,$B$47,$C$47,$G$47,$H$47,$B$12)</f>
        <v>2.6920006422190465E-7</v>
      </c>
      <c r="L47" s="114">
        <f>GasModel($I$47,"Ar_Weiss",$D$47,$E$47,$B$47,$C$47,$G$47,$H$47,$B$13)</f>
        <v>2.7510196144748736E-4</v>
      </c>
      <c r="M47" s="114">
        <f>GasModel($I$47,"Kr_Weiss",$D$47,$E$47,$B$47,$C$47,$G$47,$H$47,$B$14)</f>
        <v>5.14163354816901E-8</v>
      </c>
      <c r="N47" s="114">
        <f>GasModel($I$47,"Xe_Clvr",$D$47,$E$47,$B$47,$C$47,$G$47,$H$47,$B$15)</f>
        <v>6.048828108680784E-9</v>
      </c>
      <c r="O47" s="114">
        <f>GasModel($I$47,"N2_Weiss",$D$47,$E$47,$B$47,$C$47,$G$47,$H$47,$B$16)</f>
        <v>1.3358335646105855E-2</v>
      </c>
      <c r="P47" s="114">
        <f>GasModel($I$47,"O2_B&amp;K",$D$47,$E$47,$B$47,$C$47,$G$47,$H$47,$B$17)</f>
        <v>5.7325614044207588E-3</v>
      </c>
      <c r="Q47" s="114">
        <f>GasModel($I$47,"CO2_Weiss_F",$D$47,$E$47,$B$47,$C$47,$G$47,$H$47,$B$18)</f>
        <v>1.7240317285018413E-4</v>
      </c>
      <c r="R47" s="114">
        <f>GasModel($I$47,"CH4_Wies",$D$47,$E$47,$B$47,$C$47,$G$47,$H$47,$B$19)</f>
        <v>4.078110581553114E-8</v>
      </c>
      <c r="S47" s="114">
        <f>GasModel($I$47,"H2_Wies",$D$47,$E$47,$B$47,$C$47,$G$47,$H$47,$B$20)</f>
        <v>1.225466936762791E-8</v>
      </c>
      <c r="T47" s="114">
        <f>GasModel($I$47,"N2O_Weiss_F",$D$47,$E$47,$B$47,$C$47,$G$47,$H$47,$B$21)</f>
        <v>1.1336180582550419E-7</v>
      </c>
      <c r="U47" s="114">
        <f>$L$47/$K$47</f>
        <v>1021.9238329033893</v>
      </c>
      <c r="V47" s="114">
        <f>$M$47/$N$47</f>
        <v>8.5002143486110278</v>
      </c>
      <c r="W47" s="114">
        <f>$N$47/$K$47</f>
        <v>2.246963843104683E-2</v>
      </c>
      <c r="X47" s="114">
        <f>$M$47/$L$47</f>
        <v>1.8689919625129489E-4</v>
      </c>
      <c r="Y47" s="114">
        <f>$O$47/$L$47</f>
        <v>48.557762277735527</v>
      </c>
      <c r="Z47" s="114" t="e">
        <f>$I$47/$I$47</f>
        <v>#VALUE!</v>
      </c>
    </row>
    <row r="48" spans="1:26">
      <c r="A48" s="114" t="s">
        <v>819</v>
      </c>
      <c r="B48" s="114">
        <f t="shared" si="0"/>
        <v>0.60581683578000001</v>
      </c>
      <c r="C48" s="114">
        <f t="shared" si="1"/>
        <v>61.585365853658502</v>
      </c>
      <c r="D48" s="114">
        <v>40</v>
      </c>
      <c r="E48" s="114">
        <v>8</v>
      </c>
      <c r="F48" s="114">
        <v>0</v>
      </c>
      <c r="G48" s="114">
        <v>0</v>
      </c>
      <c r="H48" s="114">
        <v>0</v>
      </c>
      <c r="I48" s="114" t="s">
        <v>10</v>
      </c>
      <c r="J48" s="114">
        <f>GasModel($I$48,"He_Weiss",$D$48,$E$48,$B$48,$C$48,$G$48,$H$48,$B$11)</f>
        <v>8.4036068369396925E-8</v>
      </c>
      <c r="K48" s="114">
        <f>GasModel($I$48,"Ne_Weiss",$D$48,$E$48,$B$48,$C$48,$G$48,$H$48,$B$12)</f>
        <v>3.055600642219047E-7</v>
      </c>
      <c r="L48" s="114">
        <f>GasModel($I$48,"Ar_Weiss",$D$48,$E$48,$B$48,$C$48,$G$48,$H$48,$B$13)</f>
        <v>2.9378196144748734E-4</v>
      </c>
      <c r="M48" s="114">
        <f>GasModel($I$48,"Kr_Weiss",$D$48,$E$48,$B$48,$C$48,$G$48,$H$48,$B$14)</f>
        <v>5.3696335481690098E-8</v>
      </c>
      <c r="N48" s="114">
        <f>GasModel($I$48,"Xe_Clvr",$D$48,$E$48,$B$48,$C$48,$G$48,$H$48,$B$15)</f>
        <v>6.2228281086807844E-9</v>
      </c>
      <c r="O48" s="114">
        <f>GasModel($I$48,"N2_Weiss",$D$48,$E$48,$B$48,$C$48,$G$48,$H$48,$B$16)</f>
        <v>1.4920015646105855E-2</v>
      </c>
      <c r="P48" s="114">
        <f>GasModel($I$48,"O2_B&amp;K",$D$48,$E$48,$B$48,$C$48,$G$48,$H$48,$B$17)</f>
        <v>6.1515614044207589E-3</v>
      </c>
      <c r="Q48" s="114">
        <f>GasModel($I$48,"CO2_Weiss_F",$D$48,$E$48,$B$48,$C$48,$G$48,$H$48,$B$18)</f>
        <v>1.7310317285018412E-4</v>
      </c>
      <c r="R48" s="114">
        <f>GasModel($I$48,"CH4_Wies",$D$48,$E$48,$B$48,$C$48,$G$48,$H$48,$B$19)</f>
        <v>4.3601105815531142E-8</v>
      </c>
      <c r="S48" s="114">
        <f>GasModel($I$48,"H2_Wies",$D$48,$E$48,$B$48,$C$48,$G$48,$H$48,$B$20)</f>
        <v>1.3414669367627911E-8</v>
      </c>
      <c r="T48" s="114">
        <f>GasModel($I$48,"N2O_Weiss_F",$D$48,$E$48,$B$48,$C$48,$G$48,$H$48,$B$21)</f>
        <v>1.140018058255042E-7</v>
      </c>
      <c r="U48" s="114">
        <f>$L$48/$K$48</f>
        <v>961.4540505991522</v>
      </c>
      <c r="V48" s="114">
        <f>$M$48/$N$48</f>
        <v>8.628927963924351</v>
      </c>
      <c r="W48" s="114">
        <f>$N$48/$K$48</f>
        <v>2.0365318761556565E-2</v>
      </c>
      <c r="X48" s="114">
        <f>$M$48/$L$48</f>
        <v>1.8277614873671595E-4</v>
      </c>
      <c r="Y48" s="114">
        <f>$O$48/$L$48</f>
        <v>50.786016856153246</v>
      </c>
      <c r="Z48" s="114" t="e">
        <f>$I$48/$I$48</f>
        <v>#VALUE!</v>
      </c>
    </row>
    <row r="49" spans="1:26">
      <c r="A49" s="114" t="s">
        <v>819</v>
      </c>
      <c r="B49" s="114">
        <f t="shared" si="0"/>
        <v>0.60581683578000001</v>
      </c>
      <c r="C49" s="114">
        <f t="shared" si="1"/>
        <v>61.585365853658502</v>
      </c>
      <c r="D49" s="114">
        <v>40</v>
      </c>
      <c r="E49" s="114">
        <v>10</v>
      </c>
      <c r="F49" s="114">
        <v>0</v>
      </c>
      <c r="G49" s="114">
        <v>0</v>
      </c>
      <c r="H49" s="114">
        <v>0</v>
      </c>
      <c r="I49" s="114" t="s">
        <v>10</v>
      </c>
      <c r="J49" s="114">
        <f>GasModel($I$49,"He_Weiss",$D$49,$E$49,$B$49,$C$49,$G$49,$H$49,$B$11)</f>
        <v>9.4516068369396924E-8</v>
      </c>
      <c r="K49" s="114">
        <f>GasModel($I$49,"Ne_Weiss",$D$49,$E$49,$B$49,$C$49,$G$49,$H$49,$B$12)</f>
        <v>3.4192006422190463E-7</v>
      </c>
      <c r="L49" s="114">
        <f>GasModel($I$49,"Ar_Weiss",$D$49,$E$49,$B$49,$C$49,$G$49,$H$49,$B$13)</f>
        <v>3.1246196144748737E-4</v>
      </c>
      <c r="M49" s="114">
        <f>GasModel($I$49,"Kr_Weiss",$D$49,$E$49,$B$49,$C$49,$G$49,$H$49,$B$14)</f>
        <v>5.5976335481690096E-8</v>
      </c>
      <c r="N49" s="114">
        <f>GasModel($I$49,"Xe_Clvr",$D$49,$E$49,$B$49,$C$49,$G$49,$H$49,$B$15)</f>
        <v>6.396828108680784E-9</v>
      </c>
      <c r="O49" s="114">
        <f>GasModel($I$49,"N2_Weiss",$D$49,$E$49,$B$49,$C$49,$G$49,$H$49,$B$16)</f>
        <v>1.6481695646105854E-2</v>
      </c>
      <c r="P49" s="114">
        <f>GasModel($I$49,"O2_B&amp;K",$D$49,$E$49,$B$49,$C$49,$G$49,$H$49,$B$17)</f>
        <v>6.5705614044207581E-3</v>
      </c>
      <c r="Q49" s="114">
        <f>GasModel($I$49,"CO2_Weiss_F",$D$49,$E$49,$B$49,$C$49,$G$49,$H$49,$B$18)</f>
        <v>1.7380317285018413E-4</v>
      </c>
      <c r="R49" s="114">
        <f>GasModel($I$49,"CH4_Wies",$D$49,$E$49,$B$49,$C$49,$G$49,$H$49,$B$19)</f>
        <v>4.6421105815531143E-8</v>
      </c>
      <c r="S49" s="114">
        <f>GasModel($I$49,"H2_Wies",$D$49,$E$49,$B$49,$C$49,$G$49,$H$49,$B$20)</f>
        <v>1.457466936762791E-8</v>
      </c>
      <c r="T49" s="114">
        <f>GasModel($I$49,"N2O_Weiss_F",$D$49,$E$49,$B$49,$C$49,$G$49,$H$49,$B$21)</f>
        <v>1.146418058255042E-7</v>
      </c>
      <c r="U49" s="114">
        <f>$L$49/$K$49</f>
        <v>913.84505954204815</v>
      </c>
      <c r="V49" s="114">
        <f>$M$49/$N$49</f>
        <v>8.7506393060222596</v>
      </c>
      <c r="W49" s="114">
        <f>$N$49/$K$49</f>
        <v>1.8708548511880457E-2</v>
      </c>
      <c r="X49" s="114">
        <f>$M$49/$L$49</f>
        <v>1.7914607980561349E-4</v>
      </c>
      <c r="Y49" s="114">
        <f>$O$49/$L$49</f>
        <v>52.74784671309753</v>
      </c>
      <c r="Z49" s="114" t="e">
        <f>$I$49/$I$49</f>
        <v>#VALUE!</v>
      </c>
    </row>
    <row r="50" spans="1:26">
      <c r="A50" s="114" t="s">
        <v>820</v>
      </c>
      <c r="B50" s="114">
        <f t="shared" si="0"/>
        <v>0.60581683578000001</v>
      </c>
      <c r="C50" s="114">
        <f t="shared" si="1"/>
        <v>61.585365853658502</v>
      </c>
      <c r="D50" s="114">
        <v>0</v>
      </c>
      <c r="E50" s="114">
        <v>0</v>
      </c>
      <c r="F50" s="114">
        <v>0</v>
      </c>
      <c r="G50" s="114">
        <v>0</v>
      </c>
      <c r="H50" s="114">
        <v>0</v>
      </c>
      <c r="I50" s="114" t="s">
        <v>10</v>
      </c>
      <c r="J50" s="114">
        <f>GasModel($I$50,"He_Weiss",$D$50,$E$50,$B$50,$C$50,$G$50,$H$50,$B$11)</f>
        <v>4.8498030268302786E-8</v>
      </c>
      <c r="K50" s="114">
        <f>GasModel($I$50,"Ne_Weiss",$D$50,$E$50,$B$50,$C$50,$G$50,$H$50,$B$12)</f>
        <v>2.2237496323577475E-7</v>
      </c>
      <c r="L50" s="114">
        <f>GasModel($I$50,"Ar_Weiss",$D$50,$E$50,$B$50,$C$50,$G$50,$H$50,$B$13)</f>
        <v>4.9198914519646886E-4</v>
      </c>
      <c r="M50" s="114">
        <f>GasModel($I$50,"Kr_Weiss",$D$50,$E$50,$B$50,$C$50,$G$50,$H$50,$B$14)</f>
        <v>1.2262527561780184E-7</v>
      </c>
      <c r="N50" s="114">
        <f>GasModel($I$50,"Xe_Clvr",$D$50,$E$50,$B$50,$C$50,$G$50,$H$50,$B$15)</f>
        <v>1.9006201657263662E-8</v>
      </c>
      <c r="O50" s="114">
        <f>GasModel($I$50,"N2_Weiss",$D$50,$E$50,$B$50,$C$50,$G$50,$H$50,$B$16)</f>
        <v>1.8199635160810284E-2</v>
      </c>
      <c r="P50" s="114">
        <f>GasModel($I$50,"O2_B&amp;K",$D$50,$E$50,$B$50,$C$50,$G$50,$H$50,$B$17)</f>
        <v>1.0119999280037794E-2</v>
      </c>
      <c r="Q50" s="114">
        <f>GasModel($I$50,"CO2_Weiss_F",$D$50,$E$50,$B$50,$C$50,$G$50,$H$50,$B$18)</f>
        <v>5.9195425675261516E-4</v>
      </c>
      <c r="R50" s="114">
        <f>GasModel($I$50,"CH4_Wies",$D$50,$E$50,$B$50,$C$50,$G$50,$H$50,$B$19)</f>
        <v>7.9559819619814769E-8</v>
      </c>
      <c r="S50" s="114">
        <f>GasModel($I$50,"H2_Wies",$D$50,$E$50,$B$50,$C$50,$G$50,$H$50,$B$20)</f>
        <v>1.2567155845475863E-8</v>
      </c>
      <c r="T50" s="114">
        <f>GasModel($I$50,"N2O_Weiss_F",$D$50,$E$50,$B$50,$C$50,$G$50,$H$50,$B$21)</f>
        <v>4.136866460624681E-7</v>
      </c>
      <c r="U50" s="114">
        <f>$L$50/$K$50</f>
        <v>2212.4304734559241</v>
      </c>
      <c r="V50" s="114">
        <f>$M$50/$N$50</f>
        <v>6.4518559693876414</v>
      </c>
      <c r="W50" s="114">
        <f>$N$50/$K$50</f>
        <v>8.5469161549055289E-2</v>
      </c>
      <c r="X50" s="114">
        <f>$M$50/$L$50</f>
        <v>2.4924386404670204E-4</v>
      </c>
      <c r="Y50" s="114">
        <f>$O$50/$L$50</f>
        <v>36.991944514431346</v>
      </c>
      <c r="Z50" s="114" t="e">
        <f>$I$50/$I$50</f>
        <v>#VALUE!</v>
      </c>
    </row>
    <row r="51" spans="1:26">
      <c r="A51" s="114" t="s">
        <v>820</v>
      </c>
      <c r="B51" s="114">
        <f t="shared" si="0"/>
        <v>0.60581683578000001</v>
      </c>
      <c r="C51" s="114">
        <f t="shared" si="1"/>
        <v>61.585365853658502</v>
      </c>
      <c r="D51" s="114">
        <v>5</v>
      </c>
      <c r="E51" s="114">
        <v>0</v>
      </c>
      <c r="F51" s="114">
        <v>0</v>
      </c>
      <c r="G51" s="114">
        <v>0</v>
      </c>
      <c r="H51" s="114">
        <v>0</v>
      </c>
      <c r="I51" s="114" t="s">
        <v>10</v>
      </c>
      <c r="J51" s="114">
        <f>GasModel($I$51,"He_Weiss",$D$51,$E$51,$B$51,$C$51,$G$51,$H$51,$B$11)</f>
        <v>4.7084746230146018E-8</v>
      </c>
      <c r="K51" s="114">
        <f>GasModel($I$51,"Ne_Weiss",$D$51,$E$51,$B$51,$C$51,$G$51,$H$51,$B$12)</f>
        <v>2.0992323062492011E-7</v>
      </c>
      <c r="L51" s="114">
        <f>GasModel($I$51,"Ar_Weiss",$D$51,$E$51,$B$51,$C$51,$G$51,$H$51,$B$13)</f>
        <v>4.3080321714980194E-4</v>
      </c>
      <c r="M51" s="114">
        <f>GasModel($I$51,"Kr_Weiss",$D$51,$E$51,$B$51,$C$51,$G$51,$H$51,$B$14)</f>
        <v>1.0441884047947277E-7</v>
      </c>
      <c r="N51" s="114">
        <f>GasModel($I$51,"Xe_Clvr",$D$51,$E$51,$B$51,$C$51,$G$51,$H$51,$B$15)</f>
        <v>1.5615020384555308E-8</v>
      </c>
      <c r="O51" s="114">
        <f>GasModel($I$51,"N2_Weiss",$D$51,$E$51,$B$51,$C$51,$G$51,$H$51,$B$16)</f>
        <v>1.6058600426786095E-2</v>
      </c>
      <c r="P51" s="114">
        <f>GasModel($I$51,"O2_B&amp;K",$D$51,$E$51,$B$51,$C$51,$G$51,$H$51,$B$17)</f>
        <v>8.8401484489472899E-3</v>
      </c>
      <c r="Q51" s="114">
        <f>GasModel($I$51,"CO2_Weiss_F",$D$51,$E$51,$B$51,$C$51,$G$51,$H$51,$B$18)</f>
        <v>4.8738816709276698E-4</v>
      </c>
      <c r="R51" s="114">
        <f>GasModel($I$51,"CH4_Wies",$D$51,$E$51,$B$51,$C$51,$G$51,$H$51,$B$19)</f>
        <v>6.8357833626233215E-8</v>
      </c>
      <c r="S51" s="114">
        <f>GasModel($I$51,"H2_Wies",$D$51,$E$51,$B$51,$C$51,$G$51,$H$51,$B$20)</f>
        <v>1.1756448609056185E-8</v>
      </c>
      <c r="T51" s="114">
        <f>GasModel($I$51,"N2O_Weiss_F",$D$51,$E$51,$B$51,$C$51,$G$51,$H$51,$B$21)</f>
        <v>3.368247287671612E-7</v>
      </c>
      <c r="U51" s="114">
        <f>$L$51/$K$51</f>
        <v>2052.1941086145853</v>
      </c>
      <c r="V51" s="114">
        <f>$M$51/$N$51</f>
        <v>6.6870767957980135</v>
      </c>
      <c r="W51" s="114">
        <f>$N$51/$K$51</f>
        <v>7.4384432528362771E-2</v>
      </c>
      <c r="X51" s="114">
        <f>$M$51/$L$51</f>
        <v>2.4238175650197969E-4</v>
      </c>
      <c r="Y51" s="114">
        <f>$O$51/$L$51</f>
        <v>37.275952888722472</v>
      </c>
      <c r="Z51" s="114" t="e">
        <f>$I$51/$I$51</f>
        <v>#VALUE!</v>
      </c>
    </row>
    <row r="52" spans="1:26">
      <c r="A52" s="114" t="s">
        <v>820</v>
      </c>
      <c r="B52" s="114">
        <f t="shared" si="0"/>
        <v>0.60581683578000001</v>
      </c>
      <c r="C52" s="114">
        <f t="shared" si="1"/>
        <v>61.585365853658502</v>
      </c>
      <c r="D52" s="114">
        <v>10</v>
      </c>
      <c r="E52" s="114">
        <v>0</v>
      </c>
      <c r="F52" s="114">
        <v>0</v>
      </c>
      <c r="G52" s="114">
        <v>0</v>
      </c>
      <c r="H52" s="114">
        <v>0</v>
      </c>
      <c r="I52" s="114" t="s">
        <v>10</v>
      </c>
      <c r="J52" s="114">
        <f>GasModel($I$52,"He_Weiss",$D$52,$E$52,$B$52,$C$52,$G$52,$H$52,$B$11)</f>
        <v>4.5954498583639227E-8</v>
      </c>
      <c r="K52" s="114">
        <f>GasModel($I$52,"Ne_Weiss",$D$52,$E$52,$B$52,$C$52,$G$52,$H$52,$B$12)</f>
        <v>1.9951309863648521E-7</v>
      </c>
      <c r="L52" s="114">
        <f>GasModel($I$52,"Ar_Weiss",$D$52,$E$52,$B$52,$C$52,$G$52,$H$52,$B$13)</f>
        <v>3.8161862553016057E-4</v>
      </c>
      <c r="M52" s="114">
        <f>GasModel($I$52,"Kr_Weiss",$D$52,$E$52,$B$52,$C$52,$G$52,$H$52,$B$14)</f>
        <v>8.9955177607260149E-8</v>
      </c>
      <c r="N52" s="114">
        <f>GasModel($I$52,"Xe_Clvr",$D$52,$E$52,$B$52,$C$52,$G$52,$H$52,$B$15)</f>
        <v>1.3017571341328825E-8</v>
      </c>
      <c r="O52" s="114">
        <f>GasModel($I$52,"N2_Weiss",$D$52,$E$52,$B$52,$C$52,$G$52,$H$52,$B$16)</f>
        <v>1.4338424292386444E-2</v>
      </c>
      <c r="P52" s="114">
        <f>GasModel($I$52,"O2_B&amp;K",$D$52,$E$52,$B$52,$C$52,$G$52,$H$52,$B$17)</f>
        <v>7.8167836440236303E-3</v>
      </c>
      <c r="Q52" s="114">
        <f>GasModel($I$52,"CO2_Weiss_F",$D$52,$E$52,$B$52,$C$52,$G$52,$H$52,$B$18)</f>
        <v>4.0694046534515635E-4</v>
      </c>
      <c r="R52" s="114">
        <f>GasModel($I$52,"CH4_Wies",$D$52,$E$52,$B$52,$C$52,$G$52,$H$52,$B$19)</f>
        <v>5.970835771661177E-8</v>
      </c>
      <c r="S52" s="114">
        <f>GasModel($I$52,"H2_Wies",$D$52,$E$52,$B$52,$C$52,$G$52,$H$52,$B$20)</f>
        <v>1.1109778824097643E-8</v>
      </c>
      <c r="T52" s="114">
        <f>GasModel($I$52,"N2O_Weiss_F",$D$52,$E$52,$B$52,$C$52,$G$52,$H$52,$B$21)</f>
        <v>2.783723750641059E-7</v>
      </c>
      <c r="U52" s="114">
        <f>$L$52/$K$52</f>
        <v>1912.749729908578</v>
      </c>
      <c r="V52" s="114">
        <f>$M$52/$N$52</f>
        <v>6.9102888126040858</v>
      </c>
      <c r="W52" s="114">
        <f>$N$52/$K$52</f>
        <v>6.5246700243210429E-2</v>
      </c>
      <c r="X52" s="114">
        <f>$M$52/$L$52</f>
        <v>2.35720092231585E-4</v>
      </c>
      <c r="Y52" s="114">
        <f>$O$52/$L$52</f>
        <v>37.572653254192993</v>
      </c>
      <c r="Z52" s="114" t="e">
        <f>$I$52/$I$52</f>
        <v>#VALUE!</v>
      </c>
    </row>
    <row r="53" spans="1:26">
      <c r="A53" s="114" t="s">
        <v>820</v>
      </c>
      <c r="B53" s="114">
        <f t="shared" si="0"/>
        <v>0.60581683578000001</v>
      </c>
      <c r="C53" s="114">
        <f t="shared" si="1"/>
        <v>61.585365853658502</v>
      </c>
      <c r="D53" s="114">
        <v>15</v>
      </c>
      <c r="E53" s="114">
        <v>0</v>
      </c>
      <c r="F53" s="114">
        <v>0</v>
      </c>
      <c r="G53" s="114">
        <v>0</v>
      </c>
      <c r="H53" s="114">
        <v>0</v>
      </c>
      <c r="I53" s="114" t="s">
        <v>10</v>
      </c>
      <c r="J53" s="114">
        <f>GasModel($I$53,"He_Weiss",$D$53,$E$53,$B$53,$C$53,$G$53,$H$53,$B$11)</f>
        <v>4.504159869290147E-8</v>
      </c>
      <c r="K53" s="114">
        <f>GasModel($I$53,"Ne_Weiss",$D$53,$E$53,$B$53,$C$53,$G$53,$H$53,$B$12)</f>
        <v>1.9068946320982894E-7</v>
      </c>
      <c r="L53" s="114">
        <f>GasModel($I$53,"Ar_Weiss",$D$53,$E$53,$B$53,$C$53,$G$53,$H$53,$B$13)</f>
        <v>3.4150491520582016E-4</v>
      </c>
      <c r="M53" s="114">
        <f>GasModel($I$53,"Kr_Weiss",$D$53,$E$53,$B$53,$C$53,$G$53,$H$53,$B$14)</f>
        <v>7.83212981737986E-8</v>
      </c>
      <c r="N53" s="114">
        <f>GasModel($I$53,"Xe_Clvr",$D$53,$E$53,$B$53,$C$53,$G$53,$H$53,$B$15)</f>
        <v>1.099799899731206E-8</v>
      </c>
      <c r="O53" s="114">
        <f>GasModel($I$53,"N2_Weiss",$D$53,$E$53,$B$53,$C$53,$G$53,$H$53,$B$16)</f>
        <v>1.2936723931810223E-2</v>
      </c>
      <c r="P53" s="114">
        <f>GasModel($I$53,"O2_B&amp;K",$D$53,$E$53,$B$53,$C$53,$G$53,$H$53,$B$17)</f>
        <v>6.9880085144764644E-3</v>
      </c>
      <c r="Q53" s="114">
        <f>GasModel($I$53,"CO2_Weiss_F",$D$53,$E$53,$B$53,$C$53,$G$53,$H$53,$B$18)</f>
        <v>3.4399698216407674E-4</v>
      </c>
      <c r="R53" s="114">
        <f>GasModel($I$53,"CH4_Wies",$D$53,$E$53,$B$53,$C$53,$G$53,$H$53,$B$19)</f>
        <v>5.2862837646649826E-8</v>
      </c>
      <c r="S53" s="114">
        <f>GasModel($I$53,"H2_Wies",$D$53,$E$53,$B$53,$C$53,$G$53,$H$53,$B$20)</f>
        <v>1.0582266540940911E-8</v>
      </c>
      <c r="T53" s="114">
        <f>GasModel($I$53,"N2O_Weiss_F",$D$53,$E$53,$B$53,$C$53,$G$53,$H$53,$B$21)</f>
        <v>2.331349770204758E-7</v>
      </c>
      <c r="U53" s="114">
        <f>$L$53/$K$53</f>
        <v>1790.8955715609648</v>
      </c>
      <c r="V53" s="114">
        <f>$M$53/$N$53</f>
        <v>7.121413467389889</v>
      </c>
      <c r="W53" s="114">
        <f>$N$53/$K$53</f>
        <v>5.7674917177831651E-2</v>
      </c>
      <c r="X53" s="114">
        <f>$M$53/$L$53</f>
        <v>2.2934164249611302E-4</v>
      </c>
      <c r="Y53" s="114">
        <f>$O$53/$L$53</f>
        <v>37.881516065481648</v>
      </c>
      <c r="Z53" s="114" t="e">
        <f>$I$53/$I$53</f>
        <v>#VALUE!</v>
      </c>
    </row>
    <row r="54" spans="1:26">
      <c r="A54" s="114" t="s">
        <v>820</v>
      </c>
      <c r="B54" s="114">
        <f t="shared" si="0"/>
        <v>0.60581683578000001</v>
      </c>
      <c r="C54" s="114">
        <f t="shared" si="1"/>
        <v>61.585365853658502</v>
      </c>
      <c r="D54" s="114">
        <v>20</v>
      </c>
      <c r="E54" s="114">
        <v>0</v>
      </c>
      <c r="F54" s="114">
        <v>0</v>
      </c>
      <c r="G54" s="114">
        <v>0</v>
      </c>
      <c r="H54" s="114">
        <v>0</v>
      </c>
      <c r="I54" s="114" t="s">
        <v>10</v>
      </c>
      <c r="J54" s="114">
        <f>GasModel($I$54,"He_Weiss",$D$54,$E$54,$B$54,$C$54,$G$54,$H$54,$B$11)</f>
        <v>4.4292053437148877E-8</v>
      </c>
      <c r="K54" s="114">
        <f>GasModel($I$54,"Ne_Weiss",$D$54,$E$54,$B$54,$C$54,$G$54,$H$54,$B$12)</f>
        <v>1.8309612254621693E-7</v>
      </c>
      <c r="L54" s="114">
        <f>GasModel($I$54,"Ar_Weiss",$D$54,$E$54,$B$54,$C$54,$G$54,$H$54,$B$13)</f>
        <v>3.0833573156362909E-4</v>
      </c>
      <c r="M54" s="114">
        <f>GasModel($I$54,"Kr_Weiss",$D$54,$E$54,$B$54,$C$54,$G$54,$H$54,$B$14)</f>
        <v>6.8854747079294591E-8</v>
      </c>
      <c r="N54" s="114">
        <f>GasModel($I$54,"Xe_Clvr",$D$54,$E$54,$B$54,$C$54,$G$54,$H$54,$B$15)</f>
        <v>9.4047894714696452E-9</v>
      </c>
      <c r="O54" s="114">
        <f>GasModel($I$54,"N2_Weiss",$D$54,$E$54,$B$54,$C$54,$G$54,$H$54,$B$16)</f>
        <v>1.1779060344723601E-2</v>
      </c>
      <c r="P54" s="114">
        <f>GasModel($I$54,"O2_B&amp;K",$D$54,$E$54,$B$54,$C$54,$G$54,$H$54,$B$17)</f>
        <v>6.3072413022210389E-3</v>
      </c>
      <c r="Q54" s="114">
        <f>GasModel($I$54,"CO2_Weiss_F",$D$54,$E$54,$B$54,$C$54,$G$54,$H$54,$B$18)</f>
        <v>2.939679409761901E-4</v>
      </c>
      <c r="R54" s="114">
        <f>GasModel($I$54,"CH4_Wies",$D$54,$E$54,$B$54,$C$54,$G$54,$H$54,$B$19)</f>
        <v>4.7311727723084786E-8</v>
      </c>
      <c r="S54" s="114">
        <f>GasModel($I$54,"H2_Wies",$D$54,$E$54,$B$54,$C$54,$G$54,$H$54,$B$20)</f>
        <v>1.0140013793616617E-8</v>
      </c>
      <c r="T54" s="114">
        <f>GasModel($I$54,"N2O_Weiss_F",$D$54,$E$54,$B$54,$C$54,$G$54,$H$54,$B$21)</f>
        <v>1.9754881470156515E-7</v>
      </c>
      <c r="U54" s="114">
        <f>$L$54/$K$54</f>
        <v>1684.0101651295172</v>
      </c>
      <c r="V54" s="114">
        <f>$M$54/$N$54</f>
        <v>7.3212427867920109</v>
      </c>
      <c r="W54" s="114">
        <f>$N$54/$K$54</f>
        <v>5.1365312059493219E-2</v>
      </c>
      <c r="X54" s="114">
        <f>$M$54/$L$54</f>
        <v>2.2331095630765557E-4</v>
      </c>
      <c r="Y54" s="114">
        <f>$O$54/$L$54</f>
        <v>38.202060737462205</v>
      </c>
      <c r="Z54" s="114" t="e">
        <f>$I$54/$I$54</f>
        <v>#VALUE!</v>
      </c>
    </row>
    <row r="55" spans="1:26">
      <c r="A55" s="114" t="s">
        <v>820</v>
      </c>
      <c r="B55" s="114">
        <f t="shared" si="0"/>
        <v>0.60581683578000001</v>
      </c>
      <c r="C55" s="114">
        <f t="shared" si="1"/>
        <v>61.585365853658502</v>
      </c>
      <c r="D55" s="114">
        <v>25</v>
      </c>
      <c r="E55" s="114">
        <v>0</v>
      </c>
      <c r="F55" s="114">
        <v>0</v>
      </c>
      <c r="G55" s="114">
        <v>0</v>
      </c>
      <c r="H55" s="114">
        <v>0</v>
      </c>
      <c r="I55" s="114" t="s">
        <v>10</v>
      </c>
      <c r="J55" s="114">
        <f>GasModel($I$55,"He_Weiss",$D$55,$E$55,$B$55,$C$55,$G$55,$H$55,$B$11)</f>
        <v>4.3660646695384386E-8</v>
      </c>
      <c r="K55" s="114">
        <f>GasModel($I$55,"Ne_Weiss",$D$55,$E$55,$B$55,$C$55,$G$55,$H$55,$B$12)</f>
        <v>1.7645008224176245E-7</v>
      </c>
      <c r="L55" s="114">
        <f>GasModel($I$55,"Ar_Weiss",$D$55,$E$55,$B$55,$C$55,$G$55,$H$55,$B$13)</f>
        <v>2.8054400956267051E-4</v>
      </c>
      <c r="M55" s="114">
        <f>GasModel($I$55,"Kr_Weiss",$D$55,$E$55,$B$55,$C$55,$G$55,$H$55,$B$14)</f>
        <v>6.1068122347431548E-8</v>
      </c>
      <c r="N55" s="114">
        <f>GasModel($I$55,"Xe_Clvr",$D$55,$E$55,$B$55,$C$55,$G$55,$H$55,$B$15)</f>
        <v>8.1298195409088403E-9</v>
      </c>
      <c r="O55" s="114">
        <f>GasModel($I$55,"N2_Weiss",$D$55,$E$55,$B$55,$C$55,$G$55,$H$55,$B$16)</f>
        <v>1.0810440917076718E-2</v>
      </c>
      <c r="P55" s="114">
        <f>GasModel($I$55,"O2_B&amp;K",$D$55,$E$55,$B$55,$C$55,$G$55,$H$55,$B$17)</f>
        <v>5.7393041367243876E-3</v>
      </c>
      <c r="Q55" s="114">
        <f>GasModel($I$55,"CO2_Weiss_F",$D$55,$E$55,$B$55,$C$55,$G$55,$H$55,$B$18)</f>
        <v>2.5361238842429708E-4</v>
      </c>
      <c r="R55" s="114">
        <f>GasModel($I$55,"CH4_Wies",$D$55,$E$55,$B$55,$C$55,$G$55,$H$55,$B$19)</f>
        <v>4.2700340001372512E-8</v>
      </c>
      <c r="S55" s="114">
        <f>GasModel($I$55,"H2_Wies",$D$55,$E$55,$B$55,$C$55,$G$55,$H$55,$B$20)</f>
        <v>9.7567996747076458E-9</v>
      </c>
      <c r="T55" s="114">
        <f>GasModel($I$55,"N2O_Weiss_F",$D$55,$E$55,$B$55,$C$55,$G$55,$H$55,$B$21)</f>
        <v>1.6912410971283209E-7</v>
      </c>
      <c r="U55" s="114">
        <f>$L$55/$K$55</f>
        <v>1589.9341388704152</v>
      </c>
      <c r="V55" s="114">
        <f>$M$55/$N$55</f>
        <v>7.5116208963974964</v>
      </c>
      <c r="W55" s="114">
        <f>$N$55/$K$55</f>
        <v>4.6074331264803814E-2</v>
      </c>
      <c r="X55" s="114">
        <f>$M$55/$L$55</f>
        <v>2.1767751320952582E-4</v>
      </c>
      <c r="Y55" s="114">
        <f>$O$55/$L$55</f>
        <v>38.533850478321412</v>
      </c>
      <c r="Z55" s="114" t="e">
        <f>$I$55/$I$55</f>
        <v>#VALUE!</v>
      </c>
    </row>
    <row r="56" spans="1:26">
      <c r="A56" s="114" t="s">
        <v>820</v>
      </c>
      <c r="B56" s="114">
        <f t="shared" si="0"/>
        <v>0.60581683578000001</v>
      </c>
      <c r="C56" s="114">
        <f t="shared" si="1"/>
        <v>61.585365853658502</v>
      </c>
      <c r="D56" s="114">
        <v>30</v>
      </c>
      <c r="E56" s="114">
        <v>0</v>
      </c>
      <c r="F56" s="114">
        <v>0</v>
      </c>
      <c r="G56" s="114">
        <v>0</v>
      </c>
      <c r="H56" s="114">
        <v>0</v>
      </c>
      <c r="I56" s="114" t="s">
        <v>10</v>
      </c>
      <c r="J56" s="114">
        <f>GasModel($I$56,"He_Weiss",$D$56,$E$56,$B$56,$C$56,$G$56,$H$56,$B$11)</f>
        <v>4.3108899298045513E-8</v>
      </c>
      <c r="K56" s="114">
        <f>GasModel($I$56,"Ne_Weiss",$D$56,$E$56,$B$56,$C$56,$G$56,$H$56,$B$12)</f>
        <v>1.7052350736504434E-7</v>
      </c>
      <c r="L56" s="114">
        <f>GasModel($I$56,"Ar_Weiss",$D$56,$E$56,$B$56,$C$56,$G$56,$H$56,$B$13)</f>
        <v>2.5695821434708902E-4</v>
      </c>
      <c r="M56" s="114">
        <f>GasModel($I$56,"Kr_Weiss",$D$56,$E$56,$B$56,$C$56,$G$56,$H$56,$B$14)</f>
        <v>5.4598118575171425E-8</v>
      </c>
      <c r="N56" s="114">
        <f>GasModel($I$56,"Xe_Clvr",$D$56,$E$56,$B$56,$C$56,$G$56,$H$56,$B$15)</f>
        <v>7.0946591520773952E-9</v>
      </c>
      <c r="O56" s="114">
        <f>GasModel($I$56,"N2_Weiss",$D$56,$E$56,$B$56,$C$56,$G$56,$H$56,$B$16)</f>
        <v>9.9896328748572474E-3</v>
      </c>
      <c r="P56" s="114">
        <f>GasModel($I$56,"O2_B&amp;K",$D$56,$E$56,$B$56,$C$56,$G$56,$H$56,$B$17)</f>
        <v>5.2574970719148932E-3</v>
      </c>
      <c r="Q56" s="114">
        <f>GasModel($I$56,"CO2_Weiss_F",$D$56,$E$56,$B$56,$C$56,$G$56,$H$56,$B$18)</f>
        <v>2.2060479370003162E-4</v>
      </c>
      <c r="R56" s="114">
        <f>GasModel($I$56,"CH4_Wies",$D$56,$E$56,$B$56,$C$56,$G$56,$H$56,$B$19)</f>
        <v>3.8777124190100131E-8</v>
      </c>
      <c r="S56" s="114">
        <f>GasModel($I$56,"H2_Wies",$D$56,$E$56,$B$56,$C$56,$G$56,$H$56,$B$20)</f>
        <v>9.4119514321571025E-9</v>
      </c>
      <c r="T56" s="114">
        <f>GasModel($I$56,"N2O_Weiss_F",$D$56,$E$56,$B$56,$C$56,$G$56,$H$56,$B$21)</f>
        <v>1.4609192681097267E-7</v>
      </c>
      <c r="U56" s="114">
        <f>$L$56/$K$56</f>
        <v>1506.878543126676</v>
      </c>
      <c r="V56" s="114">
        <f>$M$56/$N$56</f>
        <v>7.6956647817512822</v>
      </c>
      <c r="W56" s="114">
        <f>$N$56/$K$56</f>
        <v>4.1605167883919159E-2</v>
      </c>
      <c r="X56" s="114">
        <f>$M$56/$L$56</f>
        <v>2.1247858806110179E-4</v>
      </c>
      <c r="Y56" s="114">
        <f>$O$56/$L$56</f>
        <v>38.876487759848942</v>
      </c>
      <c r="Z56" s="114" t="e">
        <f>$I$56/$I$56</f>
        <v>#VALUE!</v>
      </c>
    </row>
    <row r="57" spans="1:26">
      <c r="A57" s="114" t="s">
        <v>820</v>
      </c>
      <c r="B57" s="114">
        <f t="shared" si="0"/>
        <v>0.60581683578000001</v>
      </c>
      <c r="C57" s="114">
        <f t="shared" si="1"/>
        <v>61.585365853658502</v>
      </c>
      <c r="D57" s="114">
        <v>35</v>
      </c>
      <c r="E57" s="114">
        <v>0</v>
      </c>
      <c r="F57" s="114">
        <v>0</v>
      </c>
      <c r="G57" s="114">
        <v>0</v>
      </c>
      <c r="H57" s="114">
        <v>0</v>
      </c>
      <c r="I57" s="114" t="s">
        <v>10</v>
      </c>
      <c r="J57" s="114">
        <f>GasModel($I$57,"He_Weiss",$D$57,$E$57,$B$57,$C$57,$G$57,$H$57,$B$11)</f>
        <v>4.2603648601269014E-8</v>
      </c>
      <c r="K57" s="114">
        <f>GasModel($I$57,"Ne_Weiss",$D$57,$E$57,$B$57,$C$57,$G$57,$H$57,$B$12)</f>
        <v>1.6513092388666682E-7</v>
      </c>
      <c r="L57" s="114">
        <f>GasModel($I$57,"Ar_Weiss",$D$57,$E$57,$B$57,$C$57,$G$57,$H$57,$B$13)</f>
        <v>2.3669094573515885E-4</v>
      </c>
      <c r="M57" s="114">
        <f>GasModel($I$57,"Kr_Weiss",$D$57,$E$57,$B$57,$C$57,$G$57,$H$57,$B$14)</f>
        <v>4.9170602910257614E-8</v>
      </c>
      <c r="N57" s="114">
        <f>GasModel($I$57,"Xe_Clvr",$D$57,$E$57,$B$57,$C$57,$G$57,$H$57,$B$15)</f>
        <v>6.2414651283666177E-9</v>
      </c>
      <c r="O57" s="114">
        <f>GasModel($I$57,"N2_Weiss",$D$57,$E$57,$B$57,$C$57,$G$57,$H$57,$B$16)</f>
        <v>9.2852935711921943E-3</v>
      </c>
      <c r="P57" s="114">
        <f>GasModel($I$57,"O2_B&amp;K",$D$57,$E$57,$B$57,$C$57,$G$57,$H$57,$B$17)</f>
        <v>4.8414501050258723E-3</v>
      </c>
      <c r="Q57" s="114">
        <f>GasModel($I$57,"CO2_Weiss_F",$D$57,$E$57,$B$57,$C$57,$G$57,$H$57,$B$18)</f>
        <v>1.9325170083840177E-4</v>
      </c>
      <c r="R57" s="114">
        <f>GasModel($I$57,"CH4_Wies",$D$57,$E$57,$B$57,$C$57,$G$57,$H$57,$B$19)</f>
        <v>3.5361133114564529E-8</v>
      </c>
      <c r="S57" s="114">
        <f>GasModel($I$57,"H2_Wies",$D$57,$E$57,$B$57,$C$57,$G$57,$H$57,$B$20)</f>
        <v>9.0889731781809748E-9</v>
      </c>
      <c r="T57" s="114">
        <f>GasModel($I$57,"N2O_Weiss_F",$D$57,$E$57,$B$57,$C$57,$G$57,$H$57,$B$21)</f>
        <v>1.2717588114413737E-7</v>
      </c>
      <c r="U57" s="114">
        <f>$L$57/$K$57</f>
        <v>1433.3532458015272</v>
      </c>
      <c r="V57" s="114">
        <f>$M$57/$N$57</f>
        <v>7.8780545751643878</v>
      </c>
      <c r="W57" s="114">
        <f>$N$57/$K$57</f>
        <v>3.7797070236525052E-2</v>
      </c>
      <c r="X57" s="114">
        <f>$M$57/$L$57</f>
        <v>2.0774179915304488E-4</v>
      </c>
      <c r="Y57" s="114">
        <f>$O$57/$L$57</f>
        <v>39.229610335757457</v>
      </c>
      <c r="Z57" s="114" t="e">
        <f>$I$57/$I$57</f>
        <v>#VALUE!</v>
      </c>
    </row>
    <row r="58" spans="1:26">
      <c r="A58" s="114" t="s">
        <v>820</v>
      </c>
      <c r="B58" s="114">
        <f t="shared" si="0"/>
        <v>0.60581683578000001</v>
      </c>
      <c r="C58" s="114">
        <f t="shared" si="1"/>
        <v>61.585365853658502</v>
      </c>
      <c r="D58" s="114">
        <v>40</v>
      </c>
      <c r="E58" s="114">
        <v>0</v>
      </c>
      <c r="F58" s="114">
        <v>0</v>
      </c>
      <c r="G58" s="114">
        <v>0</v>
      </c>
      <c r="H58" s="114">
        <v>0</v>
      </c>
      <c r="I58" s="114" t="s">
        <v>10</v>
      </c>
      <c r="J58" s="114">
        <f>GasModel($I$58,"He_Weiss",$D$58,$E$58,$B$58,$C$58,$G$58,$H$58,$B$11)</f>
        <v>4.2116068369396931E-8</v>
      </c>
      <c r="K58" s="114">
        <f>GasModel($I$58,"Ne_Weiss",$D$58,$E$58,$B$58,$C$58,$G$58,$H$58,$B$12)</f>
        <v>1.6012006422190466E-7</v>
      </c>
      <c r="L58" s="114">
        <f>GasModel($I$58,"Ar_Weiss",$D$58,$E$58,$B$58,$C$58,$G$58,$H$58,$B$13)</f>
        <v>2.1906196144748735E-4</v>
      </c>
      <c r="M58" s="114">
        <f>GasModel($I$58,"Kr_Weiss",$D$58,$E$58,$B$58,$C$58,$G$58,$H$58,$B$14)</f>
        <v>4.45763354816901E-8</v>
      </c>
      <c r="N58" s="114">
        <f>GasModel($I$58,"Xe_Clvr",$D$58,$E$58,$B$58,$C$58,$G$58,$H$58,$B$15)</f>
        <v>5.5268281086807843E-9</v>
      </c>
      <c r="O58" s="114">
        <f>GasModel($I$58,"N2_Weiss",$D$58,$E$58,$B$58,$C$58,$G$58,$H$58,$B$16)</f>
        <v>8.6732956461058556E-3</v>
      </c>
      <c r="P58" s="114">
        <f>GasModel($I$58,"O2_B&amp;K",$D$58,$E$58,$B$58,$C$58,$G$58,$H$58,$B$17)</f>
        <v>4.4755614044207585E-3</v>
      </c>
      <c r="Q58" s="114">
        <f>GasModel($I$58,"CO2_Weiss_F",$D$58,$E$58,$B$58,$C$58,$G$58,$H$58,$B$18)</f>
        <v>1.7030317285018413E-4</v>
      </c>
      <c r="R58" s="114">
        <f>GasModel($I$58,"CH4_Wies",$D$58,$E$58,$B$58,$C$58,$G$58,$H$58,$B$19)</f>
        <v>3.2321105815531143E-8</v>
      </c>
      <c r="S58" s="114">
        <f>GasModel($I$58,"H2_Wies",$D$58,$E$58,$B$58,$C$58,$G$58,$H$58,$B$20)</f>
        <v>8.7746693676279108E-9</v>
      </c>
      <c r="T58" s="114">
        <f>GasModel($I$58,"N2O_Weiss_F",$D$58,$E$58,$B$58,$C$58,$G$58,$H$58,$B$21)</f>
        <v>1.114418058255042E-7</v>
      </c>
      <c r="U58" s="114">
        <f>$L$58/$K$58</f>
        <v>1368.1106269349057</v>
      </c>
      <c r="V58" s="114">
        <f>$M$58/$N$58</f>
        <v>8.0654463292744172</v>
      </c>
      <c r="W58" s="114">
        <f>$N$58/$K$58</f>
        <v>3.4516774243990758E-2</v>
      </c>
      <c r="X58" s="114">
        <f>$M$58/$L$58</f>
        <v>2.0348733840939228E-4</v>
      </c>
      <c r="Y58" s="114">
        <f>$O$58/$L$58</f>
        <v>39.592887732747627</v>
      </c>
      <c r="Z58" s="114" t="e">
        <f>$I$58/$I$58</f>
        <v>#VALUE!</v>
      </c>
    </row>
    <row r="59" spans="1:26">
      <c r="A59" s="114" t="s">
        <v>821</v>
      </c>
      <c r="B59" s="114">
        <f t="shared" si="0"/>
        <v>0.60581683578000001</v>
      </c>
      <c r="C59" s="114">
        <f t="shared" si="1"/>
        <v>61.585365853658502</v>
      </c>
      <c r="D59" s="114">
        <v>0</v>
      </c>
      <c r="E59" s="114">
        <v>10</v>
      </c>
      <c r="F59" s="114">
        <v>0</v>
      </c>
      <c r="G59" s="114">
        <v>0</v>
      </c>
      <c r="H59" s="114">
        <v>0</v>
      </c>
      <c r="I59" s="114" t="s">
        <v>10</v>
      </c>
      <c r="J59" s="114">
        <f>GasModel($I$59,"He_Weiss",$D$59,$E$59,$B$59,$C$59,$G$59,$H$59,$B$11)</f>
        <v>1.0089803026830278E-7</v>
      </c>
      <c r="K59" s="114">
        <f>GasModel($I$59,"Ne_Weiss",$D$59,$E$59,$B$59,$C$59,$G$59,$H$59,$B$12)</f>
        <v>4.0417496323577475E-7</v>
      </c>
      <c r="L59" s="114">
        <f>GasModel($I$59,"Ar_Weiss",$D$59,$E$59,$B$59,$C$59,$G$59,$H$59,$B$13)</f>
        <v>5.8538914519646885E-4</v>
      </c>
      <c r="M59" s="114">
        <f>GasModel($I$59,"Kr_Weiss",$D$59,$E$59,$B$59,$C$59,$G$59,$H$59,$B$14)</f>
        <v>1.3402527561780185E-7</v>
      </c>
      <c r="N59" s="114">
        <f>GasModel($I$59,"Xe_Clvr",$D$59,$E$59,$B$59,$C$59,$G$59,$H$59,$B$15)</f>
        <v>1.9876201657263663E-8</v>
      </c>
      <c r="O59" s="114">
        <f>GasModel($I$59,"N2_Weiss",$D$59,$E$59,$B$59,$C$59,$G$59,$H$59,$B$16)</f>
        <v>2.6008035160810284E-2</v>
      </c>
      <c r="P59" s="114">
        <f>GasModel($I$59,"O2_B&amp;K",$D$59,$E$59,$B$59,$C$59,$G$59,$H$59,$B$17)</f>
        <v>1.2214999280037794E-2</v>
      </c>
      <c r="Q59" s="114">
        <f>GasModel($I$59,"CO2_Weiss_F",$D$59,$E$59,$B$59,$C$59,$G$59,$H$59,$B$18)</f>
        <v>5.9545425675261519E-4</v>
      </c>
      <c r="R59" s="114">
        <f>GasModel($I$59,"CH4_Wies",$D$59,$E$59,$B$59,$C$59,$G$59,$H$59,$B$19)</f>
        <v>9.3659819619814769E-8</v>
      </c>
      <c r="S59" s="114">
        <f>GasModel($I$59,"H2_Wies",$D$59,$E$59,$B$59,$C$59,$G$59,$H$59,$B$20)</f>
        <v>1.8367155845475864E-8</v>
      </c>
      <c r="T59" s="114">
        <f>GasModel($I$59,"N2O_Weiss_F",$D$59,$E$59,$B$59,$C$59,$G$59,$H$59,$B$21)</f>
        <v>4.1688664606246808E-7</v>
      </c>
      <c r="U59" s="114">
        <f>$L$59/$K$59</f>
        <v>1448.3557826291758</v>
      </c>
      <c r="V59" s="114">
        <f>$M$59/$N$59</f>
        <v>6.7430024070430461</v>
      </c>
      <c r="W59" s="114">
        <f>$N$59/$K$59</f>
        <v>4.9177221414550894E-2</v>
      </c>
      <c r="X59" s="114">
        <f>$M$59/$L$59</f>
        <v>2.2895073596354467E-4</v>
      </c>
      <c r="Y59" s="114">
        <f>$O$59/$L$59</f>
        <v>44.428625597561165</v>
      </c>
      <c r="Z59" s="114" t="e">
        <f>$I$59/$I$59</f>
        <v>#VALUE!</v>
      </c>
    </row>
    <row r="60" spans="1:26">
      <c r="A60" s="114" t="s">
        <v>821</v>
      </c>
      <c r="B60" s="114">
        <f t="shared" si="0"/>
        <v>0.60581683578000001</v>
      </c>
      <c r="C60" s="114">
        <f t="shared" si="1"/>
        <v>61.585365853658502</v>
      </c>
      <c r="D60" s="114">
        <v>5</v>
      </c>
      <c r="E60" s="114">
        <v>10</v>
      </c>
      <c r="F60" s="114">
        <v>0</v>
      </c>
      <c r="G60" s="114">
        <v>0</v>
      </c>
      <c r="H60" s="114">
        <v>0</v>
      </c>
      <c r="I60" s="114" t="s">
        <v>10</v>
      </c>
      <c r="J60" s="114">
        <f>GasModel($I$60,"He_Weiss",$D$60,$E$60,$B$60,$C$60,$G$60,$H$60,$B$11)</f>
        <v>9.9484746230146024E-8</v>
      </c>
      <c r="K60" s="114">
        <f>GasModel($I$60,"Ne_Weiss",$D$60,$E$60,$B$60,$C$60,$G$60,$H$60,$B$12)</f>
        <v>3.9172323062492014E-7</v>
      </c>
      <c r="L60" s="114">
        <f>GasModel($I$60,"Ar_Weiss",$D$60,$E$60,$B$60,$C$60,$G$60,$H$60,$B$13)</f>
        <v>5.2420321714980193E-4</v>
      </c>
      <c r="M60" s="114">
        <f>GasModel($I$60,"Kr_Weiss",$D$60,$E$60,$B$60,$C$60,$G$60,$H$60,$B$14)</f>
        <v>1.1581884047947277E-7</v>
      </c>
      <c r="N60" s="114">
        <f>GasModel($I$60,"Xe_Clvr",$D$60,$E$60,$B$60,$C$60,$G$60,$H$60,$B$15)</f>
        <v>1.6485020384555309E-8</v>
      </c>
      <c r="O60" s="114">
        <f>GasModel($I$60,"N2_Weiss",$D$60,$E$60,$B$60,$C$60,$G$60,$H$60,$B$16)</f>
        <v>2.3867000426786095E-2</v>
      </c>
      <c r="P60" s="114">
        <f>GasModel($I$60,"O2_B&amp;K",$D$60,$E$60,$B$60,$C$60,$G$60,$H$60,$B$17)</f>
        <v>1.093514844894729E-2</v>
      </c>
      <c r="Q60" s="114">
        <f>GasModel($I$60,"CO2_Weiss_F",$D$60,$E$60,$B$60,$C$60,$G$60,$H$60,$B$18)</f>
        <v>4.9088816709276701E-4</v>
      </c>
      <c r="R60" s="114">
        <f>GasModel($I$60,"CH4_Wies",$D$60,$E$60,$B$60,$C$60,$G$60,$H$60,$B$19)</f>
        <v>8.2457833626233215E-8</v>
      </c>
      <c r="S60" s="114">
        <f>GasModel($I$60,"H2_Wies",$D$60,$E$60,$B$60,$C$60,$G$60,$H$60,$B$20)</f>
        <v>1.7556448609056184E-8</v>
      </c>
      <c r="T60" s="114">
        <f>GasModel($I$60,"N2O_Weiss_F",$D$60,$E$60,$B$60,$C$60,$G$60,$H$60,$B$21)</f>
        <v>3.4002472876716118E-7</v>
      </c>
      <c r="U60" s="114">
        <f>$L$60/$K$60</f>
        <v>1338.197932028527</v>
      </c>
      <c r="V60" s="114">
        <f>$M$60/$N$60</f>
        <v>7.0257019874832896</v>
      </c>
      <c r="W60" s="114">
        <f>$N$60/$K$60</f>
        <v>4.2083336130605747E-2</v>
      </c>
      <c r="X60" s="114">
        <f>$M$60/$L$60</f>
        <v>2.2094263577626067E-4</v>
      </c>
      <c r="Y60" s="114">
        <f>$O$60/$L$60</f>
        <v>45.530053318931856</v>
      </c>
      <c r="Z60" s="114" t="e">
        <f>$I$60/$I$60</f>
        <v>#VALUE!</v>
      </c>
    </row>
    <row r="61" spans="1:26">
      <c r="A61" s="114" t="s">
        <v>821</v>
      </c>
      <c r="B61" s="114">
        <f t="shared" si="0"/>
        <v>0.60581683578000001</v>
      </c>
      <c r="C61" s="114">
        <f t="shared" si="1"/>
        <v>61.585365853658502</v>
      </c>
      <c r="D61" s="114">
        <v>10</v>
      </c>
      <c r="E61" s="114">
        <v>10</v>
      </c>
      <c r="F61" s="114">
        <v>0</v>
      </c>
      <c r="G61" s="114">
        <v>0</v>
      </c>
      <c r="H61" s="114">
        <v>0</v>
      </c>
      <c r="I61" s="114" t="s">
        <v>10</v>
      </c>
      <c r="J61" s="114">
        <f>GasModel($I$61,"He_Weiss",$D$61,$E$61,$B$61,$C$61,$G$61,$H$61,$B$11)</f>
        <v>9.8354498583639226E-8</v>
      </c>
      <c r="K61" s="114">
        <f>GasModel($I$61,"Ne_Weiss",$D$61,$E$61,$B$61,$C$61,$G$61,$H$61,$B$12)</f>
        <v>3.8131309863648521E-7</v>
      </c>
      <c r="L61" s="114">
        <f>GasModel($I$61,"Ar_Weiss",$D$61,$E$61,$B$61,$C$61,$G$61,$H$61,$B$13)</f>
        <v>4.7501862553016056E-4</v>
      </c>
      <c r="M61" s="114">
        <f>GasModel($I$61,"Kr_Weiss",$D$61,$E$61,$B$61,$C$61,$G$61,$H$61,$B$14)</f>
        <v>1.0135517760726014E-7</v>
      </c>
      <c r="N61" s="114">
        <f>GasModel($I$61,"Xe_Clvr",$D$61,$E$61,$B$61,$C$61,$G$61,$H$61,$B$15)</f>
        <v>1.3887571341328826E-8</v>
      </c>
      <c r="O61" s="114">
        <f>GasModel($I$61,"N2_Weiss",$D$61,$E$61,$B$61,$C$61,$G$61,$H$61,$B$16)</f>
        <v>2.2146824292386444E-2</v>
      </c>
      <c r="P61" s="114">
        <f>GasModel($I$61,"O2_B&amp;K",$D$61,$E$61,$B$61,$C$61,$G$61,$H$61,$B$17)</f>
        <v>9.91178364402363E-3</v>
      </c>
      <c r="Q61" s="114">
        <f>GasModel($I$61,"CO2_Weiss_F",$D$61,$E$61,$B$61,$C$61,$G$61,$H$61,$B$18)</f>
        <v>4.1044046534515632E-4</v>
      </c>
      <c r="R61" s="114">
        <f>GasModel($I$61,"CH4_Wies",$D$61,$E$61,$B$61,$C$61,$G$61,$H$61,$B$19)</f>
        <v>7.380835771661177E-8</v>
      </c>
      <c r="S61" s="114">
        <f>GasModel($I$61,"H2_Wies",$D$61,$E$61,$B$61,$C$61,$G$61,$H$61,$B$20)</f>
        <v>1.6909778824097643E-8</v>
      </c>
      <c r="T61" s="114">
        <f>GasModel($I$61,"N2O_Weiss_F",$D$61,$E$61,$B$61,$C$61,$G$61,$H$61,$B$21)</f>
        <v>2.8157237506410587E-7</v>
      </c>
      <c r="U61" s="114">
        <f>$L$61/$K$61</f>
        <v>1245.7443167537422</v>
      </c>
      <c r="V61" s="114">
        <f>$M$61/$N$61</f>
        <v>7.2982651261442246</v>
      </c>
      <c r="W61" s="114">
        <f>$N$61/$K$61</f>
        <v>3.6420388890359562E-2</v>
      </c>
      <c r="X61" s="114">
        <f>$M$61/$L$61</f>
        <v>2.1337095465286078E-4</v>
      </c>
      <c r="Y61" s="114">
        <f>$O$61/$L$61</f>
        <v>46.62306508017182</v>
      </c>
      <c r="Z61" s="114" t="e">
        <f>$I$61/$I$61</f>
        <v>#VALUE!</v>
      </c>
    </row>
    <row r="62" spans="1:26">
      <c r="A62" s="114" t="s">
        <v>821</v>
      </c>
      <c r="B62" s="114">
        <f t="shared" si="0"/>
        <v>0.60581683578000001</v>
      </c>
      <c r="C62" s="114">
        <f t="shared" si="1"/>
        <v>61.585365853658502</v>
      </c>
      <c r="D62" s="114">
        <v>15</v>
      </c>
      <c r="E62" s="114">
        <v>10</v>
      </c>
      <c r="F62" s="114">
        <v>0</v>
      </c>
      <c r="G62" s="114">
        <v>0</v>
      </c>
      <c r="H62" s="114">
        <v>0</v>
      </c>
      <c r="I62" s="114" t="s">
        <v>10</v>
      </c>
      <c r="J62" s="114">
        <f>GasModel($I$62,"He_Weiss",$D$62,$E$62,$B$62,$C$62,$G$62,$H$62,$B$11)</f>
        <v>9.7441598692901463E-8</v>
      </c>
      <c r="K62" s="114">
        <f>GasModel($I$62,"Ne_Weiss",$D$62,$E$62,$B$62,$C$62,$G$62,$H$62,$B$12)</f>
        <v>3.7248946320982894E-7</v>
      </c>
      <c r="L62" s="114">
        <f>GasModel($I$62,"Ar_Weiss",$D$62,$E$62,$B$62,$C$62,$G$62,$H$62,$B$13)</f>
        <v>4.3490491520582015E-4</v>
      </c>
      <c r="M62" s="114">
        <f>GasModel($I$62,"Kr_Weiss",$D$62,$E$62,$B$62,$C$62,$G$62,$H$62,$B$14)</f>
        <v>8.9721298173798596E-8</v>
      </c>
      <c r="N62" s="114">
        <f>GasModel($I$62,"Xe_Clvr",$D$62,$E$62,$B$62,$C$62,$G$62,$H$62,$B$15)</f>
        <v>1.1867998997312061E-8</v>
      </c>
      <c r="O62" s="114">
        <f>GasModel($I$62,"N2_Weiss",$D$62,$E$62,$B$62,$C$62,$G$62,$H$62,$B$16)</f>
        <v>2.0745123931810223E-2</v>
      </c>
      <c r="P62" s="114">
        <f>GasModel($I$62,"O2_B&amp;K",$D$62,$E$62,$B$62,$C$62,$G$62,$H$62,$B$17)</f>
        <v>9.083008514476465E-3</v>
      </c>
      <c r="Q62" s="114">
        <f>GasModel($I$62,"CO2_Weiss_F",$D$62,$E$62,$B$62,$C$62,$G$62,$H$62,$B$18)</f>
        <v>3.4749698216407672E-4</v>
      </c>
      <c r="R62" s="114">
        <f>GasModel($I$62,"CH4_Wies",$D$62,$E$62,$B$62,$C$62,$G$62,$H$62,$B$19)</f>
        <v>6.6962837646649827E-8</v>
      </c>
      <c r="S62" s="114">
        <f>GasModel($I$62,"H2_Wies",$D$62,$E$62,$B$62,$C$62,$G$62,$H$62,$B$20)</f>
        <v>1.6382266540940912E-8</v>
      </c>
      <c r="T62" s="114">
        <f>GasModel($I$62,"N2O_Weiss_F",$D$62,$E$62,$B$62,$C$62,$G$62,$H$62,$B$21)</f>
        <v>2.363349770204758E-7</v>
      </c>
      <c r="U62" s="114">
        <f>$L$62/$K$62</f>
        <v>1167.5630001937307</v>
      </c>
      <c r="V62" s="114">
        <f>$M$62/$N$62</f>
        <v>7.5599347618852377</v>
      </c>
      <c r="W62" s="114">
        <f>$N$62/$K$62</f>
        <v>3.1861301243376751E-2</v>
      </c>
      <c r="X62" s="114">
        <f>$M$62/$L$62</f>
        <v>2.06300952315836E-4</v>
      </c>
      <c r="Y62" s="114">
        <f>$O$62/$L$62</f>
        <v>47.700366692780484</v>
      </c>
      <c r="Z62" s="114" t="e">
        <f>$I$62/$I$62</f>
        <v>#VALUE!</v>
      </c>
    </row>
    <row r="63" spans="1:26">
      <c r="A63" s="114" t="s">
        <v>821</v>
      </c>
      <c r="B63" s="114">
        <f t="shared" si="0"/>
        <v>0.60581683578000001</v>
      </c>
      <c r="C63" s="114">
        <f t="shared" si="1"/>
        <v>61.585365853658502</v>
      </c>
      <c r="D63" s="114">
        <v>20</v>
      </c>
      <c r="E63" s="114">
        <v>10</v>
      </c>
      <c r="F63" s="114">
        <v>0</v>
      </c>
      <c r="G63" s="114">
        <v>0</v>
      </c>
      <c r="H63" s="114">
        <v>0</v>
      </c>
      <c r="I63" s="114" t="s">
        <v>10</v>
      </c>
      <c r="J63" s="114">
        <f>GasModel($I$63,"He_Weiss",$D$63,$E$63,$B$63,$C$63,$G$63,$H$63,$B$11)</f>
        <v>9.669205343714887E-8</v>
      </c>
      <c r="K63" s="114">
        <f>GasModel($I$63,"Ne_Weiss",$D$63,$E$63,$B$63,$C$63,$G$63,$H$63,$B$12)</f>
        <v>3.6489612254621693E-7</v>
      </c>
      <c r="L63" s="114">
        <f>GasModel($I$63,"Ar_Weiss",$D$63,$E$63,$B$63,$C$63,$G$63,$H$63,$B$13)</f>
        <v>4.0173573156362908E-4</v>
      </c>
      <c r="M63" s="114">
        <f>GasModel($I$63,"Kr_Weiss",$D$63,$E$63,$B$63,$C$63,$G$63,$H$63,$B$14)</f>
        <v>8.0254747079294587E-8</v>
      </c>
      <c r="N63" s="114">
        <f>GasModel($I$63,"Xe_Clvr",$D$63,$E$63,$B$63,$C$63,$G$63,$H$63,$B$15)</f>
        <v>1.0274789471469646E-8</v>
      </c>
      <c r="O63" s="114">
        <f>GasModel($I$63,"N2_Weiss",$D$63,$E$63,$B$63,$C$63,$G$63,$H$63,$B$16)</f>
        <v>1.9587460344723601E-2</v>
      </c>
      <c r="P63" s="114">
        <f>GasModel($I$63,"O2_B&amp;K",$D$63,$E$63,$B$63,$C$63,$G$63,$H$63,$B$17)</f>
        <v>8.4022413022210394E-3</v>
      </c>
      <c r="Q63" s="114">
        <f>GasModel($I$63,"CO2_Weiss_F",$D$63,$E$63,$B$63,$C$63,$G$63,$H$63,$B$18)</f>
        <v>2.9746794097619008E-4</v>
      </c>
      <c r="R63" s="114">
        <f>GasModel($I$63,"CH4_Wies",$D$63,$E$63,$B$63,$C$63,$G$63,$H$63,$B$19)</f>
        <v>6.1411727723084786E-8</v>
      </c>
      <c r="S63" s="114">
        <f>GasModel($I$63,"H2_Wies",$D$63,$E$63,$B$63,$C$63,$G$63,$H$63,$B$20)</f>
        <v>1.5940013793616618E-8</v>
      </c>
      <c r="T63" s="114">
        <f>GasModel($I$63,"N2O_Weiss_F",$D$63,$E$63,$B$63,$C$63,$G$63,$H$63,$B$21)</f>
        <v>2.0074881470156516E-7</v>
      </c>
      <c r="U63" s="114">
        <f>$L$63/$K$63</f>
        <v>1100.9591682157327</v>
      </c>
      <c r="V63" s="114">
        <f>$M$63/$N$63</f>
        <v>7.8108410203577066</v>
      </c>
      <c r="W63" s="114">
        <f>$N$63/$K$63</f>
        <v>2.8158121823199871E-2</v>
      </c>
      <c r="X63" s="114">
        <f>$M$63/$L$63</f>
        <v>1.997699999622349E-4</v>
      </c>
      <c r="Y63" s="114">
        <f>$O$63/$L$63</f>
        <v>48.757077864310489</v>
      </c>
      <c r="Z63" s="114" t="e">
        <f>$I$63/$I$63</f>
        <v>#VALUE!</v>
      </c>
    </row>
    <row r="64" spans="1:26">
      <c r="A64" s="114" t="s">
        <v>821</v>
      </c>
      <c r="B64" s="114">
        <f t="shared" si="0"/>
        <v>0.60581683578000001</v>
      </c>
      <c r="C64" s="114">
        <f t="shared" si="1"/>
        <v>61.585365853658502</v>
      </c>
      <c r="D64" s="114">
        <v>25</v>
      </c>
      <c r="E64" s="114">
        <v>10</v>
      </c>
      <c r="F64" s="114">
        <v>0</v>
      </c>
      <c r="G64" s="114">
        <v>0</v>
      </c>
      <c r="H64" s="114">
        <v>0</v>
      </c>
      <c r="I64" s="114" t="s">
        <v>10</v>
      </c>
      <c r="J64" s="114">
        <f>GasModel($I$64,"He_Weiss",$D$64,$E$64,$B$64,$C$64,$G$64,$H$64,$B$11)</f>
        <v>9.6060646695384392E-8</v>
      </c>
      <c r="K64" s="114">
        <f>GasModel($I$64,"Ne_Weiss",$D$64,$E$64,$B$64,$C$64,$G$64,$H$64,$B$12)</f>
        <v>3.5825008224176247E-7</v>
      </c>
      <c r="L64" s="114">
        <f>GasModel($I$64,"Ar_Weiss",$D$64,$E$64,$B$64,$C$64,$G$64,$H$64,$B$13)</f>
        <v>3.739440095626705E-4</v>
      </c>
      <c r="M64" s="114">
        <f>GasModel($I$64,"Kr_Weiss",$D$64,$E$64,$B$64,$C$64,$G$64,$H$64,$B$14)</f>
        <v>7.2468122347431544E-8</v>
      </c>
      <c r="N64" s="114">
        <f>GasModel($I$64,"Xe_Clvr",$D$64,$E$64,$B$64,$C$64,$G$64,$H$64,$B$15)</f>
        <v>8.9998195409088408E-9</v>
      </c>
      <c r="O64" s="114">
        <f>GasModel($I$64,"N2_Weiss",$D$64,$E$64,$B$64,$C$64,$G$64,$H$64,$B$16)</f>
        <v>1.8618840917076718E-2</v>
      </c>
      <c r="P64" s="114">
        <f>GasModel($I$64,"O2_B&amp;K",$D$64,$E$64,$B$64,$C$64,$G$64,$H$64,$B$17)</f>
        <v>7.8343041367243873E-3</v>
      </c>
      <c r="Q64" s="114">
        <f>GasModel($I$64,"CO2_Weiss_F",$D$64,$E$64,$B$64,$C$64,$G$64,$H$64,$B$18)</f>
        <v>2.5711238842429705E-4</v>
      </c>
      <c r="R64" s="114">
        <f>GasModel($I$64,"CH4_Wies",$D$64,$E$64,$B$64,$C$64,$G$64,$H$64,$B$19)</f>
        <v>5.6800340001372513E-8</v>
      </c>
      <c r="S64" s="114">
        <f>GasModel($I$64,"H2_Wies",$D$64,$E$64,$B$64,$C$64,$G$64,$H$64,$B$20)</f>
        <v>1.5556799674707645E-8</v>
      </c>
      <c r="T64" s="114">
        <f>GasModel($I$64,"N2O_Weiss_F",$D$64,$E$64,$B$64,$C$64,$G$64,$H$64,$B$21)</f>
        <v>1.7232410971283209E-7</v>
      </c>
      <c r="U64" s="114">
        <f>$L$64/$K$64</f>
        <v>1043.8071841399246</v>
      </c>
      <c r="V64" s="114">
        <f>$M$64/$N$64</f>
        <v>8.0521750484025141</v>
      </c>
      <c r="W64" s="114">
        <f>$N$64/$K$64</f>
        <v>2.5121611932625819E-2</v>
      </c>
      <c r="X64" s="114">
        <f>$M$64/$L$64</f>
        <v>1.937940453496859E-4</v>
      </c>
      <c r="Y64" s="114">
        <f>$O$64/$L$64</f>
        <v>49.79045108611728</v>
      </c>
      <c r="Z64" s="114" t="e">
        <f>$I$64/$I$64</f>
        <v>#VALUE!</v>
      </c>
    </row>
    <row r="65" spans="1:26">
      <c r="A65" s="114" t="s">
        <v>821</v>
      </c>
      <c r="B65" s="114">
        <f t="shared" si="0"/>
        <v>0.60581683578000001</v>
      </c>
      <c r="C65" s="114">
        <f t="shared" si="1"/>
        <v>61.585365853658502</v>
      </c>
      <c r="D65" s="114">
        <v>30</v>
      </c>
      <c r="E65" s="114">
        <v>10</v>
      </c>
      <c r="F65" s="114">
        <v>0</v>
      </c>
      <c r="G65" s="114">
        <v>0</v>
      </c>
      <c r="H65" s="114">
        <v>0</v>
      </c>
      <c r="I65" s="114" t="s">
        <v>10</v>
      </c>
      <c r="J65" s="114">
        <f>GasModel($I$65,"He_Weiss",$D$65,$E$65,$B$65,$C$65,$G$65,$H$65,$B$11)</f>
        <v>9.5508899298045512E-8</v>
      </c>
      <c r="K65" s="114">
        <f>GasModel($I$65,"Ne_Weiss",$D$65,$E$65,$B$65,$C$65,$G$65,$H$65,$B$12)</f>
        <v>3.5232350736504434E-7</v>
      </c>
      <c r="L65" s="114">
        <f>GasModel($I$65,"Ar_Weiss",$D$65,$E$65,$B$65,$C$65,$G$65,$H$65,$B$13)</f>
        <v>3.5035821434708901E-4</v>
      </c>
      <c r="M65" s="114">
        <f>GasModel($I$65,"Kr_Weiss",$D$65,$E$65,$B$65,$C$65,$G$65,$H$65,$B$14)</f>
        <v>6.5998118575171421E-8</v>
      </c>
      <c r="N65" s="114">
        <f>GasModel($I$65,"Xe_Clvr",$D$65,$E$65,$B$65,$C$65,$G$65,$H$65,$B$15)</f>
        <v>7.9646591520773948E-9</v>
      </c>
      <c r="O65" s="114">
        <f>GasModel($I$65,"N2_Weiss",$D$65,$E$65,$B$65,$C$65,$G$65,$H$65,$B$16)</f>
        <v>1.7798032874857247E-2</v>
      </c>
      <c r="P65" s="114">
        <f>GasModel($I$65,"O2_B&amp;K",$D$65,$E$65,$B$65,$C$65,$G$65,$H$65,$B$17)</f>
        <v>7.3524970719148937E-3</v>
      </c>
      <c r="Q65" s="114">
        <f>GasModel($I$65,"CO2_Weiss_F",$D$65,$E$65,$B$65,$C$65,$G$65,$H$65,$B$18)</f>
        <v>2.2410479370003162E-4</v>
      </c>
      <c r="R65" s="114">
        <f>GasModel($I$65,"CH4_Wies",$D$65,$E$65,$B$65,$C$65,$G$65,$H$65,$B$19)</f>
        <v>5.2877124190100131E-8</v>
      </c>
      <c r="S65" s="114">
        <f>GasModel($I$65,"H2_Wies",$D$65,$E$65,$B$65,$C$65,$G$65,$H$65,$B$20)</f>
        <v>1.5211951432157101E-8</v>
      </c>
      <c r="T65" s="114">
        <f>GasModel($I$65,"N2O_Weiss_F",$D$65,$E$65,$B$65,$C$65,$G$65,$H$65,$B$21)</f>
        <v>1.4929192681097267E-7</v>
      </c>
      <c r="U65" s="114">
        <f>$L$65/$K$65</f>
        <v>994.42190777262249</v>
      </c>
      <c r="V65" s="114">
        <f>$M$65/$N$65</f>
        <v>8.2863707429284474</v>
      </c>
      <c r="W65" s="114">
        <f>$N$65/$K$65</f>
        <v>2.2606096344928717E-2</v>
      </c>
      <c r="X65" s="114">
        <f>$M$65/$L$65</f>
        <v>1.8837325877505795E-4</v>
      </c>
      <c r="Y65" s="114">
        <f>$O$65/$L$65</f>
        <v>50.799530726073655</v>
      </c>
      <c r="Z65" s="114" t="e">
        <f>$I$65/$I$65</f>
        <v>#VALUE!</v>
      </c>
    </row>
    <row r="66" spans="1:26">
      <c r="A66" s="114" t="s">
        <v>821</v>
      </c>
      <c r="B66" s="114">
        <f t="shared" si="0"/>
        <v>0.60581683578000001</v>
      </c>
      <c r="C66" s="114">
        <f t="shared" si="1"/>
        <v>61.585365853658502</v>
      </c>
      <c r="D66" s="114">
        <v>35</v>
      </c>
      <c r="E66" s="114">
        <v>10</v>
      </c>
      <c r="F66" s="114">
        <v>0</v>
      </c>
      <c r="G66" s="114">
        <v>0</v>
      </c>
      <c r="H66" s="114">
        <v>0</v>
      </c>
      <c r="I66" s="114" t="s">
        <v>10</v>
      </c>
      <c r="J66" s="114">
        <f>GasModel($I$66,"He_Weiss",$D$66,$E$66,$B$66,$C$66,$G$66,$H$66,$B$11)</f>
        <v>9.5003648601269013E-8</v>
      </c>
      <c r="K66" s="114">
        <f>GasModel($I$66,"Ne_Weiss",$D$66,$E$66,$B$66,$C$66,$G$66,$H$66,$B$12)</f>
        <v>3.4693092388666685E-7</v>
      </c>
      <c r="L66" s="114">
        <f>GasModel($I$66,"Ar_Weiss",$D$66,$E$66,$B$66,$C$66,$G$66,$H$66,$B$13)</f>
        <v>3.3009094573515881E-4</v>
      </c>
      <c r="M66" s="114">
        <f>GasModel($I$66,"Kr_Weiss",$D$66,$E$66,$B$66,$C$66,$G$66,$H$66,$B$14)</f>
        <v>6.057060291025761E-8</v>
      </c>
      <c r="N66" s="114">
        <f>GasModel($I$66,"Xe_Clvr",$D$66,$E$66,$B$66,$C$66,$G$66,$H$66,$B$15)</f>
        <v>7.1114651283666174E-9</v>
      </c>
      <c r="O66" s="114">
        <f>GasModel($I$66,"N2_Weiss",$D$66,$E$66,$B$66,$C$66,$G$66,$H$66,$B$16)</f>
        <v>1.7093693571192194E-2</v>
      </c>
      <c r="P66" s="114">
        <f>GasModel($I$66,"O2_B&amp;K",$D$66,$E$66,$B$66,$C$66,$G$66,$H$66,$B$17)</f>
        <v>6.9364501050258719E-3</v>
      </c>
      <c r="Q66" s="114">
        <f>GasModel($I$66,"CO2_Weiss_F",$D$66,$E$66,$B$66,$C$66,$G$66,$H$66,$B$18)</f>
        <v>1.9675170083840177E-4</v>
      </c>
      <c r="R66" s="114">
        <f>GasModel($I$66,"CH4_Wies",$D$66,$E$66,$B$66,$C$66,$G$66,$H$66,$B$19)</f>
        <v>4.9461133114564529E-8</v>
      </c>
      <c r="S66" s="114">
        <f>GasModel($I$66,"H2_Wies",$D$66,$E$66,$B$66,$C$66,$G$66,$H$66,$B$20)</f>
        <v>1.4888973178180974E-8</v>
      </c>
      <c r="T66" s="114">
        <f>GasModel($I$66,"N2O_Weiss_F",$D$66,$E$66,$B$66,$C$66,$G$66,$H$66,$B$21)</f>
        <v>1.3037588114413737E-7</v>
      </c>
      <c r="U66" s="114">
        <f>$L$66/$K$66</f>
        <v>951.46014093281224</v>
      </c>
      <c r="V66" s="114">
        <f>$M$66/$N$66</f>
        <v>8.5173170108997844</v>
      </c>
      <c r="W66" s="114">
        <f>$N$66/$K$66</f>
        <v>2.0498216327033865E-2</v>
      </c>
      <c r="X66" s="114">
        <f>$M$66/$L$66</f>
        <v>1.834967111120191E-4</v>
      </c>
      <c r="Y66" s="114">
        <f>$O$66/$L$66</f>
        <v>51.784799892411897</v>
      </c>
      <c r="Z66" s="114" t="e">
        <f>$I$66/$I$66</f>
        <v>#VALUE!</v>
      </c>
    </row>
    <row r="67" spans="1:26">
      <c r="A67" s="114" t="s">
        <v>821</v>
      </c>
      <c r="B67" s="114">
        <f t="shared" si="0"/>
        <v>0.60581683578000001</v>
      </c>
      <c r="C67" s="114">
        <f t="shared" si="1"/>
        <v>61.585365853658502</v>
      </c>
      <c r="D67" s="114">
        <v>40</v>
      </c>
      <c r="E67" s="114">
        <v>10</v>
      </c>
      <c r="F67" s="114">
        <v>0</v>
      </c>
      <c r="G67" s="114">
        <v>0</v>
      </c>
      <c r="H67" s="114">
        <v>0</v>
      </c>
      <c r="I67" s="114" t="s">
        <v>10</v>
      </c>
      <c r="J67" s="114">
        <f>GasModel($I$67,"He_Weiss",$D$67,$E$67,$B$67,$C$67,$G$67,$H$67,$B$11)</f>
        <v>9.4516068369396924E-8</v>
      </c>
      <c r="K67" s="114">
        <f>GasModel($I$67,"Ne_Weiss",$D$67,$E$67,$B$67,$C$67,$G$67,$H$67,$B$12)</f>
        <v>3.4192006422190463E-7</v>
      </c>
      <c r="L67" s="114">
        <f>GasModel($I$67,"Ar_Weiss",$D$67,$E$67,$B$67,$C$67,$G$67,$H$67,$B$13)</f>
        <v>3.1246196144748737E-4</v>
      </c>
      <c r="M67" s="114">
        <f>GasModel($I$67,"Kr_Weiss",$D$67,$E$67,$B$67,$C$67,$G$67,$H$67,$B$14)</f>
        <v>5.5976335481690096E-8</v>
      </c>
      <c r="N67" s="114">
        <f>GasModel($I$67,"Xe_Clvr",$D$67,$E$67,$B$67,$C$67,$G$67,$H$67,$B$15)</f>
        <v>6.396828108680784E-9</v>
      </c>
      <c r="O67" s="114">
        <f>GasModel($I$67,"N2_Weiss",$D$67,$E$67,$B$67,$C$67,$G$67,$H$67,$B$16)</f>
        <v>1.6481695646105854E-2</v>
      </c>
      <c r="P67" s="114">
        <f>GasModel($I$67,"O2_B&amp;K",$D$67,$E$67,$B$67,$C$67,$G$67,$H$67,$B$17)</f>
        <v>6.5705614044207581E-3</v>
      </c>
      <c r="Q67" s="114">
        <f>GasModel($I$67,"CO2_Weiss_F",$D$67,$E$67,$B$67,$C$67,$G$67,$H$67,$B$18)</f>
        <v>1.7380317285018413E-4</v>
      </c>
      <c r="R67" s="114">
        <f>GasModel($I$67,"CH4_Wies",$D$67,$E$67,$B$67,$C$67,$G$67,$H$67,$B$19)</f>
        <v>4.6421105815531143E-8</v>
      </c>
      <c r="S67" s="114">
        <f>GasModel($I$67,"H2_Wies",$D$67,$E$67,$B$67,$C$67,$G$67,$H$67,$B$20)</f>
        <v>1.457466936762791E-8</v>
      </c>
      <c r="T67" s="114">
        <f>GasModel($I$67,"N2O_Weiss_F",$D$67,$E$67,$B$67,$C$67,$G$67,$H$67,$B$21)</f>
        <v>1.146418058255042E-7</v>
      </c>
      <c r="U67" s="114">
        <f>$L$67/$K$67</f>
        <v>913.84505954204815</v>
      </c>
      <c r="V67" s="114">
        <f>$M$67/$N$67</f>
        <v>8.7506393060222596</v>
      </c>
      <c r="W67" s="114">
        <f>$N$67/$K$67</f>
        <v>1.8708548511880457E-2</v>
      </c>
      <c r="X67" s="114">
        <f>$M$67/$L$67</f>
        <v>1.7914607980561349E-4</v>
      </c>
      <c r="Y67" s="114">
        <f>$O$67/$L$67</f>
        <v>52.74784671309753</v>
      </c>
      <c r="Z67" s="114" t="e">
        <f>$I$67/$I$67</f>
        <v>#VALUE!</v>
      </c>
    </row>
    <row r="68" spans="1:26">
      <c r="A68" s="114" t="s">
        <v>822</v>
      </c>
      <c r="B68" s="114">
        <f t="shared" si="0"/>
        <v>0.60581683578000001</v>
      </c>
      <c r="C68" s="114">
        <f t="shared" si="1"/>
        <v>61.585365853658502</v>
      </c>
      <c r="D68" s="114">
        <f t="shared" ref="D68:D104" si="2">$E$4</f>
        <v>20.790000915499999</v>
      </c>
      <c r="E68" s="114">
        <v>0</v>
      </c>
      <c r="F68" s="114">
        <v>0</v>
      </c>
      <c r="G68" s="114">
        <v>0</v>
      </c>
      <c r="H68" s="114">
        <f t="shared" ref="H68:H74" si="3">$F$4</f>
        <v>0</v>
      </c>
      <c r="I68" s="114" t="s">
        <v>10</v>
      </c>
      <c r="J68" s="114">
        <f>GasModel($I$68,"He_Weiss",$D$68,$E$68,$B$68,$C$68,$G$68,$H$68,$B$11)</f>
        <v>4.4185491840138201E-8</v>
      </c>
      <c r="K68" s="114">
        <f>GasModel($I$68,"Ne_Weiss",$D$68,$E$68,$B$68,$C$68,$G$68,$H$68,$B$12)</f>
        <v>1.8198946053356498E-7</v>
      </c>
      <c r="L68" s="114">
        <f>GasModel($I$68,"Ar_Weiss",$D$68,$E$68,$B$68,$C$68,$G$68,$H$68,$B$13)</f>
        <v>3.0362102189725415E-4</v>
      </c>
      <c r="M68" s="114">
        <f>GasModel($I$68,"Kr_Weiss",$D$68,$E$68,$B$68,$C$68,$G$68,$H$68,$B$14)</f>
        <v>6.7523299175916356E-8</v>
      </c>
      <c r="N68" s="114">
        <f>GasModel($I$68,"Xe_Clvr",$D$68,$E$68,$B$68,$C$68,$G$68,$H$68,$B$15)</f>
        <v>9.1844847897613838E-9</v>
      </c>
      <c r="O68" s="114">
        <f>GasModel($I$68,"N2_Weiss",$D$68,$E$68,$B$68,$C$68,$G$68,$H$68,$B$16)</f>
        <v>1.1614641520744965E-2</v>
      </c>
      <c r="P68" s="114">
        <f>GasModel($I$68,"O2_B&amp;K",$D$68,$E$68,$B$68,$C$68,$G$68,$H$68,$B$17)</f>
        <v>6.2107750616212324E-3</v>
      </c>
      <c r="Q68" s="114">
        <f>GasModel($I$68,"CO2_Weiss_F",$D$68,$E$68,$B$68,$C$68,$G$68,$H$68,$B$18)</f>
        <v>2.8701709471343776E-4</v>
      </c>
      <c r="R68" s="114">
        <f>GasModel($I$68,"CH4_Wies",$D$68,$E$68,$B$68,$C$68,$G$68,$H$68,$B$19)</f>
        <v>4.65280954073278E-8</v>
      </c>
      <c r="S68" s="114">
        <f>GasModel($I$68,"H2_Wies",$D$68,$E$68,$B$68,$C$68,$G$68,$H$68,$B$20)</f>
        <v>1.007612666992487E-8</v>
      </c>
      <c r="T68" s="114">
        <f>GasModel($I$68,"N2O_Weiss_F",$D$68,$E$68,$B$68,$C$68,$G$68,$H$68,$B$21)</f>
        <v>1.926338790717342E-7</v>
      </c>
      <c r="U68" s="114">
        <f>$L$68/$K$68</f>
        <v>1668.3439854543456</v>
      </c>
      <c r="V68" s="114">
        <f>$M$68/$N$68</f>
        <v>7.351887527887194</v>
      </c>
      <c r="W68" s="114">
        <f>$N$68/$K$68</f>
        <v>5.0467124650152233E-2</v>
      </c>
      <c r="X68" s="114">
        <f>$M$68/$L$68</f>
        <v>2.2239335983384692E-4</v>
      </c>
      <c r="Y68" s="114">
        <f>$O$68/$L$68</f>
        <v>38.253746226687092</v>
      </c>
      <c r="Z68" s="114" t="e">
        <f>$I$68/$I$68</f>
        <v>#VALUE!</v>
      </c>
    </row>
    <row r="69" spans="1:26">
      <c r="A69" s="114" t="s">
        <v>822</v>
      </c>
      <c r="B69" s="114">
        <f t="shared" si="0"/>
        <v>0.60581683578000001</v>
      </c>
      <c r="C69" s="114">
        <f t="shared" si="1"/>
        <v>61.585365853658502</v>
      </c>
      <c r="D69" s="114">
        <f t="shared" si="2"/>
        <v>20.790000915499999</v>
      </c>
      <c r="E69" s="114">
        <v>1</v>
      </c>
      <c r="F69" s="114">
        <v>0</v>
      </c>
      <c r="G69" s="114">
        <v>0</v>
      </c>
      <c r="H69" s="114">
        <f t="shared" si="3"/>
        <v>0</v>
      </c>
      <c r="I69" s="114" t="s">
        <v>10</v>
      </c>
      <c r="J69" s="114">
        <f>GasModel($I$69,"He_Weiss",$D$69,$E$69,$B$69,$C$69,$G$69,$H$69,$B$11)</f>
        <v>4.94254918401382E-8</v>
      </c>
      <c r="K69" s="114">
        <f>GasModel($I$69,"Ne_Weiss",$D$69,$E$69,$B$69,$C$69,$G$69,$H$69,$B$12)</f>
        <v>2.0016946053356498E-7</v>
      </c>
      <c r="L69" s="114">
        <f>GasModel($I$69,"Ar_Weiss",$D$69,$E$69,$B$69,$C$69,$G$69,$H$69,$B$13)</f>
        <v>3.1296102189725414E-4</v>
      </c>
      <c r="M69" s="114">
        <f>GasModel($I$69,"Kr_Weiss",$D$69,$E$69,$B$69,$C$69,$G$69,$H$69,$B$14)</f>
        <v>6.8663299175916352E-8</v>
      </c>
      <c r="N69" s="114">
        <f>GasModel($I$69,"Xe_Clvr",$D$69,$E$69,$B$69,$C$69,$G$69,$H$69,$B$15)</f>
        <v>9.2714847897613832E-9</v>
      </c>
      <c r="O69" s="114">
        <f>GasModel($I$69,"N2_Weiss",$D$69,$E$69,$B$69,$C$69,$G$69,$H$69,$B$16)</f>
        <v>1.2395481520744964E-2</v>
      </c>
      <c r="P69" s="114">
        <f>GasModel($I$69,"O2_B&amp;K",$D$69,$E$69,$B$69,$C$69,$G$69,$H$69,$B$17)</f>
        <v>6.420275061621232E-3</v>
      </c>
      <c r="Q69" s="114">
        <f>GasModel($I$69,"CO2_Weiss_F",$D$69,$E$69,$B$69,$C$69,$G$69,$H$69,$B$18)</f>
        <v>2.8736709471343774E-4</v>
      </c>
      <c r="R69" s="114">
        <f>GasModel($I$69,"CH4_Wies",$D$69,$E$69,$B$69,$C$69,$G$69,$H$69,$B$19)</f>
        <v>4.7938095407327797E-8</v>
      </c>
      <c r="S69" s="114">
        <f>GasModel($I$69,"H2_Wies",$D$69,$E$69,$B$69,$C$69,$G$69,$H$69,$B$20)</f>
        <v>1.065612666992487E-8</v>
      </c>
      <c r="T69" s="114">
        <f>GasModel($I$69,"N2O_Weiss_F",$D$69,$E$69,$B$69,$C$69,$G$69,$H$69,$B$21)</f>
        <v>1.9295387907173419E-7</v>
      </c>
      <c r="U69" s="114">
        <f>$L$69/$K$69</f>
        <v>1563.4803683990344</v>
      </c>
      <c r="V69" s="114">
        <f>$M$69/$N$69</f>
        <v>7.4058579324578186</v>
      </c>
      <c r="W69" s="114">
        <f>$N$69/$K$69</f>
        <v>4.6318178432652138E-2</v>
      </c>
      <c r="X69" s="114">
        <f>$M$69/$L$69</f>
        <v>2.1939888475459632E-4</v>
      </c>
      <c r="Y69" s="114">
        <f>$O$69/$L$69</f>
        <v>39.607109682861498</v>
      </c>
      <c r="Z69" s="114" t="e">
        <f>$I$69/$I$69</f>
        <v>#VALUE!</v>
      </c>
    </row>
    <row r="70" spans="1:26">
      <c r="A70" s="114" t="s">
        <v>822</v>
      </c>
      <c r="B70" s="114">
        <f t="shared" ref="B70:B104" si="4">$C$4</f>
        <v>0.60581683578000001</v>
      </c>
      <c r="C70" s="114">
        <f t="shared" ref="C70:C104" si="5">$D$4</f>
        <v>61.585365853658502</v>
      </c>
      <c r="D70" s="114">
        <f t="shared" si="2"/>
        <v>20.790000915499999</v>
      </c>
      <c r="E70" s="114">
        <v>2</v>
      </c>
      <c r="F70" s="114">
        <v>0</v>
      </c>
      <c r="G70" s="114">
        <v>0</v>
      </c>
      <c r="H70" s="114">
        <f t="shared" si="3"/>
        <v>0</v>
      </c>
      <c r="I70" s="114" t="s">
        <v>10</v>
      </c>
      <c r="J70" s="114">
        <f>GasModel($I$70,"He_Weiss",$D$70,$E$70,$B$70,$C$70,$G$70,$H$70,$B$11)</f>
        <v>5.4665491840138199E-8</v>
      </c>
      <c r="K70" s="114">
        <f>GasModel($I$70,"Ne_Weiss",$D$70,$E$70,$B$70,$C$70,$G$70,$H$70,$B$12)</f>
        <v>2.18349460533565E-7</v>
      </c>
      <c r="L70" s="114">
        <f>GasModel($I$70,"Ar_Weiss",$D$70,$E$70,$B$70,$C$70,$G$70,$H$70,$B$13)</f>
        <v>3.2230102189725413E-4</v>
      </c>
      <c r="M70" s="114">
        <f>GasModel($I$70,"Kr_Weiss",$D$70,$E$70,$B$70,$C$70,$G$70,$H$70,$B$14)</f>
        <v>6.9803299175916361E-8</v>
      </c>
      <c r="N70" s="114">
        <f>GasModel($I$70,"Xe_Clvr",$D$70,$E$70,$B$70,$C$70,$G$70,$H$70,$B$15)</f>
        <v>9.3584847897613842E-9</v>
      </c>
      <c r="O70" s="114">
        <f>GasModel($I$70,"N2_Weiss",$D$70,$E$70,$B$70,$C$70,$G$70,$H$70,$B$16)</f>
        <v>1.3176321520744964E-2</v>
      </c>
      <c r="P70" s="114">
        <f>GasModel($I$70,"O2_B&amp;K",$D$70,$E$70,$B$70,$C$70,$G$70,$H$70,$B$17)</f>
        <v>6.6297750616212325E-3</v>
      </c>
      <c r="Q70" s="114">
        <f>GasModel($I$70,"CO2_Weiss_F",$D$70,$E$70,$B$70,$C$70,$G$70,$H$70,$B$18)</f>
        <v>2.8771709471343777E-4</v>
      </c>
      <c r="R70" s="114">
        <f>GasModel($I$70,"CH4_Wies",$D$70,$E$70,$B$70,$C$70,$G$70,$H$70,$B$19)</f>
        <v>4.9348095407327801E-8</v>
      </c>
      <c r="S70" s="114">
        <f>GasModel($I$70,"H2_Wies",$D$70,$E$70,$B$70,$C$70,$G$70,$H$70,$B$20)</f>
        <v>1.1236126669924871E-8</v>
      </c>
      <c r="T70" s="114">
        <f>GasModel($I$70,"N2O_Weiss_F",$D$70,$E$70,$B$70,$C$70,$G$70,$H$70,$B$21)</f>
        <v>1.9327387907173421E-7</v>
      </c>
      <c r="U70" s="114">
        <f>$L$70/$K$70</f>
        <v>1476.0788559297107</v>
      </c>
      <c r="V70" s="114">
        <f>$M$70/$N$70</f>
        <v>7.4588248786047506</v>
      </c>
      <c r="W70" s="114">
        <f>$N$70/$K$70</f>
        <v>4.286012324872579E-2</v>
      </c>
      <c r="X70" s="114">
        <f>$M$70/$L$70</f>
        <v>2.1657796418085467E-4</v>
      </c>
      <c r="Y70" s="114">
        <f>$O$70/$L$70</f>
        <v>40.882034574949081</v>
      </c>
      <c r="Z70" s="114" t="e">
        <f>$I$70/$I$70</f>
        <v>#VALUE!</v>
      </c>
    </row>
    <row r="71" spans="1:26">
      <c r="A71" s="114" t="s">
        <v>822</v>
      </c>
      <c r="B71" s="114">
        <f t="shared" si="4"/>
        <v>0.60581683578000001</v>
      </c>
      <c r="C71" s="114">
        <f t="shared" si="5"/>
        <v>61.585365853658502</v>
      </c>
      <c r="D71" s="114">
        <f t="shared" si="2"/>
        <v>20.790000915499999</v>
      </c>
      <c r="E71" s="114">
        <v>3</v>
      </c>
      <c r="F71" s="114">
        <v>0</v>
      </c>
      <c r="G71" s="114">
        <v>0</v>
      </c>
      <c r="H71" s="114">
        <f t="shared" si="3"/>
        <v>0</v>
      </c>
      <c r="I71" s="114" t="s">
        <v>10</v>
      </c>
      <c r="J71" s="114">
        <f>GasModel($I$71,"He_Weiss",$D$71,$E$71,$B$71,$C$71,$G$71,$H$71,$B$11)</f>
        <v>5.9905491840138205E-8</v>
      </c>
      <c r="K71" s="114">
        <f>GasModel($I$71,"Ne_Weiss",$D$71,$E$71,$B$71,$C$71,$G$71,$H$71,$B$12)</f>
        <v>2.3652946053356497E-7</v>
      </c>
      <c r="L71" s="114">
        <f>GasModel($I$71,"Ar_Weiss",$D$71,$E$71,$B$71,$C$71,$G$71,$H$71,$B$13)</f>
        <v>3.3164102189725417E-4</v>
      </c>
      <c r="M71" s="114">
        <f>GasModel($I$71,"Kr_Weiss",$D$71,$E$71,$B$71,$C$71,$G$71,$H$71,$B$14)</f>
        <v>7.0943299175916357E-8</v>
      </c>
      <c r="N71" s="114">
        <f>GasModel($I$71,"Xe_Clvr",$D$71,$E$71,$B$71,$C$71,$G$71,$H$71,$B$15)</f>
        <v>9.4454847897613836E-9</v>
      </c>
      <c r="O71" s="114">
        <f>GasModel($I$71,"N2_Weiss",$D$71,$E$71,$B$71,$C$71,$G$71,$H$71,$B$16)</f>
        <v>1.3957161520744964E-2</v>
      </c>
      <c r="P71" s="114">
        <f>GasModel($I$71,"O2_B&amp;K",$D$71,$E$71,$B$71,$C$71,$G$71,$H$71,$B$17)</f>
        <v>6.8392750616212321E-3</v>
      </c>
      <c r="Q71" s="114">
        <f>GasModel($I$71,"CO2_Weiss_F",$D$71,$E$71,$B$71,$C$71,$G$71,$H$71,$B$18)</f>
        <v>2.8806709471343775E-4</v>
      </c>
      <c r="R71" s="114">
        <f>GasModel($I$71,"CH4_Wies",$D$71,$E$71,$B$71,$C$71,$G$71,$H$71,$B$19)</f>
        <v>5.0758095407327799E-8</v>
      </c>
      <c r="S71" s="114">
        <f>GasModel($I$71,"H2_Wies",$D$71,$E$71,$B$71,$C$71,$G$71,$H$71,$B$20)</f>
        <v>1.181612666992487E-8</v>
      </c>
      <c r="T71" s="114">
        <f>GasModel($I$71,"N2O_Weiss_F",$D$71,$E$71,$B$71,$C$71,$G$71,$H$71,$B$21)</f>
        <v>1.9359387907173421E-7</v>
      </c>
      <c r="U71" s="114">
        <f>$L$71/$K$71</f>
        <v>1402.1129594137483</v>
      </c>
      <c r="V71" s="114">
        <f>$M$71/$N$71</f>
        <v>7.510816094142327</v>
      </c>
      <c r="W71" s="114">
        <f>$N$71/$K$71</f>
        <v>3.9933650414853972E-2</v>
      </c>
      <c r="X71" s="114">
        <f>$M$71/$L$71</f>
        <v>2.1391593467558223E-4</v>
      </c>
      <c r="Y71" s="114">
        <f>$O$71/$L$71</f>
        <v>42.085148094462923</v>
      </c>
      <c r="Z71" s="114" t="e">
        <f>$I$71/$I$71</f>
        <v>#VALUE!</v>
      </c>
    </row>
    <row r="72" spans="1:26">
      <c r="A72" s="114" t="s">
        <v>822</v>
      </c>
      <c r="B72" s="114">
        <f t="shared" si="4"/>
        <v>0.60581683578000001</v>
      </c>
      <c r="C72" s="114">
        <f t="shared" si="5"/>
        <v>61.585365853658502</v>
      </c>
      <c r="D72" s="114">
        <f t="shared" si="2"/>
        <v>20.790000915499999</v>
      </c>
      <c r="E72" s="114">
        <v>4</v>
      </c>
      <c r="F72" s="114">
        <v>0</v>
      </c>
      <c r="G72" s="114">
        <v>0</v>
      </c>
      <c r="H72" s="114">
        <f t="shared" si="3"/>
        <v>0</v>
      </c>
      <c r="I72" s="114" t="s">
        <v>10</v>
      </c>
      <c r="J72" s="114">
        <f>GasModel($I$72,"He_Weiss",$D$72,$E$72,$B$72,$C$72,$G$72,$H$72,$B$11)</f>
        <v>6.5145491840138205E-8</v>
      </c>
      <c r="K72" s="114">
        <f>GasModel($I$72,"Ne_Weiss",$D$72,$E$72,$B$72,$C$72,$G$72,$H$72,$B$12)</f>
        <v>2.5470946053356499E-7</v>
      </c>
      <c r="L72" s="114">
        <f>GasModel($I$72,"Ar_Weiss",$D$72,$E$72,$B$72,$C$72,$G$72,$H$72,$B$13)</f>
        <v>3.4098102189725416E-4</v>
      </c>
      <c r="M72" s="114">
        <f>GasModel($I$72,"Kr_Weiss",$D$72,$E$72,$B$72,$C$72,$G$72,$H$72,$B$14)</f>
        <v>7.2083299175916352E-8</v>
      </c>
      <c r="N72" s="114">
        <f>GasModel($I$72,"Xe_Clvr",$D$72,$E$72,$B$72,$C$72,$G$72,$H$72,$B$15)</f>
        <v>9.532484789761383E-9</v>
      </c>
      <c r="O72" s="114">
        <f>GasModel($I$72,"N2_Weiss",$D$72,$E$72,$B$72,$C$72,$G$72,$H$72,$B$16)</f>
        <v>1.4738001520744965E-2</v>
      </c>
      <c r="P72" s="114">
        <f>GasModel($I$72,"O2_B&amp;K",$D$72,$E$72,$B$72,$C$72,$G$72,$H$72,$B$17)</f>
        <v>7.0487750616212326E-3</v>
      </c>
      <c r="Q72" s="114">
        <f>GasModel($I$72,"CO2_Weiss_F",$D$72,$E$72,$B$72,$C$72,$G$72,$H$72,$B$18)</f>
        <v>2.8841709471343774E-4</v>
      </c>
      <c r="R72" s="114">
        <f>GasModel($I$72,"CH4_Wies",$D$72,$E$72,$B$72,$C$72,$G$72,$H$72,$B$19)</f>
        <v>5.2168095407327803E-8</v>
      </c>
      <c r="S72" s="114">
        <f>GasModel($I$72,"H2_Wies",$D$72,$E$72,$B$72,$C$72,$G$72,$H$72,$B$20)</f>
        <v>1.2396126669924871E-8</v>
      </c>
      <c r="T72" s="114">
        <f>GasModel($I$72,"N2O_Weiss_F",$D$72,$E$72,$B$72,$C$72,$G$72,$H$72,$B$21)</f>
        <v>1.939138790717342E-7</v>
      </c>
      <c r="U72" s="114">
        <f>$L$72/$K$72</f>
        <v>1338.7057598212789</v>
      </c>
      <c r="V72" s="114">
        <f>$M$72/$N$72</f>
        <v>7.5618582946326152</v>
      </c>
      <c r="W72" s="114">
        <f>$N$72/$K$72</f>
        <v>3.7424934157501449E-2</v>
      </c>
      <c r="X72" s="114">
        <f>$M$72/$L$72</f>
        <v>2.1139973941903663E-4</v>
      </c>
      <c r="Y72" s="114">
        <f>$O$72/$L$72</f>
        <v>43.222351316625129</v>
      </c>
      <c r="Z72" s="114" t="e">
        <f>$I$72/$I$72</f>
        <v>#VALUE!</v>
      </c>
    </row>
    <row r="73" spans="1:26">
      <c r="A73" s="114" t="s">
        <v>822</v>
      </c>
      <c r="B73" s="114">
        <f t="shared" si="4"/>
        <v>0.60581683578000001</v>
      </c>
      <c r="C73" s="114">
        <f t="shared" si="5"/>
        <v>61.585365853658502</v>
      </c>
      <c r="D73" s="114">
        <f t="shared" si="2"/>
        <v>20.790000915499999</v>
      </c>
      <c r="E73" s="114">
        <v>5</v>
      </c>
      <c r="F73" s="114">
        <v>0</v>
      </c>
      <c r="G73" s="114">
        <v>0</v>
      </c>
      <c r="H73" s="114">
        <f t="shared" si="3"/>
        <v>0</v>
      </c>
      <c r="I73" s="114" t="s">
        <v>10</v>
      </c>
      <c r="J73" s="114">
        <f>GasModel($I$73,"He_Weiss",$D$73,$E$73,$B$73,$C$73,$G$73,$H$73,$B$11)</f>
        <v>7.0385491840138204E-8</v>
      </c>
      <c r="K73" s="114">
        <f>GasModel($I$73,"Ne_Weiss",$D$73,$E$73,$B$73,$C$73,$G$73,$H$73,$B$12)</f>
        <v>2.7288946053356496E-7</v>
      </c>
      <c r="L73" s="114">
        <f>GasModel($I$73,"Ar_Weiss",$D$73,$E$73,$B$73,$C$73,$G$73,$H$73,$B$13)</f>
        <v>3.5032102189725415E-4</v>
      </c>
      <c r="M73" s="114">
        <f>GasModel($I$73,"Kr_Weiss",$D$73,$E$73,$B$73,$C$73,$G$73,$H$73,$B$14)</f>
        <v>7.3223299175916361E-8</v>
      </c>
      <c r="N73" s="114">
        <f>GasModel($I$73,"Xe_Clvr",$D$73,$E$73,$B$73,$C$73,$G$73,$H$73,$B$15)</f>
        <v>9.619484789761384E-9</v>
      </c>
      <c r="O73" s="114">
        <f>GasModel($I$73,"N2_Weiss",$D$73,$E$73,$B$73,$C$73,$G$73,$H$73,$B$16)</f>
        <v>1.5518841520744965E-2</v>
      </c>
      <c r="P73" s="114">
        <f>GasModel($I$73,"O2_B&amp;K",$D$73,$E$73,$B$73,$C$73,$G$73,$H$73,$B$17)</f>
        <v>7.2582750616212322E-3</v>
      </c>
      <c r="Q73" s="114">
        <f>GasModel($I$73,"CO2_Weiss_F",$D$73,$E$73,$B$73,$C$73,$G$73,$H$73,$B$18)</f>
        <v>2.8876709471343777E-4</v>
      </c>
      <c r="R73" s="114">
        <f>GasModel($I$73,"CH4_Wies",$D$73,$E$73,$B$73,$C$73,$G$73,$H$73,$B$19)</f>
        <v>5.35780954073278E-8</v>
      </c>
      <c r="S73" s="114">
        <f>GasModel($I$73,"H2_Wies",$D$73,$E$73,$B$73,$C$73,$G$73,$H$73,$B$20)</f>
        <v>1.297612666992487E-8</v>
      </c>
      <c r="T73" s="114">
        <f>GasModel($I$73,"N2O_Weiss_F",$D$73,$E$73,$B$73,$C$73,$G$73,$H$73,$B$21)</f>
        <v>1.9423387907173419E-7</v>
      </c>
      <c r="U73" s="114">
        <f>$L$73/$K$73</f>
        <v>1283.7469838970392</v>
      </c>
      <c r="V73" s="114">
        <f>$M$73/$N$73</f>
        <v>7.6119772291601802</v>
      </c>
      <c r="W73" s="114">
        <f>$N$73/$K$73</f>
        <v>3.5250481169016065E-2</v>
      </c>
      <c r="X73" s="114">
        <f>$M$73/$L$73</f>
        <v>2.0901771403656176E-4</v>
      </c>
      <c r="Y73" s="114">
        <f>$O$73/$L$73</f>
        <v>44.298915996244425</v>
      </c>
      <c r="Z73" s="114" t="e">
        <f>$I$73/$I$73</f>
        <v>#VALUE!</v>
      </c>
    </row>
    <row r="74" spans="1:26">
      <c r="A74" s="114" t="s">
        <v>822</v>
      </c>
      <c r="B74" s="114">
        <f t="shared" si="4"/>
        <v>0.60581683578000001</v>
      </c>
      <c r="C74" s="114">
        <f t="shared" si="5"/>
        <v>61.585365853658502</v>
      </c>
      <c r="D74" s="114">
        <f t="shared" si="2"/>
        <v>20.790000915499999</v>
      </c>
      <c r="E74" s="114">
        <v>10</v>
      </c>
      <c r="F74" s="114">
        <v>0</v>
      </c>
      <c r="G74" s="114">
        <v>0</v>
      </c>
      <c r="H74" s="114">
        <f t="shared" si="3"/>
        <v>0</v>
      </c>
      <c r="I74" s="114" t="s">
        <v>10</v>
      </c>
      <c r="J74" s="114">
        <f>GasModel($I$74,"He_Weiss",$D$74,$E$74,$B$74,$C$74,$G$74,$H$74,$B$11)</f>
        <v>9.65854918401382E-8</v>
      </c>
      <c r="K74" s="114">
        <f>GasModel($I$74,"Ne_Weiss",$D$74,$E$74,$B$74,$C$74,$G$74,$H$74,$B$12)</f>
        <v>3.6378946053356501E-7</v>
      </c>
      <c r="L74" s="114">
        <f>GasModel($I$74,"Ar_Weiss",$D$74,$E$74,$B$74,$C$74,$G$74,$H$74,$B$13)</f>
        <v>3.9702102189725414E-4</v>
      </c>
      <c r="M74" s="114">
        <f>GasModel($I$74,"Kr_Weiss",$D$74,$E$74,$B$74,$C$74,$G$74,$H$74,$B$14)</f>
        <v>7.8923299175916353E-8</v>
      </c>
      <c r="N74" s="114">
        <f>GasModel($I$74,"Xe_Clvr",$D$74,$E$74,$B$74,$C$74,$G$74,$H$74,$B$15)</f>
        <v>1.0054484789761384E-8</v>
      </c>
      <c r="O74" s="114">
        <f>GasModel($I$74,"N2_Weiss",$D$74,$E$74,$B$74,$C$74,$G$74,$H$74,$B$16)</f>
        <v>1.9423041520744963E-2</v>
      </c>
      <c r="P74" s="114">
        <f>GasModel($I$74,"O2_B&amp;K",$D$74,$E$74,$B$74,$C$74,$G$74,$H$74,$B$17)</f>
        <v>8.305775061621232E-3</v>
      </c>
      <c r="Q74" s="114">
        <f>GasModel($I$74,"CO2_Weiss_F",$D$74,$E$74,$B$74,$C$74,$G$74,$H$74,$B$18)</f>
        <v>2.9051709471343773E-4</v>
      </c>
      <c r="R74" s="114">
        <f>GasModel($I$74,"CH4_Wies",$D$74,$E$74,$B$74,$C$74,$G$74,$H$74,$B$19)</f>
        <v>6.06280954073278E-8</v>
      </c>
      <c r="S74" s="114">
        <f>GasModel($I$74,"H2_Wies",$D$74,$E$74,$B$74,$C$74,$G$74,$H$74,$B$20)</f>
        <v>1.5876126669924869E-8</v>
      </c>
      <c r="T74" s="114">
        <f>GasModel($I$74,"N2O_Weiss_F",$D$74,$E$74,$B$74,$C$74,$G$74,$H$74,$B$21)</f>
        <v>1.958338790717342E-7</v>
      </c>
      <c r="U74" s="114">
        <f>$L$74/$K$74</f>
        <v>1091.3483345970189</v>
      </c>
      <c r="V74" s="114">
        <f>$M$74/$N$74</f>
        <v>7.8495617454496527</v>
      </c>
      <c r="W74" s="114">
        <f>$N$74/$K$74</f>
        <v>2.7638197035765165E-2</v>
      </c>
      <c r="X74" s="114">
        <f>$M$74/$L$74</f>
        <v>1.9878871602003247E-4</v>
      </c>
      <c r="Y74" s="114">
        <f>$O$74/$L$74</f>
        <v>48.921947326435252</v>
      </c>
      <c r="Z74" s="114" t="e">
        <f>$I$74/$I$74</f>
        <v>#VALUE!</v>
      </c>
    </row>
    <row r="75" spans="1:26">
      <c r="A75" s="114" t="s">
        <v>823</v>
      </c>
      <c r="B75" s="114">
        <f t="shared" si="4"/>
        <v>0.60581683578000001</v>
      </c>
      <c r="C75" s="114">
        <f t="shared" si="5"/>
        <v>61.585365853658502</v>
      </c>
      <c r="D75" s="114">
        <f t="shared" si="2"/>
        <v>20.790000915499999</v>
      </c>
      <c r="E75" s="114">
        <f t="shared" ref="E75:E81" si="6">$H$4</f>
        <v>1</v>
      </c>
      <c r="F75" s="114">
        <v>0</v>
      </c>
      <c r="G75" s="114">
        <v>0</v>
      </c>
      <c r="H75" s="114">
        <v>0</v>
      </c>
      <c r="I75" s="114" t="s">
        <v>10</v>
      </c>
      <c r="J75" s="114">
        <f>GasModel($I$75,"He_Weiss",$D$75,$E$75,$B$75,$C$75,$G$75,$H$75,$B$11)</f>
        <v>4.94254918401382E-8</v>
      </c>
      <c r="K75" s="114">
        <f>GasModel($I$75,"Ne_Weiss",$D$75,$E$75,$B$75,$C$75,$G$75,$H$75,$B$12)</f>
        <v>2.0016946053356498E-7</v>
      </c>
      <c r="L75" s="114">
        <f>GasModel($I$75,"Ar_Weiss",$D$75,$E$75,$B$75,$C$75,$G$75,$H$75,$B$13)</f>
        <v>3.1296102189725414E-4</v>
      </c>
      <c r="M75" s="114">
        <f>GasModel($I$75,"Kr_Weiss",$D$75,$E$75,$B$75,$C$75,$G$75,$H$75,$B$14)</f>
        <v>6.8663299175916352E-8</v>
      </c>
      <c r="N75" s="114">
        <f>GasModel($I$75,"Xe_Clvr",$D$75,$E$75,$B$75,$C$75,$G$75,$H$75,$B$15)</f>
        <v>9.2714847897613832E-9</v>
      </c>
      <c r="O75" s="114">
        <f>GasModel($I$75,"N2_Weiss",$D$75,$E$75,$B$75,$C$75,$G$75,$H$75,$B$16)</f>
        <v>1.2395481520744964E-2</v>
      </c>
      <c r="P75" s="114">
        <f>GasModel($I$75,"O2_B&amp;K",$D$75,$E$75,$B$75,$C$75,$G$75,$H$75,$B$17)</f>
        <v>6.420275061621232E-3</v>
      </c>
      <c r="Q75" s="114">
        <f>GasModel($I$75,"CO2_Weiss_F",$D$75,$E$75,$B$75,$C$75,$G$75,$H$75,$B$18)</f>
        <v>2.8736709471343774E-4</v>
      </c>
      <c r="R75" s="114">
        <f>GasModel($I$75,"CH4_Wies",$D$75,$E$75,$B$75,$C$75,$G$75,$H$75,$B$19)</f>
        <v>4.7938095407327797E-8</v>
      </c>
      <c r="S75" s="114">
        <f>GasModel($I$75,"H2_Wies",$D$75,$E$75,$B$75,$C$75,$G$75,$H$75,$B$20)</f>
        <v>1.065612666992487E-8</v>
      </c>
      <c r="T75" s="114">
        <f>GasModel($I$75,"N2O_Weiss_F",$D$75,$E$75,$B$75,$C$75,$G$75,$H$75,$B$21)</f>
        <v>1.9295387907173419E-7</v>
      </c>
      <c r="U75" s="114">
        <f>$L$75/$K$75</f>
        <v>1563.4803683990344</v>
      </c>
      <c r="V75" s="114">
        <f>$M$75/$N$75</f>
        <v>7.4058579324578186</v>
      </c>
      <c r="W75" s="114">
        <f>$N$75/$K$75</f>
        <v>4.6318178432652138E-2</v>
      </c>
      <c r="X75" s="114">
        <f>$M$75/$L$75</f>
        <v>2.1939888475459632E-4</v>
      </c>
      <c r="Y75" s="114">
        <f>$O$75/$L$75</f>
        <v>39.607109682861498</v>
      </c>
      <c r="Z75" s="114" t="e">
        <f>$I$75/$I$75</f>
        <v>#VALUE!</v>
      </c>
    </row>
    <row r="76" spans="1:26">
      <c r="A76" s="114" t="s">
        <v>823</v>
      </c>
      <c r="B76" s="114">
        <f t="shared" si="4"/>
        <v>0.60581683578000001</v>
      </c>
      <c r="C76" s="114">
        <f t="shared" si="5"/>
        <v>61.585365853658502</v>
      </c>
      <c r="D76" s="114">
        <f t="shared" si="2"/>
        <v>20.790000915499999</v>
      </c>
      <c r="E76" s="114">
        <f t="shared" si="6"/>
        <v>1</v>
      </c>
      <c r="F76" s="114">
        <v>0</v>
      </c>
      <c r="G76" s="114">
        <v>0</v>
      </c>
      <c r="H76" s="114">
        <v>1</v>
      </c>
      <c r="I76" s="114" t="s">
        <v>10</v>
      </c>
      <c r="J76" s="114">
        <f>GasModel($I$76,"He_Weiss",$D$76,$E$76,$B$76,$C$76,$G$76,$H$76,$B$11)</f>
        <v>4.94254918401382E-8</v>
      </c>
      <c r="K76" s="114">
        <f>GasModel($I$76,"Ne_Weiss",$D$76,$E$76,$B$76,$C$76,$G$76,$H$76,$B$12)</f>
        <v>2.0016946053356498E-7</v>
      </c>
      <c r="L76" s="114">
        <f>GasModel($I$76,"Ar_Weiss",$D$76,$E$76,$B$76,$C$76,$G$76,$H$76,$B$13)</f>
        <v>3.1296102189725414E-4</v>
      </c>
      <c r="M76" s="114">
        <f>GasModel($I$76,"Kr_Weiss",$D$76,$E$76,$B$76,$C$76,$G$76,$H$76,$B$14)</f>
        <v>6.8663299175916352E-8</v>
      </c>
      <c r="N76" s="114">
        <f>GasModel($I$76,"Xe_Clvr",$D$76,$E$76,$B$76,$C$76,$G$76,$H$76,$B$15)</f>
        <v>9.2714847897613832E-9</v>
      </c>
      <c r="O76" s="114">
        <f>GasModel($I$76,"N2_Weiss",$D$76,$E$76,$B$76,$C$76,$G$76,$H$76,$B$16)</f>
        <v>1.3194842032335693E-2</v>
      </c>
      <c r="P76" s="114">
        <f>GasModel($I$76,"O2_B&amp;K",$D$76,$E$76,$B$76,$C$76,$G$76,$H$76,$B$17)</f>
        <v>6.420275061621232E-3</v>
      </c>
      <c r="Q76" s="114">
        <f>GasModel($I$76,"CO2_Weiss_F",$D$76,$E$76,$B$76,$C$76,$G$76,$H$76,$B$18)</f>
        <v>2.8736709471343774E-4</v>
      </c>
      <c r="R76" s="114">
        <f>GasModel($I$76,"CH4_Wies",$D$76,$E$76,$B$76,$C$76,$G$76,$H$76,$B$19)</f>
        <v>4.7938095407327797E-8</v>
      </c>
      <c r="S76" s="114">
        <f>GasModel($I$76,"H2_Wies",$D$76,$E$76,$B$76,$C$76,$G$76,$H$76,$B$20)</f>
        <v>1.065612666992487E-8</v>
      </c>
      <c r="T76" s="114">
        <f>GasModel($I$76,"N2O_Weiss_F",$D$76,$E$76,$B$76,$C$76,$G$76,$H$76,$B$21)</f>
        <v>1.9295387907173419E-7</v>
      </c>
      <c r="U76" s="114">
        <f>$L$76/$K$76</f>
        <v>1563.4803683990344</v>
      </c>
      <c r="V76" s="114">
        <f>$M$76/$N$76</f>
        <v>7.4058579324578186</v>
      </c>
      <c r="W76" s="114">
        <f>$N$76/$K$76</f>
        <v>4.6318178432652138E-2</v>
      </c>
      <c r="X76" s="114">
        <f>$M$76/$L$76</f>
        <v>2.1939888475459632E-4</v>
      </c>
      <c r="Y76" s="114">
        <f>$O$76/$L$76</f>
        <v>42.161295206492497</v>
      </c>
      <c r="Z76" s="114" t="e">
        <f>$I$76/$I$76</f>
        <v>#VALUE!</v>
      </c>
    </row>
    <row r="77" spans="1:26">
      <c r="A77" s="114" t="s">
        <v>823</v>
      </c>
      <c r="B77" s="114">
        <f t="shared" si="4"/>
        <v>0.60581683578000001</v>
      </c>
      <c r="C77" s="114">
        <f t="shared" si="5"/>
        <v>61.585365853658502</v>
      </c>
      <c r="D77" s="114">
        <f t="shared" si="2"/>
        <v>20.790000915499999</v>
      </c>
      <c r="E77" s="114">
        <f t="shared" si="6"/>
        <v>1</v>
      </c>
      <c r="F77" s="114">
        <v>0</v>
      </c>
      <c r="G77" s="114">
        <v>0</v>
      </c>
      <c r="H77" s="114">
        <v>2</v>
      </c>
      <c r="I77" s="114" t="s">
        <v>10</v>
      </c>
      <c r="J77" s="114">
        <f>GasModel($I$77,"He_Weiss",$D$77,$E$77,$B$77,$C$77,$G$77,$H$77,$B$11)</f>
        <v>4.94254918401382E-8</v>
      </c>
      <c r="K77" s="114">
        <f>GasModel($I$77,"Ne_Weiss",$D$77,$E$77,$B$77,$C$77,$G$77,$H$77,$B$12)</f>
        <v>2.0016946053356498E-7</v>
      </c>
      <c r="L77" s="114">
        <f>GasModel($I$77,"Ar_Weiss",$D$77,$E$77,$B$77,$C$77,$G$77,$H$77,$B$13)</f>
        <v>3.1296102189725414E-4</v>
      </c>
      <c r="M77" s="114">
        <f>GasModel($I$77,"Kr_Weiss",$D$77,$E$77,$B$77,$C$77,$G$77,$H$77,$B$14)</f>
        <v>6.8663299175916352E-8</v>
      </c>
      <c r="N77" s="114">
        <f>GasModel($I$77,"Xe_Clvr",$D$77,$E$77,$B$77,$C$77,$G$77,$H$77,$B$15)</f>
        <v>9.2714847897613832E-9</v>
      </c>
      <c r="O77" s="114">
        <f>GasModel($I$77,"N2_Weiss",$D$77,$E$77,$B$77,$C$77,$G$77,$H$77,$B$16)</f>
        <v>1.399420254392642E-2</v>
      </c>
      <c r="P77" s="114">
        <f>GasModel($I$77,"O2_B&amp;K",$D$77,$E$77,$B$77,$C$77,$G$77,$H$77,$B$17)</f>
        <v>6.420275061621232E-3</v>
      </c>
      <c r="Q77" s="114">
        <f>GasModel($I$77,"CO2_Weiss_F",$D$77,$E$77,$B$77,$C$77,$G$77,$H$77,$B$18)</f>
        <v>2.8736709471343774E-4</v>
      </c>
      <c r="R77" s="114">
        <f>GasModel($I$77,"CH4_Wies",$D$77,$E$77,$B$77,$C$77,$G$77,$H$77,$B$19)</f>
        <v>4.7938095407327797E-8</v>
      </c>
      <c r="S77" s="114">
        <f>GasModel($I$77,"H2_Wies",$D$77,$E$77,$B$77,$C$77,$G$77,$H$77,$B$20)</f>
        <v>1.065612666992487E-8</v>
      </c>
      <c r="T77" s="114">
        <f>GasModel($I$77,"N2O_Weiss_F",$D$77,$E$77,$B$77,$C$77,$G$77,$H$77,$B$21)</f>
        <v>1.9295387907173419E-7</v>
      </c>
      <c r="U77" s="114">
        <f>$L$77/$K$77</f>
        <v>1563.4803683990344</v>
      </c>
      <c r="V77" s="114">
        <f>$M$77/$N$77</f>
        <v>7.4058579324578186</v>
      </c>
      <c r="W77" s="114">
        <f>$N$77/$K$77</f>
        <v>4.6318178432652138E-2</v>
      </c>
      <c r="X77" s="114">
        <f>$M$77/$L$77</f>
        <v>2.1939888475459632E-4</v>
      </c>
      <c r="Y77" s="114">
        <f>$O$77/$L$77</f>
        <v>44.715480730123481</v>
      </c>
      <c r="Z77" s="114" t="e">
        <f>$I$77/$I$77</f>
        <v>#VALUE!</v>
      </c>
    </row>
    <row r="78" spans="1:26">
      <c r="A78" s="114" t="s">
        <v>823</v>
      </c>
      <c r="B78" s="114">
        <f t="shared" si="4"/>
        <v>0.60581683578000001</v>
      </c>
      <c r="C78" s="114">
        <f t="shared" si="5"/>
        <v>61.585365853658502</v>
      </c>
      <c r="D78" s="114">
        <f t="shared" si="2"/>
        <v>20.790000915499999</v>
      </c>
      <c r="E78" s="114">
        <f t="shared" si="6"/>
        <v>1</v>
      </c>
      <c r="F78" s="114">
        <v>0</v>
      </c>
      <c r="G78" s="114">
        <v>0</v>
      </c>
      <c r="H78" s="114">
        <v>3</v>
      </c>
      <c r="I78" s="114" t="s">
        <v>10</v>
      </c>
      <c r="J78" s="114">
        <f>GasModel($I$78,"He_Weiss",$D$78,$E$78,$B$78,$C$78,$G$78,$H$78,$B$11)</f>
        <v>4.94254918401382E-8</v>
      </c>
      <c r="K78" s="114">
        <f>GasModel($I$78,"Ne_Weiss",$D$78,$E$78,$B$78,$C$78,$G$78,$H$78,$B$12)</f>
        <v>2.0016946053356498E-7</v>
      </c>
      <c r="L78" s="114">
        <f>GasModel($I$78,"Ar_Weiss",$D$78,$E$78,$B$78,$C$78,$G$78,$H$78,$B$13)</f>
        <v>3.1296102189725414E-4</v>
      </c>
      <c r="M78" s="114">
        <f>GasModel($I$78,"Kr_Weiss",$D$78,$E$78,$B$78,$C$78,$G$78,$H$78,$B$14)</f>
        <v>6.8663299175916352E-8</v>
      </c>
      <c r="N78" s="114">
        <f>GasModel($I$78,"Xe_Clvr",$D$78,$E$78,$B$78,$C$78,$G$78,$H$78,$B$15)</f>
        <v>9.2714847897613832E-9</v>
      </c>
      <c r="O78" s="114">
        <f>GasModel($I$78,"N2_Weiss",$D$78,$E$78,$B$78,$C$78,$G$78,$H$78,$B$16)</f>
        <v>1.4793563055517149E-2</v>
      </c>
      <c r="P78" s="114">
        <f>GasModel($I$78,"O2_B&amp;K",$D$78,$E$78,$B$78,$C$78,$G$78,$H$78,$B$17)</f>
        <v>6.420275061621232E-3</v>
      </c>
      <c r="Q78" s="114">
        <f>GasModel($I$78,"CO2_Weiss_F",$D$78,$E$78,$B$78,$C$78,$G$78,$H$78,$B$18)</f>
        <v>2.8736709471343774E-4</v>
      </c>
      <c r="R78" s="114">
        <f>GasModel($I$78,"CH4_Wies",$D$78,$E$78,$B$78,$C$78,$G$78,$H$78,$B$19)</f>
        <v>4.7938095407327797E-8</v>
      </c>
      <c r="S78" s="114">
        <f>GasModel($I$78,"H2_Wies",$D$78,$E$78,$B$78,$C$78,$G$78,$H$78,$B$20)</f>
        <v>1.065612666992487E-8</v>
      </c>
      <c r="T78" s="114">
        <f>GasModel($I$78,"N2O_Weiss_F",$D$78,$E$78,$B$78,$C$78,$G$78,$H$78,$B$21)</f>
        <v>1.9295387907173419E-7</v>
      </c>
      <c r="U78" s="114">
        <f>$L$78/$K$78</f>
        <v>1563.4803683990344</v>
      </c>
      <c r="V78" s="114">
        <f>$M$78/$N$78</f>
        <v>7.4058579324578186</v>
      </c>
      <c r="W78" s="114">
        <f>$N$78/$K$78</f>
        <v>4.6318178432652138E-2</v>
      </c>
      <c r="X78" s="114">
        <f>$M$78/$L$78</f>
        <v>2.1939888475459632E-4</v>
      </c>
      <c r="Y78" s="114">
        <f>$O$78/$L$78</f>
        <v>47.269666253754473</v>
      </c>
      <c r="Z78" s="114" t="e">
        <f>$I$78/$I$78</f>
        <v>#VALUE!</v>
      </c>
    </row>
    <row r="79" spans="1:26">
      <c r="A79" s="114" t="s">
        <v>823</v>
      </c>
      <c r="B79" s="114">
        <f t="shared" si="4"/>
        <v>0.60581683578000001</v>
      </c>
      <c r="C79" s="114">
        <f t="shared" si="5"/>
        <v>61.585365853658502</v>
      </c>
      <c r="D79" s="114">
        <f t="shared" si="2"/>
        <v>20.790000915499999</v>
      </c>
      <c r="E79" s="114">
        <f t="shared" si="6"/>
        <v>1</v>
      </c>
      <c r="F79" s="114">
        <v>0</v>
      </c>
      <c r="G79" s="114">
        <v>0</v>
      </c>
      <c r="H79" s="114">
        <v>4</v>
      </c>
      <c r="I79" s="114" t="s">
        <v>10</v>
      </c>
      <c r="J79" s="114">
        <f>GasModel($I$79,"He_Weiss",$D$79,$E$79,$B$79,$C$79,$G$79,$H$79,$B$11)</f>
        <v>4.94254918401382E-8</v>
      </c>
      <c r="K79" s="114">
        <f>GasModel($I$79,"Ne_Weiss",$D$79,$E$79,$B$79,$C$79,$G$79,$H$79,$B$12)</f>
        <v>2.0016946053356498E-7</v>
      </c>
      <c r="L79" s="114">
        <f>GasModel($I$79,"Ar_Weiss",$D$79,$E$79,$B$79,$C$79,$G$79,$H$79,$B$13)</f>
        <v>3.1296102189725414E-4</v>
      </c>
      <c r="M79" s="114">
        <f>GasModel($I$79,"Kr_Weiss",$D$79,$E$79,$B$79,$C$79,$G$79,$H$79,$B$14)</f>
        <v>6.8663299175916352E-8</v>
      </c>
      <c r="N79" s="114">
        <f>GasModel($I$79,"Xe_Clvr",$D$79,$E$79,$B$79,$C$79,$G$79,$H$79,$B$15)</f>
        <v>9.2714847897613832E-9</v>
      </c>
      <c r="O79" s="114">
        <f>GasModel($I$79,"N2_Weiss",$D$79,$E$79,$B$79,$C$79,$G$79,$H$79,$B$16)</f>
        <v>1.5592923567107876E-2</v>
      </c>
      <c r="P79" s="114">
        <f>GasModel($I$79,"O2_B&amp;K",$D$79,$E$79,$B$79,$C$79,$G$79,$H$79,$B$17)</f>
        <v>6.420275061621232E-3</v>
      </c>
      <c r="Q79" s="114">
        <f>GasModel($I$79,"CO2_Weiss_F",$D$79,$E$79,$B$79,$C$79,$G$79,$H$79,$B$18)</f>
        <v>2.8736709471343774E-4</v>
      </c>
      <c r="R79" s="114">
        <f>GasModel($I$79,"CH4_Wies",$D$79,$E$79,$B$79,$C$79,$G$79,$H$79,$B$19)</f>
        <v>4.7938095407327797E-8</v>
      </c>
      <c r="S79" s="114">
        <f>GasModel($I$79,"H2_Wies",$D$79,$E$79,$B$79,$C$79,$G$79,$H$79,$B$20)</f>
        <v>1.065612666992487E-8</v>
      </c>
      <c r="T79" s="114">
        <f>GasModel($I$79,"N2O_Weiss_F",$D$79,$E$79,$B$79,$C$79,$G$79,$H$79,$B$21)</f>
        <v>1.9295387907173419E-7</v>
      </c>
      <c r="U79" s="114">
        <f>$L$79/$K$79</f>
        <v>1563.4803683990344</v>
      </c>
      <c r="V79" s="114">
        <f>$M$79/$N$79</f>
        <v>7.4058579324578186</v>
      </c>
      <c r="W79" s="114">
        <f>$N$79/$K$79</f>
        <v>4.6318178432652138E-2</v>
      </c>
      <c r="X79" s="114">
        <f>$M$79/$L$79</f>
        <v>2.1939888475459632E-4</v>
      </c>
      <c r="Y79" s="114">
        <f>$O$79/$L$79</f>
        <v>49.823851777385464</v>
      </c>
      <c r="Z79" s="114" t="e">
        <f>$I$79/$I$79</f>
        <v>#VALUE!</v>
      </c>
    </row>
    <row r="80" spans="1:26">
      <c r="A80" s="114" t="s">
        <v>823</v>
      </c>
      <c r="B80" s="114">
        <f t="shared" si="4"/>
        <v>0.60581683578000001</v>
      </c>
      <c r="C80" s="114">
        <f t="shared" si="5"/>
        <v>61.585365853658502</v>
      </c>
      <c r="D80" s="114">
        <f t="shared" si="2"/>
        <v>20.790000915499999</v>
      </c>
      <c r="E80" s="114">
        <f t="shared" si="6"/>
        <v>1</v>
      </c>
      <c r="F80" s="114">
        <v>0</v>
      </c>
      <c r="G80" s="114">
        <v>0</v>
      </c>
      <c r="H80" s="114">
        <v>5</v>
      </c>
      <c r="I80" s="114" t="s">
        <v>10</v>
      </c>
      <c r="J80" s="114">
        <f>GasModel($I$80,"He_Weiss",$D$80,$E$80,$B$80,$C$80,$G$80,$H$80,$B$11)</f>
        <v>4.94254918401382E-8</v>
      </c>
      <c r="K80" s="114">
        <f>GasModel($I$80,"Ne_Weiss",$D$80,$E$80,$B$80,$C$80,$G$80,$H$80,$B$12)</f>
        <v>2.0016946053356498E-7</v>
      </c>
      <c r="L80" s="114">
        <f>GasModel($I$80,"Ar_Weiss",$D$80,$E$80,$B$80,$C$80,$G$80,$H$80,$B$13)</f>
        <v>3.1296102189725414E-4</v>
      </c>
      <c r="M80" s="114">
        <f>GasModel($I$80,"Kr_Weiss",$D$80,$E$80,$B$80,$C$80,$G$80,$H$80,$B$14)</f>
        <v>6.8663299175916352E-8</v>
      </c>
      <c r="N80" s="114">
        <f>GasModel($I$80,"Xe_Clvr",$D$80,$E$80,$B$80,$C$80,$G$80,$H$80,$B$15)</f>
        <v>9.2714847897613832E-9</v>
      </c>
      <c r="O80" s="114">
        <f>GasModel($I$80,"N2_Weiss",$D$80,$E$80,$B$80,$C$80,$G$80,$H$80,$B$16)</f>
        <v>1.6392284078698603E-2</v>
      </c>
      <c r="P80" s="114">
        <f>GasModel($I$80,"O2_B&amp;K",$D$80,$E$80,$B$80,$C$80,$G$80,$H$80,$B$17)</f>
        <v>6.420275061621232E-3</v>
      </c>
      <c r="Q80" s="114">
        <f>GasModel($I$80,"CO2_Weiss_F",$D$80,$E$80,$B$80,$C$80,$G$80,$H$80,$B$18)</f>
        <v>2.8736709471343774E-4</v>
      </c>
      <c r="R80" s="114">
        <f>GasModel($I$80,"CH4_Wies",$D$80,$E$80,$B$80,$C$80,$G$80,$H$80,$B$19)</f>
        <v>4.7938095407327797E-8</v>
      </c>
      <c r="S80" s="114">
        <f>GasModel($I$80,"H2_Wies",$D$80,$E$80,$B$80,$C$80,$G$80,$H$80,$B$20)</f>
        <v>1.065612666992487E-8</v>
      </c>
      <c r="T80" s="114">
        <f>GasModel($I$80,"N2O_Weiss_F",$D$80,$E$80,$B$80,$C$80,$G$80,$H$80,$B$21)</f>
        <v>1.9295387907173419E-7</v>
      </c>
      <c r="U80" s="114">
        <f>$L$80/$K$80</f>
        <v>1563.4803683990344</v>
      </c>
      <c r="V80" s="114">
        <f>$M$80/$N$80</f>
        <v>7.4058579324578186</v>
      </c>
      <c r="W80" s="114">
        <f>$N$80/$K$80</f>
        <v>4.6318178432652138E-2</v>
      </c>
      <c r="X80" s="114">
        <f>$M$80/$L$80</f>
        <v>2.1939888475459632E-4</v>
      </c>
      <c r="Y80" s="114">
        <f>$O$80/$L$80</f>
        <v>52.378037301016448</v>
      </c>
      <c r="Z80" s="114" t="e">
        <f>$I$80/$I$80</f>
        <v>#VALUE!</v>
      </c>
    </row>
    <row r="81" spans="1:26">
      <c r="A81" s="114" t="s">
        <v>823</v>
      </c>
      <c r="B81" s="114">
        <f t="shared" si="4"/>
        <v>0.60581683578000001</v>
      </c>
      <c r="C81" s="114">
        <f t="shared" si="5"/>
        <v>61.585365853658502</v>
      </c>
      <c r="D81" s="114">
        <f t="shared" si="2"/>
        <v>20.790000915499999</v>
      </c>
      <c r="E81" s="114">
        <f t="shared" si="6"/>
        <v>1</v>
      </c>
      <c r="F81" s="114">
        <v>0</v>
      </c>
      <c r="G81" s="114">
        <v>0</v>
      </c>
      <c r="H81" s="114">
        <v>10</v>
      </c>
      <c r="I81" s="114" t="s">
        <v>10</v>
      </c>
      <c r="J81" s="114">
        <f>GasModel($I$81,"He_Weiss",$D$81,$E$81,$B$81,$C$81,$G$81,$H$81,$B$11)</f>
        <v>4.94254918401382E-8</v>
      </c>
      <c r="K81" s="114">
        <f>GasModel($I$81,"Ne_Weiss",$D$81,$E$81,$B$81,$C$81,$G$81,$H$81,$B$12)</f>
        <v>2.0016946053356498E-7</v>
      </c>
      <c r="L81" s="114">
        <f>GasModel($I$81,"Ar_Weiss",$D$81,$E$81,$B$81,$C$81,$G$81,$H$81,$B$13)</f>
        <v>3.1296102189725414E-4</v>
      </c>
      <c r="M81" s="114">
        <f>GasModel($I$81,"Kr_Weiss",$D$81,$E$81,$B$81,$C$81,$G$81,$H$81,$B$14)</f>
        <v>6.8663299175916352E-8</v>
      </c>
      <c r="N81" s="114">
        <f>GasModel($I$81,"Xe_Clvr",$D$81,$E$81,$B$81,$C$81,$G$81,$H$81,$B$15)</f>
        <v>9.2714847897613832E-9</v>
      </c>
      <c r="O81" s="114">
        <f>GasModel($I$81,"N2_Weiss",$D$81,$E$81,$B$81,$C$81,$G$81,$H$81,$B$16)</f>
        <v>2.0389086636652246E-2</v>
      </c>
      <c r="P81" s="114">
        <f>GasModel($I$81,"O2_B&amp;K",$D$81,$E$81,$B$81,$C$81,$G$81,$H$81,$B$17)</f>
        <v>6.420275061621232E-3</v>
      </c>
      <c r="Q81" s="114">
        <f>GasModel($I$81,"CO2_Weiss_F",$D$81,$E$81,$B$81,$C$81,$G$81,$H$81,$B$18)</f>
        <v>2.8736709471343774E-4</v>
      </c>
      <c r="R81" s="114">
        <f>GasModel($I$81,"CH4_Wies",$D$81,$E$81,$B$81,$C$81,$G$81,$H$81,$B$19)</f>
        <v>4.7938095407327797E-8</v>
      </c>
      <c r="S81" s="114">
        <f>GasModel($I$81,"H2_Wies",$D$81,$E$81,$B$81,$C$81,$G$81,$H$81,$B$20)</f>
        <v>1.065612666992487E-8</v>
      </c>
      <c r="T81" s="114">
        <f>GasModel($I$81,"N2O_Weiss_F",$D$81,$E$81,$B$81,$C$81,$G$81,$H$81,$B$21)</f>
        <v>1.9295387907173419E-7</v>
      </c>
      <c r="U81" s="114">
        <f>$L$81/$K$81</f>
        <v>1563.4803683990344</v>
      </c>
      <c r="V81" s="114">
        <f>$M$81/$N$81</f>
        <v>7.4058579324578186</v>
      </c>
      <c r="W81" s="114">
        <f>$N$81/$K$81</f>
        <v>4.6318178432652138E-2</v>
      </c>
      <c r="X81" s="114">
        <f>$M$81/$L$81</f>
        <v>2.1939888475459632E-4</v>
      </c>
      <c r="Y81" s="114">
        <f>$O$81/$L$81</f>
        <v>65.148964919171405</v>
      </c>
      <c r="Z81" s="114" t="e">
        <f>$I$81/$I$81</f>
        <v>#VALUE!</v>
      </c>
    </row>
    <row r="82" spans="1:26">
      <c r="A82" s="114" t="s">
        <v>824</v>
      </c>
      <c r="B82" s="114">
        <f t="shared" si="4"/>
        <v>0.60581683578000001</v>
      </c>
      <c r="C82" s="114">
        <f t="shared" si="5"/>
        <v>61.585365853658502</v>
      </c>
      <c r="D82" s="114">
        <f t="shared" si="2"/>
        <v>20.790000915499999</v>
      </c>
      <c r="E82" s="114">
        <v>0</v>
      </c>
      <c r="F82" s="114">
        <v>0</v>
      </c>
      <c r="G82" s="114">
        <f t="shared" ref="G82:G104" si="7">$G$4</f>
        <v>0.5</v>
      </c>
      <c r="H82" s="114">
        <f t="shared" ref="H82:H97" si="8">$F$4</f>
        <v>0</v>
      </c>
      <c r="I82" s="114" t="s">
        <v>16</v>
      </c>
      <c r="J82" s="114">
        <f>GasModel($I$82,"He_Weiss",$D$82,$F$82,$B$82,$C$82,$G$82,$H$82,$B$11)</f>
        <v>4.4185491840138201E-8</v>
      </c>
      <c r="K82" s="114">
        <f>GasModel($I$82,"Ne_Weiss",$D$82,$F$82,$B$82,$C$82,$G$82,$H$82,$B$12)</f>
        <v>1.8198946053356498E-7</v>
      </c>
      <c r="L82" s="114">
        <f>GasModel($I$82,"Ar_Weiss",$D$82,$F$82,$B$82,$C$82,$G$82,$H$82,$B$13)</f>
        <v>3.0362102189725415E-4</v>
      </c>
      <c r="M82" s="114">
        <f>GasModel($I$82,"Kr_Weiss",$D$82,$F$82,$B$82,$C$82,$G$82,$H$82,$B$14)</f>
        <v>6.7523299175916356E-8</v>
      </c>
      <c r="N82" s="114">
        <f>GasModel($I$82,"Xe_Clvr",$D$82,$F$82,$B$82,$C$82,$G$82,$H$82,$B$15)</f>
        <v>9.1844847897613838E-9</v>
      </c>
      <c r="O82" s="114">
        <f>GasModel($I$82,"N2_Weiss",$D$82,$F$82,$B$82,$C$82,$G$82,$H$82,$B$16)</f>
        <v>1.1614641520744965E-2</v>
      </c>
      <c r="P82" s="114">
        <f>GasModel($I$82,"O2_B&amp;K",$D$82,$F$82,$B$82,$C$82,$G$82,$H$82,$B$17)</f>
        <v>6.2107750616212324E-3</v>
      </c>
      <c r="Q82" s="114">
        <f>GasModel($I$82,"CO2_Weiss_F",$D$82,$F$82,$B$82,$C$82,$G$82,$H$82,$B$18)</f>
        <v>2.8701709471343776E-4</v>
      </c>
      <c r="R82" s="114">
        <f>GasModel($I$82,"CH4_Wies",$D$82,$F$82,$B$82,$C$82,$G$82,$H$82,$B$19)</f>
        <v>4.65280954073278E-8</v>
      </c>
      <c r="S82" s="114">
        <f>GasModel($I$82,"H2_Wies",$D$82,$F$82,$B$82,$C$82,$G$82,$H$82,$B$20)</f>
        <v>1.007612666992487E-8</v>
      </c>
      <c r="T82" s="114">
        <f>GasModel($I$82,"N2O_Weiss_F",$D$82,$F$82,$B$82,$C$82,$G$82,$H$82,$B$21)</f>
        <v>1.926338790717342E-7</v>
      </c>
      <c r="U82" s="114">
        <f>$L$82/$K$82</f>
        <v>1668.3439854543456</v>
      </c>
      <c r="V82" s="114">
        <f>$M$82/$N$82</f>
        <v>7.351887527887194</v>
      </c>
      <c r="W82" s="114">
        <f>$N$82/$K$82</f>
        <v>5.0467124650152233E-2</v>
      </c>
      <c r="X82" s="114">
        <f>$M$82/$L$82</f>
        <v>2.2239335983384692E-4</v>
      </c>
      <c r="Y82" s="114">
        <f>$O$82/$L$82</f>
        <v>38.253746226687092</v>
      </c>
      <c r="Z82" s="114" t="e">
        <f>$I$82/$I$82</f>
        <v>#VALUE!</v>
      </c>
    </row>
    <row r="83" spans="1:26">
      <c r="A83" s="114" t="s">
        <v>824</v>
      </c>
      <c r="B83" s="114">
        <f t="shared" si="4"/>
        <v>0.60581683578000001</v>
      </c>
      <c r="C83" s="114">
        <f t="shared" si="5"/>
        <v>61.585365853658502</v>
      </c>
      <c r="D83" s="114">
        <f t="shared" si="2"/>
        <v>20.790000915499999</v>
      </c>
      <c r="E83" s="114">
        <v>0</v>
      </c>
      <c r="F83" s="114">
        <v>4</v>
      </c>
      <c r="G83" s="114">
        <f t="shared" si="7"/>
        <v>0.5</v>
      </c>
      <c r="H83" s="114">
        <f t="shared" si="8"/>
        <v>0</v>
      </c>
      <c r="I83" s="114" t="s">
        <v>16</v>
      </c>
      <c r="J83" s="114">
        <f>GasModel($I$83,"He_Weiss",$D$83,$F$83,$B$83,$C$83,$G$83,$H$83,$B$11)</f>
        <v>5.2656355979416702E-8</v>
      </c>
      <c r="K83" s="114">
        <f>GasModel($I$83,"Ne_Weiss",$D$83,$F$83,$B$83,$C$83,$G$83,$H$83,$B$12)</f>
        <v>2.1229471875967004E-7</v>
      </c>
      <c r="L83" s="114">
        <f>GasModel($I$83,"Ar_Weiss",$D$83,$F$83,$B$83,$C$83,$G$83,$H$83,$B$13)</f>
        <v>3.2121836197285828E-4</v>
      </c>
      <c r="M83" s="114">
        <f>GasModel($I$83,"Kr_Weiss",$D$83,$F$83,$B$83,$C$83,$G$83,$H$83,$B$14)</f>
        <v>6.9728827051226392E-8</v>
      </c>
      <c r="N83" s="114">
        <f>GasModel($I$83,"Xe_Clvr",$D$83,$F$83,$B$83,$C$83,$G$83,$H$83,$B$15)</f>
        <v>9.3552496506678071E-9</v>
      </c>
      <c r="O83" s="114">
        <f>GasModel($I$83,"N2_Weiss",$D$83,$F$83,$B$83,$C$83,$G$83,$H$83,$B$16)</f>
        <v>1.2991228555416193E-2</v>
      </c>
      <c r="P83" s="114">
        <f>GasModel($I$83,"O2_B&amp;K",$D$83,$F$83,$B$83,$C$83,$G$83,$H$83,$B$17)</f>
        <v>6.6032943743628827E-3</v>
      </c>
      <c r="Q83" s="114">
        <f>GasModel($I$83,"CO2_Weiss_F",$D$83,$F$83,$B$83,$C$83,$G$83,$H$83,$B$18)</f>
        <v>2.8771539165161415E-4</v>
      </c>
      <c r="R83" s="114">
        <f>GasModel($I$83,"CH4_Wies",$D$83,$F$83,$B$83,$C$83,$G$83,$H$83,$B$19)</f>
        <v>4.9186946330866804E-8</v>
      </c>
      <c r="S83" s="114">
        <f>GasModel($I$83,"H2_Wies",$D$83,$F$83,$B$83,$C$83,$G$83,$H$83,$B$20)</f>
        <v>1.1116370099041623E-8</v>
      </c>
      <c r="T83" s="114">
        <f>GasModel($I$83,"N2O_Weiss_F",$D$83,$F$83,$B$83,$C$83,$G$83,$H$83,$B$21)</f>
        <v>1.9327175979932158E-7</v>
      </c>
      <c r="U83" s="114">
        <f>$L$83/$K$83</f>
        <v>1513.0774983455717</v>
      </c>
      <c r="V83" s="114">
        <f>$M$83/$N$83</f>
        <v>7.4534437513646603</v>
      </c>
      <c r="W83" s="114">
        <f>$N$83/$K$83</f>
        <v>4.4067274519713762E-2</v>
      </c>
      <c r="X83" s="114">
        <f>$M$83/$L$83</f>
        <v>2.1707609310677641E-4</v>
      </c>
      <c r="Y83" s="114">
        <f>$O$83/$L$83</f>
        <v>40.443605015686813</v>
      </c>
      <c r="Z83" s="114" t="e">
        <f>$I$83/$I$83</f>
        <v>#VALUE!</v>
      </c>
    </row>
    <row r="84" spans="1:26">
      <c r="A84" s="114" t="s">
        <v>824</v>
      </c>
      <c r="B84" s="114">
        <f t="shared" si="4"/>
        <v>0.60581683578000001</v>
      </c>
      <c r="C84" s="114">
        <f t="shared" si="5"/>
        <v>61.585365853658502</v>
      </c>
      <c r="D84" s="114">
        <f t="shared" si="2"/>
        <v>20.790000915499999</v>
      </c>
      <c r="E84" s="114">
        <v>0</v>
      </c>
      <c r="F84" s="114">
        <v>6</v>
      </c>
      <c r="G84" s="114">
        <f t="shared" si="7"/>
        <v>0.5</v>
      </c>
      <c r="H84" s="114">
        <f t="shared" si="8"/>
        <v>0</v>
      </c>
      <c r="I84" s="114" t="s">
        <v>16</v>
      </c>
      <c r="J84" s="114">
        <f>GasModel($I$84,"He_Weiss",$D$84,$F$84,$B$84,$C$84,$G$84,$H$84,$B$11)</f>
        <v>5.5780354187325804E-8</v>
      </c>
      <c r="K84" s="114">
        <f>GasModel($I$84,"Ne_Weiss",$D$84,$F$84,$B$84,$C$84,$G$84,$H$84,$B$12)</f>
        <v>2.2395338821982509E-7</v>
      </c>
      <c r="L84" s="114">
        <f>GasModel($I$84,"Ar_Weiss",$D$84,$F$84,$B$84,$C$84,$G$84,$H$84,$B$13)</f>
        <v>3.2927364166332386E-4</v>
      </c>
      <c r="M84" s="114">
        <f>GasModel($I$84,"Kr_Weiss",$D$84,$F$84,$B$84,$C$84,$G$84,$H$84,$B$14)</f>
        <v>7.0778429482289663E-8</v>
      </c>
      <c r="N84" s="114">
        <f>GasModel($I$84,"Xe_Clvr",$D$84,$F$84,$B$84,$C$84,$G$84,$H$84,$B$15)</f>
        <v>9.4382727724307493E-9</v>
      </c>
      <c r="O84" s="114">
        <f>GasModel($I$84,"N2_Weiss",$D$84,$F$84,$B$84,$C$84,$G$84,$H$84,$B$16)</f>
        <v>1.3564001354027405E-2</v>
      </c>
      <c r="P84" s="114">
        <f>GasModel($I$84,"O2_B&amp;K",$D$84,$F$84,$B$84,$C$84,$G$84,$H$84,$B$17)</f>
        <v>6.7815186113482171E-3</v>
      </c>
      <c r="Q84" s="114">
        <f>GasModel($I$84,"CO2_Weiss_F",$D$84,$F$84,$B$84,$C$84,$G$84,$H$84,$B$18)</f>
        <v>2.8806326748005972E-4</v>
      </c>
      <c r="R84" s="114">
        <f>GasModel($I$84,"CH4_Wies",$D$84,$F$84,$B$84,$C$84,$G$84,$H$84,$B$19)</f>
        <v>5.040558218049351E-8</v>
      </c>
      <c r="S84" s="114">
        <f>GasModel($I$84,"H2_Wies",$D$84,$F$84,$B$84,$C$84,$G$84,$H$84,$B$20)</f>
        <v>1.1559900574472963E-8</v>
      </c>
      <c r="T84" s="114">
        <f>GasModel($I$84,"N2O_Weiss_F",$D$84,$F$84,$B$84,$C$84,$G$84,$H$84,$B$21)</f>
        <v>1.9358911859064659E-7</v>
      </c>
      <c r="U84" s="114">
        <f>$L$84/$K$84</f>
        <v>1470.2775621332416</v>
      </c>
      <c r="V84" s="114">
        <f>$M$84/$N$84</f>
        <v>7.4990870881623461</v>
      </c>
      <c r="W84" s="114">
        <f>$N$84/$K$84</f>
        <v>4.2143915961505615E-2</v>
      </c>
      <c r="X84" s="114">
        <f>$M$84/$L$84</f>
        <v>2.1495321983488517E-4</v>
      </c>
      <c r="Y84" s="114">
        <f>$O$84/$L$84</f>
        <v>41.193705288734719</v>
      </c>
      <c r="Z84" s="114" t="e">
        <f>$I$84/$I$84</f>
        <v>#VALUE!</v>
      </c>
    </row>
    <row r="85" spans="1:26">
      <c r="A85" s="114" t="s">
        <v>824</v>
      </c>
      <c r="B85" s="114">
        <f t="shared" si="4"/>
        <v>0.60581683578000001</v>
      </c>
      <c r="C85" s="114">
        <f t="shared" si="5"/>
        <v>61.585365853658502</v>
      </c>
      <c r="D85" s="114">
        <f t="shared" si="2"/>
        <v>20.790000915499999</v>
      </c>
      <c r="E85" s="114">
        <v>0</v>
      </c>
      <c r="F85" s="114">
        <v>8</v>
      </c>
      <c r="G85" s="114">
        <f t="shared" si="7"/>
        <v>0.5</v>
      </c>
      <c r="H85" s="114">
        <f t="shared" si="8"/>
        <v>0</v>
      </c>
      <c r="I85" s="114" t="s">
        <v>16</v>
      </c>
      <c r="J85" s="114">
        <f>GasModel($I$85,"He_Weiss",$D$85,$F$85,$B$85,$C$85,$G$85,$H$85,$B$11)</f>
        <v>5.8401792658649791E-8</v>
      </c>
      <c r="K85" s="114">
        <f>GasModel($I$85,"Ne_Weiss",$D$85,$F$85,$B$85,$C$85,$G$85,$H$85,$B$12)</f>
        <v>2.3394777233822943E-7</v>
      </c>
      <c r="L85" s="114">
        <f>GasModel($I$85,"Ar_Weiss",$D$85,$F$85,$B$85,$C$85,$G$85,$H$85,$B$13)</f>
        <v>3.3688762810004573E-4</v>
      </c>
      <c r="M85" s="114">
        <f>GasModel($I$85,"Kr_Weiss",$D$85,$F$85,$B$85,$C$85,$G$85,$H$85,$B$14)</f>
        <v>7.1794832912056068E-8</v>
      </c>
      <c r="N85" s="114">
        <f>GasModel($I$85,"Xe_Clvr",$D$85,$F$85,$B$85,$C$85,$G$85,$H$85,$B$15)</f>
        <v>9.5197804421887471E-9</v>
      </c>
      <c r="O85" s="114">
        <f>GasModel($I$85,"N2_Weiss",$D$85,$F$85,$B$85,$C$85,$G$85,$H$85,$B$16)</f>
        <v>1.4076081539540696E-2</v>
      </c>
      <c r="P85" s="114">
        <f>GasModel($I$85,"O2_B&amp;K",$D$85,$F$85,$B$85,$C$85,$G$85,$H$85,$B$17)</f>
        <v>6.9491486735096955E-3</v>
      </c>
      <c r="Q85" s="114">
        <f>GasModel($I$85,"CO2_Weiss_F",$D$85,$F$85,$B$85,$C$85,$G$85,$H$85,$B$18)</f>
        <v>2.8841029899974419E-4</v>
      </c>
      <c r="R85" s="114">
        <f>GasModel($I$85,"CH4_Wies",$D$85,$F$85,$B$85,$C$85,$G$85,$H$85,$B$19)</f>
        <v>5.1558343417119394E-8</v>
      </c>
      <c r="S85" s="114">
        <f>GasModel($I$85,"H2_Wies",$D$85,$F$85,$B$85,$C$85,$G$85,$H$85,$B$20)</f>
        <v>1.1961926524724787E-8</v>
      </c>
      <c r="T85" s="114">
        <f>GasModel($I$85,"N2O_Weiss_F",$D$85,$F$85,$B$85,$C$85,$G$85,$H$85,$B$21)</f>
        <v>1.9390542996016032E-7</v>
      </c>
      <c r="U85" s="114">
        <f>$L$85/$K$85</f>
        <v>1440.0121220773638</v>
      </c>
      <c r="V85" s="114">
        <f>$M$85/$N$85</f>
        <v>7.5416479768675533</v>
      </c>
      <c r="W85" s="114">
        <f>$N$85/$K$85</f>
        <v>4.0691904637696431E-2</v>
      </c>
      <c r="X85" s="114">
        <f>$M$85/$L$85</f>
        <v>2.1311210897520733E-4</v>
      </c>
      <c r="Y85" s="114">
        <f>$O$85/$L$85</f>
        <v>41.782720306251534</v>
      </c>
      <c r="Z85" s="114" t="e">
        <f>$I$85/$I$85</f>
        <v>#VALUE!</v>
      </c>
    </row>
    <row r="86" spans="1:26">
      <c r="A86" s="114" t="s">
        <v>824</v>
      </c>
      <c r="B86" s="114">
        <f t="shared" si="4"/>
        <v>0.60581683578000001</v>
      </c>
      <c r="C86" s="114">
        <f t="shared" si="5"/>
        <v>61.585365853658502</v>
      </c>
      <c r="D86" s="114">
        <f t="shared" si="2"/>
        <v>20.790000915499999</v>
      </c>
      <c r="E86" s="114">
        <v>0</v>
      </c>
      <c r="F86" s="114">
        <v>10</v>
      </c>
      <c r="G86" s="114">
        <f t="shared" si="7"/>
        <v>0.5</v>
      </c>
      <c r="H86" s="114">
        <f t="shared" si="8"/>
        <v>0</v>
      </c>
      <c r="I86" s="114" t="s">
        <v>16</v>
      </c>
      <c r="J86" s="114">
        <f>GasModel($I$86,"He_Weiss",$D$86,$F$86,$B$86,$C$86,$G$86,$H$86,$B$11)</f>
        <v>6.0632913829330739E-8</v>
      </c>
      <c r="K86" s="114">
        <f>GasModel($I$86,"Ne_Weiss",$D$86,$F$86,$B$86,$C$86,$G$86,$H$86,$B$12)</f>
        <v>2.4261049708864409E-7</v>
      </c>
      <c r="L86" s="114">
        <f>GasModel($I$86,"Ar_Weiss",$D$86,$F$86,$B$86,$C$86,$G$86,$H$86,$B$13)</f>
        <v>3.4409561758612026E-4</v>
      </c>
      <c r="M86" s="114">
        <f>GasModel($I$86,"Kr_Weiss",$D$86,$F$86,$B$86,$C$86,$G$86,$H$86,$B$14)</f>
        <v>7.2779587947855681E-8</v>
      </c>
      <c r="N86" s="114">
        <f>GasModel($I$86,"Xe_Clvr",$D$86,$F$86,$B$86,$C$86,$G$86,$H$86,$B$15)</f>
        <v>9.5998137778376048E-9</v>
      </c>
      <c r="O86" s="114">
        <f>GasModel($I$86,"N2_Weiss",$D$86,$F$86,$B$86,$C$86,$G$86,$H$86,$B$16)</f>
        <v>1.4536630469770311E-2</v>
      </c>
      <c r="P86" s="114">
        <f>GasModel($I$86,"O2_B&amp;K",$D$86,$F$86,$B$86,$C$86,$G$86,$H$86,$B$17)</f>
        <v>7.1071019191480522E-3</v>
      </c>
      <c r="Q86" s="114">
        <f>GasModel($I$86,"CO2_Weiss_F",$D$86,$F$86,$B$86,$C$86,$G$86,$H$86,$B$18)</f>
        <v>2.8875648928069949E-4</v>
      </c>
      <c r="R86" s="114">
        <f>GasModel($I$86,"CH4_Wies",$D$86,$F$86,$B$86,$C$86,$G$86,$H$86,$B$19)</f>
        <v>5.2650430852958396E-8</v>
      </c>
      <c r="S86" s="114">
        <f>GasModel($I$86,"H2_Wies",$D$86,$F$86,$B$86,$C$86,$G$86,$H$86,$B$20)</f>
        <v>1.2328013391292034E-8</v>
      </c>
      <c r="T86" s="114">
        <f>GasModel($I$86,"N2O_Weiss_F",$D$86,$F$86,$B$86,$C$86,$G$86,$H$86,$B$21)</f>
        <v>1.9422069908474E-7</v>
      </c>
      <c r="U86" s="114">
        <f>$L$86/$K$86</f>
        <v>1418.3047383163967</v>
      </c>
      <c r="V86" s="114">
        <f>$M$86/$N$86</f>
        <v>7.581354142085198</v>
      </c>
      <c r="W86" s="114">
        <f>$N$86/$K$86</f>
        <v>3.9568831081245683E-2</v>
      </c>
      <c r="X86" s="114">
        <f>$M$86/$L$86</f>
        <v>2.1150977875979604E-4</v>
      </c>
      <c r="Y86" s="114">
        <f>$O$86/$L$86</f>
        <v>42.245904123240059</v>
      </c>
      <c r="Z86" s="114" t="e">
        <f>$I$86/$I$86</f>
        <v>#VALUE!</v>
      </c>
    </row>
    <row r="87" spans="1:26">
      <c r="A87" s="114" t="s">
        <v>824</v>
      </c>
      <c r="B87" s="114">
        <f t="shared" si="4"/>
        <v>0.60581683578000001</v>
      </c>
      <c r="C87" s="114">
        <f t="shared" si="5"/>
        <v>61.585365853658502</v>
      </c>
      <c r="D87" s="114">
        <f t="shared" si="2"/>
        <v>20.790000915499999</v>
      </c>
      <c r="E87" s="114">
        <v>0</v>
      </c>
      <c r="F87" s="114">
        <v>15</v>
      </c>
      <c r="G87" s="114">
        <f t="shared" si="7"/>
        <v>0.5</v>
      </c>
      <c r="H87" s="114">
        <f t="shared" si="8"/>
        <v>0</v>
      </c>
      <c r="I87" s="114" t="s">
        <v>16</v>
      </c>
      <c r="J87" s="114">
        <f>GasModel($I$87,"He_Weiss",$D$87,$F$87,$B$87,$C$87,$G$87,$H$87,$B$11)</f>
        <v>6.4985391212385304E-8</v>
      </c>
      <c r="K87" s="114">
        <f>GasModel($I$87,"Ne_Weiss",$D$87,$F$87,$B$87,$C$87,$G$87,$H$87,$B$12)</f>
        <v>2.5993852441072519E-7</v>
      </c>
      <c r="L87" s="114">
        <f>GasModel($I$87,"Ar_Weiss",$D$87,$F$87,$B$87,$C$87,$G$87,$H$87,$B$13)</f>
        <v>3.6053914328626236E-4</v>
      </c>
      <c r="M87" s="114">
        <f>GasModel($I$87,"Kr_Weiss",$D$87,$F$87,$B$87,$C$87,$G$87,$H$87,$B$14)</f>
        <v>7.5112350974748512E-8</v>
      </c>
      <c r="N87" s="114">
        <f>GasModel($I$87,"Xe_Clvr",$D$87,$F$87,$B$87,$C$87,$G$87,$H$87,$B$15)</f>
        <v>9.7937036157940176E-9</v>
      </c>
      <c r="O87" s="114">
        <f>GasModel($I$87,"N2_Weiss",$D$87,$F$87,$B$87,$C$87,$G$87,$H$87,$B$16)</f>
        <v>1.5507896217818578E-2</v>
      </c>
      <c r="P87" s="114">
        <f>GasModel($I$87,"O2_B&amp;K",$D$87,$F$87,$B$87,$C$87,$G$87,$H$87,$B$17)</f>
        <v>7.4647777457939471E-3</v>
      </c>
      <c r="Q87" s="114">
        <f>GasModel($I$87,"CO2_Weiss_F",$D$87,$F$87,$B$87,$C$87,$G$87,$H$87,$B$18)</f>
        <v>2.8961830457683202E-4</v>
      </c>
      <c r="R87" s="114">
        <f>GasModel($I$87,"CH4_Wies",$D$87,$F$87,$B$87,$C$87,$G$87,$H$87,$B$19)</f>
        <v>5.5144696756566577E-8</v>
      </c>
      <c r="S87" s="114">
        <f>GasModel($I$87,"H2_Wies",$D$87,$F$87,$B$87,$C$87,$G$87,$H$87,$B$20)</f>
        <v>1.3114444024059225E-8</v>
      </c>
      <c r="T87" s="114">
        <f>GasModel($I$87,"N2O_Weiss_F",$D$87,$F$87,$B$87,$C$87,$G$87,$H$87,$B$21)</f>
        <v>1.9500434574128199E-7</v>
      </c>
      <c r="U87" s="114">
        <f>$L$87/$K$87</f>
        <v>1387.0169652751415</v>
      </c>
      <c r="V87" s="114">
        <f>$M$87/$N$87</f>
        <v>7.6694531426923147</v>
      </c>
      <c r="W87" s="114">
        <f>$N$87/$K$87</f>
        <v>3.7676999352043425E-2</v>
      </c>
      <c r="X87" s="114">
        <f>$M$87/$L$87</f>
        <v>2.083334150353558E-4</v>
      </c>
      <c r="Y87" s="114">
        <f>$O$87/$L$87</f>
        <v>43.013072246376183</v>
      </c>
      <c r="Z87" s="114" t="e">
        <f>$I$87/$I$87</f>
        <v>#VALUE!</v>
      </c>
    </row>
    <row r="88" spans="1:26">
      <c r="A88" s="114" t="s">
        <v>824</v>
      </c>
      <c r="B88" s="114">
        <f t="shared" si="4"/>
        <v>0.60581683578000001</v>
      </c>
      <c r="C88" s="114">
        <f t="shared" si="5"/>
        <v>61.585365853658502</v>
      </c>
      <c r="D88" s="114">
        <f t="shared" si="2"/>
        <v>20.790000915499999</v>
      </c>
      <c r="E88" s="114">
        <v>0</v>
      </c>
      <c r="F88" s="114">
        <v>20</v>
      </c>
      <c r="G88" s="114">
        <f t="shared" si="7"/>
        <v>0.5</v>
      </c>
      <c r="H88" s="114">
        <f t="shared" si="8"/>
        <v>0</v>
      </c>
      <c r="I88" s="114" t="s">
        <v>16</v>
      </c>
      <c r="J88" s="114">
        <f>GasModel($I$88,"He_Weiss",$D$88,$F$88,$B$88,$C$88,$G$88,$H$88,$B$11)</f>
        <v>6.8157205689826963E-8</v>
      </c>
      <c r="K88" s="114">
        <f>GasModel($I$88,"Ne_Weiss",$D$88,$F$88,$B$88,$C$88,$G$88,$H$88,$B$12)</f>
        <v>2.7293680099932724E-7</v>
      </c>
      <c r="L88" s="114">
        <f>GasModel($I$88,"Ar_Weiss",$D$88,$F$88,$B$88,$C$88,$G$88,$H$88,$B$13)</f>
        <v>3.7504848261378623E-4</v>
      </c>
      <c r="M88" s="114">
        <f>GasModel($I$88,"Kr_Weiss",$D$88,$F$88,$B$88,$C$88,$G$88,$H$88,$B$14)</f>
        <v>7.7276637146363777E-8</v>
      </c>
      <c r="N88" s="114">
        <f>GasModel($I$88,"Xe_Clvr",$D$88,$F$88,$B$88,$C$88,$G$88,$H$88,$B$15)</f>
        <v>9.9792049503835615E-9</v>
      </c>
      <c r="O88" s="114">
        <f>GasModel($I$88,"N2_Weiss",$D$88,$F$88,$B$88,$C$88,$G$88,$H$88,$B$16)</f>
        <v>1.6283929116805592E-2</v>
      </c>
      <c r="P88" s="114">
        <f>GasModel($I$88,"O2_B&amp;K",$D$88,$F$88,$B$88,$C$88,$G$88,$H$88,$B$17)</f>
        <v>7.7773445458129593E-3</v>
      </c>
      <c r="Q88" s="114">
        <f>GasModel($I$88,"CO2_Weiss_F",$D$88,$F$88,$B$88,$C$88,$G$88,$H$88,$B$18)</f>
        <v>2.9047492852004361E-4</v>
      </c>
      <c r="R88" s="114">
        <f>GasModel($I$88,"CH4_Wies",$D$88,$F$88,$B$88,$C$88,$G$88,$H$88,$B$19)</f>
        <v>5.7348922630015537E-8</v>
      </c>
      <c r="S88" s="114">
        <f>GasModel($I$88,"H2_Wies",$D$88,$F$88,$B$88,$C$88,$G$88,$H$88,$B$20)</f>
        <v>1.3757221933310093E-8</v>
      </c>
      <c r="T88" s="114">
        <f>GasModel($I$88,"N2O_Weiss_F",$D$88,$F$88,$B$88,$C$88,$G$88,$H$88,$B$21)</f>
        <v>1.9578158985574901E-7</v>
      </c>
      <c r="U88" s="114">
        <f>$L$88/$K$88</f>
        <v>1374.1220723646961</v>
      </c>
      <c r="V88" s="114">
        <f>$M$88/$N$88</f>
        <v>7.7437669163607632</v>
      </c>
      <c r="W88" s="114">
        <f>$N$88/$K$88</f>
        <v>3.6562328399269831E-2</v>
      </c>
      <c r="X88" s="114">
        <f>$M$88/$L$88</f>
        <v>2.0604439353495788E-4</v>
      </c>
      <c r="Y88" s="114">
        <f>$O$88/$L$88</f>
        <v>43.418197570937245</v>
      </c>
      <c r="Z88" s="114" t="e">
        <f>$I$88/$I$88</f>
        <v>#VALUE!</v>
      </c>
    </row>
    <row r="89" spans="1:26">
      <c r="A89" s="114" t="s">
        <v>824</v>
      </c>
      <c r="B89" s="114">
        <f t="shared" si="4"/>
        <v>0.60581683578000001</v>
      </c>
      <c r="C89" s="114">
        <f t="shared" si="5"/>
        <v>61.585365853658502</v>
      </c>
      <c r="D89" s="114">
        <f t="shared" si="2"/>
        <v>20.790000915499999</v>
      </c>
      <c r="E89" s="114">
        <v>0</v>
      </c>
      <c r="F89" s="114">
        <v>25</v>
      </c>
      <c r="G89" s="114">
        <f t="shared" si="7"/>
        <v>0.5</v>
      </c>
      <c r="H89" s="114">
        <f t="shared" si="8"/>
        <v>0</v>
      </c>
      <c r="I89" s="114" t="s">
        <v>16</v>
      </c>
      <c r="J89" s="114">
        <f>GasModel($I$89,"He_Weiss",$D$89,$F$89,$B$89,$C$89,$G$89,$H$89,$B$11)</f>
        <v>7.0571385425291177E-8</v>
      </c>
      <c r="K89" s="114">
        <f>GasModel($I$89,"Ne_Weiss",$D$89,$F$89,$B$89,$C$89,$G$89,$H$89,$B$12)</f>
        <v>2.8304790893522058E-7</v>
      </c>
      <c r="L89" s="114">
        <f>GasModel($I$89,"Ar_Weiss",$D$89,$F$89,$B$89,$C$89,$G$89,$H$89,$B$13)</f>
        <v>3.8794594550050021E-4</v>
      </c>
      <c r="M89" s="114">
        <f>GasModel($I$89,"Kr_Weiss",$D$89,$F$89,$B$89,$C$89,$G$89,$H$89,$B$14)</f>
        <v>7.9290061957332837E-8</v>
      </c>
      <c r="N89" s="114">
        <f>GasModel($I$89,"Xe_Clvr",$D$89,$F$89,$B$89,$C$89,$G$89,$H$89,$B$15)</f>
        <v>1.0156850638552475E-8</v>
      </c>
      <c r="O89" s="114">
        <f>GasModel($I$89,"N2_Weiss",$D$89,$F$89,$B$89,$C$89,$G$89,$H$89,$B$16)</f>
        <v>1.6918218503063829E-2</v>
      </c>
      <c r="P89" s="114">
        <f>GasModel($I$89,"O2_B&amp;K",$D$89,$F$89,$B$89,$C$89,$G$89,$H$89,$B$17)</f>
        <v>8.0528296544912815E-3</v>
      </c>
      <c r="Q89" s="114">
        <f>GasModel($I$89,"CO2_Weiss_F",$D$89,$F$89,$B$89,$C$89,$G$89,$H$89,$B$18)</f>
        <v>2.9132640787653567E-4</v>
      </c>
      <c r="R89" s="114">
        <f>GasModel($I$89,"CH4_Wies",$D$89,$F$89,$B$89,$C$89,$G$89,$H$89,$B$19)</f>
        <v>5.931091868884451E-8</v>
      </c>
      <c r="S89" s="114">
        <f>GasModel($I$89,"H2_Wies",$D$89,$F$89,$B$89,$C$89,$G$89,$H$89,$B$20)</f>
        <v>1.429241342279507E-8</v>
      </c>
      <c r="T89" s="114">
        <f>GasModel($I$89,"N2O_Weiss_F",$D$89,$F$89,$B$89,$C$89,$G$89,$H$89,$B$21)</f>
        <v>1.9655250957388607E-7</v>
      </c>
      <c r="U89" s="114">
        <f>$L$89/$K$89</f>
        <v>1370.6017011745068</v>
      </c>
      <c r="V89" s="114">
        <f>$M$89/$N$89</f>
        <v>7.8065598066757662</v>
      </c>
      <c r="W89" s="114">
        <f>$N$89/$K$89</f>
        <v>3.5883856823959122E-2</v>
      </c>
      <c r="X89" s="114">
        <f>$M$89/$L$89</f>
        <v>2.0438430373344527E-4</v>
      </c>
      <c r="Y89" s="114">
        <f>$O$89/$L$89</f>
        <v>43.609731456884148</v>
      </c>
      <c r="Z89" s="114" t="e">
        <f>$I$89/$I$89</f>
        <v>#VALUE!</v>
      </c>
    </row>
    <row r="90" spans="1:26">
      <c r="A90" s="114" t="s">
        <v>824</v>
      </c>
      <c r="B90" s="114">
        <f t="shared" si="4"/>
        <v>0.60581683578000001</v>
      </c>
      <c r="C90" s="114">
        <f t="shared" si="5"/>
        <v>61.585365853658502</v>
      </c>
      <c r="D90" s="114">
        <f t="shared" si="2"/>
        <v>20.790000915499999</v>
      </c>
      <c r="E90" s="114">
        <v>0</v>
      </c>
      <c r="F90" s="114">
        <v>30</v>
      </c>
      <c r="G90" s="114">
        <f t="shared" si="7"/>
        <v>0.5</v>
      </c>
      <c r="H90" s="114">
        <f t="shared" si="8"/>
        <v>0</v>
      </c>
      <c r="I90" s="114" t="s">
        <v>16</v>
      </c>
      <c r="J90" s="114">
        <f>GasModel($I$90,"He_Weiss",$D$90,$F$90,$B$90,$C$90,$G$90,$H$90,$B$11)</f>
        <v>7.2470426864518311E-8</v>
      </c>
      <c r="K90" s="114">
        <f>GasModel($I$90,"Ne_Weiss",$D$90,$F$90,$B$90,$C$90,$G$90,$H$90,$B$12)</f>
        <v>2.9113763790557955E-7</v>
      </c>
      <c r="L90" s="114">
        <f>GasModel($I$90,"Ar_Weiss",$D$90,$F$90,$B$90,$C$90,$G$90,$H$90,$B$13)</f>
        <v>3.9948599801653984E-4</v>
      </c>
      <c r="M90" s="114">
        <f>GasModel($I$90,"Kr_Weiss",$D$90,$F$90,$B$90,$C$90,$G$90,$H$90,$B$14)</f>
        <v>8.1167867836704052E-8</v>
      </c>
      <c r="N90" s="114">
        <f>GasModel($I$90,"Xe_Clvr",$D$90,$F$90,$B$90,$C$90,$G$90,$H$90,$B$15)</f>
        <v>1.0327129341983597E-8</v>
      </c>
      <c r="O90" s="114">
        <f>GasModel($I$90,"N2_Weiss",$D$90,$F$90,$B$90,$C$90,$G$90,$H$90,$B$16)</f>
        <v>1.7446349061257155E-2</v>
      </c>
      <c r="P90" s="114">
        <f>GasModel($I$90,"O2_B&amp;K",$D$90,$F$90,$B$90,$C$90,$G$90,$H$90,$B$17)</f>
        <v>8.2974623986834355E-3</v>
      </c>
      <c r="Q90" s="114">
        <f>GasModel($I$90,"CO2_Weiss_F",$D$90,$F$90,$B$90,$C$90,$G$90,$H$90,$B$18)</f>
        <v>2.9217278885246826E-4</v>
      </c>
      <c r="R90" s="114">
        <f>GasModel($I$90,"CH4_Wies",$D$90,$F$90,$B$90,$C$90,$G$90,$H$90,$B$19)</f>
        <v>6.1068534406715383E-8</v>
      </c>
      <c r="S90" s="114">
        <f>GasModel($I$90,"H2_Wies",$D$90,$F$90,$B$90,$C$90,$G$90,$H$90,$B$20)</f>
        <v>1.474494381040367E-8</v>
      </c>
      <c r="T90" s="114">
        <f>GasModel($I$90,"N2O_Weiss_F",$D$90,$F$90,$B$90,$C$90,$G$90,$H$90,$B$21)</f>
        <v>1.9731718177485525E-7</v>
      </c>
      <c r="U90" s="114">
        <f>$L$90/$K$90</f>
        <v>1372.155111549333</v>
      </c>
      <c r="V90" s="114">
        <f>$M$90/$N$90</f>
        <v>7.8596737920892181</v>
      </c>
      <c r="W90" s="114">
        <f>$N$90/$K$90</f>
        <v>3.5471639518257152E-2</v>
      </c>
      <c r="X90" s="114">
        <f>$M$90/$L$90</f>
        <v>2.0318075787312945E-4</v>
      </c>
      <c r="Y90" s="114">
        <f>$O$90/$L$90</f>
        <v>43.67199137861855</v>
      </c>
      <c r="Z90" s="114" t="e">
        <f>$I$90/$I$90</f>
        <v>#VALUE!</v>
      </c>
    </row>
    <row r="91" spans="1:26">
      <c r="A91" s="114" t="s">
        <v>824</v>
      </c>
      <c r="B91" s="114">
        <f t="shared" si="4"/>
        <v>0.60581683578000001</v>
      </c>
      <c r="C91" s="114">
        <f t="shared" si="5"/>
        <v>61.585365853658502</v>
      </c>
      <c r="D91" s="114">
        <f t="shared" si="2"/>
        <v>20.790000915499999</v>
      </c>
      <c r="E91" s="114">
        <v>0</v>
      </c>
      <c r="F91" s="114">
        <v>35</v>
      </c>
      <c r="G91" s="114">
        <f t="shared" si="7"/>
        <v>0.5</v>
      </c>
      <c r="H91" s="114">
        <f t="shared" si="8"/>
        <v>0</v>
      </c>
      <c r="I91" s="114" t="s">
        <v>16</v>
      </c>
      <c r="J91" s="114">
        <f>GasModel($I$91,"He_Weiss",$D$91,$F$91,$B$91,$C$91,$G$91,$H$91,$B$11)</f>
        <v>7.4003315265374822E-8</v>
      </c>
      <c r="K91" s="114">
        <f>GasModel($I$91,"Ne_Weiss",$D$91,$F$91,$B$91,$C$91,$G$91,$H$91,$B$12)</f>
        <v>2.9775706424750539E-7</v>
      </c>
      <c r="L91" s="114">
        <f>GasModel($I$91,"Ar_Weiss",$D$91,$F$91,$B$91,$C$91,$G$91,$H$91,$B$13)</f>
        <v>4.0987222075673525E-4</v>
      </c>
      <c r="M91" s="114">
        <f>GasModel($I$91,"Kr_Weiss",$D$91,$F$91,$B$91,$C$91,$G$91,$H$91,$B$14)</f>
        <v>8.2923310736591769E-8</v>
      </c>
      <c r="N91" s="114">
        <f>GasModel($I$91,"Xe_Clvr",$D$91,$F$91,$B$91,$C$91,$G$91,$H$91,$B$15)</f>
        <v>1.0490490015974407E-8</v>
      </c>
      <c r="O91" s="114">
        <f>GasModel($I$91,"N2_Weiss",$D$91,$F$91,$B$91,$C$91,$G$91,$H$91,$B$16)</f>
        <v>1.7892913913966964E-2</v>
      </c>
      <c r="P91" s="114">
        <f>GasModel($I$91,"O2_B&amp;K",$D$91,$F$91,$B$91,$C$91,$G$91,$H$91,$B$17)</f>
        <v>8.5161508126807613E-3</v>
      </c>
      <c r="Q91" s="114">
        <f>GasModel($I$91,"CO2_Weiss_F",$D$91,$F$91,$B$91,$C$91,$G$91,$H$91,$B$18)</f>
        <v>2.9301411710231821E-4</v>
      </c>
      <c r="R91" s="114">
        <f>GasModel($I$91,"CH4_Wies",$D$91,$F$91,$B$91,$C$91,$G$91,$H$91,$B$19)</f>
        <v>6.2652124111530175E-8</v>
      </c>
      <c r="S91" s="114">
        <f>GasModel($I$91,"H2_Wies",$D$91,$F$91,$B$91,$C$91,$G$91,$H$91,$B$20)</f>
        <v>1.51325908841934E-8</v>
      </c>
      <c r="T91" s="114">
        <f>GasModel($I$91,"N2O_Weiss_F",$D$91,$F$91,$B$91,$C$91,$G$91,$H$91,$B$21)</f>
        <v>1.9807568209679304E-7</v>
      </c>
      <c r="U91" s="114">
        <f>$L$91/$K$91</f>
        <v>1376.5323143300341</v>
      </c>
      <c r="V91" s="114">
        <f>$M$91/$N$91</f>
        <v>7.9046174783370651</v>
      </c>
      <c r="W91" s="114">
        <f>$N$91/$K$91</f>
        <v>3.5231708246741607E-2</v>
      </c>
      <c r="X91" s="114">
        <f>$M$91/$L$91</f>
        <v>2.0231503023916296E-4</v>
      </c>
      <c r="Y91" s="114">
        <f>$O$91/$L$91</f>
        <v>43.654858777527771</v>
      </c>
      <c r="Z91" s="114" t="e">
        <f>$I$91/$I$91</f>
        <v>#VALUE!</v>
      </c>
    </row>
    <row r="92" spans="1:26">
      <c r="A92" s="114" t="s">
        <v>824</v>
      </c>
      <c r="B92" s="114">
        <f t="shared" si="4"/>
        <v>0.60581683578000001</v>
      </c>
      <c r="C92" s="114">
        <f t="shared" si="5"/>
        <v>61.585365853658502</v>
      </c>
      <c r="D92" s="114">
        <f t="shared" si="2"/>
        <v>20.790000915499999</v>
      </c>
      <c r="E92" s="114">
        <v>0</v>
      </c>
      <c r="F92" s="114">
        <v>40</v>
      </c>
      <c r="G92" s="114">
        <f t="shared" si="7"/>
        <v>0.5</v>
      </c>
      <c r="H92" s="114">
        <f t="shared" si="8"/>
        <v>0</v>
      </c>
      <c r="I92" s="114" t="s">
        <v>16</v>
      </c>
      <c r="J92" s="114">
        <f>GasModel($I$92,"He_Weiss",$D$92,$F$92,$B$92,$C$92,$G$92,$H$92,$B$11)</f>
        <v>7.5266635968018588E-8</v>
      </c>
      <c r="K92" s="114">
        <f>GasModel($I$92,"Ne_Weiss",$D$92,$F$92,$B$92,$C$92,$G$92,$H$92,$B$12)</f>
        <v>3.0327363597436481E-7</v>
      </c>
      <c r="L92" s="114">
        <f>GasModel($I$92,"Ar_Weiss",$D$92,$F$92,$B$92,$C$92,$G$92,$H$92,$B$13)</f>
        <v>4.1926942267541138E-4</v>
      </c>
      <c r="M92" s="114">
        <f>GasModel($I$92,"Kr_Weiss",$D$92,$F$92,$B$92,$C$92,$G$92,$H$92,$B$14)</f>
        <v>8.4567973531892395E-8</v>
      </c>
      <c r="N92" s="114">
        <f>GasModel($I$92,"Xe_Clvr",$D$92,$F$92,$B$92,$C$92,$G$92,$H$92,$B$15)</f>
        <v>1.0647345862089707E-8</v>
      </c>
      <c r="O92" s="114">
        <f>GasModel($I$92,"N2_Weiss",$D$92,$F$92,$B$92,$C$92,$G$92,$H$92,$B$16)</f>
        <v>1.8275454300817281E-2</v>
      </c>
      <c r="P92" s="114">
        <f>GasModel($I$92,"O2_B&amp;K",$D$92,$F$92,$B$92,$C$92,$G$92,$H$92,$B$17)</f>
        <v>8.7128143186971929E-3</v>
      </c>
      <c r="Q92" s="114">
        <f>GasModel($I$92,"CO2_Weiss_F",$D$92,$F$92,$B$92,$C$92,$G$92,$H$92,$B$18)</f>
        <v>2.9385043773708829E-4</v>
      </c>
      <c r="R92" s="114">
        <f>GasModel($I$92,"CH4_Wies",$D$92,$F$92,$B$92,$C$92,$G$92,$H$92,$B$19)</f>
        <v>6.408631475354147E-8</v>
      </c>
      <c r="S92" s="114">
        <f>GasModel($I$92,"H2_Wies",$D$92,$F$92,$B$92,$C$92,$G$92,$H$92,$B$20)</f>
        <v>1.5468375532047507E-8</v>
      </c>
      <c r="T92" s="114">
        <f>GasModel($I$92,"N2O_Weiss_F",$D$92,$F$92,$B$92,$C$92,$G$92,$H$92,$B$21)</f>
        <v>1.9882808496175136E-7</v>
      </c>
      <c r="U92" s="114">
        <f>$L$92/$K$92</f>
        <v>1382.4789659950907</v>
      </c>
      <c r="V92" s="114">
        <f>$M$92/$N$92</f>
        <v>7.9426342139405826</v>
      </c>
      <c r="W92" s="114">
        <f>$N$92/$K$92</f>
        <v>3.5108049626145901E-2</v>
      </c>
      <c r="X92" s="114">
        <f>$M$92/$L$92</f>
        <v>2.0170317451783968E-4</v>
      </c>
      <c r="Y92" s="114">
        <f>$O$92/$L$92</f>
        <v>43.588807846275287</v>
      </c>
      <c r="Z92" s="114" t="e">
        <f>$I$92/$I$92</f>
        <v>#VALUE!</v>
      </c>
    </row>
    <row r="93" spans="1:26">
      <c r="A93" s="114" t="s">
        <v>824</v>
      </c>
      <c r="B93" s="114">
        <f t="shared" si="4"/>
        <v>0.60581683578000001</v>
      </c>
      <c r="C93" s="114">
        <f t="shared" si="5"/>
        <v>61.585365853658502</v>
      </c>
      <c r="D93" s="114">
        <f t="shared" si="2"/>
        <v>20.790000915499999</v>
      </c>
      <c r="E93" s="114">
        <v>0</v>
      </c>
      <c r="F93" s="114">
        <v>45</v>
      </c>
      <c r="G93" s="114">
        <f t="shared" si="7"/>
        <v>0.5</v>
      </c>
      <c r="H93" s="114">
        <f t="shared" si="8"/>
        <v>0</v>
      </c>
      <c r="I93" s="114" t="s">
        <v>16</v>
      </c>
      <c r="J93" s="114">
        <f>GasModel($I$93,"He_Weiss",$D$93,$F$93,$B$93,$C$93,$G$93,$H$93,$B$11)</f>
        <v>7.6325749606640173E-8</v>
      </c>
      <c r="K93" s="114">
        <f>GasModel($I$93,"Ne_Weiss",$D$93,$F$93,$B$93,$C$93,$G$93,$H$93,$B$12)</f>
        <v>3.0794177641455712E-7</v>
      </c>
      <c r="L93" s="114">
        <f>GasModel($I$93,"Ar_Weiss",$D$93,$F$93,$B$93,$C$93,$G$93,$H$93,$B$13)</f>
        <v>4.2781245160476326E-4</v>
      </c>
      <c r="M93" s="114">
        <f>GasModel($I$93,"Kr_Weiss",$D$93,$F$93,$B$93,$C$93,$G$93,$H$93,$B$14)</f>
        <v>8.6112021902071991E-8</v>
      </c>
      <c r="N93" s="114">
        <f>GasModel($I$93,"Xe_Clvr",$D$93,$F$93,$B$93,$C$93,$G$93,$H$93,$B$15)</f>
        <v>1.0798077817861625E-8</v>
      </c>
      <c r="O93" s="114">
        <f>GasModel($I$93,"N2_Weiss",$D$93,$F$93,$B$93,$C$93,$G$93,$H$93,$B$16)</f>
        <v>1.8606818096324858E-2</v>
      </c>
      <c r="P93" s="114">
        <f>GasModel($I$93,"O2_B&amp;K",$D$93,$F$93,$B$93,$C$93,$G$93,$H$93,$B$17)</f>
        <v>8.8906207099749765E-3</v>
      </c>
      <c r="Q93" s="114">
        <f>GasModel($I$93,"CO2_Weiss_F",$D$93,$F$93,$B$93,$C$93,$G$93,$H$93,$B$18)</f>
        <v>2.9468179533237004E-4</v>
      </c>
      <c r="R93" s="114">
        <f>GasModel($I$93,"CH4_Wies",$D$93,$F$93,$B$93,$C$93,$G$93,$H$93,$B$19)</f>
        <v>6.5391295886669461E-8</v>
      </c>
      <c r="S93" s="114">
        <f>GasModel($I$93,"H2_Wies",$D$93,$F$93,$B$93,$C$93,$G$93,$H$93,$B$20)</f>
        <v>1.5762053021505594E-8</v>
      </c>
      <c r="T93" s="114">
        <f>GasModel($I$93,"N2O_Weiss_F",$D$93,$F$93,$B$93,$C$93,$G$93,$H$93,$B$21)</f>
        <v>1.9957446360003938E-7</v>
      </c>
      <c r="U93" s="114">
        <f>$L$93/$K$93</f>
        <v>1389.2640894194035</v>
      </c>
      <c r="V93" s="114">
        <f>$M$93/$N$93</f>
        <v>7.9747547067710434</v>
      </c>
      <c r="W93" s="114">
        <f>$N$93/$K$93</f>
        <v>3.506532287884527E-2</v>
      </c>
      <c r="X93" s="114">
        <f>$M$93/$L$93</f>
        <v>2.012845151632637E-4</v>
      </c>
      <c r="Y93" s="114">
        <f>$O$93/$L$93</f>
        <v>43.492932537444851</v>
      </c>
      <c r="Z93" s="114" t="e">
        <f>$I$93/$I$93</f>
        <v>#VALUE!</v>
      </c>
    </row>
    <row r="94" spans="1:26">
      <c r="A94" s="114" t="s">
        <v>824</v>
      </c>
      <c r="B94" s="114">
        <f t="shared" si="4"/>
        <v>0.60581683578000001</v>
      </c>
      <c r="C94" s="114">
        <f t="shared" si="5"/>
        <v>61.585365853658502</v>
      </c>
      <c r="D94" s="114">
        <f t="shared" si="2"/>
        <v>20.790000915499999</v>
      </c>
      <c r="E94" s="114">
        <v>0</v>
      </c>
      <c r="F94" s="114">
        <v>50</v>
      </c>
      <c r="G94" s="114">
        <f t="shared" si="7"/>
        <v>0.5</v>
      </c>
      <c r="H94" s="114">
        <f t="shared" si="8"/>
        <v>0</v>
      </c>
      <c r="I94" s="114" t="s">
        <v>16</v>
      </c>
      <c r="J94" s="114">
        <f>GasModel($I$94,"He_Weiss",$D$94,$F$94,$B$94,$C$94,$G$94,$H$94,$B$11)</f>
        <v>7.7226466696321463E-8</v>
      </c>
      <c r="K94" s="114">
        <f>GasModel($I$94,"Ne_Weiss",$D$94,$F$94,$B$94,$C$94,$G$94,$H$94,$B$12)</f>
        <v>3.1194323815490456E-7</v>
      </c>
      <c r="L94" s="114">
        <f>GasModel($I$94,"Ar_Weiss",$D$94,$F$94,$B$94,$C$94,$G$94,$H$94,$B$13)</f>
        <v>4.3561270668104288E-4</v>
      </c>
      <c r="M94" s="114">
        <f>GasModel($I$94,"Kr_Weiss",$D$94,$F$94,$B$94,$C$94,$G$94,$H$94,$B$14)</f>
        <v>8.7564414645069901E-8</v>
      </c>
      <c r="N94" s="114">
        <f>GasModel($I$94,"Xe_Clvr",$D$94,$F$94,$B$94,$C$94,$G$94,$H$94,$B$15)</f>
        <v>1.0943037645585986E-8</v>
      </c>
      <c r="O94" s="114">
        <f>GasModel($I$94,"N2_Weiss",$D$94,$F$94,$B$94,$C$94,$G$94,$H$94,$B$16)</f>
        <v>1.8896631100930678E-2</v>
      </c>
      <c r="P94" s="114">
        <f>GasModel($I$94,"O2_B&amp;K",$D$94,$F$94,$B$94,$C$94,$G$94,$H$94,$B$17)</f>
        <v>9.0521580830940467E-3</v>
      </c>
      <c r="Q94" s="114">
        <f>GasModel($I$94,"CO2_Weiss_F",$D$94,$F$94,$B$94,$C$94,$G$94,$H$94,$B$18)</f>
        <v>2.955082339362638E-4</v>
      </c>
      <c r="R94" s="114">
        <f>GasModel($I$94,"CH4_Wies",$D$94,$F$94,$B$94,$C$94,$G$94,$H$94,$B$19)</f>
        <v>6.6583776026191189E-8</v>
      </c>
      <c r="S94" s="114">
        <f>GasModel($I$94,"H2_Wies",$D$94,$F$94,$B$94,$C$94,$G$94,$H$94,$B$20)</f>
        <v>1.6021076363429898E-8</v>
      </c>
      <c r="T94" s="114">
        <f>GasModel($I$94,"N2O_Weiss_F",$D$94,$F$94,$B$94,$C$94,$G$94,$H$94,$B$21)</f>
        <v>2.0031489007398314E-7</v>
      </c>
      <c r="U94" s="114">
        <f>$L$94/$K$94</f>
        <v>1396.4486271849453</v>
      </c>
      <c r="V94" s="114">
        <f>$M$94/$N$94</f>
        <v>8.0018380161919787</v>
      </c>
      <c r="W94" s="114">
        <f>$N$94/$K$94</f>
        <v>3.5080220716795597E-2</v>
      </c>
      <c r="X94" s="114">
        <f>$M$94/$L$94</f>
        <v>2.010143719457313E-4</v>
      </c>
      <c r="Y94" s="114">
        <f>$O$94/$L$94</f>
        <v>43.379430423196666</v>
      </c>
      <c r="Z94" s="114" t="e">
        <f>$I$94/$I$94</f>
        <v>#VALUE!</v>
      </c>
    </row>
    <row r="95" spans="1:26">
      <c r="A95" s="114" t="s">
        <v>824</v>
      </c>
      <c r="B95" s="114">
        <f t="shared" si="4"/>
        <v>0.60581683578000001</v>
      </c>
      <c r="C95" s="114">
        <f t="shared" si="5"/>
        <v>61.585365853658502</v>
      </c>
      <c r="D95" s="114">
        <f t="shared" si="2"/>
        <v>20.790000915499999</v>
      </c>
      <c r="E95" s="114">
        <v>0</v>
      </c>
      <c r="F95" s="114">
        <v>75</v>
      </c>
      <c r="G95" s="114">
        <f t="shared" si="7"/>
        <v>0.5</v>
      </c>
      <c r="H95" s="114">
        <f t="shared" si="8"/>
        <v>0</v>
      </c>
      <c r="I95" s="114" t="s">
        <v>16</v>
      </c>
      <c r="J95" s="114">
        <f>GasModel($I$95,"He_Weiss",$D$95,$F$95,$B$95,$C$95,$G$95,$H$95,$B$11)</f>
        <v>8.0259328614454392E-8</v>
      </c>
      <c r="K95" s="114">
        <f>GasModel($I$95,"Ne_Weiss",$D$95,$F$95,$B$95,$C$95,$G$95,$H$95,$B$12)</f>
        <v>3.256338352413204E-7</v>
      </c>
      <c r="L95" s="114">
        <f>GasModel($I$95,"Ar_Weiss",$D$95,$F$95,$B$95,$C$95,$G$95,$H$95,$B$13)</f>
        <v>4.6625747367171966E-4</v>
      </c>
      <c r="M95" s="114">
        <f>GasModel($I$95,"Kr_Weiss",$D$95,$F$95,$B$95,$C$95,$G$95,$H$95,$B$14)</f>
        <v>9.3700270948253251E-8</v>
      </c>
      <c r="N95" s="114">
        <f>GasModel($I$95,"Xe_Clvr",$D$95,$F$95,$B$95,$C$95,$G$95,$H$95,$B$15)</f>
        <v>1.1591845458446747E-8</v>
      </c>
      <c r="O95" s="114">
        <f>GasModel($I$95,"N2_Weiss",$D$95,$F$95,$B$95,$C$95,$G$95,$H$95,$B$16)</f>
        <v>1.9930685847742845E-2</v>
      </c>
      <c r="P95" s="114">
        <f>GasModel($I$95,"O2_B&amp;K",$D$95,$F$95,$B$95,$C$95,$G$95,$H$95,$B$17)</f>
        <v>9.6794119172548959E-3</v>
      </c>
      <c r="Q95" s="114">
        <f>GasModel($I$95,"CO2_Weiss_F",$D$95,$F$95,$B$95,$C$95,$G$95,$H$95,$B$18)</f>
        <v>2.9956814781283901E-4</v>
      </c>
      <c r="R95" s="114">
        <f>GasModel($I$95,"CH4_Wies",$D$95,$F$95,$B$95,$C$95,$G$95,$H$95,$B$19)</f>
        <v>7.1277556524019529E-8</v>
      </c>
      <c r="S95" s="114">
        <f>GasModel($I$95,"H2_Wies",$D$95,$F$95,$B$95,$C$95,$G$95,$H$95,$B$20)</f>
        <v>1.6962159561824478E-8</v>
      </c>
      <c r="T95" s="114">
        <f>GasModel($I$95,"N2O_Weiss_F",$D$95,$F$95,$B$95,$C$95,$G$95,$H$95,$B$21)</f>
        <v>2.0393018327779618E-7</v>
      </c>
      <c r="U95" s="114">
        <f>$L$95/$K$95</f>
        <v>1431.8459054667524</v>
      </c>
      <c r="V95" s="114">
        <f>$M$95/$N$95</f>
        <v>8.083291938642585</v>
      </c>
      <c r="W95" s="114">
        <f>$N$95/$K$95</f>
        <v>3.5597791764655759E-2</v>
      </c>
      <c r="X95" s="114">
        <f>$M$95/$L$95</f>
        <v>2.0096250728245761E-4</v>
      </c>
      <c r="Y95" s="114">
        <f>$O$95/$L$95</f>
        <v>42.746094107170379</v>
      </c>
      <c r="Z95" s="114" t="e">
        <f>$I$95/$I$95</f>
        <v>#VALUE!</v>
      </c>
    </row>
    <row r="96" spans="1:26">
      <c r="A96" s="114" t="s">
        <v>824</v>
      </c>
      <c r="B96" s="114">
        <f t="shared" si="4"/>
        <v>0.60581683578000001</v>
      </c>
      <c r="C96" s="114">
        <f t="shared" si="5"/>
        <v>61.585365853658502</v>
      </c>
      <c r="D96" s="114">
        <f t="shared" si="2"/>
        <v>20.790000915499999</v>
      </c>
      <c r="E96" s="114">
        <v>0</v>
      </c>
      <c r="F96" s="114">
        <v>100</v>
      </c>
      <c r="G96" s="114">
        <f t="shared" si="7"/>
        <v>0.5</v>
      </c>
      <c r="H96" s="114">
        <f t="shared" si="8"/>
        <v>0</v>
      </c>
      <c r="I96" s="114" t="s">
        <v>16</v>
      </c>
      <c r="J96" s="114">
        <f>GasModel($I$96,"He_Weiss",$D$96,$F$96,$B$96,$C$96,$G$96,$H$96,$B$11)</f>
        <v>8.1994595049249236E-8</v>
      </c>
      <c r="K96" s="114">
        <f>GasModel($I$96,"Ne_Weiss",$D$96,$F$96,$B$96,$C$96,$G$96,$H$96,$B$12)</f>
        <v>3.3362100750021053E-7</v>
      </c>
      <c r="L96" s="114">
        <f>GasModel($I$96,"Ar_Weiss",$D$96,$F$96,$B$96,$C$96,$G$96,$H$96,$B$13)</f>
        <v>4.876168034773244E-4</v>
      </c>
      <c r="M96" s="114">
        <f>GasModel($I$96,"Kr_Weiss",$D$96,$F$96,$B$96,$C$96,$G$96,$H$96,$B$14)</f>
        <v>9.8431796449104736E-8</v>
      </c>
      <c r="N96" s="114">
        <f>GasModel($I$96,"Xe_Clvr",$D$96,$F$96,$B$96,$C$96,$G$96,$H$96,$B$15)</f>
        <v>1.2136389458174432E-8</v>
      </c>
      <c r="O96" s="114">
        <f>GasModel($I$96,"N2_Weiss",$D$96,$F$96,$B$96,$C$96,$G$96,$H$96,$B$16)</f>
        <v>2.056625814276725E-2</v>
      </c>
      <c r="P96" s="114">
        <f>GasModel($I$96,"O2_B&amp;K",$D$96,$F$96,$B$96,$C$96,$G$96,$H$96,$B$17)</f>
        <v>1.0109776967749123E-2</v>
      </c>
      <c r="Q96" s="114">
        <f>GasModel($I$96,"CO2_Weiss_F",$D$96,$F$96,$B$96,$C$96,$G$96,$H$96,$B$18)</f>
        <v>3.0351140404675055E-4</v>
      </c>
      <c r="R96" s="114">
        <f>GasModel($I$96,"CH4_Wies",$D$96,$F$96,$B$96,$C$96,$G$96,$H$96,$B$19)</f>
        <v>7.4557524706330272E-8</v>
      </c>
      <c r="S96" s="114">
        <f>GasModel($I$96,"H2_Wies",$D$96,$F$96,$B$96,$C$96,$G$96,$H$96,$B$20)</f>
        <v>1.7554034495746315E-8</v>
      </c>
      <c r="T96" s="114">
        <f>GasModel($I$96,"N2O_Weiss_F",$D$96,$F$96,$B$96,$C$96,$G$96,$H$96,$B$21)</f>
        <v>2.0740684920899565E-7</v>
      </c>
      <c r="U96" s="114">
        <f>$L$96/$K$96</f>
        <v>1461.5890262156729</v>
      </c>
      <c r="V96" s="114">
        <f>$M$96/$N$96</f>
        <v>8.1104678445207838</v>
      </c>
      <c r="W96" s="114">
        <f>$N$96/$K$96</f>
        <v>3.6377773537437604E-2</v>
      </c>
      <c r="X96" s="114">
        <f>$M$96/$L$96</f>
        <v>2.0186301158442769E-4</v>
      </c>
      <c r="Y96" s="114">
        <f>$O$96/$L$96</f>
        <v>42.1770906910997</v>
      </c>
      <c r="Z96" s="114" t="e">
        <f>$I$96/$I$96</f>
        <v>#VALUE!</v>
      </c>
    </row>
    <row r="97" spans="1:26">
      <c r="A97" s="114" t="s">
        <v>824</v>
      </c>
      <c r="B97" s="114">
        <f t="shared" si="4"/>
        <v>0.60581683578000001</v>
      </c>
      <c r="C97" s="114">
        <f t="shared" si="5"/>
        <v>61.585365853658502</v>
      </c>
      <c r="D97" s="114">
        <f t="shared" si="2"/>
        <v>20.790000915499999</v>
      </c>
      <c r="E97" s="114">
        <v>0</v>
      </c>
      <c r="F97" s="114">
        <v>200</v>
      </c>
      <c r="G97" s="114">
        <f t="shared" si="7"/>
        <v>0.5</v>
      </c>
      <c r="H97" s="114">
        <f t="shared" si="8"/>
        <v>0</v>
      </c>
      <c r="I97" s="114" t="s">
        <v>16</v>
      </c>
      <c r="J97" s="114">
        <f>GasModel($I$97,"He_Weiss",$D$97,$F$97,$B$97,$C$97,$G$97,$H$97,$B$11)</f>
        <v>8.4934856364121299E-8</v>
      </c>
      <c r="K97" s="114">
        <f>GasModel($I$97,"Ne_Weiss",$D$97,$F$97,$B$97,$C$97,$G$97,$H$97,$B$12)</f>
        <v>3.4741875192680756E-7</v>
      </c>
      <c r="L97" s="114">
        <f>GasModel($I$97,"Ar_Weiss",$D$97,$F$97,$B$97,$C$97,$G$97,$H$97,$B$13)</f>
        <v>5.3275581310927511E-4</v>
      </c>
      <c r="M97" s="114">
        <f>GasModel($I$97,"Kr_Weiss",$D$97,$F$97,$B$97,$C$97,$G$97,$H$97,$B$14)</f>
        <v>1.0992918393561641E-7</v>
      </c>
      <c r="N97" s="114">
        <f>GasModel($I$97,"Xe_Clvr",$D$97,$F$97,$B$97,$C$97,$G$97,$H$97,$B$15)</f>
        <v>1.365232485394196E-8</v>
      </c>
      <c r="O97" s="114">
        <f>GasModel($I$97,"N2_Weiss",$D$97,$F$97,$B$97,$C$97,$G$97,$H$97,$B$16)</f>
        <v>2.1725359510783904E-2</v>
      </c>
      <c r="P97" s="114">
        <f>GasModel($I$97,"O2_B&amp;K",$D$97,$F$97,$B$97,$C$97,$G$97,$H$97,$B$17)</f>
        <v>1.1001350339600733E-2</v>
      </c>
      <c r="Q97" s="114">
        <f>GasModel($I$97,"CO2_Weiss_F",$D$97,$F$97,$B$97,$C$97,$G$97,$H$97,$B$18)</f>
        <v>3.1821294884630568E-4</v>
      </c>
      <c r="R97" s="114">
        <f>GasModel($I$97,"CH4_Wies",$D$97,$F$97,$B$97,$C$97,$G$97,$H$97,$B$19)</f>
        <v>8.1511981092207761E-8</v>
      </c>
      <c r="S97" s="114">
        <f>GasModel($I$97,"H2_Wies",$D$97,$F$97,$B$97,$C$97,$G$97,$H$97,$B$20)</f>
        <v>1.8660859313267657E-8</v>
      </c>
      <c r="T97" s="114">
        <f>GasModel($I$97,"N2O_Weiss_F",$D$97,$F$97,$B$97,$C$97,$G$97,$H$97,$B$21)</f>
        <v>2.2007535030380514E-7</v>
      </c>
      <c r="U97" s="114">
        <f>$L$97/$K$97</f>
        <v>1533.4687899100893</v>
      </c>
      <c r="V97" s="114">
        <f>$M$97/$N$97</f>
        <v>8.0520486519096828</v>
      </c>
      <c r="W97" s="114">
        <f>$N$97/$K$97</f>
        <v>3.9296453568568923E-2</v>
      </c>
      <c r="X97" s="114">
        <f>$M$97/$L$97</f>
        <v>2.063406559452567E-4</v>
      </c>
      <c r="Y97" s="114">
        <f>$O$97/$L$97</f>
        <v>40.77920686400423</v>
      </c>
      <c r="Z97" s="114" t="e">
        <f>$I$97/$I$97</f>
        <v>#VALUE!</v>
      </c>
    </row>
    <row r="98" spans="1:26">
      <c r="A98" s="114" t="s">
        <v>825</v>
      </c>
      <c r="B98" s="114">
        <f t="shared" si="4"/>
        <v>0.60581683578000001</v>
      </c>
      <c r="C98" s="114">
        <f t="shared" si="5"/>
        <v>61.585365853658502</v>
      </c>
      <c r="D98" s="114">
        <f t="shared" si="2"/>
        <v>20.790000915499999</v>
      </c>
      <c r="E98" s="114">
        <v>0</v>
      </c>
      <c r="F98" s="114">
        <f t="shared" ref="F98:F104" si="9">$I$4</f>
        <v>20</v>
      </c>
      <c r="G98" s="114">
        <f t="shared" si="7"/>
        <v>0.5</v>
      </c>
      <c r="H98" s="114">
        <v>0</v>
      </c>
      <c r="I98" s="114" t="s">
        <v>16</v>
      </c>
      <c r="J98" s="114">
        <f>GasModel($I$98,"He_Weiss",$D$98,$F$98,$B$98,$C$98,$G$98,$H$98,$B$11)</f>
        <v>6.8157205689826963E-8</v>
      </c>
      <c r="K98" s="114">
        <f>GasModel($I$98,"Ne_Weiss",$D$98,$F$98,$B$98,$C$98,$G$98,$H$98,$B$12)</f>
        <v>2.7293680099932724E-7</v>
      </c>
      <c r="L98" s="114">
        <f>GasModel($I$98,"Ar_Weiss",$D$98,$F$98,$B$98,$C$98,$G$98,$H$98,$B$13)</f>
        <v>3.7504848261378623E-4</v>
      </c>
      <c r="M98" s="114">
        <f>GasModel($I$98,"Kr_Weiss",$D$98,$F$98,$B$98,$C$98,$G$98,$H$98,$B$14)</f>
        <v>7.7276637146363777E-8</v>
      </c>
      <c r="N98" s="114">
        <f>GasModel($I$98,"Xe_Clvr",$D$98,$F$98,$B$98,$C$98,$G$98,$H$98,$B$15)</f>
        <v>9.9792049503835615E-9</v>
      </c>
      <c r="O98" s="114">
        <f>GasModel($I$98,"N2_Weiss",$D$98,$F$98,$B$98,$C$98,$G$98,$H$98,$B$16)</f>
        <v>1.6283929116805592E-2</v>
      </c>
      <c r="P98" s="114">
        <f>GasModel($I$98,"O2_B&amp;K",$D$98,$F$98,$B$98,$C$98,$G$98,$H$98,$B$17)</f>
        <v>7.7773445458129593E-3</v>
      </c>
      <c r="Q98" s="114">
        <f>GasModel($I$98,"CO2_Weiss_F",$D$98,$F$98,$B$98,$C$98,$G$98,$H$98,$B$18)</f>
        <v>2.9047492852004361E-4</v>
      </c>
      <c r="R98" s="114">
        <f>GasModel($I$98,"CH4_Wies",$D$98,$F$98,$B$98,$C$98,$G$98,$H$98,$B$19)</f>
        <v>5.7348922630015537E-8</v>
      </c>
      <c r="S98" s="114">
        <f>GasModel($I$98,"H2_Wies",$D$98,$F$98,$B$98,$C$98,$G$98,$H$98,$B$20)</f>
        <v>1.3757221933310093E-8</v>
      </c>
      <c r="T98" s="114">
        <f>GasModel($I$98,"N2O_Weiss_F",$D$98,$F$98,$B$98,$C$98,$G$98,$H$98,$B$21)</f>
        <v>1.9578158985574901E-7</v>
      </c>
      <c r="U98" s="114">
        <f>$L$98/$K$98</f>
        <v>1374.1220723646961</v>
      </c>
      <c r="V98" s="114">
        <f>$M$98/$N$98</f>
        <v>7.7437669163607632</v>
      </c>
      <c r="W98" s="114">
        <f>$N$98/$K$98</f>
        <v>3.6562328399269831E-2</v>
      </c>
      <c r="X98" s="114">
        <f>$M$98/$L$98</f>
        <v>2.0604439353495788E-4</v>
      </c>
      <c r="Y98" s="114">
        <f>$O$98/$L$98</f>
        <v>43.418197570937245</v>
      </c>
      <c r="Z98" s="114" t="e">
        <f>$I$98/$I$98</f>
        <v>#VALUE!</v>
      </c>
    </row>
    <row r="99" spans="1:26">
      <c r="A99" s="114" t="s">
        <v>825</v>
      </c>
      <c r="B99" s="114">
        <f t="shared" si="4"/>
        <v>0.60581683578000001</v>
      </c>
      <c r="C99" s="114">
        <f t="shared" si="5"/>
        <v>61.585365853658502</v>
      </c>
      <c r="D99" s="114">
        <f t="shared" si="2"/>
        <v>20.790000915499999</v>
      </c>
      <c r="E99" s="114">
        <v>0</v>
      </c>
      <c r="F99" s="114">
        <f t="shared" si="9"/>
        <v>20</v>
      </c>
      <c r="G99" s="114">
        <f t="shared" si="7"/>
        <v>0.5</v>
      </c>
      <c r="H99" s="114">
        <v>1</v>
      </c>
      <c r="I99" s="114" t="s">
        <v>16</v>
      </c>
      <c r="J99" s="114">
        <f>GasModel($I$99,"He_Weiss",$D$99,$F$99,$B$99,$C$99,$G$99,$H$99,$B$11)</f>
        <v>6.8157205689826963E-8</v>
      </c>
      <c r="K99" s="114">
        <f>GasModel($I$99,"Ne_Weiss",$D$99,$F$99,$B$99,$C$99,$G$99,$H$99,$B$12)</f>
        <v>2.7293680099932724E-7</v>
      </c>
      <c r="L99" s="114">
        <f>GasModel($I$99,"Ar_Weiss",$D$99,$F$99,$B$99,$C$99,$G$99,$H$99,$B$13)</f>
        <v>3.7504848261378623E-4</v>
      </c>
      <c r="M99" s="114">
        <f>GasModel($I$99,"Kr_Weiss",$D$99,$F$99,$B$99,$C$99,$G$99,$H$99,$B$14)</f>
        <v>7.7276637146363777E-8</v>
      </c>
      <c r="N99" s="114">
        <f>GasModel($I$99,"Xe_Clvr",$D$99,$F$99,$B$99,$C$99,$G$99,$H$99,$B$15)</f>
        <v>9.9792049503835615E-9</v>
      </c>
      <c r="O99" s="114">
        <f>GasModel($I$99,"N2_Weiss",$D$99,$F$99,$B$99,$C$99,$G$99,$H$99,$B$16)</f>
        <v>1.7083289628396319E-2</v>
      </c>
      <c r="P99" s="114">
        <f>GasModel($I$99,"O2_B&amp;K",$D$99,$F$99,$B$99,$C$99,$G$99,$H$99,$B$17)</f>
        <v>7.7773445458129593E-3</v>
      </c>
      <c r="Q99" s="114">
        <f>GasModel($I$99,"CO2_Weiss_F",$D$99,$F$99,$B$99,$C$99,$G$99,$H$99,$B$18)</f>
        <v>2.9047492852004361E-4</v>
      </c>
      <c r="R99" s="114">
        <f>GasModel($I$99,"CH4_Wies",$D$99,$F$99,$B$99,$C$99,$G$99,$H$99,$B$19)</f>
        <v>5.7348922630015537E-8</v>
      </c>
      <c r="S99" s="114">
        <f>GasModel($I$99,"H2_Wies",$D$99,$F$99,$B$99,$C$99,$G$99,$H$99,$B$20)</f>
        <v>1.3757221933310093E-8</v>
      </c>
      <c r="T99" s="114">
        <f>GasModel($I$99,"N2O_Weiss_F",$D$99,$F$99,$B$99,$C$99,$G$99,$H$99,$B$21)</f>
        <v>1.9578158985574901E-7</v>
      </c>
      <c r="U99" s="114">
        <f>$L$99/$K$99</f>
        <v>1374.1220723646961</v>
      </c>
      <c r="V99" s="114">
        <f>$M$99/$N$99</f>
        <v>7.7437669163607632</v>
      </c>
      <c r="W99" s="114">
        <f>$N$99/$K$99</f>
        <v>3.6562328399269831E-2</v>
      </c>
      <c r="X99" s="114">
        <f>$M$99/$L$99</f>
        <v>2.0604439353495788E-4</v>
      </c>
      <c r="Y99" s="114">
        <f>$O$99/$L$99</f>
        <v>45.549550045742173</v>
      </c>
      <c r="Z99" s="114" t="e">
        <f>$I$99/$I$99</f>
        <v>#VALUE!</v>
      </c>
    </row>
    <row r="100" spans="1:26">
      <c r="A100" s="114" t="s">
        <v>825</v>
      </c>
      <c r="B100" s="114">
        <f t="shared" si="4"/>
        <v>0.60581683578000001</v>
      </c>
      <c r="C100" s="114">
        <f t="shared" si="5"/>
        <v>61.585365853658502</v>
      </c>
      <c r="D100" s="114">
        <f t="shared" si="2"/>
        <v>20.790000915499999</v>
      </c>
      <c r="E100" s="114">
        <v>0</v>
      </c>
      <c r="F100" s="114">
        <f t="shared" si="9"/>
        <v>20</v>
      </c>
      <c r="G100" s="114">
        <f t="shared" si="7"/>
        <v>0.5</v>
      </c>
      <c r="H100" s="114">
        <v>2</v>
      </c>
      <c r="I100" s="114" t="s">
        <v>16</v>
      </c>
      <c r="J100" s="114">
        <f>GasModel($I$100,"He_Weiss",$D$100,$F$100,$B$100,$C$100,$G$100,$H$100,$B$11)</f>
        <v>6.8157205689826963E-8</v>
      </c>
      <c r="K100" s="114">
        <f>GasModel($I$100,"Ne_Weiss",$D$100,$F$100,$B$100,$C$100,$G$100,$H$100,$B$12)</f>
        <v>2.7293680099932724E-7</v>
      </c>
      <c r="L100" s="114">
        <f>GasModel($I$100,"Ar_Weiss",$D$100,$F$100,$B$100,$C$100,$G$100,$H$100,$B$13)</f>
        <v>3.7504848261378623E-4</v>
      </c>
      <c r="M100" s="114">
        <f>GasModel($I$100,"Kr_Weiss",$D$100,$F$100,$B$100,$C$100,$G$100,$H$100,$B$14)</f>
        <v>7.7276637146363777E-8</v>
      </c>
      <c r="N100" s="114">
        <f>GasModel($I$100,"Xe_Clvr",$D$100,$F$100,$B$100,$C$100,$G$100,$H$100,$B$15)</f>
        <v>9.9792049503835615E-9</v>
      </c>
      <c r="O100" s="114">
        <f>GasModel($I$100,"N2_Weiss",$D$100,$F$100,$B$100,$C$100,$G$100,$H$100,$B$16)</f>
        <v>1.7882650139987046E-2</v>
      </c>
      <c r="P100" s="114">
        <f>GasModel($I$100,"O2_B&amp;K",$D$100,$F$100,$B$100,$C$100,$G$100,$H$100,$B$17)</f>
        <v>7.7773445458129593E-3</v>
      </c>
      <c r="Q100" s="114">
        <f>GasModel($I$100,"CO2_Weiss_F",$D$100,$F$100,$B$100,$C$100,$G$100,$H$100,$B$18)</f>
        <v>2.9047492852004361E-4</v>
      </c>
      <c r="R100" s="114">
        <f>GasModel($I$100,"CH4_Wies",$D$100,$F$100,$B$100,$C$100,$G$100,$H$100,$B$19)</f>
        <v>5.7348922630015537E-8</v>
      </c>
      <c r="S100" s="114">
        <f>GasModel($I$100,"H2_Wies",$D$100,$F$100,$B$100,$C$100,$G$100,$H$100,$B$20)</f>
        <v>1.3757221933310093E-8</v>
      </c>
      <c r="T100" s="114">
        <f>GasModel($I$100,"N2O_Weiss_F",$D$100,$F$100,$B$100,$C$100,$G$100,$H$100,$B$21)</f>
        <v>1.9578158985574901E-7</v>
      </c>
      <c r="U100" s="114">
        <f>$L$100/$K$100</f>
        <v>1374.1220723646961</v>
      </c>
      <c r="V100" s="114">
        <f>$M$100/$N$100</f>
        <v>7.7437669163607632</v>
      </c>
      <c r="W100" s="114">
        <f>$N$100/$K$100</f>
        <v>3.6562328399269831E-2</v>
      </c>
      <c r="X100" s="114">
        <f>$M$100/$L$100</f>
        <v>2.0604439353495788E-4</v>
      </c>
      <c r="Y100" s="114">
        <f>$O$100/$L$100</f>
        <v>47.6809025205471</v>
      </c>
      <c r="Z100" s="114" t="e">
        <f>$I$100/$I$100</f>
        <v>#VALUE!</v>
      </c>
    </row>
    <row r="101" spans="1:26">
      <c r="A101" s="114" t="s">
        <v>825</v>
      </c>
      <c r="B101" s="114">
        <f t="shared" si="4"/>
        <v>0.60581683578000001</v>
      </c>
      <c r="C101" s="114">
        <f t="shared" si="5"/>
        <v>61.585365853658502</v>
      </c>
      <c r="D101" s="114">
        <f t="shared" si="2"/>
        <v>20.790000915499999</v>
      </c>
      <c r="E101" s="114">
        <v>0</v>
      </c>
      <c r="F101" s="114">
        <f t="shared" si="9"/>
        <v>20</v>
      </c>
      <c r="G101" s="114">
        <f t="shared" si="7"/>
        <v>0.5</v>
      </c>
      <c r="H101" s="114">
        <v>3</v>
      </c>
      <c r="I101" s="114" t="s">
        <v>16</v>
      </c>
      <c r="J101" s="114">
        <f>GasModel($I$101,"He_Weiss",$D$101,$F$101,$B$101,$C$101,$G$101,$H$101,$B$11)</f>
        <v>6.8157205689826963E-8</v>
      </c>
      <c r="K101" s="114">
        <f>GasModel($I$101,"Ne_Weiss",$D$101,$F$101,$B$101,$C$101,$G$101,$H$101,$B$12)</f>
        <v>2.7293680099932724E-7</v>
      </c>
      <c r="L101" s="114">
        <f>GasModel($I$101,"Ar_Weiss",$D$101,$F$101,$B$101,$C$101,$G$101,$H$101,$B$13)</f>
        <v>3.7504848261378623E-4</v>
      </c>
      <c r="M101" s="114">
        <f>GasModel($I$101,"Kr_Weiss",$D$101,$F$101,$B$101,$C$101,$G$101,$H$101,$B$14)</f>
        <v>7.7276637146363777E-8</v>
      </c>
      <c r="N101" s="114">
        <f>GasModel($I$101,"Xe_Clvr",$D$101,$F$101,$B$101,$C$101,$G$101,$H$101,$B$15)</f>
        <v>9.9792049503835615E-9</v>
      </c>
      <c r="O101" s="114">
        <f>GasModel($I$101,"N2_Weiss",$D$101,$F$101,$B$101,$C$101,$G$101,$H$101,$B$16)</f>
        <v>1.8682010651577773E-2</v>
      </c>
      <c r="P101" s="114">
        <f>GasModel($I$101,"O2_B&amp;K",$D$101,$F$101,$B$101,$C$101,$G$101,$H$101,$B$17)</f>
        <v>7.7773445458129593E-3</v>
      </c>
      <c r="Q101" s="114">
        <f>GasModel($I$101,"CO2_Weiss_F",$D$101,$F$101,$B$101,$C$101,$G$101,$H$101,$B$18)</f>
        <v>2.9047492852004361E-4</v>
      </c>
      <c r="R101" s="114">
        <f>GasModel($I$101,"CH4_Wies",$D$101,$F$101,$B$101,$C$101,$G$101,$H$101,$B$19)</f>
        <v>5.7348922630015537E-8</v>
      </c>
      <c r="S101" s="114">
        <f>GasModel($I$101,"H2_Wies",$D$101,$F$101,$B$101,$C$101,$G$101,$H$101,$B$20)</f>
        <v>1.3757221933310093E-8</v>
      </c>
      <c r="T101" s="114">
        <f>GasModel($I$101,"N2O_Weiss_F",$D$101,$F$101,$B$101,$C$101,$G$101,$H$101,$B$21)</f>
        <v>1.9578158985574901E-7</v>
      </c>
      <c r="U101" s="114">
        <f>$L$101/$K$101</f>
        <v>1374.1220723646961</v>
      </c>
      <c r="V101" s="114">
        <f>$M$101/$N$101</f>
        <v>7.7437669163607632</v>
      </c>
      <c r="W101" s="114">
        <f>$N$101/$K$101</f>
        <v>3.6562328399269831E-2</v>
      </c>
      <c r="X101" s="114">
        <f>$M$101/$L$101</f>
        <v>2.0604439353495788E-4</v>
      </c>
      <c r="Y101" s="114">
        <f>$O$101/$L$101</f>
        <v>49.812254995352035</v>
      </c>
      <c r="Z101" s="114" t="e">
        <f>$I$101/$I$101</f>
        <v>#VALUE!</v>
      </c>
    </row>
    <row r="102" spans="1:26">
      <c r="A102" s="114" t="s">
        <v>825</v>
      </c>
      <c r="B102" s="114">
        <f t="shared" si="4"/>
        <v>0.60581683578000001</v>
      </c>
      <c r="C102" s="114">
        <f t="shared" si="5"/>
        <v>61.585365853658502</v>
      </c>
      <c r="D102" s="114">
        <f t="shared" si="2"/>
        <v>20.790000915499999</v>
      </c>
      <c r="E102" s="114">
        <v>0</v>
      </c>
      <c r="F102" s="114">
        <f t="shared" si="9"/>
        <v>20</v>
      </c>
      <c r="G102" s="114">
        <f t="shared" si="7"/>
        <v>0.5</v>
      </c>
      <c r="H102" s="114">
        <v>4</v>
      </c>
      <c r="I102" s="114" t="s">
        <v>16</v>
      </c>
      <c r="J102" s="114">
        <f>GasModel($I$102,"He_Weiss",$D$102,$F$102,$B$102,$C$102,$G$102,$H$102,$B$11)</f>
        <v>6.8157205689826963E-8</v>
      </c>
      <c r="K102" s="114">
        <f>GasModel($I$102,"Ne_Weiss",$D$102,$F$102,$B$102,$C$102,$G$102,$H$102,$B$12)</f>
        <v>2.7293680099932724E-7</v>
      </c>
      <c r="L102" s="114">
        <f>GasModel($I$102,"Ar_Weiss",$D$102,$F$102,$B$102,$C$102,$G$102,$H$102,$B$13)</f>
        <v>3.7504848261378623E-4</v>
      </c>
      <c r="M102" s="114">
        <f>GasModel($I$102,"Kr_Weiss",$D$102,$F$102,$B$102,$C$102,$G$102,$H$102,$B$14)</f>
        <v>7.7276637146363777E-8</v>
      </c>
      <c r="N102" s="114">
        <f>GasModel($I$102,"Xe_Clvr",$D$102,$F$102,$B$102,$C$102,$G$102,$H$102,$B$15)</f>
        <v>9.9792049503835615E-9</v>
      </c>
      <c r="O102" s="114">
        <f>GasModel($I$102,"N2_Weiss",$D$102,$F$102,$B$102,$C$102,$G$102,$H$102,$B$16)</f>
        <v>1.9481371163168504E-2</v>
      </c>
      <c r="P102" s="114">
        <f>GasModel($I$102,"O2_B&amp;K",$D$102,$F$102,$B$102,$C$102,$G$102,$H$102,$B$17)</f>
        <v>7.7773445458129593E-3</v>
      </c>
      <c r="Q102" s="114">
        <f>GasModel($I$102,"CO2_Weiss_F",$D$102,$F$102,$B$102,$C$102,$G$102,$H$102,$B$18)</f>
        <v>2.9047492852004361E-4</v>
      </c>
      <c r="R102" s="114">
        <f>GasModel($I$102,"CH4_Wies",$D$102,$F$102,$B$102,$C$102,$G$102,$H$102,$B$19)</f>
        <v>5.7348922630015537E-8</v>
      </c>
      <c r="S102" s="114">
        <f>GasModel($I$102,"H2_Wies",$D$102,$F$102,$B$102,$C$102,$G$102,$H$102,$B$20)</f>
        <v>1.3757221933310093E-8</v>
      </c>
      <c r="T102" s="114">
        <f>GasModel($I$102,"N2O_Weiss_F",$D$102,$F$102,$B$102,$C$102,$G$102,$H$102,$B$21)</f>
        <v>1.9578158985574901E-7</v>
      </c>
      <c r="U102" s="114">
        <f>$L$102/$K$102</f>
        <v>1374.1220723646961</v>
      </c>
      <c r="V102" s="114">
        <f>$M$102/$N$102</f>
        <v>7.7437669163607632</v>
      </c>
      <c r="W102" s="114">
        <f>$N$102/$K$102</f>
        <v>3.6562328399269831E-2</v>
      </c>
      <c r="X102" s="114">
        <f>$M$102/$L$102</f>
        <v>2.0604439353495788E-4</v>
      </c>
      <c r="Y102" s="114">
        <f>$O$102/$L$102</f>
        <v>51.943607470156969</v>
      </c>
      <c r="Z102" s="114" t="e">
        <f>$I$102/$I$102</f>
        <v>#VALUE!</v>
      </c>
    </row>
    <row r="103" spans="1:26">
      <c r="A103" s="114" t="s">
        <v>825</v>
      </c>
      <c r="B103" s="114">
        <f t="shared" si="4"/>
        <v>0.60581683578000001</v>
      </c>
      <c r="C103" s="114">
        <f t="shared" si="5"/>
        <v>61.585365853658502</v>
      </c>
      <c r="D103" s="114">
        <f t="shared" si="2"/>
        <v>20.790000915499999</v>
      </c>
      <c r="E103" s="114">
        <v>0</v>
      </c>
      <c r="F103" s="114">
        <f t="shared" si="9"/>
        <v>20</v>
      </c>
      <c r="G103" s="114">
        <f t="shared" si="7"/>
        <v>0.5</v>
      </c>
      <c r="H103" s="114">
        <v>5</v>
      </c>
      <c r="I103" s="114" t="s">
        <v>16</v>
      </c>
      <c r="J103" s="114">
        <f>GasModel($I$103,"He_Weiss",$D$103,$F$103,$B$103,$C$103,$G$103,$H$103,$B$11)</f>
        <v>6.8157205689826963E-8</v>
      </c>
      <c r="K103" s="114">
        <f>GasModel($I$103,"Ne_Weiss",$D$103,$F$103,$B$103,$C$103,$G$103,$H$103,$B$12)</f>
        <v>2.7293680099932724E-7</v>
      </c>
      <c r="L103" s="114">
        <f>GasModel($I$103,"Ar_Weiss",$D$103,$F$103,$B$103,$C$103,$G$103,$H$103,$B$13)</f>
        <v>3.7504848261378623E-4</v>
      </c>
      <c r="M103" s="114">
        <f>GasModel($I$103,"Kr_Weiss",$D$103,$F$103,$B$103,$C$103,$G$103,$H$103,$B$14)</f>
        <v>7.7276637146363777E-8</v>
      </c>
      <c r="N103" s="114">
        <f>GasModel($I$103,"Xe_Clvr",$D$103,$F$103,$B$103,$C$103,$G$103,$H$103,$B$15)</f>
        <v>9.9792049503835615E-9</v>
      </c>
      <c r="O103" s="114">
        <f>GasModel($I$103,"N2_Weiss",$D$103,$F$103,$B$103,$C$103,$G$103,$H$103,$B$16)</f>
        <v>2.0280731674759231E-2</v>
      </c>
      <c r="P103" s="114">
        <f>GasModel($I$103,"O2_B&amp;K",$D$103,$F$103,$B$103,$C$103,$G$103,$H$103,$B$17)</f>
        <v>7.7773445458129593E-3</v>
      </c>
      <c r="Q103" s="114">
        <f>GasModel($I$103,"CO2_Weiss_F",$D$103,$F$103,$B$103,$C$103,$G$103,$H$103,$B$18)</f>
        <v>2.9047492852004361E-4</v>
      </c>
      <c r="R103" s="114">
        <f>GasModel($I$103,"CH4_Wies",$D$103,$F$103,$B$103,$C$103,$G$103,$H$103,$B$19)</f>
        <v>5.7348922630015537E-8</v>
      </c>
      <c r="S103" s="114">
        <f>GasModel($I$103,"H2_Wies",$D$103,$F$103,$B$103,$C$103,$G$103,$H$103,$B$20)</f>
        <v>1.3757221933310093E-8</v>
      </c>
      <c r="T103" s="114">
        <f>GasModel($I$103,"N2O_Weiss_F",$D$103,$F$103,$B$103,$C$103,$G$103,$H$103,$B$21)</f>
        <v>1.9578158985574901E-7</v>
      </c>
      <c r="U103" s="114">
        <f>$L$103/$K$103</f>
        <v>1374.1220723646961</v>
      </c>
      <c r="V103" s="114">
        <f>$M$103/$N$103</f>
        <v>7.7437669163607632</v>
      </c>
      <c r="W103" s="114">
        <f>$N$103/$K$103</f>
        <v>3.6562328399269831E-2</v>
      </c>
      <c r="X103" s="114">
        <f>$M$103/$L$103</f>
        <v>2.0604439353495788E-4</v>
      </c>
      <c r="Y103" s="114">
        <f>$O$103/$L$103</f>
        <v>54.074959944961904</v>
      </c>
      <c r="Z103" s="114" t="e">
        <f>$I$103/$I$103</f>
        <v>#VALUE!</v>
      </c>
    </row>
    <row r="104" spans="1:26">
      <c r="A104" s="114" t="s">
        <v>825</v>
      </c>
      <c r="B104" s="114">
        <f t="shared" si="4"/>
        <v>0.60581683578000001</v>
      </c>
      <c r="C104" s="114">
        <f t="shared" si="5"/>
        <v>61.585365853658502</v>
      </c>
      <c r="D104" s="114">
        <f t="shared" si="2"/>
        <v>20.790000915499999</v>
      </c>
      <c r="E104" s="114">
        <v>0</v>
      </c>
      <c r="F104" s="114">
        <f t="shared" si="9"/>
        <v>20</v>
      </c>
      <c r="G104" s="114">
        <f t="shared" si="7"/>
        <v>0.5</v>
      </c>
      <c r="H104" s="114">
        <v>10</v>
      </c>
      <c r="I104" s="114" t="s">
        <v>16</v>
      </c>
      <c r="J104" s="114">
        <f>GasModel($I$104,"He_Weiss",$D$104,$F$104,$B$104,$C$104,$G$104,$H$104,$B$11)</f>
        <v>6.8157205689826963E-8</v>
      </c>
      <c r="K104" s="114">
        <f>GasModel($I$104,"Ne_Weiss",$D$104,$F$104,$B$104,$C$104,$G$104,$H$104,$B$12)</f>
        <v>2.7293680099932724E-7</v>
      </c>
      <c r="L104" s="114">
        <f>GasModel($I$104,"Ar_Weiss",$D$104,$F$104,$B$104,$C$104,$G$104,$H$104,$B$13)</f>
        <v>3.7504848261378623E-4</v>
      </c>
      <c r="M104" s="114">
        <f>GasModel($I$104,"Kr_Weiss",$D$104,$F$104,$B$104,$C$104,$G$104,$H$104,$B$14)</f>
        <v>7.7276637146363777E-8</v>
      </c>
      <c r="N104" s="114">
        <f>GasModel($I$104,"Xe_Clvr",$D$104,$F$104,$B$104,$C$104,$G$104,$H$104,$B$15)</f>
        <v>9.9792049503835615E-9</v>
      </c>
      <c r="O104" s="114">
        <f>GasModel($I$104,"N2_Weiss",$D$104,$F$104,$B$104,$C$104,$G$104,$H$104,$B$16)</f>
        <v>2.427753423271287E-2</v>
      </c>
      <c r="P104" s="114">
        <f>GasModel($I$104,"O2_B&amp;K",$D$104,$F$104,$B$104,$C$104,$G$104,$H$104,$B$17)</f>
        <v>7.7773445458129593E-3</v>
      </c>
      <c r="Q104" s="114">
        <f>GasModel($I$104,"CO2_Weiss_F",$D$104,$F$104,$B$104,$C$104,$G$104,$H$104,$B$18)</f>
        <v>2.9047492852004361E-4</v>
      </c>
      <c r="R104" s="114">
        <f>GasModel($I$104,"CH4_Wies",$D$104,$F$104,$B$104,$C$104,$G$104,$H$104,$B$19)</f>
        <v>5.7348922630015537E-8</v>
      </c>
      <c r="S104" s="114">
        <f>GasModel($I$104,"H2_Wies",$D$104,$F$104,$B$104,$C$104,$G$104,$H$104,$B$20)</f>
        <v>1.3757221933310093E-8</v>
      </c>
      <c r="T104" s="114">
        <f>GasModel($I$104,"N2O_Weiss_F",$D$104,$F$104,$B$104,$C$104,$G$104,$H$104,$B$21)</f>
        <v>1.9578158985574901E-7</v>
      </c>
      <c r="U104" s="114">
        <f>$L$104/$K$104</f>
        <v>1374.1220723646961</v>
      </c>
      <c r="V104" s="114">
        <f>$M$104/$N$104</f>
        <v>7.7437669163607632</v>
      </c>
      <c r="W104" s="114">
        <f>$N$104/$K$104</f>
        <v>3.6562328399269831E-2</v>
      </c>
      <c r="X104" s="114">
        <f>$M$104/$L$104</f>
        <v>2.0604439353495788E-4</v>
      </c>
      <c r="Y104" s="114">
        <f>$O$104/$L$104</f>
        <v>64.731722318986556</v>
      </c>
      <c r="Z104" s="114" t="e">
        <f>$I$104/$I$104</f>
        <v>#VALUE!</v>
      </c>
    </row>
    <row r="105" spans="1:26" ht="16.2">
      <c r="A105" s="141" t="s">
        <v>828</v>
      </c>
      <c r="B105" s="142"/>
      <c r="C105" s="142"/>
      <c r="D105" s="142"/>
      <c r="E105" s="142"/>
      <c r="F105" s="142"/>
      <c r="G105" s="142"/>
      <c r="H105" s="142"/>
      <c r="I105" s="142"/>
      <c r="J105" s="142"/>
      <c r="K105" s="142"/>
      <c r="L105" s="142"/>
      <c r="M105" s="142"/>
      <c r="N105" s="142"/>
      <c r="O105" s="142"/>
      <c r="P105" s="142"/>
      <c r="Q105" s="142"/>
      <c r="R105" s="142"/>
      <c r="S105" s="142"/>
      <c r="T105" s="142"/>
      <c r="U105" s="142"/>
      <c r="V105" s="142"/>
      <c r="W105" s="142"/>
      <c r="X105" s="142"/>
      <c r="Y105" s="142"/>
      <c r="Z105" s="142"/>
    </row>
    <row r="106" spans="1:26" ht="13.8">
      <c r="A106" s="111"/>
      <c r="B106" s="111"/>
      <c r="C106" s="111"/>
      <c r="D106" s="111"/>
      <c r="E106" s="111"/>
      <c r="F106" s="111"/>
      <c r="G106" s="111"/>
      <c r="H106" s="111"/>
      <c r="I106" s="111"/>
      <c r="J106" s="139" t="s">
        <v>817</v>
      </c>
      <c r="K106" s="146"/>
      <c r="L106" s="146"/>
      <c r="M106" s="146"/>
      <c r="N106" s="146"/>
      <c r="O106" s="146"/>
      <c r="P106" s="146"/>
      <c r="Q106" s="146"/>
      <c r="R106" s="146"/>
      <c r="S106" s="146"/>
      <c r="T106" s="146"/>
      <c r="U106" s="146"/>
      <c r="V106" s="146"/>
      <c r="W106" s="146"/>
      <c r="X106" s="146"/>
      <c r="Y106" s="146"/>
      <c r="Z106" s="146"/>
    </row>
    <row r="107" spans="1:26" ht="39.6">
      <c r="A107" s="113" t="s">
        <v>811</v>
      </c>
      <c r="B107" s="113" t="s">
        <v>349</v>
      </c>
      <c r="C107" s="113" t="s">
        <v>806</v>
      </c>
      <c r="D107" s="113" t="s">
        <v>807</v>
      </c>
      <c r="E107" s="113" t="s">
        <v>812</v>
      </c>
      <c r="F107" s="113" t="s">
        <v>813</v>
      </c>
      <c r="G107" s="113" t="s">
        <v>147</v>
      </c>
      <c r="H107" s="113" t="s">
        <v>814</v>
      </c>
      <c r="I107" s="113" t="s">
        <v>815</v>
      </c>
      <c r="J107" s="113" t="s">
        <v>64</v>
      </c>
      <c r="K107" s="113" t="s">
        <v>73</v>
      </c>
      <c r="L107" s="113" t="s">
        <v>82</v>
      </c>
      <c r="M107" s="113" t="s">
        <v>89</v>
      </c>
      <c r="N107" s="113" t="s">
        <v>94</v>
      </c>
      <c r="O107" s="113" t="s">
        <v>98</v>
      </c>
      <c r="P107" s="113" t="s">
        <v>102</v>
      </c>
      <c r="Q107" s="113" t="s">
        <v>77</v>
      </c>
      <c r="R107" s="113" t="s">
        <v>110</v>
      </c>
      <c r="S107" s="113" t="s">
        <v>118</v>
      </c>
      <c r="T107" s="113" t="s">
        <v>78</v>
      </c>
      <c r="U107" s="113" t="s">
        <v>796</v>
      </c>
      <c r="V107" s="113" t="s">
        <v>797</v>
      </c>
      <c r="W107" s="113" t="s">
        <v>798</v>
      </c>
      <c r="X107" s="113" t="s">
        <v>799</v>
      </c>
      <c r="Y107" s="113" t="s">
        <v>800</v>
      </c>
      <c r="Z107" s="113" t="s">
        <v>801</v>
      </c>
    </row>
    <row r="108" spans="1:26">
      <c r="A108" s="114" t="s">
        <v>818</v>
      </c>
      <c r="B108" s="114">
        <f t="shared" ref="B108:B139" si="10">$N$4</f>
        <v>0.60581683578000001</v>
      </c>
      <c r="C108" s="114">
        <f t="shared" ref="C108:C139" si="11">$O$4</f>
        <v>61.585365853658502</v>
      </c>
      <c r="D108" s="114">
        <v>0</v>
      </c>
      <c r="E108" s="114">
        <v>0</v>
      </c>
      <c r="F108" s="114">
        <v>0</v>
      </c>
      <c r="G108" s="114">
        <v>0</v>
      </c>
      <c r="H108" s="114">
        <v>0</v>
      </c>
      <c r="I108" s="114" t="s">
        <v>10</v>
      </c>
      <c r="J108" s="114">
        <f>GasModel($I$108,"He_Weiss",$D$108,$E$108,$B$108,$C$108,$G$108,$H$108,$M$11)</f>
        <v>4.8498030268302786E-8</v>
      </c>
      <c r="K108" s="114">
        <f>GasModel($I$108,"Ne_Weiss",$D$108,$E$108,$B$108,$C$108,$G$108,$H$108,$M$12)</f>
        <v>2.2237496323577475E-7</v>
      </c>
      <c r="L108" s="114">
        <f>GasModel($I$108,"Ar_Weiss",$D$108,$E$108,$B$108,$C$108,$G$108,$H$108,$M$13)</f>
        <v>4.9198914519646886E-4</v>
      </c>
      <c r="M108" s="114">
        <f>GasModel($I$108,"Kr_Weiss",$D$108,$E$108,$B$108,$C$108,$G$108,$H$108,$M$14)</f>
        <v>1.2262527561780184E-7</v>
      </c>
      <c r="N108" s="114">
        <f>GasModel($I$108,"Xe_Clvr",$D$108,$E$108,$B$108,$C$108,$G$108,$H$108,$M$15)</f>
        <v>1.9006201657263662E-8</v>
      </c>
      <c r="O108" s="114">
        <f>GasModel($I$108,"N2_Weiss",$D$108,$E$108,$B$108,$C$108,$G$108,$H$108,$M$16)</f>
        <v>1.8199635160810284E-2</v>
      </c>
      <c r="P108" s="114">
        <f>GasModel($I$108,"O2_B&amp;K",$D$108,$E$108,$B$108,$C$108,$G$108,$H$108,$M$17)</f>
        <v>1.0119999280037794E-2</v>
      </c>
      <c r="Q108" s="114">
        <f>GasModel($I$108,"CO2_Weiss_F",$D$108,$E$108,$B$108,$C$108,$G$108,$H$108,$M$18)</f>
        <v>5.9195425675261516E-4</v>
      </c>
      <c r="R108" s="114">
        <f>GasModel($I$108,"CH4_Wies",$D$108,$E$108,$B$108,$C$108,$G$108,$H$108,$M$19)</f>
        <v>7.9559819619814769E-8</v>
      </c>
      <c r="S108" s="114">
        <f>GasModel($I$108,"H2_Wies",$D$108,$E$108,$B$108,$C$108,$G$108,$H$108,$M$20)</f>
        <v>1.2567155845475863E-8</v>
      </c>
      <c r="T108" s="114">
        <f>GasModel($I$108,"N2O_Weiss_F",$D$108,$E$108,$B$108,$C$108,$G$108,$H$108,$M$21)</f>
        <v>4.136866460624681E-7</v>
      </c>
      <c r="U108" s="114">
        <f>$L$108/$K$108</f>
        <v>2212.4304734559241</v>
      </c>
      <c r="V108" s="114">
        <f>$M$108/$N$108</f>
        <v>6.4518559693876414</v>
      </c>
      <c r="W108" s="114">
        <f>$N$108/$K$108</f>
        <v>8.5469161549055289E-2</v>
      </c>
      <c r="X108" s="114">
        <f>$M$108/$L$108</f>
        <v>2.4924386404670204E-4</v>
      </c>
      <c r="Y108" s="114">
        <f>$O$108/$L$108</f>
        <v>36.991944514431346</v>
      </c>
      <c r="Z108" s="114" t="e">
        <f>$I$108/$I$108</f>
        <v>#VALUE!</v>
      </c>
    </row>
    <row r="109" spans="1:26">
      <c r="A109" s="114" t="s">
        <v>818</v>
      </c>
      <c r="B109" s="114">
        <f t="shared" si="10"/>
        <v>0.60581683578000001</v>
      </c>
      <c r="C109" s="114">
        <f t="shared" si="11"/>
        <v>61.585365853658502</v>
      </c>
      <c r="D109" s="114">
        <v>0</v>
      </c>
      <c r="E109" s="114">
        <v>2</v>
      </c>
      <c r="F109" s="114">
        <v>0</v>
      </c>
      <c r="G109" s="114">
        <v>0</v>
      </c>
      <c r="H109" s="114">
        <v>0</v>
      </c>
      <c r="I109" s="114" t="s">
        <v>10</v>
      </c>
      <c r="J109" s="114">
        <f>GasModel($I$109,"He_Weiss",$D$109,$E$109,$B$109,$C$109,$G$109,$H$109,$M$11)</f>
        <v>5.8978030268302785E-8</v>
      </c>
      <c r="K109" s="114">
        <f>GasModel($I$109,"Ne_Weiss",$D$109,$E$109,$B$109,$C$109,$G$109,$H$109,$M$12)</f>
        <v>2.5873496323577474E-7</v>
      </c>
      <c r="L109" s="114">
        <f>GasModel($I$109,"Ar_Weiss",$D$109,$E$109,$B$109,$C$109,$G$109,$H$109,$M$13)</f>
        <v>5.1066914519646883E-4</v>
      </c>
      <c r="M109" s="114">
        <f>GasModel($I$109,"Kr_Weiss",$D$109,$E$109,$B$109,$C$109,$G$109,$H$109,$M$14)</f>
        <v>1.2490527561780183E-7</v>
      </c>
      <c r="N109" s="114">
        <f>GasModel($I$109,"Xe_Clvr",$D$109,$E$109,$B$109,$C$109,$G$109,$H$109,$M$15)</f>
        <v>1.9180201657263661E-8</v>
      </c>
      <c r="O109" s="114">
        <f>GasModel($I$109,"N2_Weiss",$D$109,$E$109,$B$109,$C$109,$G$109,$H$109,$M$16)</f>
        <v>1.9761315160810283E-2</v>
      </c>
      <c r="P109" s="114">
        <f>GasModel($I$109,"O2_B&amp;K",$D$109,$E$109,$B$109,$C$109,$G$109,$H$109,$M$17)</f>
        <v>1.0538999280037794E-2</v>
      </c>
      <c r="Q109" s="114">
        <f>GasModel($I$109,"CO2_Weiss_F",$D$109,$E$109,$B$109,$C$109,$G$109,$H$109,$M$18)</f>
        <v>5.9265425675261512E-4</v>
      </c>
      <c r="R109" s="114">
        <f>GasModel($I$109,"CH4_Wies",$D$109,$E$109,$B$109,$C$109,$G$109,$H$109,$M$19)</f>
        <v>8.2379819619814763E-8</v>
      </c>
      <c r="S109" s="114">
        <f>GasModel($I$109,"H2_Wies",$D$109,$E$109,$B$109,$C$109,$G$109,$H$109,$M$20)</f>
        <v>1.3727155845475863E-8</v>
      </c>
      <c r="T109" s="114">
        <f>GasModel($I$109,"N2O_Weiss_F",$D$109,$E$109,$B$109,$C$109,$G$109,$H$109,$M$21)</f>
        <v>4.1432664606246809E-7</v>
      </c>
      <c r="U109" s="114">
        <f>$L$109/$K$109</f>
        <v>1973.7152598549917</v>
      </c>
      <c r="V109" s="114">
        <f>$M$109/$N$109</f>
        <v>6.5121982474308053</v>
      </c>
      <c r="W109" s="114">
        <f>$N$109/$K$109</f>
        <v>7.4130691180633049E-2</v>
      </c>
      <c r="X109" s="114">
        <f>$M$109/$L$109</f>
        <v>2.4459138914638607E-4</v>
      </c>
      <c r="Y109" s="114">
        <f>$O$109/$L$109</f>
        <v>38.696904535337744</v>
      </c>
      <c r="Z109" s="114" t="e">
        <f>$I$109/$I$109</f>
        <v>#VALUE!</v>
      </c>
    </row>
    <row r="110" spans="1:26">
      <c r="A110" s="114" t="s">
        <v>818</v>
      </c>
      <c r="B110" s="114">
        <f t="shared" si="10"/>
        <v>0.60581683578000001</v>
      </c>
      <c r="C110" s="114">
        <f t="shared" si="11"/>
        <v>61.585365853658502</v>
      </c>
      <c r="D110" s="114">
        <v>0</v>
      </c>
      <c r="E110" s="114">
        <v>4</v>
      </c>
      <c r="F110" s="114">
        <v>0</v>
      </c>
      <c r="G110" s="114">
        <v>0</v>
      </c>
      <c r="H110" s="114">
        <v>0</v>
      </c>
      <c r="I110" s="114" t="s">
        <v>10</v>
      </c>
      <c r="J110" s="114">
        <f>GasModel($I$110,"He_Weiss",$D$110,$E$110,$B$110,$C$110,$G$110,$H$110,$M$11)</f>
        <v>6.9458030268302783E-8</v>
      </c>
      <c r="K110" s="114">
        <f>GasModel($I$110,"Ne_Weiss",$D$110,$E$110,$B$110,$C$110,$G$110,$H$110,$M$12)</f>
        <v>2.9509496323577478E-7</v>
      </c>
      <c r="L110" s="114">
        <f>GasModel($I$110,"Ar_Weiss",$D$110,$E$110,$B$110,$C$110,$G$110,$H$110,$M$13)</f>
        <v>5.2934914519646881E-4</v>
      </c>
      <c r="M110" s="114">
        <f>GasModel($I$110,"Kr_Weiss",$D$110,$E$110,$B$110,$C$110,$G$110,$H$110,$M$14)</f>
        <v>1.2718527561780185E-7</v>
      </c>
      <c r="N110" s="114">
        <f>GasModel($I$110,"Xe_Clvr",$D$110,$E$110,$B$110,$C$110,$G$110,$H$110,$M$15)</f>
        <v>1.9354201657263663E-8</v>
      </c>
      <c r="O110" s="114">
        <f>GasModel($I$110,"N2_Weiss",$D$110,$E$110,$B$110,$C$110,$G$110,$H$110,$M$16)</f>
        <v>2.1322995160810283E-2</v>
      </c>
      <c r="P110" s="114">
        <f>GasModel($I$110,"O2_B&amp;K",$D$110,$E$110,$B$110,$C$110,$G$110,$H$110,$M$17)</f>
        <v>1.0957999280037795E-2</v>
      </c>
      <c r="Q110" s="114">
        <f>GasModel($I$110,"CO2_Weiss_F",$D$110,$E$110,$B$110,$C$110,$G$110,$H$110,$M$18)</f>
        <v>5.9335425675261519E-4</v>
      </c>
      <c r="R110" s="114">
        <f>GasModel($I$110,"CH4_Wies",$D$110,$E$110,$B$110,$C$110,$G$110,$H$110,$M$19)</f>
        <v>8.5199819619814771E-8</v>
      </c>
      <c r="S110" s="114">
        <f>GasModel($I$110,"H2_Wies",$D$110,$E$110,$B$110,$C$110,$G$110,$H$110,$M$20)</f>
        <v>1.4887155845475863E-8</v>
      </c>
      <c r="T110" s="114">
        <f>GasModel($I$110,"N2O_Weiss_F",$D$110,$E$110,$B$110,$C$110,$G$110,$H$110,$M$21)</f>
        <v>4.1496664606246812E-7</v>
      </c>
      <c r="U110" s="114">
        <f>$L$110/$K$110</f>
        <v>1793.8264326576452</v>
      </c>
      <c r="V110" s="114">
        <f>$M$110/$N$110</f>
        <v>6.5714555356029898</v>
      </c>
      <c r="W110" s="114">
        <f>$N$110/$K$110</f>
        <v>6.5586350390535314E-2</v>
      </c>
      <c r="X110" s="114">
        <f>$M$110/$L$110</f>
        <v>2.4026727306907585E-4</v>
      </c>
      <c r="Y110" s="114">
        <f>$O$110/$L$110</f>
        <v>40.281533189018788</v>
      </c>
      <c r="Z110" s="114" t="e">
        <f>$I$110/$I$110</f>
        <v>#VALUE!</v>
      </c>
    </row>
    <row r="111" spans="1:26">
      <c r="A111" s="114" t="s">
        <v>818</v>
      </c>
      <c r="B111" s="114">
        <f t="shared" si="10"/>
        <v>0.60581683578000001</v>
      </c>
      <c r="C111" s="114">
        <f t="shared" si="11"/>
        <v>61.585365853658502</v>
      </c>
      <c r="D111" s="114">
        <v>0</v>
      </c>
      <c r="E111" s="114">
        <v>6</v>
      </c>
      <c r="F111" s="114">
        <v>0</v>
      </c>
      <c r="G111" s="114">
        <v>0</v>
      </c>
      <c r="H111" s="114">
        <v>0</v>
      </c>
      <c r="I111" s="114" t="s">
        <v>10</v>
      </c>
      <c r="J111" s="114">
        <f>GasModel($I$111,"He_Weiss",$D$111,$E$111,$B$111,$C$111,$G$111,$H$111,$M$11)</f>
        <v>7.9938030268302782E-8</v>
      </c>
      <c r="K111" s="114">
        <f>GasModel($I$111,"Ne_Weiss",$D$111,$E$111,$B$111,$C$111,$G$111,$H$111,$M$12)</f>
        <v>3.3145496323577472E-7</v>
      </c>
      <c r="L111" s="114">
        <f>GasModel($I$111,"Ar_Weiss",$D$111,$E$111,$B$111,$C$111,$G$111,$H$111,$M$13)</f>
        <v>5.480291451964689E-4</v>
      </c>
      <c r="M111" s="114">
        <f>GasModel($I$111,"Kr_Weiss",$D$111,$E$111,$B$111,$C$111,$G$111,$H$111,$M$14)</f>
        <v>1.2946527561780184E-7</v>
      </c>
      <c r="N111" s="114">
        <f>GasModel($I$111,"Xe_Clvr",$D$111,$E$111,$B$111,$C$111,$G$111,$H$111,$M$15)</f>
        <v>1.9528201657263662E-8</v>
      </c>
      <c r="O111" s="114">
        <f>GasModel($I$111,"N2_Weiss",$D$111,$E$111,$B$111,$C$111,$G$111,$H$111,$M$16)</f>
        <v>2.2884675160810282E-2</v>
      </c>
      <c r="P111" s="114">
        <f>GasModel($I$111,"O2_B&amp;K",$D$111,$E$111,$B$111,$C$111,$G$111,$H$111,$M$17)</f>
        <v>1.1376999280037794E-2</v>
      </c>
      <c r="Q111" s="114">
        <f>GasModel($I$111,"CO2_Weiss_F",$D$111,$E$111,$B$111,$C$111,$G$111,$H$111,$M$18)</f>
        <v>5.9405425675261516E-4</v>
      </c>
      <c r="R111" s="114">
        <f>GasModel($I$111,"CH4_Wies",$D$111,$E$111,$B$111,$C$111,$G$111,$H$111,$M$19)</f>
        <v>8.8019819619814766E-8</v>
      </c>
      <c r="S111" s="114">
        <f>GasModel($I$111,"H2_Wies",$D$111,$E$111,$B$111,$C$111,$G$111,$H$111,$M$20)</f>
        <v>1.6047155845475864E-8</v>
      </c>
      <c r="T111" s="114">
        <f>GasModel($I$111,"N2O_Weiss_F",$D$111,$E$111,$B$111,$C$111,$G$111,$H$111,$M$21)</f>
        <v>4.1560664606246811E-7</v>
      </c>
      <c r="U111" s="114">
        <f>$L$111/$K$111</f>
        <v>1653.4045526017298</v>
      </c>
      <c r="V111" s="114">
        <f>$M$111/$N$111</f>
        <v>6.6296568363040365</v>
      </c>
      <c r="W111" s="114">
        <f>$N$111/$K$111</f>
        <v>5.8916606547757787E-2</v>
      </c>
      <c r="X111" s="114">
        <f>$M$111/$L$111</f>
        <v>2.3623793871654114E-4</v>
      </c>
      <c r="Y111" s="114">
        <f>$O$111/$L$111</f>
        <v>41.758135240427968</v>
      </c>
      <c r="Z111" s="114" t="e">
        <f>$I$111/$I$111</f>
        <v>#VALUE!</v>
      </c>
    </row>
    <row r="112" spans="1:26">
      <c r="A112" s="114" t="s">
        <v>818</v>
      </c>
      <c r="B112" s="114">
        <f t="shared" si="10"/>
        <v>0.60581683578000001</v>
      </c>
      <c r="C112" s="114">
        <f t="shared" si="11"/>
        <v>61.585365853658502</v>
      </c>
      <c r="D112" s="114">
        <v>0</v>
      </c>
      <c r="E112" s="114">
        <v>8</v>
      </c>
      <c r="F112" s="114">
        <v>0</v>
      </c>
      <c r="G112" s="114">
        <v>0</v>
      </c>
      <c r="H112" s="114">
        <v>0</v>
      </c>
      <c r="I112" s="114" t="s">
        <v>10</v>
      </c>
      <c r="J112" s="114">
        <f>GasModel($I$112,"He_Weiss",$D$112,$E$112,$B$112,$C$112,$G$112,$H$112,$M$11)</f>
        <v>9.0418030268302781E-8</v>
      </c>
      <c r="K112" s="114">
        <f>GasModel($I$112,"Ne_Weiss",$D$112,$E$112,$B$112,$C$112,$G$112,$H$112,$M$12)</f>
        <v>3.6781496323577476E-7</v>
      </c>
      <c r="L112" s="114">
        <f>GasModel($I$112,"Ar_Weiss",$D$112,$E$112,$B$112,$C$112,$G$112,$H$112,$M$13)</f>
        <v>5.6670914519646887E-4</v>
      </c>
      <c r="M112" s="114">
        <f>GasModel($I$112,"Kr_Weiss",$D$112,$E$112,$B$112,$C$112,$G$112,$H$112,$M$14)</f>
        <v>1.3174527561780183E-7</v>
      </c>
      <c r="N112" s="114">
        <f>GasModel($I$112,"Xe_Clvr",$D$112,$E$112,$B$112,$C$112,$G$112,$H$112,$M$15)</f>
        <v>1.970220165726366E-8</v>
      </c>
      <c r="O112" s="114">
        <f>GasModel($I$112,"N2_Weiss",$D$112,$E$112,$B$112,$C$112,$G$112,$H$112,$M$16)</f>
        <v>2.4446355160810285E-2</v>
      </c>
      <c r="P112" s="114">
        <f>GasModel($I$112,"O2_B&amp;K",$D$112,$E$112,$B$112,$C$112,$G$112,$H$112,$M$17)</f>
        <v>1.1795999280037795E-2</v>
      </c>
      <c r="Q112" s="114">
        <f>GasModel($I$112,"CO2_Weiss_F",$D$112,$E$112,$B$112,$C$112,$G$112,$H$112,$M$18)</f>
        <v>5.9475425675261512E-4</v>
      </c>
      <c r="R112" s="114">
        <f>GasModel($I$112,"CH4_Wies",$D$112,$E$112,$B$112,$C$112,$G$112,$H$112,$M$19)</f>
        <v>9.0839819619814761E-8</v>
      </c>
      <c r="S112" s="114">
        <f>GasModel($I$112,"H2_Wies",$D$112,$E$112,$B$112,$C$112,$G$112,$H$112,$M$20)</f>
        <v>1.7207155845475862E-8</v>
      </c>
      <c r="T112" s="114">
        <f>GasModel($I$112,"N2O_Weiss_F",$D$112,$E$112,$B$112,$C$112,$G$112,$H$112,$M$21)</f>
        <v>4.1624664606246809E-7</v>
      </c>
      <c r="U112" s="114">
        <f>$L$112/$K$112</f>
        <v>1540.7452165919635</v>
      </c>
      <c r="V112" s="114">
        <f>$M$112/$N$112</f>
        <v>6.6868301273949742</v>
      </c>
      <c r="W112" s="114">
        <f>$N$112/$K$112</f>
        <v>5.3565525132359182E-2</v>
      </c>
      <c r="X112" s="114">
        <f>$M$112/$L$112</f>
        <v>2.3247423609535695E-4</v>
      </c>
      <c r="Y112" s="114">
        <f>$O$112/$L$112</f>
        <v>43.137393084304527</v>
      </c>
      <c r="Z112" s="114" t="e">
        <f>$I$112/$I$112</f>
        <v>#VALUE!</v>
      </c>
    </row>
    <row r="113" spans="1:26">
      <c r="A113" s="114" t="s">
        <v>818</v>
      </c>
      <c r="B113" s="114">
        <f t="shared" si="10"/>
        <v>0.60581683578000001</v>
      </c>
      <c r="C113" s="114">
        <f t="shared" si="11"/>
        <v>61.585365853658502</v>
      </c>
      <c r="D113" s="114">
        <v>0</v>
      </c>
      <c r="E113" s="114">
        <v>10</v>
      </c>
      <c r="F113" s="114">
        <v>0</v>
      </c>
      <c r="G113" s="114">
        <v>0</v>
      </c>
      <c r="H113" s="114">
        <v>0</v>
      </c>
      <c r="I113" s="114" t="s">
        <v>10</v>
      </c>
      <c r="J113" s="114">
        <f>GasModel($I$113,"He_Weiss",$D$113,$E$113,$B$113,$C$113,$G$113,$H$113,$M$11)</f>
        <v>1.0089803026830278E-7</v>
      </c>
      <c r="K113" s="114">
        <f>GasModel($I$113,"Ne_Weiss",$D$113,$E$113,$B$113,$C$113,$G$113,$H$113,$M$12)</f>
        <v>4.0417496323577475E-7</v>
      </c>
      <c r="L113" s="114">
        <f>GasModel($I$113,"Ar_Weiss",$D$113,$E$113,$B$113,$C$113,$G$113,$H$113,$M$13)</f>
        <v>5.8538914519646885E-4</v>
      </c>
      <c r="M113" s="114">
        <f>GasModel($I$113,"Kr_Weiss",$D$113,$E$113,$B$113,$C$113,$G$113,$H$113,$M$14)</f>
        <v>1.3402527561780185E-7</v>
      </c>
      <c r="N113" s="114">
        <f>GasModel($I$113,"Xe_Clvr",$D$113,$E$113,$B$113,$C$113,$G$113,$H$113,$M$15)</f>
        <v>1.9876201657263663E-8</v>
      </c>
      <c r="O113" s="114">
        <f>GasModel($I$113,"N2_Weiss",$D$113,$E$113,$B$113,$C$113,$G$113,$H$113,$M$16)</f>
        <v>2.6008035160810284E-2</v>
      </c>
      <c r="P113" s="114">
        <f>GasModel($I$113,"O2_B&amp;K",$D$113,$E$113,$B$113,$C$113,$G$113,$H$113,$M$17)</f>
        <v>1.2214999280037794E-2</v>
      </c>
      <c r="Q113" s="114">
        <f>GasModel($I$113,"CO2_Weiss_F",$D$113,$E$113,$B$113,$C$113,$G$113,$H$113,$M$18)</f>
        <v>5.9545425675261519E-4</v>
      </c>
      <c r="R113" s="114">
        <f>GasModel($I$113,"CH4_Wies",$D$113,$E$113,$B$113,$C$113,$G$113,$H$113,$M$19)</f>
        <v>9.3659819619814769E-8</v>
      </c>
      <c r="S113" s="114">
        <f>GasModel($I$113,"H2_Wies",$D$113,$E$113,$B$113,$C$113,$G$113,$H$113,$M$20)</f>
        <v>1.8367155845475864E-8</v>
      </c>
      <c r="T113" s="114">
        <f>GasModel($I$113,"N2O_Weiss_F",$D$113,$E$113,$B$113,$C$113,$G$113,$H$113,$M$21)</f>
        <v>4.1688664606246808E-7</v>
      </c>
      <c r="U113" s="114">
        <f>$L$113/$K$113</f>
        <v>1448.3557826291758</v>
      </c>
      <c r="V113" s="114">
        <f>$M$113/$N$113</f>
        <v>6.7430024070430461</v>
      </c>
      <c r="W113" s="114">
        <f>$N$113/$K$113</f>
        <v>4.9177221414550894E-2</v>
      </c>
      <c r="X113" s="114">
        <f>$M$113/$L$113</f>
        <v>2.2895073596354467E-4</v>
      </c>
      <c r="Y113" s="114">
        <f>$O$113/$L$113</f>
        <v>44.428625597561165</v>
      </c>
      <c r="Z113" s="114" t="e">
        <f>$I$113/$I$113</f>
        <v>#VALUE!</v>
      </c>
    </row>
    <row r="114" spans="1:26">
      <c r="A114" s="114" t="s">
        <v>819</v>
      </c>
      <c r="B114" s="114">
        <f t="shared" si="10"/>
        <v>0.60581683578000001</v>
      </c>
      <c r="C114" s="114">
        <f t="shared" si="11"/>
        <v>61.585365853658502</v>
      </c>
      <c r="D114" s="114">
        <v>40</v>
      </c>
      <c r="E114" s="114">
        <v>0</v>
      </c>
      <c r="F114" s="114">
        <v>0</v>
      </c>
      <c r="G114" s="114">
        <v>0</v>
      </c>
      <c r="H114" s="114">
        <v>0</v>
      </c>
      <c r="I114" s="114" t="s">
        <v>10</v>
      </c>
      <c r="J114" s="114">
        <f>GasModel($I$114,"He_Weiss",$D$114,$E$114,$B$114,$C$114,$G$114,$H$114,$M$11)</f>
        <v>4.2116068369396931E-8</v>
      </c>
      <c r="K114" s="114">
        <f>GasModel($I$114,"Ne_Weiss",$D$114,$E$114,$B$114,$C$114,$G$114,$H$114,$M$12)</f>
        <v>1.6012006422190466E-7</v>
      </c>
      <c r="L114" s="114">
        <f>GasModel($I$114,"Ar_Weiss",$D$114,$E$114,$B$114,$C$114,$G$114,$H$114,$M$13)</f>
        <v>2.1906196144748735E-4</v>
      </c>
      <c r="M114" s="114">
        <f>GasModel($I$114,"Kr_Weiss",$D$114,$E$114,$B$114,$C$114,$G$114,$H$114,$M$14)</f>
        <v>4.45763354816901E-8</v>
      </c>
      <c r="N114" s="114">
        <f>GasModel($I$114,"Xe_Clvr",$D$114,$E$114,$B$114,$C$114,$G$114,$H$114,$M$15)</f>
        <v>5.5268281086807843E-9</v>
      </c>
      <c r="O114" s="114">
        <f>GasModel($I$114,"N2_Weiss",$D$114,$E$114,$B$114,$C$114,$G$114,$H$114,$M$16)</f>
        <v>8.6732956461058556E-3</v>
      </c>
      <c r="P114" s="114">
        <f>GasModel($I$114,"O2_B&amp;K",$D$114,$E$114,$B$114,$C$114,$G$114,$H$114,$M$17)</f>
        <v>4.4755614044207585E-3</v>
      </c>
      <c r="Q114" s="114">
        <f>GasModel($I$114,"CO2_Weiss_F",$D$114,$E$114,$B$114,$C$114,$G$114,$H$114,$M$18)</f>
        <v>1.7030317285018413E-4</v>
      </c>
      <c r="R114" s="114">
        <f>GasModel($I$114,"CH4_Wies",$D$114,$E$114,$B$114,$C$114,$G$114,$H$114,$M$19)</f>
        <v>3.2321105815531143E-8</v>
      </c>
      <c r="S114" s="114">
        <f>GasModel($I$114,"H2_Wies",$D$114,$E$114,$B$114,$C$114,$G$114,$H$114,$M$20)</f>
        <v>8.7746693676279108E-9</v>
      </c>
      <c r="T114" s="114">
        <f>GasModel($I$114,"N2O_Weiss_F",$D$114,$E$114,$B$114,$C$114,$G$114,$H$114,$M$21)</f>
        <v>1.114418058255042E-7</v>
      </c>
      <c r="U114" s="114">
        <f>$L$114/$K$114</f>
        <v>1368.1106269349057</v>
      </c>
      <c r="V114" s="114">
        <f>$M$114/$N$114</f>
        <v>8.0654463292744172</v>
      </c>
      <c r="W114" s="114">
        <f>$N$114/$K$114</f>
        <v>3.4516774243990758E-2</v>
      </c>
      <c r="X114" s="114">
        <f>$M$114/$L$114</f>
        <v>2.0348733840939228E-4</v>
      </c>
      <c r="Y114" s="114">
        <f>$O$114/$L$114</f>
        <v>39.592887732747627</v>
      </c>
      <c r="Z114" s="114" t="e">
        <f>$I$114/$I$114</f>
        <v>#VALUE!</v>
      </c>
    </row>
    <row r="115" spans="1:26">
      <c r="A115" s="114" t="s">
        <v>819</v>
      </c>
      <c r="B115" s="114">
        <f t="shared" si="10"/>
        <v>0.60581683578000001</v>
      </c>
      <c r="C115" s="114">
        <f t="shared" si="11"/>
        <v>61.585365853658502</v>
      </c>
      <c r="D115" s="114">
        <v>40</v>
      </c>
      <c r="E115" s="114">
        <v>2</v>
      </c>
      <c r="F115" s="114">
        <v>0</v>
      </c>
      <c r="G115" s="114">
        <v>0</v>
      </c>
      <c r="H115" s="114">
        <v>0</v>
      </c>
      <c r="I115" s="114" t="s">
        <v>10</v>
      </c>
      <c r="J115" s="114">
        <f>GasModel($I$115,"He_Weiss",$D$115,$E$115,$B$115,$C$115,$G$115,$H$115,$M$11)</f>
        <v>5.259606836939693E-8</v>
      </c>
      <c r="K115" s="114">
        <f>GasModel($I$115,"Ne_Weiss",$D$115,$E$115,$B$115,$C$115,$G$115,$H$115,$M$12)</f>
        <v>1.9648006422190468E-7</v>
      </c>
      <c r="L115" s="114">
        <f>GasModel($I$115,"Ar_Weiss",$D$115,$E$115,$B$115,$C$115,$G$115,$H$115,$M$13)</f>
        <v>2.3774196144748735E-4</v>
      </c>
      <c r="M115" s="114">
        <f>GasModel($I$115,"Kr_Weiss",$D$115,$E$115,$B$115,$C$115,$G$115,$H$115,$M$14)</f>
        <v>4.6856335481690098E-8</v>
      </c>
      <c r="N115" s="114">
        <f>GasModel($I$115,"Xe_Clvr",$D$115,$E$115,$B$115,$C$115,$G$115,$H$115,$M$15)</f>
        <v>5.7008281086807839E-9</v>
      </c>
      <c r="O115" s="114">
        <f>GasModel($I$115,"N2_Weiss",$D$115,$E$115,$B$115,$C$115,$G$115,$H$115,$M$16)</f>
        <v>1.0234975646105855E-2</v>
      </c>
      <c r="P115" s="114">
        <f>GasModel($I$115,"O2_B&amp;K",$D$115,$E$115,$B$115,$C$115,$G$115,$H$115,$M$17)</f>
        <v>4.8945614044207586E-3</v>
      </c>
      <c r="Q115" s="114">
        <f>GasModel($I$115,"CO2_Weiss_F",$D$115,$E$115,$B$115,$C$115,$G$115,$H$115,$M$18)</f>
        <v>1.7100317285018412E-4</v>
      </c>
      <c r="R115" s="114">
        <f>GasModel($I$115,"CH4_Wies",$D$115,$E$115,$B$115,$C$115,$G$115,$H$115,$M$19)</f>
        <v>3.5141105815531144E-8</v>
      </c>
      <c r="S115" s="114">
        <f>GasModel($I$115,"H2_Wies",$D$115,$E$115,$B$115,$C$115,$G$115,$H$115,$M$20)</f>
        <v>9.934669367627911E-9</v>
      </c>
      <c r="T115" s="114">
        <f>GasModel($I$115,"N2O_Weiss_F",$D$115,$E$115,$B$115,$C$115,$G$115,$H$115,$M$21)</f>
        <v>1.1208180582550419E-7</v>
      </c>
      <c r="U115" s="114">
        <f>$L$115/$K$115</f>
        <v>1210.0055157707068</v>
      </c>
      <c r="V115" s="114">
        <f>$M$115/$N$115</f>
        <v>8.2192156276981692</v>
      </c>
      <c r="W115" s="114">
        <f>$N$115/$K$115</f>
        <v>2.9014791557897018E-2</v>
      </c>
      <c r="X115" s="114">
        <f>$M$115/$L$115</f>
        <v>1.9708904223893081E-4</v>
      </c>
      <c r="Y115" s="114">
        <f>$O$115/$L$115</f>
        <v>43.050774813963855</v>
      </c>
      <c r="Z115" s="114" t="e">
        <f>$I$115/$I$115</f>
        <v>#VALUE!</v>
      </c>
    </row>
    <row r="116" spans="1:26">
      <c r="A116" s="114" t="s">
        <v>819</v>
      </c>
      <c r="B116" s="114">
        <f t="shared" si="10"/>
        <v>0.60581683578000001</v>
      </c>
      <c r="C116" s="114">
        <f t="shared" si="11"/>
        <v>61.585365853658502</v>
      </c>
      <c r="D116" s="114">
        <v>40</v>
      </c>
      <c r="E116" s="114">
        <v>4</v>
      </c>
      <c r="F116" s="114">
        <v>0</v>
      </c>
      <c r="G116" s="114">
        <v>0</v>
      </c>
      <c r="H116" s="114">
        <v>0</v>
      </c>
      <c r="I116" s="114" t="s">
        <v>10</v>
      </c>
      <c r="J116" s="114">
        <f>GasModel($I$116,"He_Weiss",$D$116,$E$116,$B$116,$C$116,$G$116,$H$116,$M$11)</f>
        <v>6.3076068369396928E-8</v>
      </c>
      <c r="K116" s="114">
        <f>GasModel($I$116,"Ne_Weiss",$D$116,$E$116,$B$116,$C$116,$G$116,$H$116,$M$12)</f>
        <v>2.3284006422190467E-7</v>
      </c>
      <c r="L116" s="114">
        <f>GasModel($I$116,"Ar_Weiss",$D$116,$E$116,$B$116,$C$116,$G$116,$H$116,$M$13)</f>
        <v>2.5642196144748733E-4</v>
      </c>
      <c r="M116" s="114">
        <f>GasModel($I$116,"Kr_Weiss",$D$116,$E$116,$B$116,$C$116,$G$116,$H$116,$M$14)</f>
        <v>4.9136335481690103E-8</v>
      </c>
      <c r="N116" s="114">
        <f>GasModel($I$116,"Xe_Clvr",$D$116,$E$116,$B$116,$C$116,$G$116,$H$116,$M$15)</f>
        <v>5.8748281086807844E-9</v>
      </c>
      <c r="O116" s="114">
        <f>GasModel($I$116,"N2_Weiss",$D$116,$E$116,$B$116,$C$116,$G$116,$H$116,$M$16)</f>
        <v>1.1796655646105856E-2</v>
      </c>
      <c r="P116" s="114">
        <f>GasModel($I$116,"O2_B&amp;K",$D$116,$E$116,$B$116,$C$116,$G$116,$H$116,$M$17)</f>
        <v>5.3135614044207587E-3</v>
      </c>
      <c r="Q116" s="114">
        <f>GasModel($I$116,"CO2_Weiss_F",$D$116,$E$116,$B$116,$C$116,$G$116,$H$116,$M$18)</f>
        <v>1.7170317285018414E-4</v>
      </c>
      <c r="R116" s="114">
        <f>GasModel($I$116,"CH4_Wies",$D$116,$E$116,$B$116,$C$116,$G$116,$H$116,$M$19)</f>
        <v>3.7961105815531145E-8</v>
      </c>
      <c r="S116" s="114">
        <f>GasModel($I$116,"H2_Wies",$D$116,$E$116,$B$116,$C$116,$G$116,$H$116,$M$20)</f>
        <v>1.1094669367627911E-8</v>
      </c>
      <c r="T116" s="114">
        <f>GasModel($I$116,"N2O_Weiss_F",$D$116,$E$116,$B$116,$C$116,$G$116,$H$116,$M$21)</f>
        <v>1.1272180582550419E-7</v>
      </c>
      <c r="U116" s="114">
        <f>$L$116/$K$116</f>
        <v>1101.2793794933345</v>
      </c>
      <c r="V116" s="114">
        <f>$M$116/$N$116</f>
        <v>8.3638762824541359</v>
      </c>
      <c r="W116" s="114">
        <f>$N$116/$K$116</f>
        <v>2.5231173717087919E-2</v>
      </c>
      <c r="X116" s="114">
        <f>$M$116/$L$116</f>
        <v>1.9162296085841593E-4</v>
      </c>
      <c r="Y116" s="114">
        <f>$O$116/$L$116</f>
        <v>46.004856914417189</v>
      </c>
      <c r="Z116" s="114" t="e">
        <f>$I$116/$I$116</f>
        <v>#VALUE!</v>
      </c>
    </row>
    <row r="117" spans="1:26">
      <c r="A117" s="114" t="s">
        <v>819</v>
      </c>
      <c r="B117" s="114">
        <f t="shared" si="10"/>
        <v>0.60581683578000001</v>
      </c>
      <c r="C117" s="114">
        <f t="shared" si="11"/>
        <v>61.585365853658502</v>
      </c>
      <c r="D117" s="114">
        <v>40</v>
      </c>
      <c r="E117" s="114">
        <v>6</v>
      </c>
      <c r="F117" s="114">
        <v>0</v>
      </c>
      <c r="G117" s="114">
        <v>0</v>
      </c>
      <c r="H117" s="114">
        <v>0</v>
      </c>
      <c r="I117" s="114" t="s">
        <v>10</v>
      </c>
      <c r="J117" s="114">
        <f>GasModel($I$117,"He_Weiss",$D$117,$E$117,$B$117,$C$117,$G$117,$H$117,$M$11)</f>
        <v>7.3556068369396927E-8</v>
      </c>
      <c r="K117" s="114">
        <f>GasModel($I$117,"Ne_Weiss",$D$117,$E$117,$B$117,$C$117,$G$117,$H$117,$M$12)</f>
        <v>2.6920006422190465E-7</v>
      </c>
      <c r="L117" s="114">
        <f>GasModel($I$117,"Ar_Weiss",$D$117,$E$117,$B$117,$C$117,$G$117,$H$117,$M$13)</f>
        <v>2.7510196144748736E-4</v>
      </c>
      <c r="M117" s="114">
        <f>GasModel($I$117,"Kr_Weiss",$D$117,$E$117,$B$117,$C$117,$G$117,$H$117,$M$14)</f>
        <v>5.14163354816901E-8</v>
      </c>
      <c r="N117" s="114">
        <f>GasModel($I$117,"Xe_Clvr",$D$117,$E$117,$B$117,$C$117,$G$117,$H$117,$M$15)</f>
        <v>6.048828108680784E-9</v>
      </c>
      <c r="O117" s="114">
        <f>GasModel($I$117,"N2_Weiss",$D$117,$E$117,$B$117,$C$117,$G$117,$H$117,$M$16)</f>
        <v>1.3358335646105855E-2</v>
      </c>
      <c r="P117" s="114">
        <f>GasModel($I$117,"O2_B&amp;K",$D$117,$E$117,$B$117,$C$117,$G$117,$H$117,$M$17)</f>
        <v>5.7325614044207588E-3</v>
      </c>
      <c r="Q117" s="114">
        <f>GasModel($I$117,"CO2_Weiss_F",$D$117,$E$117,$B$117,$C$117,$G$117,$H$117,$M$18)</f>
        <v>1.7240317285018413E-4</v>
      </c>
      <c r="R117" s="114">
        <f>GasModel($I$117,"CH4_Wies",$D$117,$E$117,$B$117,$C$117,$G$117,$H$117,$M$19)</f>
        <v>4.078110581553114E-8</v>
      </c>
      <c r="S117" s="114">
        <f>GasModel($I$117,"H2_Wies",$D$117,$E$117,$B$117,$C$117,$G$117,$H$117,$M$20)</f>
        <v>1.225466936762791E-8</v>
      </c>
      <c r="T117" s="114">
        <f>GasModel($I$117,"N2O_Weiss_F",$D$117,$E$117,$B$117,$C$117,$G$117,$H$117,$M$21)</f>
        <v>1.1336180582550419E-7</v>
      </c>
      <c r="U117" s="114">
        <f>$L$117/$K$117</f>
        <v>1021.9238329033893</v>
      </c>
      <c r="V117" s="114">
        <f>$M$117/$N$117</f>
        <v>8.5002143486110278</v>
      </c>
      <c r="W117" s="114">
        <f>$N$117/$K$117</f>
        <v>2.246963843104683E-2</v>
      </c>
      <c r="X117" s="114">
        <f>$M$117/$L$117</f>
        <v>1.8689919625129489E-4</v>
      </c>
      <c r="Y117" s="114">
        <f>$O$117/$L$117</f>
        <v>48.557762277735527</v>
      </c>
      <c r="Z117" s="114" t="e">
        <f>$I$117/$I$117</f>
        <v>#VALUE!</v>
      </c>
    </row>
    <row r="118" spans="1:26">
      <c r="A118" s="114" t="s">
        <v>819</v>
      </c>
      <c r="B118" s="114">
        <f t="shared" si="10"/>
        <v>0.60581683578000001</v>
      </c>
      <c r="C118" s="114">
        <f t="shared" si="11"/>
        <v>61.585365853658502</v>
      </c>
      <c r="D118" s="114">
        <v>40</v>
      </c>
      <c r="E118" s="114">
        <v>8</v>
      </c>
      <c r="F118" s="114">
        <v>0</v>
      </c>
      <c r="G118" s="114">
        <v>0</v>
      </c>
      <c r="H118" s="114">
        <v>0</v>
      </c>
      <c r="I118" s="114" t="s">
        <v>10</v>
      </c>
      <c r="J118" s="114">
        <f>GasModel($I$118,"He_Weiss",$D$118,$E$118,$B$118,$C$118,$G$118,$H$118,$M$11)</f>
        <v>8.4036068369396925E-8</v>
      </c>
      <c r="K118" s="114">
        <f>GasModel($I$118,"Ne_Weiss",$D$118,$E$118,$B$118,$C$118,$G$118,$H$118,$M$12)</f>
        <v>3.055600642219047E-7</v>
      </c>
      <c r="L118" s="114">
        <f>GasModel($I$118,"Ar_Weiss",$D$118,$E$118,$B$118,$C$118,$G$118,$H$118,$M$13)</f>
        <v>2.9378196144748734E-4</v>
      </c>
      <c r="M118" s="114">
        <f>GasModel($I$118,"Kr_Weiss",$D$118,$E$118,$B$118,$C$118,$G$118,$H$118,$M$14)</f>
        <v>5.3696335481690098E-8</v>
      </c>
      <c r="N118" s="114">
        <f>GasModel($I$118,"Xe_Clvr",$D$118,$E$118,$B$118,$C$118,$G$118,$H$118,$M$15)</f>
        <v>6.2228281086807844E-9</v>
      </c>
      <c r="O118" s="114">
        <f>GasModel($I$118,"N2_Weiss",$D$118,$E$118,$B$118,$C$118,$G$118,$H$118,$M$16)</f>
        <v>1.4920015646105855E-2</v>
      </c>
      <c r="P118" s="114">
        <f>GasModel($I$118,"O2_B&amp;K",$D$118,$E$118,$B$118,$C$118,$G$118,$H$118,$M$17)</f>
        <v>6.1515614044207589E-3</v>
      </c>
      <c r="Q118" s="114">
        <f>GasModel($I$118,"CO2_Weiss_F",$D$118,$E$118,$B$118,$C$118,$G$118,$H$118,$M$18)</f>
        <v>1.7310317285018412E-4</v>
      </c>
      <c r="R118" s="114">
        <f>GasModel($I$118,"CH4_Wies",$D$118,$E$118,$B$118,$C$118,$G$118,$H$118,$M$19)</f>
        <v>4.3601105815531142E-8</v>
      </c>
      <c r="S118" s="114">
        <f>GasModel($I$118,"H2_Wies",$D$118,$E$118,$B$118,$C$118,$G$118,$H$118,$M$20)</f>
        <v>1.3414669367627911E-8</v>
      </c>
      <c r="T118" s="114">
        <f>GasModel($I$118,"N2O_Weiss_F",$D$118,$E$118,$B$118,$C$118,$G$118,$H$118,$M$21)</f>
        <v>1.140018058255042E-7</v>
      </c>
      <c r="U118" s="114">
        <f>$L$118/$K$118</f>
        <v>961.4540505991522</v>
      </c>
      <c r="V118" s="114">
        <f>$M$118/$N$118</f>
        <v>8.628927963924351</v>
      </c>
      <c r="W118" s="114">
        <f>$N$118/$K$118</f>
        <v>2.0365318761556565E-2</v>
      </c>
      <c r="X118" s="114">
        <f>$M$118/$L$118</f>
        <v>1.8277614873671595E-4</v>
      </c>
      <c r="Y118" s="114">
        <f>$O$118/$L$118</f>
        <v>50.786016856153246</v>
      </c>
      <c r="Z118" s="114" t="e">
        <f>$I$118/$I$118</f>
        <v>#VALUE!</v>
      </c>
    </row>
    <row r="119" spans="1:26">
      <c r="A119" s="114" t="s">
        <v>819</v>
      </c>
      <c r="B119" s="114">
        <f t="shared" si="10"/>
        <v>0.60581683578000001</v>
      </c>
      <c r="C119" s="114">
        <f t="shared" si="11"/>
        <v>61.585365853658502</v>
      </c>
      <c r="D119" s="114">
        <v>40</v>
      </c>
      <c r="E119" s="114">
        <v>10</v>
      </c>
      <c r="F119" s="114">
        <v>0</v>
      </c>
      <c r="G119" s="114">
        <v>0</v>
      </c>
      <c r="H119" s="114">
        <v>0</v>
      </c>
      <c r="I119" s="114" t="s">
        <v>10</v>
      </c>
      <c r="J119" s="114">
        <f>GasModel($I$119,"He_Weiss",$D$119,$E$119,$B$119,$C$119,$G$119,$H$119,$M$11)</f>
        <v>9.4516068369396924E-8</v>
      </c>
      <c r="K119" s="114">
        <f>GasModel($I$119,"Ne_Weiss",$D$119,$E$119,$B$119,$C$119,$G$119,$H$119,$M$12)</f>
        <v>3.4192006422190463E-7</v>
      </c>
      <c r="L119" s="114">
        <f>GasModel($I$119,"Ar_Weiss",$D$119,$E$119,$B$119,$C$119,$G$119,$H$119,$M$13)</f>
        <v>3.1246196144748737E-4</v>
      </c>
      <c r="M119" s="114">
        <f>GasModel($I$119,"Kr_Weiss",$D$119,$E$119,$B$119,$C$119,$G$119,$H$119,$M$14)</f>
        <v>5.5976335481690096E-8</v>
      </c>
      <c r="N119" s="114">
        <f>GasModel($I$119,"Xe_Clvr",$D$119,$E$119,$B$119,$C$119,$G$119,$H$119,$M$15)</f>
        <v>6.396828108680784E-9</v>
      </c>
      <c r="O119" s="114">
        <f>GasModel($I$119,"N2_Weiss",$D$119,$E$119,$B$119,$C$119,$G$119,$H$119,$M$16)</f>
        <v>1.6481695646105854E-2</v>
      </c>
      <c r="P119" s="114">
        <f>GasModel($I$119,"O2_B&amp;K",$D$119,$E$119,$B$119,$C$119,$G$119,$H$119,$M$17)</f>
        <v>6.5705614044207581E-3</v>
      </c>
      <c r="Q119" s="114">
        <f>GasModel($I$119,"CO2_Weiss_F",$D$119,$E$119,$B$119,$C$119,$G$119,$H$119,$M$18)</f>
        <v>1.7380317285018413E-4</v>
      </c>
      <c r="R119" s="114">
        <f>GasModel($I$119,"CH4_Wies",$D$119,$E$119,$B$119,$C$119,$G$119,$H$119,$M$19)</f>
        <v>4.6421105815531143E-8</v>
      </c>
      <c r="S119" s="114">
        <f>GasModel($I$119,"H2_Wies",$D$119,$E$119,$B$119,$C$119,$G$119,$H$119,$M$20)</f>
        <v>1.457466936762791E-8</v>
      </c>
      <c r="T119" s="114">
        <f>GasModel($I$119,"N2O_Weiss_F",$D$119,$E$119,$B$119,$C$119,$G$119,$H$119,$M$21)</f>
        <v>1.146418058255042E-7</v>
      </c>
      <c r="U119" s="114">
        <f>$L$119/$K$119</f>
        <v>913.84505954204815</v>
      </c>
      <c r="V119" s="114">
        <f>$M$119/$N$119</f>
        <v>8.7506393060222596</v>
      </c>
      <c r="W119" s="114">
        <f>$N$119/$K$119</f>
        <v>1.8708548511880457E-2</v>
      </c>
      <c r="X119" s="114">
        <f>$M$119/$L$119</f>
        <v>1.7914607980561349E-4</v>
      </c>
      <c r="Y119" s="114">
        <f>$O$119/$L$119</f>
        <v>52.74784671309753</v>
      </c>
      <c r="Z119" s="114" t="e">
        <f>$I$119/$I$119</f>
        <v>#VALUE!</v>
      </c>
    </row>
    <row r="120" spans="1:26">
      <c r="A120" s="114" t="s">
        <v>820</v>
      </c>
      <c r="B120" s="114">
        <f t="shared" si="10"/>
        <v>0.60581683578000001</v>
      </c>
      <c r="C120" s="114">
        <f t="shared" si="11"/>
        <v>61.585365853658502</v>
      </c>
      <c r="D120" s="114">
        <v>0</v>
      </c>
      <c r="E120" s="114">
        <v>0</v>
      </c>
      <c r="F120" s="114">
        <v>0</v>
      </c>
      <c r="G120" s="114">
        <v>0</v>
      </c>
      <c r="H120" s="114">
        <v>0</v>
      </c>
      <c r="I120" s="114" t="s">
        <v>10</v>
      </c>
      <c r="J120" s="114">
        <f>GasModel($I$120,"He_Weiss",$D$120,$E$120,$B$120,$C$120,$G$120,$H$120,$M$11)</f>
        <v>4.8498030268302786E-8</v>
      </c>
      <c r="K120" s="114">
        <f>GasModel($I$120,"Ne_Weiss",$D$120,$E$120,$B$120,$C$120,$G$120,$H$120,$M$12)</f>
        <v>2.2237496323577475E-7</v>
      </c>
      <c r="L120" s="114">
        <f>GasModel($I$120,"Ar_Weiss",$D$120,$E$120,$B$120,$C$120,$G$120,$H$120,$M$13)</f>
        <v>4.9198914519646886E-4</v>
      </c>
      <c r="M120" s="114">
        <f>GasModel($I$120,"Kr_Weiss",$D$120,$E$120,$B$120,$C$120,$G$120,$H$120,$M$14)</f>
        <v>1.2262527561780184E-7</v>
      </c>
      <c r="N120" s="114">
        <f>GasModel($I$120,"Xe_Clvr",$D$120,$E$120,$B$120,$C$120,$G$120,$H$120,$M$15)</f>
        <v>1.9006201657263662E-8</v>
      </c>
      <c r="O120" s="114">
        <f>GasModel($I$120,"N2_Weiss",$D$120,$E$120,$B$120,$C$120,$G$120,$H$120,$M$16)</f>
        <v>1.8199635160810284E-2</v>
      </c>
      <c r="P120" s="114">
        <f>GasModel($I$120,"O2_B&amp;K",$D$120,$E$120,$B$120,$C$120,$G$120,$H$120,$M$17)</f>
        <v>1.0119999280037794E-2</v>
      </c>
      <c r="Q120" s="114">
        <f>GasModel($I$120,"CO2_Weiss_F",$D$120,$E$120,$B$120,$C$120,$G$120,$H$120,$M$18)</f>
        <v>5.9195425675261516E-4</v>
      </c>
      <c r="R120" s="114">
        <f>GasModel($I$120,"CH4_Wies",$D$120,$E$120,$B$120,$C$120,$G$120,$H$120,$M$19)</f>
        <v>7.9559819619814769E-8</v>
      </c>
      <c r="S120" s="114">
        <f>GasModel($I$120,"H2_Wies",$D$120,$E$120,$B$120,$C$120,$G$120,$H$120,$M$20)</f>
        <v>1.2567155845475863E-8</v>
      </c>
      <c r="T120" s="114">
        <f>GasModel($I$120,"N2O_Weiss_F",$D$120,$E$120,$B$120,$C$120,$G$120,$H$120,$M$21)</f>
        <v>4.136866460624681E-7</v>
      </c>
      <c r="U120" s="114">
        <f>$L$120/$K$120</f>
        <v>2212.4304734559241</v>
      </c>
      <c r="V120" s="114">
        <f>$M$120/$N$120</f>
        <v>6.4518559693876414</v>
      </c>
      <c r="W120" s="114">
        <f>$N$120/$K$120</f>
        <v>8.5469161549055289E-2</v>
      </c>
      <c r="X120" s="114">
        <f>$M$120/$L$120</f>
        <v>2.4924386404670204E-4</v>
      </c>
      <c r="Y120" s="114">
        <f>$O$120/$L$120</f>
        <v>36.991944514431346</v>
      </c>
      <c r="Z120" s="114" t="e">
        <f>$I$120/$I$120</f>
        <v>#VALUE!</v>
      </c>
    </row>
    <row r="121" spans="1:26">
      <c r="A121" s="114" t="s">
        <v>820</v>
      </c>
      <c r="B121" s="114">
        <f t="shared" si="10"/>
        <v>0.60581683578000001</v>
      </c>
      <c r="C121" s="114">
        <f t="shared" si="11"/>
        <v>61.585365853658502</v>
      </c>
      <c r="D121" s="114">
        <v>5</v>
      </c>
      <c r="E121" s="114">
        <v>0</v>
      </c>
      <c r="F121" s="114">
        <v>0</v>
      </c>
      <c r="G121" s="114">
        <v>0</v>
      </c>
      <c r="H121" s="114">
        <v>0</v>
      </c>
      <c r="I121" s="114" t="s">
        <v>10</v>
      </c>
      <c r="J121" s="114">
        <f>GasModel($I$121,"He_Weiss",$D$121,$E$121,$B$121,$C$121,$G$121,$H$121,$M$11)</f>
        <v>4.7084746230146018E-8</v>
      </c>
      <c r="K121" s="114">
        <f>GasModel($I$121,"Ne_Weiss",$D$121,$E$121,$B$121,$C$121,$G$121,$H$121,$M$12)</f>
        <v>2.0992323062492011E-7</v>
      </c>
      <c r="L121" s="114">
        <f>GasModel($I$121,"Ar_Weiss",$D$121,$E$121,$B$121,$C$121,$G$121,$H$121,$M$13)</f>
        <v>4.3080321714980194E-4</v>
      </c>
      <c r="M121" s="114">
        <f>GasModel($I$121,"Kr_Weiss",$D$121,$E$121,$B$121,$C$121,$G$121,$H$121,$M$14)</f>
        <v>1.0441884047947277E-7</v>
      </c>
      <c r="N121" s="114">
        <f>GasModel($I$121,"Xe_Clvr",$D$121,$E$121,$B$121,$C$121,$G$121,$H$121,$M$15)</f>
        <v>1.5615020384555308E-8</v>
      </c>
      <c r="O121" s="114">
        <f>GasModel($I$121,"N2_Weiss",$D$121,$E$121,$B$121,$C$121,$G$121,$H$121,$M$16)</f>
        <v>1.6058600426786095E-2</v>
      </c>
      <c r="P121" s="114">
        <f>GasModel($I$121,"O2_B&amp;K",$D$121,$E$121,$B$121,$C$121,$G$121,$H$121,$M$17)</f>
        <v>8.8401484489472899E-3</v>
      </c>
      <c r="Q121" s="114">
        <f>GasModel($I$121,"CO2_Weiss_F",$D$121,$E$121,$B$121,$C$121,$G$121,$H$121,$M$18)</f>
        <v>4.8738816709276698E-4</v>
      </c>
      <c r="R121" s="114">
        <f>GasModel($I$121,"CH4_Wies",$D$121,$E$121,$B$121,$C$121,$G$121,$H$121,$M$19)</f>
        <v>6.8357833626233215E-8</v>
      </c>
      <c r="S121" s="114">
        <f>GasModel($I$121,"H2_Wies",$D$121,$E$121,$B$121,$C$121,$G$121,$H$121,$M$20)</f>
        <v>1.1756448609056185E-8</v>
      </c>
      <c r="T121" s="114">
        <f>GasModel($I$121,"N2O_Weiss_F",$D$121,$E$121,$B$121,$C$121,$G$121,$H$121,$M$21)</f>
        <v>3.368247287671612E-7</v>
      </c>
      <c r="U121" s="114">
        <f>$L$121/$K$121</f>
        <v>2052.1941086145853</v>
      </c>
      <c r="V121" s="114">
        <f>$M$121/$N$121</f>
        <v>6.6870767957980135</v>
      </c>
      <c r="W121" s="114">
        <f>$N$121/$K$121</f>
        <v>7.4384432528362771E-2</v>
      </c>
      <c r="X121" s="114">
        <f>$M$121/$L$121</f>
        <v>2.4238175650197969E-4</v>
      </c>
      <c r="Y121" s="114">
        <f>$O$121/$L$121</f>
        <v>37.275952888722472</v>
      </c>
      <c r="Z121" s="114" t="e">
        <f>$I$121/$I$121</f>
        <v>#VALUE!</v>
      </c>
    </row>
    <row r="122" spans="1:26">
      <c r="A122" s="114" t="s">
        <v>820</v>
      </c>
      <c r="B122" s="114">
        <f t="shared" si="10"/>
        <v>0.60581683578000001</v>
      </c>
      <c r="C122" s="114">
        <f t="shared" si="11"/>
        <v>61.585365853658502</v>
      </c>
      <c r="D122" s="114">
        <v>10</v>
      </c>
      <c r="E122" s="114">
        <v>0</v>
      </c>
      <c r="F122" s="114">
        <v>0</v>
      </c>
      <c r="G122" s="114">
        <v>0</v>
      </c>
      <c r="H122" s="114">
        <v>0</v>
      </c>
      <c r="I122" s="114" t="s">
        <v>10</v>
      </c>
      <c r="J122" s="114">
        <f>GasModel($I$122,"He_Weiss",$D$122,$E$122,$B$122,$C$122,$G$122,$H$122,$M$11)</f>
        <v>4.5954498583639227E-8</v>
      </c>
      <c r="K122" s="114">
        <f>GasModel($I$122,"Ne_Weiss",$D$122,$E$122,$B$122,$C$122,$G$122,$H$122,$M$12)</f>
        <v>1.9951309863648521E-7</v>
      </c>
      <c r="L122" s="114">
        <f>GasModel($I$122,"Ar_Weiss",$D$122,$E$122,$B$122,$C$122,$G$122,$H$122,$M$13)</f>
        <v>3.8161862553016057E-4</v>
      </c>
      <c r="M122" s="114">
        <f>GasModel($I$122,"Kr_Weiss",$D$122,$E$122,$B$122,$C$122,$G$122,$H$122,$M$14)</f>
        <v>8.9955177607260149E-8</v>
      </c>
      <c r="N122" s="114">
        <f>GasModel($I$122,"Xe_Clvr",$D$122,$E$122,$B$122,$C$122,$G$122,$H$122,$M$15)</f>
        <v>1.3017571341328825E-8</v>
      </c>
      <c r="O122" s="114">
        <f>GasModel($I$122,"N2_Weiss",$D$122,$E$122,$B$122,$C$122,$G$122,$H$122,$M$16)</f>
        <v>1.4338424292386444E-2</v>
      </c>
      <c r="P122" s="114">
        <f>GasModel($I$122,"O2_B&amp;K",$D$122,$E$122,$B$122,$C$122,$G$122,$H$122,$M$17)</f>
        <v>7.8167836440236303E-3</v>
      </c>
      <c r="Q122" s="114">
        <f>GasModel($I$122,"CO2_Weiss_F",$D$122,$E$122,$B$122,$C$122,$G$122,$H$122,$M$18)</f>
        <v>4.0694046534515635E-4</v>
      </c>
      <c r="R122" s="114">
        <f>GasModel($I$122,"CH4_Wies",$D$122,$E$122,$B$122,$C$122,$G$122,$H$122,$M$19)</f>
        <v>5.970835771661177E-8</v>
      </c>
      <c r="S122" s="114">
        <f>GasModel($I$122,"H2_Wies",$D$122,$E$122,$B$122,$C$122,$G$122,$H$122,$M$20)</f>
        <v>1.1109778824097643E-8</v>
      </c>
      <c r="T122" s="114">
        <f>GasModel($I$122,"N2O_Weiss_F",$D$122,$E$122,$B$122,$C$122,$G$122,$H$122,$M$21)</f>
        <v>2.783723750641059E-7</v>
      </c>
      <c r="U122" s="114">
        <f>$L$122/$K$122</f>
        <v>1912.749729908578</v>
      </c>
      <c r="V122" s="114">
        <f>$M$122/$N$122</f>
        <v>6.9102888126040858</v>
      </c>
      <c r="W122" s="114">
        <f>$N$122/$K$122</f>
        <v>6.5246700243210429E-2</v>
      </c>
      <c r="X122" s="114">
        <f>$M$122/$L$122</f>
        <v>2.35720092231585E-4</v>
      </c>
      <c r="Y122" s="114">
        <f>$O$122/$L$122</f>
        <v>37.572653254192993</v>
      </c>
      <c r="Z122" s="114" t="e">
        <f>$I$122/$I$122</f>
        <v>#VALUE!</v>
      </c>
    </row>
    <row r="123" spans="1:26">
      <c r="A123" s="114" t="s">
        <v>820</v>
      </c>
      <c r="B123" s="114">
        <f t="shared" si="10"/>
        <v>0.60581683578000001</v>
      </c>
      <c r="C123" s="114">
        <f t="shared" si="11"/>
        <v>61.585365853658502</v>
      </c>
      <c r="D123" s="114">
        <v>15</v>
      </c>
      <c r="E123" s="114">
        <v>0</v>
      </c>
      <c r="F123" s="114">
        <v>0</v>
      </c>
      <c r="G123" s="114">
        <v>0</v>
      </c>
      <c r="H123" s="114">
        <v>0</v>
      </c>
      <c r="I123" s="114" t="s">
        <v>10</v>
      </c>
      <c r="J123" s="114">
        <f>GasModel($I$123,"He_Weiss",$D$123,$E$123,$B$123,$C$123,$G$123,$H$123,$M$11)</f>
        <v>4.504159869290147E-8</v>
      </c>
      <c r="K123" s="114">
        <f>GasModel($I$123,"Ne_Weiss",$D$123,$E$123,$B$123,$C$123,$G$123,$H$123,$M$12)</f>
        <v>1.9068946320982894E-7</v>
      </c>
      <c r="L123" s="114">
        <f>GasModel($I$123,"Ar_Weiss",$D$123,$E$123,$B$123,$C$123,$G$123,$H$123,$M$13)</f>
        <v>3.4150491520582016E-4</v>
      </c>
      <c r="M123" s="114">
        <f>GasModel($I$123,"Kr_Weiss",$D$123,$E$123,$B$123,$C$123,$G$123,$H$123,$M$14)</f>
        <v>7.83212981737986E-8</v>
      </c>
      <c r="N123" s="114">
        <f>GasModel($I$123,"Xe_Clvr",$D$123,$E$123,$B$123,$C$123,$G$123,$H$123,$M$15)</f>
        <v>1.099799899731206E-8</v>
      </c>
      <c r="O123" s="114">
        <f>GasModel($I$123,"N2_Weiss",$D$123,$E$123,$B$123,$C$123,$G$123,$H$123,$M$16)</f>
        <v>1.2936723931810223E-2</v>
      </c>
      <c r="P123" s="114">
        <f>GasModel($I$123,"O2_B&amp;K",$D$123,$E$123,$B$123,$C$123,$G$123,$H$123,$M$17)</f>
        <v>6.9880085144764644E-3</v>
      </c>
      <c r="Q123" s="114">
        <f>GasModel($I$123,"CO2_Weiss_F",$D$123,$E$123,$B$123,$C$123,$G$123,$H$123,$M$18)</f>
        <v>3.4399698216407674E-4</v>
      </c>
      <c r="R123" s="114">
        <f>GasModel($I$123,"CH4_Wies",$D$123,$E$123,$B$123,$C$123,$G$123,$H$123,$M$19)</f>
        <v>5.2862837646649826E-8</v>
      </c>
      <c r="S123" s="114">
        <f>GasModel($I$123,"H2_Wies",$D$123,$E$123,$B$123,$C$123,$G$123,$H$123,$M$20)</f>
        <v>1.0582266540940911E-8</v>
      </c>
      <c r="T123" s="114">
        <f>GasModel($I$123,"N2O_Weiss_F",$D$123,$E$123,$B$123,$C$123,$G$123,$H$123,$M$21)</f>
        <v>2.331349770204758E-7</v>
      </c>
      <c r="U123" s="114">
        <f>$L$123/$K$123</f>
        <v>1790.8955715609648</v>
      </c>
      <c r="V123" s="114">
        <f>$M$123/$N$123</f>
        <v>7.121413467389889</v>
      </c>
      <c r="W123" s="114">
        <f>$N$123/$K$123</f>
        <v>5.7674917177831651E-2</v>
      </c>
      <c r="X123" s="114">
        <f>$M$123/$L$123</f>
        <v>2.2934164249611302E-4</v>
      </c>
      <c r="Y123" s="114">
        <f>$O$123/$L$123</f>
        <v>37.881516065481648</v>
      </c>
      <c r="Z123" s="114" t="e">
        <f>$I$123/$I$123</f>
        <v>#VALUE!</v>
      </c>
    </row>
    <row r="124" spans="1:26">
      <c r="A124" s="114" t="s">
        <v>820</v>
      </c>
      <c r="B124" s="114">
        <f t="shared" si="10"/>
        <v>0.60581683578000001</v>
      </c>
      <c r="C124" s="114">
        <f t="shared" si="11"/>
        <v>61.585365853658502</v>
      </c>
      <c r="D124" s="114">
        <v>20</v>
      </c>
      <c r="E124" s="114">
        <v>0</v>
      </c>
      <c r="F124" s="114">
        <v>0</v>
      </c>
      <c r="G124" s="114">
        <v>0</v>
      </c>
      <c r="H124" s="114">
        <v>0</v>
      </c>
      <c r="I124" s="114" t="s">
        <v>10</v>
      </c>
      <c r="J124" s="114">
        <f>GasModel($I$124,"He_Weiss",$D$124,$E$124,$B$124,$C$124,$G$124,$H$124,$M$11)</f>
        <v>4.4292053437148877E-8</v>
      </c>
      <c r="K124" s="114">
        <f>GasModel($I$124,"Ne_Weiss",$D$124,$E$124,$B$124,$C$124,$G$124,$H$124,$M$12)</f>
        <v>1.8309612254621693E-7</v>
      </c>
      <c r="L124" s="114">
        <f>GasModel($I$124,"Ar_Weiss",$D$124,$E$124,$B$124,$C$124,$G$124,$H$124,$M$13)</f>
        <v>3.0833573156362909E-4</v>
      </c>
      <c r="M124" s="114">
        <f>GasModel($I$124,"Kr_Weiss",$D$124,$E$124,$B$124,$C$124,$G$124,$H$124,$M$14)</f>
        <v>6.8854747079294591E-8</v>
      </c>
      <c r="N124" s="114">
        <f>GasModel($I$124,"Xe_Clvr",$D$124,$E$124,$B$124,$C$124,$G$124,$H$124,$M$15)</f>
        <v>9.4047894714696452E-9</v>
      </c>
      <c r="O124" s="114">
        <f>GasModel($I$124,"N2_Weiss",$D$124,$E$124,$B$124,$C$124,$G$124,$H$124,$M$16)</f>
        <v>1.1779060344723601E-2</v>
      </c>
      <c r="P124" s="114">
        <f>GasModel($I$124,"O2_B&amp;K",$D$124,$E$124,$B$124,$C$124,$G$124,$H$124,$M$17)</f>
        <v>6.3072413022210389E-3</v>
      </c>
      <c r="Q124" s="114">
        <f>GasModel($I$124,"CO2_Weiss_F",$D$124,$E$124,$B$124,$C$124,$G$124,$H$124,$M$18)</f>
        <v>2.939679409761901E-4</v>
      </c>
      <c r="R124" s="114">
        <f>GasModel($I$124,"CH4_Wies",$D$124,$E$124,$B$124,$C$124,$G$124,$H$124,$M$19)</f>
        <v>4.7311727723084786E-8</v>
      </c>
      <c r="S124" s="114">
        <f>GasModel($I$124,"H2_Wies",$D$124,$E$124,$B$124,$C$124,$G$124,$H$124,$M$20)</f>
        <v>1.0140013793616617E-8</v>
      </c>
      <c r="T124" s="114">
        <f>GasModel($I$124,"N2O_Weiss_F",$D$124,$E$124,$B$124,$C$124,$G$124,$H$124,$M$21)</f>
        <v>1.9754881470156515E-7</v>
      </c>
      <c r="U124" s="114">
        <f>$L$124/$K$124</f>
        <v>1684.0101651295172</v>
      </c>
      <c r="V124" s="114">
        <f>$M$124/$N$124</f>
        <v>7.3212427867920109</v>
      </c>
      <c r="W124" s="114">
        <f>$N$124/$K$124</f>
        <v>5.1365312059493219E-2</v>
      </c>
      <c r="X124" s="114">
        <f>$M$124/$L$124</f>
        <v>2.2331095630765557E-4</v>
      </c>
      <c r="Y124" s="114">
        <f>$O$124/$L$124</f>
        <v>38.202060737462205</v>
      </c>
      <c r="Z124" s="114" t="e">
        <f>$I$124/$I$124</f>
        <v>#VALUE!</v>
      </c>
    </row>
    <row r="125" spans="1:26">
      <c r="A125" s="114" t="s">
        <v>820</v>
      </c>
      <c r="B125" s="114">
        <f t="shared" si="10"/>
        <v>0.60581683578000001</v>
      </c>
      <c r="C125" s="114">
        <f t="shared" si="11"/>
        <v>61.585365853658502</v>
      </c>
      <c r="D125" s="114">
        <v>25</v>
      </c>
      <c r="E125" s="114">
        <v>0</v>
      </c>
      <c r="F125" s="114">
        <v>0</v>
      </c>
      <c r="G125" s="114">
        <v>0</v>
      </c>
      <c r="H125" s="114">
        <v>0</v>
      </c>
      <c r="I125" s="114" t="s">
        <v>10</v>
      </c>
      <c r="J125" s="114">
        <f>GasModel($I$125,"He_Weiss",$D$125,$E$125,$B$125,$C$125,$G$125,$H$125,$M$11)</f>
        <v>4.3660646695384386E-8</v>
      </c>
      <c r="K125" s="114">
        <f>GasModel($I$125,"Ne_Weiss",$D$125,$E$125,$B$125,$C$125,$G$125,$H$125,$M$12)</f>
        <v>1.7645008224176245E-7</v>
      </c>
      <c r="L125" s="114">
        <f>GasModel($I$125,"Ar_Weiss",$D$125,$E$125,$B$125,$C$125,$G$125,$H$125,$M$13)</f>
        <v>2.8054400956267051E-4</v>
      </c>
      <c r="M125" s="114">
        <f>GasModel($I$125,"Kr_Weiss",$D$125,$E$125,$B$125,$C$125,$G$125,$H$125,$M$14)</f>
        <v>6.1068122347431548E-8</v>
      </c>
      <c r="N125" s="114">
        <f>GasModel($I$125,"Xe_Clvr",$D$125,$E$125,$B$125,$C$125,$G$125,$H$125,$M$15)</f>
        <v>8.1298195409088403E-9</v>
      </c>
      <c r="O125" s="114">
        <f>GasModel($I$125,"N2_Weiss",$D$125,$E$125,$B$125,$C$125,$G$125,$H$125,$M$16)</f>
        <v>1.0810440917076718E-2</v>
      </c>
      <c r="P125" s="114">
        <f>GasModel($I$125,"O2_B&amp;K",$D$125,$E$125,$B$125,$C$125,$G$125,$H$125,$M$17)</f>
        <v>5.7393041367243876E-3</v>
      </c>
      <c r="Q125" s="114">
        <f>GasModel($I$125,"CO2_Weiss_F",$D$125,$E$125,$B$125,$C$125,$G$125,$H$125,$M$18)</f>
        <v>2.5361238842429708E-4</v>
      </c>
      <c r="R125" s="114">
        <f>GasModel($I$125,"CH4_Wies",$D$125,$E$125,$B$125,$C$125,$G$125,$H$125,$M$19)</f>
        <v>4.2700340001372512E-8</v>
      </c>
      <c r="S125" s="114">
        <f>GasModel($I$125,"H2_Wies",$D$125,$E$125,$B$125,$C$125,$G$125,$H$125,$M$20)</f>
        <v>9.7567996747076458E-9</v>
      </c>
      <c r="T125" s="114">
        <f>GasModel($I$125,"N2O_Weiss_F",$D$125,$E$125,$B$125,$C$125,$G$125,$H$125,$M$21)</f>
        <v>1.6912410971283209E-7</v>
      </c>
      <c r="U125" s="114">
        <f>$L$125/$K$125</f>
        <v>1589.9341388704152</v>
      </c>
      <c r="V125" s="114">
        <f>$M$125/$N$125</f>
        <v>7.5116208963974964</v>
      </c>
      <c r="W125" s="114">
        <f>$N$125/$K$125</f>
        <v>4.6074331264803814E-2</v>
      </c>
      <c r="X125" s="114">
        <f>$M$125/$L$125</f>
        <v>2.1767751320952582E-4</v>
      </c>
      <c r="Y125" s="114">
        <f>$O$125/$L$125</f>
        <v>38.533850478321412</v>
      </c>
      <c r="Z125" s="114" t="e">
        <f>$I$125/$I$125</f>
        <v>#VALUE!</v>
      </c>
    </row>
    <row r="126" spans="1:26">
      <c r="A126" s="114" t="s">
        <v>820</v>
      </c>
      <c r="B126" s="114">
        <f t="shared" si="10"/>
        <v>0.60581683578000001</v>
      </c>
      <c r="C126" s="114">
        <f t="shared" si="11"/>
        <v>61.585365853658502</v>
      </c>
      <c r="D126" s="114">
        <v>30</v>
      </c>
      <c r="E126" s="114">
        <v>0</v>
      </c>
      <c r="F126" s="114">
        <v>0</v>
      </c>
      <c r="G126" s="114">
        <v>0</v>
      </c>
      <c r="H126" s="114">
        <v>0</v>
      </c>
      <c r="I126" s="114" t="s">
        <v>10</v>
      </c>
      <c r="J126" s="114">
        <f>GasModel($I$126,"He_Weiss",$D$126,$E$126,$B$126,$C$126,$G$126,$H$126,$M$11)</f>
        <v>4.3108899298045513E-8</v>
      </c>
      <c r="K126" s="114">
        <f>GasModel($I$126,"Ne_Weiss",$D$126,$E$126,$B$126,$C$126,$G$126,$H$126,$M$12)</f>
        <v>1.7052350736504434E-7</v>
      </c>
      <c r="L126" s="114">
        <f>GasModel($I$126,"Ar_Weiss",$D$126,$E$126,$B$126,$C$126,$G$126,$H$126,$M$13)</f>
        <v>2.5695821434708902E-4</v>
      </c>
      <c r="M126" s="114">
        <f>GasModel($I$126,"Kr_Weiss",$D$126,$E$126,$B$126,$C$126,$G$126,$H$126,$M$14)</f>
        <v>5.4598118575171425E-8</v>
      </c>
      <c r="N126" s="114">
        <f>GasModel($I$126,"Xe_Clvr",$D$126,$E$126,$B$126,$C$126,$G$126,$H$126,$M$15)</f>
        <v>7.0946591520773952E-9</v>
      </c>
      <c r="O126" s="114">
        <f>GasModel($I$126,"N2_Weiss",$D$126,$E$126,$B$126,$C$126,$G$126,$H$126,$M$16)</f>
        <v>9.9896328748572474E-3</v>
      </c>
      <c r="P126" s="114">
        <f>GasModel($I$126,"O2_B&amp;K",$D$126,$E$126,$B$126,$C$126,$G$126,$H$126,$M$17)</f>
        <v>5.2574970719148932E-3</v>
      </c>
      <c r="Q126" s="114">
        <f>GasModel($I$126,"CO2_Weiss_F",$D$126,$E$126,$B$126,$C$126,$G$126,$H$126,$M$18)</f>
        <v>2.2060479370003162E-4</v>
      </c>
      <c r="R126" s="114">
        <f>GasModel($I$126,"CH4_Wies",$D$126,$E$126,$B$126,$C$126,$G$126,$H$126,$M$19)</f>
        <v>3.8777124190100131E-8</v>
      </c>
      <c r="S126" s="114">
        <f>GasModel($I$126,"H2_Wies",$D$126,$E$126,$B$126,$C$126,$G$126,$H$126,$M$20)</f>
        <v>9.4119514321571025E-9</v>
      </c>
      <c r="T126" s="114">
        <f>GasModel($I$126,"N2O_Weiss_F",$D$126,$E$126,$B$126,$C$126,$G$126,$H$126,$M$21)</f>
        <v>1.4609192681097267E-7</v>
      </c>
      <c r="U126" s="114">
        <f>$L$126/$K$126</f>
        <v>1506.878543126676</v>
      </c>
      <c r="V126" s="114">
        <f>$M$126/$N$126</f>
        <v>7.6956647817512822</v>
      </c>
      <c r="W126" s="114">
        <f>$N$126/$K$126</f>
        <v>4.1605167883919159E-2</v>
      </c>
      <c r="X126" s="114">
        <f>$M$126/$L$126</f>
        <v>2.1247858806110179E-4</v>
      </c>
      <c r="Y126" s="114">
        <f>$O$126/$L$126</f>
        <v>38.876487759848942</v>
      </c>
      <c r="Z126" s="114" t="e">
        <f>$I$126/$I$126</f>
        <v>#VALUE!</v>
      </c>
    </row>
    <row r="127" spans="1:26">
      <c r="A127" s="114" t="s">
        <v>820</v>
      </c>
      <c r="B127" s="114">
        <f t="shared" si="10"/>
        <v>0.60581683578000001</v>
      </c>
      <c r="C127" s="114">
        <f t="shared" si="11"/>
        <v>61.585365853658502</v>
      </c>
      <c r="D127" s="114">
        <v>35</v>
      </c>
      <c r="E127" s="114">
        <v>0</v>
      </c>
      <c r="F127" s="114">
        <v>0</v>
      </c>
      <c r="G127" s="114">
        <v>0</v>
      </c>
      <c r="H127" s="114">
        <v>0</v>
      </c>
      <c r="I127" s="114" t="s">
        <v>10</v>
      </c>
      <c r="J127" s="114">
        <f>GasModel($I$127,"He_Weiss",$D$127,$E$127,$B$127,$C$127,$G$127,$H$127,$M$11)</f>
        <v>4.2603648601269014E-8</v>
      </c>
      <c r="K127" s="114">
        <f>GasModel($I$127,"Ne_Weiss",$D$127,$E$127,$B$127,$C$127,$G$127,$H$127,$M$12)</f>
        <v>1.6513092388666682E-7</v>
      </c>
      <c r="L127" s="114">
        <f>GasModel($I$127,"Ar_Weiss",$D$127,$E$127,$B$127,$C$127,$G$127,$H$127,$M$13)</f>
        <v>2.3669094573515885E-4</v>
      </c>
      <c r="M127" s="114">
        <f>GasModel($I$127,"Kr_Weiss",$D$127,$E$127,$B$127,$C$127,$G$127,$H$127,$M$14)</f>
        <v>4.9170602910257614E-8</v>
      </c>
      <c r="N127" s="114">
        <f>GasModel($I$127,"Xe_Clvr",$D$127,$E$127,$B$127,$C$127,$G$127,$H$127,$M$15)</f>
        <v>6.2414651283666177E-9</v>
      </c>
      <c r="O127" s="114">
        <f>GasModel($I$127,"N2_Weiss",$D$127,$E$127,$B$127,$C$127,$G$127,$H$127,$M$16)</f>
        <v>9.2852935711921943E-3</v>
      </c>
      <c r="P127" s="114">
        <f>GasModel($I$127,"O2_B&amp;K",$D$127,$E$127,$B$127,$C$127,$G$127,$H$127,$M$17)</f>
        <v>4.8414501050258723E-3</v>
      </c>
      <c r="Q127" s="114">
        <f>GasModel($I$127,"CO2_Weiss_F",$D$127,$E$127,$B$127,$C$127,$G$127,$H$127,$M$18)</f>
        <v>1.9325170083840177E-4</v>
      </c>
      <c r="R127" s="114">
        <f>GasModel($I$127,"CH4_Wies",$D$127,$E$127,$B$127,$C$127,$G$127,$H$127,$M$19)</f>
        <v>3.5361133114564529E-8</v>
      </c>
      <c r="S127" s="114">
        <f>GasModel($I$127,"H2_Wies",$D$127,$E$127,$B$127,$C$127,$G$127,$H$127,$M$20)</f>
        <v>9.0889731781809748E-9</v>
      </c>
      <c r="T127" s="114">
        <f>GasModel($I$127,"N2O_Weiss_F",$D$127,$E$127,$B$127,$C$127,$G$127,$H$127,$M$21)</f>
        <v>1.2717588114413737E-7</v>
      </c>
      <c r="U127" s="114">
        <f>$L$127/$K$127</f>
        <v>1433.3532458015272</v>
      </c>
      <c r="V127" s="114">
        <f>$M$127/$N$127</f>
        <v>7.8780545751643878</v>
      </c>
      <c r="W127" s="114">
        <f>$N$127/$K$127</f>
        <v>3.7797070236525052E-2</v>
      </c>
      <c r="X127" s="114">
        <f>$M$127/$L$127</f>
        <v>2.0774179915304488E-4</v>
      </c>
      <c r="Y127" s="114">
        <f>$O$127/$L$127</f>
        <v>39.229610335757457</v>
      </c>
      <c r="Z127" s="114" t="e">
        <f>$I$127/$I$127</f>
        <v>#VALUE!</v>
      </c>
    </row>
    <row r="128" spans="1:26">
      <c r="A128" s="114" t="s">
        <v>820</v>
      </c>
      <c r="B128" s="114">
        <f t="shared" si="10"/>
        <v>0.60581683578000001</v>
      </c>
      <c r="C128" s="114">
        <f t="shared" si="11"/>
        <v>61.585365853658502</v>
      </c>
      <c r="D128" s="114">
        <v>40</v>
      </c>
      <c r="E128" s="114">
        <v>0</v>
      </c>
      <c r="F128" s="114">
        <v>0</v>
      </c>
      <c r="G128" s="114">
        <v>0</v>
      </c>
      <c r="H128" s="114">
        <v>0</v>
      </c>
      <c r="I128" s="114" t="s">
        <v>10</v>
      </c>
      <c r="J128" s="114">
        <f>GasModel($I$128,"He_Weiss",$D$128,$E$128,$B$128,$C$128,$G$128,$H$128,$M$11)</f>
        <v>4.2116068369396931E-8</v>
      </c>
      <c r="K128" s="114">
        <f>GasModel($I$128,"Ne_Weiss",$D$128,$E$128,$B$128,$C$128,$G$128,$H$128,$M$12)</f>
        <v>1.6012006422190466E-7</v>
      </c>
      <c r="L128" s="114">
        <f>GasModel($I$128,"Ar_Weiss",$D$128,$E$128,$B$128,$C$128,$G$128,$H$128,$M$13)</f>
        <v>2.1906196144748735E-4</v>
      </c>
      <c r="M128" s="114">
        <f>GasModel($I$128,"Kr_Weiss",$D$128,$E$128,$B$128,$C$128,$G$128,$H$128,$M$14)</f>
        <v>4.45763354816901E-8</v>
      </c>
      <c r="N128" s="114">
        <f>GasModel($I$128,"Xe_Clvr",$D$128,$E$128,$B$128,$C$128,$G$128,$H$128,$M$15)</f>
        <v>5.5268281086807843E-9</v>
      </c>
      <c r="O128" s="114">
        <f>GasModel($I$128,"N2_Weiss",$D$128,$E$128,$B$128,$C$128,$G$128,$H$128,$M$16)</f>
        <v>8.6732956461058556E-3</v>
      </c>
      <c r="P128" s="114">
        <f>GasModel($I$128,"O2_B&amp;K",$D$128,$E$128,$B$128,$C$128,$G$128,$H$128,$M$17)</f>
        <v>4.4755614044207585E-3</v>
      </c>
      <c r="Q128" s="114">
        <f>GasModel($I$128,"CO2_Weiss_F",$D$128,$E$128,$B$128,$C$128,$G$128,$H$128,$M$18)</f>
        <v>1.7030317285018413E-4</v>
      </c>
      <c r="R128" s="114">
        <f>GasModel($I$128,"CH4_Wies",$D$128,$E$128,$B$128,$C$128,$G$128,$H$128,$M$19)</f>
        <v>3.2321105815531143E-8</v>
      </c>
      <c r="S128" s="114">
        <f>GasModel($I$128,"H2_Wies",$D$128,$E$128,$B$128,$C$128,$G$128,$H$128,$M$20)</f>
        <v>8.7746693676279108E-9</v>
      </c>
      <c r="T128" s="114">
        <f>GasModel($I$128,"N2O_Weiss_F",$D$128,$E$128,$B$128,$C$128,$G$128,$H$128,$M$21)</f>
        <v>1.114418058255042E-7</v>
      </c>
      <c r="U128" s="114">
        <f>$L$128/$K$128</f>
        <v>1368.1106269349057</v>
      </c>
      <c r="V128" s="114">
        <f>$M$128/$N$128</f>
        <v>8.0654463292744172</v>
      </c>
      <c r="W128" s="114">
        <f>$N$128/$K$128</f>
        <v>3.4516774243990758E-2</v>
      </c>
      <c r="X128" s="114">
        <f>$M$128/$L$128</f>
        <v>2.0348733840939228E-4</v>
      </c>
      <c r="Y128" s="114">
        <f>$O$128/$L$128</f>
        <v>39.592887732747627</v>
      </c>
      <c r="Z128" s="114" t="e">
        <f>$I$128/$I$128</f>
        <v>#VALUE!</v>
      </c>
    </row>
    <row r="129" spans="1:26">
      <c r="A129" s="114" t="s">
        <v>821</v>
      </c>
      <c r="B129" s="114">
        <f t="shared" si="10"/>
        <v>0.60581683578000001</v>
      </c>
      <c r="C129" s="114">
        <f t="shared" si="11"/>
        <v>61.585365853658502</v>
      </c>
      <c r="D129" s="114">
        <v>0</v>
      </c>
      <c r="E129" s="114">
        <v>10</v>
      </c>
      <c r="F129" s="114">
        <v>0</v>
      </c>
      <c r="G129" s="114">
        <v>0</v>
      </c>
      <c r="H129" s="114">
        <v>0</v>
      </c>
      <c r="I129" s="114" t="s">
        <v>10</v>
      </c>
      <c r="J129" s="114">
        <f>GasModel($I$129,"He_Weiss",$D$129,$E$129,$B$129,$C$129,$G$129,$H$129,$M$11)</f>
        <v>1.0089803026830278E-7</v>
      </c>
      <c r="K129" s="114">
        <f>GasModel($I$129,"Ne_Weiss",$D$129,$E$129,$B$129,$C$129,$G$129,$H$129,$M$12)</f>
        <v>4.0417496323577475E-7</v>
      </c>
      <c r="L129" s="114">
        <f>GasModel($I$129,"Ar_Weiss",$D$129,$E$129,$B$129,$C$129,$G$129,$H$129,$M$13)</f>
        <v>5.8538914519646885E-4</v>
      </c>
      <c r="M129" s="114">
        <f>GasModel($I$129,"Kr_Weiss",$D$129,$E$129,$B$129,$C$129,$G$129,$H$129,$M$14)</f>
        <v>1.3402527561780185E-7</v>
      </c>
      <c r="N129" s="114">
        <f>GasModel($I$129,"Xe_Clvr",$D$129,$E$129,$B$129,$C$129,$G$129,$H$129,$M$15)</f>
        <v>1.9876201657263663E-8</v>
      </c>
      <c r="O129" s="114">
        <f>GasModel($I$129,"N2_Weiss",$D$129,$E$129,$B$129,$C$129,$G$129,$H$129,$M$16)</f>
        <v>2.6008035160810284E-2</v>
      </c>
      <c r="P129" s="114">
        <f>GasModel($I$129,"O2_B&amp;K",$D$129,$E$129,$B$129,$C$129,$G$129,$H$129,$M$17)</f>
        <v>1.2214999280037794E-2</v>
      </c>
      <c r="Q129" s="114">
        <f>GasModel($I$129,"CO2_Weiss_F",$D$129,$E$129,$B$129,$C$129,$G$129,$H$129,$M$18)</f>
        <v>5.9545425675261519E-4</v>
      </c>
      <c r="R129" s="114">
        <f>GasModel($I$129,"CH4_Wies",$D$129,$E$129,$B$129,$C$129,$G$129,$H$129,$M$19)</f>
        <v>9.3659819619814769E-8</v>
      </c>
      <c r="S129" s="114">
        <f>GasModel($I$129,"H2_Wies",$D$129,$E$129,$B$129,$C$129,$G$129,$H$129,$M$20)</f>
        <v>1.8367155845475864E-8</v>
      </c>
      <c r="T129" s="114">
        <f>GasModel($I$129,"N2O_Weiss_F",$D$129,$E$129,$B$129,$C$129,$G$129,$H$129,$M$21)</f>
        <v>4.1688664606246808E-7</v>
      </c>
      <c r="U129" s="114">
        <f>$L$129/$K$129</f>
        <v>1448.3557826291758</v>
      </c>
      <c r="V129" s="114">
        <f>$M$129/$N$129</f>
        <v>6.7430024070430461</v>
      </c>
      <c r="W129" s="114">
        <f>$N$129/$K$129</f>
        <v>4.9177221414550894E-2</v>
      </c>
      <c r="X129" s="114">
        <f>$M$129/$L$129</f>
        <v>2.2895073596354467E-4</v>
      </c>
      <c r="Y129" s="114">
        <f>$O$129/$L$129</f>
        <v>44.428625597561165</v>
      </c>
      <c r="Z129" s="114" t="e">
        <f>$I$129/$I$129</f>
        <v>#VALUE!</v>
      </c>
    </row>
    <row r="130" spans="1:26">
      <c r="A130" s="114" t="s">
        <v>821</v>
      </c>
      <c r="B130" s="114">
        <f t="shared" si="10"/>
        <v>0.60581683578000001</v>
      </c>
      <c r="C130" s="114">
        <f t="shared" si="11"/>
        <v>61.585365853658502</v>
      </c>
      <c r="D130" s="114">
        <v>5</v>
      </c>
      <c r="E130" s="114">
        <v>10</v>
      </c>
      <c r="F130" s="114">
        <v>0</v>
      </c>
      <c r="G130" s="114">
        <v>0</v>
      </c>
      <c r="H130" s="114">
        <v>0</v>
      </c>
      <c r="I130" s="114" t="s">
        <v>10</v>
      </c>
      <c r="J130" s="114">
        <f>GasModel($I$130,"He_Weiss",$D$130,$E$130,$B$130,$C$130,$G$130,$H$130,$M$11)</f>
        <v>9.9484746230146024E-8</v>
      </c>
      <c r="K130" s="114">
        <f>GasModel($I$130,"Ne_Weiss",$D$130,$E$130,$B$130,$C$130,$G$130,$H$130,$M$12)</f>
        <v>3.9172323062492014E-7</v>
      </c>
      <c r="L130" s="114">
        <f>GasModel($I$130,"Ar_Weiss",$D$130,$E$130,$B$130,$C$130,$G$130,$H$130,$M$13)</f>
        <v>5.2420321714980193E-4</v>
      </c>
      <c r="M130" s="114">
        <f>GasModel($I$130,"Kr_Weiss",$D$130,$E$130,$B$130,$C$130,$G$130,$H$130,$M$14)</f>
        <v>1.1581884047947277E-7</v>
      </c>
      <c r="N130" s="114">
        <f>GasModel($I$130,"Xe_Clvr",$D$130,$E$130,$B$130,$C$130,$G$130,$H$130,$M$15)</f>
        <v>1.6485020384555309E-8</v>
      </c>
      <c r="O130" s="114">
        <f>GasModel($I$130,"N2_Weiss",$D$130,$E$130,$B$130,$C$130,$G$130,$H$130,$M$16)</f>
        <v>2.3867000426786095E-2</v>
      </c>
      <c r="P130" s="114">
        <f>GasModel($I$130,"O2_B&amp;K",$D$130,$E$130,$B$130,$C$130,$G$130,$H$130,$M$17)</f>
        <v>1.093514844894729E-2</v>
      </c>
      <c r="Q130" s="114">
        <f>GasModel($I$130,"CO2_Weiss_F",$D$130,$E$130,$B$130,$C$130,$G$130,$H$130,$M$18)</f>
        <v>4.9088816709276701E-4</v>
      </c>
      <c r="R130" s="114">
        <f>GasModel($I$130,"CH4_Wies",$D$130,$E$130,$B$130,$C$130,$G$130,$H$130,$M$19)</f>
        <v>8.2457833626233215E-8</v>
      </c>
      <c r="S130" s="114">
        <f>GasModel($I$130,"H2_Wies",$D$130,$E$130,$B$130,$C$130,$G$130,$H$130,$M$20)</f>
        <v>1.7556448609056184E-8</v>
      </c>
      <c r="T130" s="114">
        <f>GasModel($I$130,"N2O_Weiss_F",$D$130,$E$130,$B$130,$C$130,$G$130,$H$130,$M$21)</f>
        <v>3.4002472876716118E-7</v>
      </c>
      <c r="U130" s="114">
        <f>$L$130/$K$130</f>
        <v>1338.197932028527</v>
      </c>
      <c r="V130" s="114">
        <f>$M$130/$N$130</f>
        <v>7.0257019874832896</v>
      </c>
      <c r="W130" s="114">
        <f>$N$130/$K$130</f>
        <v>4.2083336130605747E-2</v>
      </c>
      <c r="X130" s="114">
        <f>$M$130/$L$130</f>
        <v>2.2094263577626067E-4</v>
      </c>
      <c r="Y130" s="114">
        <f>$O$130/$L$130</f>
        <v>45.530053318931856</v>
      </c>
      <c r="Z130" s="114" t="e">
        <f>$I$130/$I$130</f>
        <v>#VALUE!</v>
      </c>
    </row>
    <row r="131" spans="1:26">
      <c r="A131" s="114" t="s">
        <v>821</v>
      </c>
      <c r="B131" s="114">
        <f t="shared" si="10"/>
        <v>0.60581683578000001</v>
      </c>
      <c r="C131" s="114">
        <f t="shared" si="11"/>
        <v>61.585365853658502</v>
      </c>
      <c r="D131" s="114">
        <v>10</v>
      </c>
      <c r="E131" s="114">
        <v>10</v>
      </c>
      <c r="F131" s="114">
        <v>0</v>
      </c>
      <c r="G131" s="114">
        <v>0</v>
      </c>
      <c r="H131" s="114">
        <v>0</v>
      </c>
      <c r="I131" s="114" t="s">
        <v>10</v>
      </c>
      <c r="J131" s="114">
        <f>GasModel($I$131,"He_Weiss",$D$131,$E$131,$B$131,$C$131,$G$131,$H$131,$M$11)</f>
        <v>9.8354498583639226E-8</v>
      </c>
      <c r="K131" s="114">
        <f>GasModel($I$131,"Ne_Weiss",$D$131,$E$131,$B$131,$C$131,$G$131,$H$131,$M$12)</f>
        <v>3.8131309863648521E-7</v>
      </c>
      <c r="L131" s="114">
        <f>GasModel($I$131,"Ar_Weiss",$D$131,$E$131,$B$131,$C$131,$G$131,$H$131,$M$13)</f>
        <v>4.7501862553016056E-4</v>
      </c>
      <c r="M131" s="114">
        <f>GasModel($I$131,"Kr_Weiss",$D$131,$E$131,$B$131,$C$131,$G$131,$H$131,$M$14)</f>
        <v>1.0135517760726014E-7</v>
      </c>
      <c r="N131" s="114">
        <f>GasModel($I$131,"Xe_Clvr",$D$131,$E$131,$B$131,$C$131,$G$131,$H$131,$M$15)</f>
        <v>1.3887571341328826E-8</v>
      </c>
      <c r="O131" s="114">
        <f>GasModel($I$131,"N2_Weiss",$D$131,$E$131,$B$131,$C$131,$G$131,$H$131,$M$16)</f>
        <v>2.2146824292386444E-2</v>
      </c>
      <c r="P131" s="114">
        <f>GasModel($I$131,"O2_B&amp;K",$D$131,$E$131,$B$131,$C$131,$G$131,$H$131,$M$17)</f>
        <v>9.91178364402363E-3</v>
      </c>
      <c r="Q131" s="114">
        <f>GasModel($I$131,"CO2_Weiss_F",$D$131,$E$131,$B$131,$C$131,$G$131,$H$131,$M$18)</f>
        <v>4.1044046534515632E-4</v>
      </c>
      <c r="R131" s="114">
        <f>GasModel($I$131,"CH4_Wies",$D$131,$E$131,$B$131,$C$131,$G$131,$H$131,$M$19)</f>
        <v>7.380835771661177E-8</v>
      </c>
      <c r="S131" s="114">
        <f>GasModel($I$131,"H2_Wies",$D$131,$E$131,$B$131,$C$131,$G$131,$H$131,$M$20)</f>
        <v>1.6909778824097643E-8</v>
      </c>
      <c r="T131" s="114">
        <f>GasModel($I$131,"N2O_Weiss_F",$D$131,$E$131,$B$131,$C$131,$G$131,$H$131,$M$21)</f>
        <v>2.8157237506410587E-7</v>
      </c>
      <c r="U131" s="114">
        <f>$L$131/$K$131</f>
        <v>1245.7443167537422</v>
      </c>
      <c r="V131" s="114">
        <f>$M$131/$N$131</f>
        <v>7.2982651261442246</v>
      </c>
      <c r="W131" s="114">
        <f>$N$131/$K$131</f>
        <v>3.6420388890359562E-2</v>
      </c>
      <c r="X131" s="114">
        <f>$M$131/$L$131</f>
        <v>2.1337095465286078E-4</v>
      </c>
      <c r="Y131" s="114">
        <f>$O$131/$L$131</f>
        <v>46.62306508017182</v>
      </c>
      <c r="Z131" s="114" t="e">
        <f>$I$131/$I$131</f>
        <v>#VALUE!</v>
      </c>
    </row>
    <row r="132" spans="1:26">
      <c r="A132" s="114" t="s">
        <v>821</v>
      </c>
      <c r="B132" s="114">
        <f t="shared" si="10"/>
        <v>0.60581683578000001</v>
      </c>
      <c r="C132" s="114">
        <f t="shared" si="11"/>
        <v>61.585365853658502</v>
      </c>
      <c r="D132" s="114">
        <v>15</v>
      </c>
      <c r="E132" s="114">
        <v>10</v>
      </c>
      <c r="F132" s="114">
        <v>0</v>
      </c>
      <c r="G132" s="114">
        <v>0</v>
      </c>
      <c r="H132" s="114">
        <v>0</v>
      </c>
      <c r="I132" s="114" t="s">
        <v>10</v>
      </c>
      <c r="J132" s="114">
        <f>GasModel($I$132,"He_Weiss",$D$132,$E$132,$B$132,$C$132,$G$132,$H$132,$M$11)</f>
        <v>9.7441598692901463E-8</v>
      </c>
      <c r="K132" s="114">
        <f>GasModel($I$132,"Ne_Weiss",$D$132,$E$132,$B$132,$C$132,$G$132,$H$132,$M$12)</f>
        <v>3.7248946320982894E-7</v>
      </c>
      <c r="L132" s="114">
        <f>GasModel($I$132,"Ar_Weiss",$D$132,$E$132,$B$132,$C$132,$G$132,$H$132,$M$13)</f>
        <v>4.3490491520582015E-4</v>
      </c>
      <c r="M132" s="114">
        <f>GasModel($I$132,"Kr_Weiss",$D$132,$E$132,$B$132,$C$132,$G$132,$H$132,$M$14)</f>
        <v>8.9721298173798596E-8</v>
      </c>
      <c r="N132" s="114">
        <f>GasModel($I$132,"Xe_Clvr",$D$132,$E$132,$B$132,$C$132,$G$132,$H$132,$M$15)</f>
        <v>1.1867998997312061E-8</v>
      </c>
      <c r="O132" s="114">
        <f>GasModel($I$132,"N2_Weiss",$D$132,$E$132,$B$132,$C$132,$G$132,$H$132,$M$16)</f>
        <v>2.0745123931810223E-2</v>
      </c>
      <c r="P132" s="114">
        <f>GasModel($I$132,"O2_B&amp;K",$D$132,$E$132,$B$132,$C$132,$G$132,$H$132,$M$17)</f>
        <v>9.083008514476465E-3</v>
      </c>
      <c r="Q132" s="114">
        <f>GasModel($I$132,"CO2_Weiss_F",$D$132,$E$132,$B$132,$C$132,$G$132,$H$132,$M$18)</f>
        <v>3.4749698216407672E-4</v>
      </c>
      <c r="R132" s="114">
        <f>GasModel($I$132,"CH4_Wies",$D$132,$E$132,$B$132,$C$132,$G$132,$H$132,$M$19)</f>
        <v>6.6962837646649827E-8</v>
      </c>
      <c r="S132" s="114">
        <f>GasModel($I$132,"H2_Wies",$D$132,$E$132,$B$132,$C$132,$G$132,$H$132,$M$20)</f>
        <v>1.6382266540940912E-8</v>
      </c>
      <c r="T132" s="114">
        <f>GasModel($I$132,"N2O_Weiss_F",$D$132,$E$132,$B$132,$C$132,$G$132,$H$132,$M$21)</f>
        <v>2.363349770204758E-7</v>
      </c>
      <c r="U132" s="114">
        <f>$L$132/$K$132</f>
        <v>1167.5630001937307</v>
      </c>
      <c r="V132" s="114">
        <f>$M$132/$N$132</f>
        <v>7.5599347618852377</v>
      </c>
      <c r="W132" s="114">
        <f>$N$132/$K$132</f>
        <v>3.1861301243376751E-2</v>
      </c>
      <c r="X132" s="114">
        <f>$M$132/$L$132</f>
        <v>2.06300952315836E-4</v>
      </c>
      <c r="Y132" s="114">
        <f>$O$132/$L$132</f>
        <v>47.700366692780484</v>
      </c>
      <c r="Z132" s="114" t="e">
        <f>$I$132/$I$132</f>
        <v>#VALUE!</v>
      </c>
    </row>
    <row r="133" spans="1:26">
      <c r="A133" s="114" t="s">
        <v>821</v>
      </c>
      <c r="B133" s="114">
        <f t="shared" si="10"/>
        <v>0.60581683578000001</v>
      </c>
      <c r="C133" s="114">
        <f t="shared" si="11"/>
        <v>61.585365853658502</v>
      </c>
      <c r="D133" s="114">
        <v>20</v>
      </c>
      <c r="E133" s="114">
        <v>10</v>
      </c>
      <c r="F133" s="114">
        <v>0</v>
      </c>
      <c r="G133" s="114">
        <v>0</v>
      </c>
      <c r="H133" s="114">
        <v>0</v>
      </c>
      <c r="I133" s="114" t="s">
        <v>10</v>
      </c>
      <c r="J133" s="114">
        <f>GasModel($I$133,"He_Weiss",$D$133,$E$133,$B$133,$C$133,$G$133,$H$133,$M$11)</f>
        <v>9.669205343714887E-8</v>
      </c>
      <c r="K133" s="114">
        <f>GasModel($I$133,"Ne_Weiss",$D$133,$E$133,$B$133,$C$133,$G$133,$H$133,$M$12)</f>
        <v>3.6489612254621693E-7</v>
      </c>
      <c r="L133" s="114">
        <f>GasModel($I$133,"Ar_Weiss",$D$133,$E$133,$B$133,$C$133,$G$133,$H$133,$M$13)</f>
        <v>4.0173573156362908E-4</v>
      </c>
      <c r="M133" s="114">
        <f>GasModel($I$133,"Kr_Weiss",$D$133,$E$133,$B$133,$C$133,$G$133,$H$133,$M$14)</f>
        <v>8.0254747079294587E-8</v>
      </c>
      <c r="N133" s="114">
        <f>GasModel($I$133,"Xe_Clvr",$D$133,$E$133,$B$133,$C$133,$G$133,$H$133,$M$15)</f>
        <v>1.0274789471469646E-8</v>
      </c>
      <c r="O133" s="114">
        <f>GasModel($I$133,"N2_Weiss",$D$133,$E$133,$B$133,$C$133,$G$133,$H$133,$M$16)</f>
        <v>1.9587460344723601E-2</v>
      </c>
      <c r="P133" s="114">
        <f>GasModel($I$133,"O2_B&amp;K",$D$133,$E$133,$B$133,$C$133,$G$133,$H$133,$M$17)</f>
        <v>8.4022413022210394E-3</v>
      </c>
      <c r="Q133" s="114">
        <f>GasModel($I$133,"CO2_Weiss_F",$D$133,$E$133,$B$133,$C$133,$G$133,$H$133,$M$18)</f>
        <v>2.9746794097619008E-4</v>
      </c>
      <c r="R133" s="114">
        <f>GasModel($I$133,"CH4_Wies",$D$133,$E$133,$B$133,$C$133,$G$133,$H$133,$M$19)</f>
        <v>6.1411727723084786E-8</v>
      </c>
      <c r="S133" s="114">
        <f>GasModel($I$133,"H2_Wies",$D$133,$E$133,$B$133,$C$133,$G$133,$H$133,$M$20)</f>
        <v>1.5940013793616618E-8</v>
      </c>
      <c r="T133" s="114">
        <f>GasModel($I$133,"N2O_Weiss_F",$D$133,$E$133,$B$133,$C$133,$G$133,$H$133,$M$21)</f>
        <v>2.0074881470156516E-7</v>
      </c>
      <c r="U133" s="114">
        <f>$L$133/$K$133</f>
        <v>1100.9591682157327</v>
      </c>
      <c r="V133" s="114">
        <f>$M$133/$N$133</f>
        <v>7.8108410203577066</v>
      </c>
      <c r="W133" s="114">
        <f>$N$133/$K$133</f>
        <v>2.8158121823199871E-2</v>
      </c>
      <c r="X133" s="114">
        <f>$M$133/$L$133</f>
        <v>1.997699999622349E-4</v>
      </c>
      <c r="Y133" s="114">
        <f>$O$133/$L$133</f>
        <v>48.757077864310489</v>
      </c>
      <c r="Z133" s="114" t="e">
        <f>$I$133/$I$133</f>
        <v>#VALUE!</v>
      </c>
    </row>
    <row r="134" spans="1:26">
      <c r="A134" s="114" t="s">
        <v>821</v>
      </c>
      <c r="B134" s="114">
        <f t="shared" si="10"/>
        <v>0.60581683578000001</v>
      </c>
      <c r="C134" s="114">
        <f t="shared" si="11"/>
        <v>61.585365853658502</v>
      </c>
      <c r="D134" s="114">
        <v>25</v>
      </c>
      <c r="E134" s="114">
        <v>10</v>
      </c>
      <c r="F134" s="114">
        <v>0</v>
      </c>
      <c r="G134" s="114">
        <v>0</v>
      </c>
      <c r="H134" s="114">
        <v>0</v>
      </c>
      <c r="I134" s="114" t="s">
        <v>10</v>
      </c>
      <c r="J134" s="114">
        <f>GasModel($I$134,"He_Weiss",$D$134,$E$134,$B$134,$C$134,$G$134,$H$134,$M$11)</f>
        <v>9.6060646695384392E-8</v>
      </c>
      <c r="K134" s="114">
        <f>GasModel($I$134,"Ne_Weiss",$D$134,$E$134,$B$134,$C$134,$G$134,$H$134,$M$12)</f>
        <v>3.5825008224176247E-7</v>
      </c>
      <c r="L134" s="114">
        <f>GasModel($I$134,"Ar_Weiss",$D$134,$E$134,$B$134,$C$134,$G$134,$H$134,$M$13)</f>
        <v>3.739440095626705E-4</v>
      </c>
      <c r="M134" s="114">
        <f>GasModel($I$134,"Kr_Weiss",$D$134,$E$134,$B$134,$C$134,$G$134,$H$134,$M$14)</f>
        <v>7.2468122347431544E-8</v>
      </c>
      <c r="N134" s="114">
        <f>GasModel($I$134,"Xe_Clvr",$D$134,$E$134,$B$134,$C$134,$G$134,$H$134,$M$15)</f>
        <v>8.9998195409088408E-9</v>
      </c>
      <c r="O134" s="114">
        <f>GasModel($I$134,"N2_Weiss",$D$134,$E$134,$B$134,$C$134,$G$134,$H$134,$M$16)</f>
        <v>1.8618840917076718E-2</v>
      </c>
      <c r="P134" s="114">
        <f>GasModel($I$134,"O2_B&amp;K",$D$134,$E$134,$B$134,$C$134,$G$134,$H$134,$M$17)</f>
        <v>7.8343041367243873E-3</v>
      </c>
      <c r="Q134" s="114">
        <f>GasModel($I$134,"CO2_Weiss_F",$D$134,$E$134,$B$134,$C$134,$G$134,$H$134,$M$18)</f>
        <v>2.5711238842429705E-4</v>
      </c>
      <c r="R134" s="114">
        <f>GasModel($I$134,"CH4_Wies",$D$134,$E$134,$B$134,$C$134,$G$134,$H$134,$M$19)</f>
        <v>5.6800340001372513E-8</v>
      </c>
      <c r="S134" s="114">
        <f>GasModel($I$134,"H2_Wies",$D$134,$E$134,$B$134,$C$134,$G$134,$H$134,$M$20)</f>
        <v>1.5556799674707645E-8</v>
      </c>
      <c r="T134" s="114">
        <f>GasModel($I$134,"N2O_Weiss_F",$D$134,$E$134,$B$134,$C$134,$G$134,$H$134,$M$21)</f>
        <v>1.7232410971283209E-7</v>
      </c>
      <c r="U134" s="114">
        <f>$L$134/$K$134</f>
        <v>1043.8071841399246</v>
      </c>
      <c r="V134" s="114">
        <f>$M$134/$N$134</f>
        <v>8.0521750484025141</v>
      </c>
      <c r="W134" s="114">
        <f>$N$134/$K$134</f>
        <v>2.5121611932625819E-2</v>
      </c>
      <c r="X134" s="114">
        <f>$M$134/$L$134</f>
        <v>1.937940453496859E-4</v>
      </c>
      <c r="Y134" s="114">
        <f>$O$134/$L$134</f>
        <v>49.79045108611728</v>
      </c>
      <c r="Z134" s="114" t="e">
        <f>$I$134/$I$134</f>
        <v>#VALUE!</v>
      </c>
    </row>
    <row r="135" spans="1:26">
      <c r="A135" s="114" t="s">
        <v>821</v>
      </c>
      <c r="B135" s="114">
        <f t="shared" si="10"/>
        <v>0.60581683578000001</v>
      </c>
      <c r="C135" s="114">
        <f t="shared" si="11"/>
        <v>61.585365853658502</v>
      </c>
      <c r="D135" s="114">
        <v>30</v>
      </c>
      <c r="E135" s="114">
        <v>10</v>
      </c>
      <c r="F135" s="114">
        <v>0</v>
      </c>
      <c r="G135" s="114">
        <v>0</v>
      </c>
      <c r="H135" s="114">
        <v>0</v>
      </c>
      <c r="I135" s="114" t="s">
        <v>10</v>
      </c>
      <c r="J135" s="114">
        <f>GasModel($I$135,"He_Weiss",$D$135,$E$135,$B$135,$C$135,$G$135,$H$135,$M$11)</f>
        <v>9.5508899298045512E-8</v>
      </c>
      <c r="K135" s="114">
        <f>GasModel($I$135,"Ne_Weiss",$D$135,$E$135,$B$135,$C$135,$G$135,$H$135,$M$12)</f>
        <v>3.5232350736504434E-7</v>
      </c>
      <c r="L135" s="114">
        <f>GasModel($I$135,"Ar_Weiss",$D$135,$E$135,$B$135,$C$135,$G$135,$H$135,$M$13)</f>
        <v>3.5035821434708901E-4</v>
      </c>
      <c r="M135" s="114">
        <f>GasModel($I$135,"Kr_Weiss",$D$135,$E$135,$B$135,$C$135,$G$135,$H$135,$M$14)</f>
        <v>6.5998118575171421E-8</v>
      </c>
      <c r="N135" s="114">
        <f>GasModel($I$135,"Xe_Clvr",$D$135,$E$135,$B$135,$C$135,$G$135,$H$135,$M$15)</f>
        <v>7.9646591520773948E-9</v>
      </c>
      <c r="O135" s="114">
        <f>GasModel($I$135,"N2_Weiss",$D$135,$E$135,$B$135,$C$135,$G$135,$H$135,$M$16)</f>
        <v>1.7798032874857247E-2</v>
      </c>
      <c r="P135" s="114">
        <f>GasModel($I$135,"O2_B&amp;K",$D$135,$E$135,$B$135,$C$135,$G$135,$H$135,$M$17)</f>
        <v>7.3524970719148937E-3</v>
      </c>
      <c r="Q135" s="114">
        <f>GasModel($I$135,"CO2_Weiss_F",$D$135,$E$135,$B$135,$C$135,$G$135,$H$135,$M$18)</f>
        <v>2.2410479370003162E-4</v>
      </c>
      <c r="R135" s="114">
        <f>GasModel($I$135,"CH4_Wies",$D$135,$E$135,$B$135,$C$135,$G$135,$H$135,$M$19)</f>
        <v>5.2877124190100131E-8</v>
      </c>
      <c r="S135" s="114">
        <f>GasModel($I$135,"H2_Wies",$D$135,$E$135,$B$135,$C$135,$G$135,$H$135,$M$20)</f>
        <v>1.5211951432157101E-8</v>
      </c>
      <c r="T135" s="114">
        <f>GasModel($I$135,"N2O_Weiss_F",$D$135,$E$135,$B$135,$C$135,$G$135,$H$135,$M$21)</f>
        <v>1.4929192681097267E-7</v>
      </c>
      <c r="U135" s="114">
        <f>$L$135/$K$135</f>
        <v>994.42190777262249</v>
      </c>
      <c r="V135" s="114">
        <f>$M$135/$N$135</f>
        <v>8.2863707429284474</v>
      </c>
      <c r="W135" s="114">
        <f>$N$135/$K$135</f>
        <v>2.2606096344928717E-2</v>
      </c>
      <c r="X135" s="114">
        <f>$M$135/$L$135</f>
        <v>1.8837325877505795E-4</v>
      </c>
      <c r="Y135" s="114">
        <f>$O$135/$L$135</f>
        <v>50.799530726073655</v>
      </c>
      <c r="Z135" s="114" t="e">
        <f>$I$135/$I$135</f>
        <v>#VALUE!</v>
      </c>
    </row>
    <row r="136" spans="1:26">
      <c r="A136" s="114" t="s">
        <v>821</v>
      </c>
      <c r="B136" s="114">
        <f t="shared" si="10"/>
        <v>0.60581683578000001</v>
      </c>
      <c r="C136" s="114">
        <f t="shared" si="11"/>
        <v>61.585365853658502</v>
      </c>
      <c r="D136" s="114">
        <v>35</v>
      </c>
      <c r="E136" s="114">
        <v>10</v>
      </c>
      <c r="F136" s="114">
        <v>0</v>
      </c>
      <c r="G136" s="114">
        <v>0</v>
      </c>
      <c r="H136" s="114">
        <v>0</v>
      </c>
      <c r="I136" s="114" t="s">
        <v>10</v>
      </c>
      <c r="J136" s="114">
        <f>GasModel($I$136,"He_Weiss",$D$136,$E$136,$B$136,$C$136,$G$136,$H$136,$M$11)</f>
        <v>9.5003648601269013E-8</v>
      </c>
      <c r="K136" s="114">
        <f>GasModel($I$136,"Ne_Weiss",$D$136,$E$136,$B$136,$C$136,$G$136,$H$136,$M$12)</f>
        <v>3.4693092388666685E-7</v>
      </c>
      <c r="L136" s="114">
        <f>GasModel($I$136,"Ar_Weiss",$D$136,$E$136,$B$136,$C$136,$G$136,$H$136,$M$13)</f>
        <v>3.3009094573515881E-4</v>
      </c>
      <c r="M136" s="114">
        <f>GasModel($I$136,"Kr_Weiss",$D$136,$E$136,$B$136,$C$136,$G$136,$H$136,$M$14)</f>
        <v>6.057060291025761E-8</v>
      </c>
      <c r="N136" s="114">
        <f>GasModel($I$136,"Xe_Clvr",$D$136,$E$136,$B$136,$C$136,$G$136,$H$136,$M$15)</f>
        <v>7.1114651283666174E-9</v>
      </c>
      <c r="O136" s="114">
        <f>GasModel($I$136,"N2_Weiss",$D$136,$E$136,$B$136,$C$136,$G$136,$H$136,$M$16)</f>
        <v>1.7093693571192194E-2</v>
      </c>
      <c r="P136" s="114">
        <f>GasModel($I$136,"O2_B&amp;K",$D$136,$E$136,$B$136,$C$136,$G$136,$H$136,$M$17)</f>
        <v>6.9364501050258719E-3</v>
      </c>
      <c r="Q136" s="114">
        <f>GasModel($I$136,"CO2_Weiss_F",$D$136,$E$136,$B$136,$C$136,$G$136,$H$136,$M$18)</f>
        <v>1.9675170083840177E-4</v>
      </c>
      <c r="R136" s="114">
        <f>GasModel($I$136,"CH4_Wies",$D$136,$E$136,$B$136,$C$136,$G$136,$H$136,$M$19)</f>
        <v>4.9461133114564529E-8</v>
      </c>
      <c r="S136" s="114">
        <f>GasModel($I$136,"H2_Wies",$D$136,$E$136,$B$136,$C$136,$G$136,$H$136,$M$20)</f>
        <v>1.4888973178180974E-8</v>
      </c>
      <c r="T136" s="114">
        <f>GasModel($I$136,"N2O_Weiss_F",$D$136,$E$136,$B$136,$C$136,$G$136,$H$136,$M$21)</f>
        <v>1.3037588114413737E-7</v>
      </c>
      <c r="U136" s="114">
        <f>$L$136/$K$136</f>
        <v>951.46014093281224</v>
      </c>
      <c r="V136" s="114">
        <f>$M$136/$N$136</f>
        <v>8.5173170108997844</v>
      </c>
      <c r="W136" s="114">
        <f>$N$136/$K$136</f>
        <v>2.0498216327033865E-2</v>
      </c>
      <c r="X136" s="114">
        <f>$M$136/$L$136</f>
        <v>1.834967111120191E-4</v>
      </c>
      <c r="Y136" s="114">
        <f>$O$136/$L$136</f>
        <v>51.784799892411897</v>
      </c>
      <c r="Z136" s="114" t="e">
        <f>$I$136/$I$136</f>
        <v>#VALUE!</v>
      </c>
    </row>
    <row r="137" spans="1:26">
      <c r="A137" s="114" t="s">
        <v>821</v>
      </c>
      <c r="B137" s="114">
        <f t="shared" si="10"/>
        <v>0.60581683578000001</v>
      </c>
      <c r="C137" s="114">
        <f t="shared" si="11"/>
        <v>61.585365853658502</v>
      </c>
      <c r="D137" s="114">
        <v>40</v>
      </c>
      <c r="E137" s="114">
        <v>10</v>
      </c>
      <c r="F137" s="114">
        <v>0</v>
      </c>
      <c r="G137" s="114">
        <v>0</v>
      </c>
      <c r="H137" s="114">
        <v>0</v>
      </c>
      <c r="I137" s="114" t="s">
        <v>10</v>
      </c>
      <c r="J137" s="114">
        <f>GasModel($I$137,"He_Weiss",$D$137,$E$137,$B$137,$C$137,$G$137,$H$137,$M$11)</f>
        <v>9.4516068369396924E-8</v>
      </c>
      <c r="K137" s="114">
        <f>GasModel($I$137,"Ne_Weiss",$D$137,$E$137,$B$137,$C$137,$G$137,$H$137,$M$12)</f>
        <v>3.4192006422190463E-7</v>
      </c>
      <c r="L137" s="114">
        <f>GasModel($I$137,"Ar_Weiss",$D$137,$E$137,$B$137,$C$137,$G$137,$H$137,$M$13)</f>
        <v>3.1246196144748737E-4</v>
      </c>
      <c r="M137" s="114">
        <f>GasModel($I$137,"Kr_Weiss",$D$137,$E$137,$B$137,$C$137,$G$137,$H$137,$M$14)</f>
        <v>5.5976335481690096E-8</v>
      </c>
      <c r="N137" s="114">
        <f>GasModel($I$137,"Xe_Clvr",$D$137,$E$137,$B$137,$C$137,$G$137,$H$137,$M$15)</f>
        <v>6.396828108680784E-9</v>
      </c>
      <c r="O137" s="114">
        <f>GasModel($I$137,"N2_Weiss",$D$137,$E$137,$B$137,$C$137,$G$137,$H$137,$M$16)</f>
        <v>1.6481695646105854E-2</v>
      </c>
      <c r="P137" s="114">
        <f>GasModel($I$137,"O2_B&amp;K",$D$137,$E$137,$B$137,$C$137,$G$137,$H$137,$M$17)</f>
        <v>6.5705614044207581E-3</v>
      </c>
      <c r="Q137" s="114">
        <f>GasModel($I$137,"CO2_Weiss_F",$D$137,$E$137,$B$137,$C$137,$G$137,$H$137,$M$18)</f>
        <v>1.7380317285018413E-4</v>
      </c>
      <c r="R137" s="114">
        <f>GasModel($I$137,"CH4_Wies",$D$137,$E$137,$B$137,$C$137,$G$137,$H$137,$M$19)</f>
        <v>4.6421105815531143E-8</v>
      </c>
      <c r="S137" s="114">
        <f>GasModel($I$137,"H2_Wies",$D$137,$E$137,$B$137,$C$137,$G$137,$H$137,$M$20)</f>
        <v>1.457466936762791E-8</v>
      </c>
      <c r="T137" s="114">
        <f>GasModel($I$137,"N2O_Weiss_F",$D$137,$E$137,$B$137,$C$137,$G$137,$H$137,$M$21)</f>
        <v>1.146418058255042E-7</v>
      </c>
      <c r="U137" s="114">
        <f>$L$137/$K$137</f>
        <v>913.84505954204815</v>
      </c>
      <c r="V137" s="114">
        <f>$M$137/$N$137</f>
        <v>8.7506393060222596</v>
      </c>
      <c r="W137" s="114">
        <f>$N$137/$K$137</f>
        <v>1.8708548511880457E-2</v>
      </c>
      <c r="X137" s="114">
        <f>$M$137/$L$137</f>
        <v>1.7914607980561349E-4</v>
      </c>
      <c r="Y137" s="114">
        <f>$O$137/$L$137</f>
        <v>52.74784671309753</v>
      </c>
      <c r="Z137" s="114" t="e">
        <f>$I$137/$I$137</f>
        <v>#VALUE!</v>
      </c>
    </row>
    <row r="138" spans="1:26">
      <c r="A138" s="114" t="s">
        <v>822</v>
      </c>
      <c r="B138" s="114">
        <f t="shared" si="10"/>
        <v>0.60581683578000001</v>
      </c>
      <c r="C138" s="114">
        <f t="shared" si="11"/>
        <v>61.585365853658502</v>
      </c>
      <c r="D138" s="114">
        <f t="shared" ref="D138:D174" si="12">$P$4</f>
        <v>20.790000915499999</v>
      </c>
      <c r="E138" s="114">
        <v>0</v>
      </c>
      <c r="F138" s="114">
        <v>0</v>
      </c>
      <c r="G138" s="114">
        <v>0</v>
      </c>
      <c r="H138" s="114">
        <f t="shared" ref="H138:H144" si="13">$Q$4</f>
        <v>0</v>
      </c>
      <c r="I138" s="114" t="s">
        <v>10</v>
      </c>
      <c r="J138" s="114">
        <f>GasModel($I$138,"He_Weiss",$D$138,$E$138,$B$138,$C$138,$G$138,$H$138,$M$11)</f>
        <v>4.4185491840138201E-8</v>
      </c>
      <c r="K138" s="114">
        <f>GasModel($I$138,"Ne_Weiss",$D$138,$E$138,$B$138,$C$138,$G$138,$H$138,$M$12)</f>
        <v>1.8198946053356498E-7</v>
      </c>
      <c r="L138" s="114">
        <f>GasModel($I$138,"Ar_Weiss",$D$138,$E$138,$B$138,$C$138,$G$138,$H$138,$M$13)</f>
        <v>3.0362102189725415E-4</v>
      </c>
      <c r="M138" s="114">
        <f>GasModel($I$138,"Kr_Weiss",$D$138,$E$138,$B$138,$C$138,$G$138,$H$138,$M$14)</f>
        <v>6.7523299175916356E-8</v>
      </c>
      <c r="N138" s="114">
        <f>GasModel($I$138,"Xe_Clvr",$D$138,$E$138,$B$138,$C$138,$G$138,$H$138,$M$15)</f>
        <v>9.1844847897613838E-9</v>
      </c>
      <c r="O138" s="114">
        <f>GasModel($I$138,"N2_Weiss",$D$138,$E$138,$B$138,$C$138,$G$138,$H$138,$M$16)</f>
        <v>1.1614641520744965E-2</v>
      </c>
      <c r="P138" s="114">
        <f>GasModel($I$138,"O2_B&amp;K",$D$138,$E$138,$B$138,$C$138,$G$138,$H$138,$M$17)</f>
        <v>6.2107750616212324E-3</v>
      </c>
      <c r="Q138" s="114">
        <f>GasModel($I$138,"CO2_Weiss_F",$D$138,$E$138,$B$138,$C$138,$G$138,$H$138,$M$18)</f>
        <v>2.8701709471343776E-4</v>
      </c>
      <c r="R138" s="114">
        <f>GasModel($I$138,"CH4_Wies",$D$138,$E$138,$B$138,$C$138,$G$138,$H$138,$M$19)</f>
        <v>4.65280954073278E-8</v>
      </c>
      <c r="S138" s="114">
        <f>GasModel($I$138,"H2_Wies",$D$138,$E$138,$B$138,$C$138,$G$138,$H$138,$M$20)</f>
        <v>1.007612666992487E-8</v>
      </c>
      <c r="T138" s="114">
        <f>GasModel($I$138,"N2O_Weiss_F",$D$138,$E$138,$B$138,$C$138,$G$138,$H$138,$M$21)</f>
        <v>1.926338790717342E-7</v>
      </c>
      <c r="U138" s="114">
        <f>$L$138/$K$138</f>
        <v>1668.3439854543456</v>
      </c>
      <c r="V138" s="114">
        <f>$M$138/$N$138</f>
        <v>7.351887527887194</v>
      </c>
      <c r="W138" s="114">
        <f>$N$138/$K$138</f>
        <v>5.0467124650152233E-2</v>
      </c>
      <c r="X138" s="114">
        <f>$M$138/$L$138</f>
        <v>2.2239335983384692E-4</v>
      </c>
      <c r="Y138" s="114">
        <f>$O$138/$L$138</f>
        <v>38.253746226687092</v>
      </c>
      <c r="Z138" s="114" t="e">
        <f>$I$138/$I$138</f>
        <v>#VALUE!</v>
      </c>
    </row>
    <row r="139" spans="1:26">
      <c r="A139" s="114" t="s">
        <v>822</v>
      </c>
      <c r="B139" s="114">
        <f t="shared" si="10"/>
        <v>0.60581683578000001</v>
      </c>
      <c r="C139" s="114">
        <f t="shared" si="11"/>
        <v>61.585365853658502</v>
      </c>
      <c r="D139" s="114">
        <f t="shared" si="12"/>
        <v>20.790000915499999</v>
      </c>
      <c r="E139" s="114">
        <v>1</v>
      </c>
      <c r="F139" s="114">
        <v>0</v>
      </c>
      <c r="G139" s="114">
        <v>0</v>
      </c>
      <c r="H139" s="114">
        <f t="shared" si="13"/>
        <v>0</v>
      </c>
      <c r="I139" s="114" t="s">
        <v>10</v>
      </c>
      <c r="J139" s="114">
        <f>GasModel($I$139,"He_Weiss",$D$139,$E$139,$B$139,$C$139,$G$139,$H$139,$M$11)</f>
        <v>4.94254918401382E-8</v>
      </c>
      <c r="K139" s="114">
        <f>GasModel($I$139,"Ne_Weiss",$D$139,$E$139,$B$139,$C$139,$G$139,$H$139,$M$12)</f>
        <v>2.0016946053356498E-7</v>
      </c>
      <c r="L139" s="114">
        <f>GasModel($I$139,"Ar_Weiss",$D$139,$E$139,$B$139,$C$139,$G$139,$H$139,$M$13)</f>
        <v>3.1296102189725414E-4</v>
      </c>
      <c r="M139" s="114">
        <f>GasModel($I$139,"Kr_Weiss",$D$139,$E$139,$B$139,$C$139,$G$139,$H$139,$M$14)</f>
        <v>6.8663299175916352E-8</v>
      </c>
      <c r="N139" s="114">
        <f>GasModel($I$139,"Xe_Clvr",$D$139,$E$139,$B$139,$C$139,$G$139,$H$139,$M$15)</f>
        <v>9.2714847897613832E-9</v>
      </c>
      <c r="O139" s="114">
        <f>GasModel($I$139,"N2_Weiss",$D$139,$E$139,$B$139,$C$139,$G$139,$H$139,$M$16)</f>
        <v>1.2395481520744964E-2</v>
      </c>
      <c r="P139" s="114">
        <f>GasModel($I$139,"O2_B&amp;K",$D$139,$E$139,$B$139,$C$139,$G$139,$H$139,$M$17)</f>
        <v>6.420275061621232E-3</v>
      </c>
      <c r="Q139" s="114">
        <f>GasModel($I$139,"CO2_Weiss_F",$D$139,$E$139,$B$139,$C$139,$G$139,$H$139,$M$18)</f>
        <v>2.8736709471343774E-4</v>
      </c>
      <c r="R139" s="114">
        <f>GasModel($I$139,"CH4_Wies",$D$139,$E$139,$B$139,$C$139,$G$139,$H$139,$M$19)</f>
        <v>4.7938095407327797E-8</v>
      </c>
      <c r="S139" s="114">
        <f>GasModel($I$139,"H2_Wies",$D$139,$E$139,$B$139,$C$139,$G$139,$H$139,$M$20)</f>
        <v>1.065612666992487E-8</v>
      </c>
      <c r="T139" s="114">
        <f>GasModel($I$139,"N2O_Weiss_F",$D$139,$E$139,$B$139,$C$139,$G$139,$H$139,$M$21)</f>
        <v>1.9295387907173419E-7</v>
      </c>
      <c r="U139" s="114">
        <f>$L$139/$K$139</f>
        <v>1563.4803683990344</v>
      </c>
      <c r="V139" s="114">
        <f>$M$139/$N$139</f>
        <v>7.4058579324578186</v>
      </c>
      <c r="W139" s="114">
        <f>$N$139/$K$139</f>
        <v>4.6318178432652138E-2</v>
      </c>
      <c r="X139" s="114">
        <f>$M$139/$L$139</f>
        <v>2.1939888475459632E-4</v>
      </c>
      <c r="Y139" s="114">
        <f>$O$139/$L$139</f>
        <v>39.607109682861498</v>
      </c>
      <c r="Z139" s="114" t="e">
        <f>$I$139/$I$139</f>
        <v>#VALUE!</v>
      </c>
    </row>
    <row r="140" spans="1:26">
      <c r="A140" s="114" t="s">
        <v>822</v>
      </c>
      <c r="B140" s="114">
        <f t="shared" ref="B140:B174" si="14">$N$4</f>
        <v>0.60581683578000001</v>
      </c>
      <c r="C140" s="114">
        <f t="shared" ref="C140:C174" si="15">$O$4</f>
        <v>61.585365853658502</v>
      </c>
      <c r="D140" s="114">
        <f t="shared" si="12"/>
        <v>20.790000915499999</v>
      </c>
      <c r="E140" s="114">
        <v>2</v>
      </c>
      <c r="F140" s="114">
        <v>0</v>
      </c>
      <c r="G140" s="114">
        <v>0</v>
      </c>
      <c r="H140" s="114">
        <f t="shared" si="13"/>
        <v>0</v>
      </c>
      <c r="I140" s="114" t="s">
        <v>10</v>
      </c>
      <c r="J140" s="114">
        <f>GasModel($I$140,"He_Weiss",$D$140,$E$140,$B$140,$C$140,$G$140,$H$140,$M$11)</f>
        <v>5.4665491840138199E-8</v>
      </c>
      <c r="K140" s="114">
        <f>GasModel($I$140,"Ne_Weiss",$D$140,$E$140,$B$140,$C$140,$G$140,$H$140,$M$12)</f>
        <v>2.18349460533565E-7</v>
      </c>
      <c r="L140" s="114">
        <f>GasModel($I$140,"Ar_Weiss",$D$140,$E$140,$B$140,$C$140,$G$140,$H$140,$M$13)</f>
        <v>3.2230102189725413E-4</v>
      </c>
      <c r="M140" s="114">
        <f>GasModel($I$140,"Kr_Weiss",$D$140,$E$140,$B$140,$C$140,$G$140,$H$140,$M$14)</f>
        <v>6.9803299175916361E-8</v>
      </c>
      <c r="N140" s="114">
        <f>GasModel($I$140,"Xe_Clvr",$D$140,$E$140,$B$140,$C$140,$G$140,$H$140,$M$15)</f>
        <v>9.3584847897613842E-9</v>
      </c>
      <c r="O140" s="114">
        <f>GasModel($I$140,"N2_Weiss",$D$140,$E$140,$B$140,$C$140,$G$140,$H$140,$M$16)</f>
        <v>1.3176321520744964E-2</v>
      </c>
      <c r="P140" s="114">
        <f>GasModel($I$140,"O2_B&amp;K",$D$140,$E$140,$B$140,$C$140,$G$140,$H$140,$M$17)</f>
        <v>6.6297750616212325E-3</v>
      </c>
      <c r="Q140" s="114">
        <f>GasModel($I$140,"CO2_Weiss_F",$D$140,$E$140,$B$140,$C$140,$G$140,$H$140,$M$18)</f>
        <v>2.8771709471343777E-4</v>
      </c>
      <c r="R140" s="114">
        <f>GasModel($I$140,"CH4_Wies",$D$140,$E$140,$B$140,$C$140,$G$140,$H$140,$M$19)</f>
        <v>4.9348095407327801E-8</v>
      </c>
      <c r="S140" s="114">
        <f>GasModel($I$140,"H2_Wies",$D$140,$E$140,$B$140,$C$140,$G$140,$H$140,$M$20)</f>
        <v>1.1236126669924871E-8</v>
      </c>
      <c r="T140" s="114">
        <f>GasModel($I$140,"N2O_Weiss_F",$D$140,$E$140,$B$140,$C$140,$G$140,$H$140,$M$21)</f>
        <v>1.9327387907173421E-7</v>
      </c>
      <c r="U140" s="114">
        <f>$L$140/$K$140</f>
        <v>1476.0788559297107</v>
      </c>
      <c r="V140" s="114">
        <f>$M$140/$N$140</f>
        <v>7.4588248786047506</v>
      </c>
      <c r="W140" s="114">
        <f>$N$140/$K$140</f>
        <v>4.286012324872579E-2</v>
      </c>
      <c r="X140" s="114">
        <f>$M$140/$L$140</f>
        <v>2.1657796418085467E-4</v>
      </c>
      <c r="Y140" s="114">
        <f>$O$140/$L$140</f>
        <v>40.882034574949081</v>
      </c>
      <c r="Z140" s="114" t="e">
        <f>$I$140/$I$140</f>
        <v>#VALUE!</v>
      </c>
    </row>
    <row r="141" spans="1:26">
      <c r="A141" s="114" t="s">
        <v>822</v>
      </c>
      <c r="B141" s="114">
        <f t="shared" si="14"/>
        <v>0.60581683578000001</v>
      </c>
      <c r="C141" s="114">
        <f t="shared" si="15"/>
        <v>61.585365853658502</v>
      </c>
      <c r="D141" s="114">
        <f t="shared" si="12"/>
        <v>20.790000915499999</v>
      </c>
      <c r="E141" s="114">
        <v>3</v>
      </c>
      <c r="F141" s="114">
        <v>0</v>
      </c>
      <c r="G141" s="114">
        <v>0</v>
      </c>
      <c r="H141" s="114">
        <f t="shared" si="13"/>
        <v>0</v>
      </c>
      <c r="I141" s="114" t="s">
        <v>10</v>
      </c>
      <c r="J141" s="114">
        <f>GasModel($I$141,"He_Weiss",$D$141,$E$141,$B$141,$C$141,$G$141,$H$141,$M$11)</f>
        <v>5.9905491840138205E-8</v>
      </c>
      <c r="K141" s="114">
        <f>GasModel($I$141,"Ne_Weiss",$D$141,$E$141,$B$141,$C$141,$G$141,$H$141,$M$12)</f>
        <v>2.3652946053356497E-7</v>
      </c>
      <c r="L141" s="114">
        <f>GasModel($I$141,"Ar_Weiss",$D$141,$E$141,$B$141,$C$141,$G$141,$H$141,$M$13)</f>
        <v>3.3164102189725417E-4</v>
      </c>
      <c r="M141" s="114">
        <f>GasModel($I$141,"Kr_Weiss",$D$141,$E$141,$B$141,$C$141,$G$141,$H$141,$M$14)</f>
        <v>7.0943299175916357E-8</v>
      </c>
      <c r="N141" s="114">
        <f>GasModel($I$141,"Xe_Clvr",$D$141,$E$141,$B$141,$C$141,$G$141,$H$141,$M$15)</f>
        <v>9.4454847897613836E-9</v>
      </c>
      <c r="O141" s="114">
        <f>GasModel($I$141,"N2_Weiss",$D$141,$E$141,$B$141,$C$141,$G$141,$H$141,$M$16)</f>
        <v>1.3957161520744964E-2</v>
      </c>
      <c r="P141" s="114">
        <f>GasModel($I$141,"O2_B&amp;K",$D$141,$E$141,$B$141,$C$141,$G$141,$H$141,$M$17)</f>
        <v>6.8392750616212321E-3</v>
      </c>
      <c r="Q141" s="114">
        <f>GasModel($I$141,"CO2_Weiss_F",$D$141,$E$141,$B$141,$C$141,$G$141,$H$141,$M$18)</f>
        <v>2.8806709471343775E-4</v>
      </c>
      <c r="R141" s="114">
        <f>GasModel($I$141,"CH4_Wies",$D$141,$E$141,$B$141,$C$141,$G$141,$H$141,$M$19)</f>
        <v>5.0758095407327799E-8</v>
      </c>
      <c r="S141" s="114">
        <f>GasModel($I$141,"H2_Wies",$D$141,$E$141,$B$141,$C$141,$G$141,$H$141,$M$20)</f>
        <v>1.181612666992487E-8</v>
      </c>
      <c r="T141" s="114">
        <f>GasModel($I$141,"N2O_Weiss_F",$D$141,$E$141,$B$141,$C$141,$G$141,$H$141,$M$21)</f>
        <v>1.9359387907173421E-7</v>
      </c>
      <c r="U141" s="114">
        <f>$L$141/$K$141</f>
        <v>1402.1129594137483</v>
      </c>
      <c r="V141" s="114">
        <f>$M$141/$N$141</f>
        <v>7.510816094142327</v>
      </c>
      <c r="W141" s="114">
        <f>$N$141/$K$141</f>
        <v>3.9933650414853972E-2</v>
      </c>
      <c r="X141" s="114">
        <f>$M$141/$L$141</f>
        <v>2.1391593467558223E-4</v>
      </c>
      <c r="Y141" s="114">
        <f>$O$141/$L$141</f>
        <v>42.085148094462923</v>
      </c>
      <c r="Z141" s="114" t="e">
        <f>$I$141/$I$141</f>
        <v>#VALUE!</v>
      </c>
    </row>
    <row r="142" spans="1:26">
      <c r="A142" s="114" t="s">
        <v>822</v>
      </c>
      <c r="B142" s="114">
        <f t="shared" si="14"/>
        <v>0.60581683578000001</v>
      </c>
      <c r="C142" s="114">
        <f t="shared" si="15"/>
        <v>61.585365853658502</v>
      </c>
      <c r="D142" s="114">
        <f t="shared" si="12"/>
        <v>20.790000915499999</v>
      </c>
      <c r="E142" s="114">
        <v>4</v>
      </c>
      <c r="F142" s="114">
        <v>0</v>
      </c>
      <c r="G142" s="114">
        <v>0</v>
      </c>
      <c r="H142" s="114">
        <f t="shared" si="13"/>
        <v>0</v>
      </c>
      <c r="I142" s="114" t="s">
        <v>10</v>
      </c>
      <c r="J142" s="114">
        <f>GasModel($I$142,"He_Weiss",$D$142,$E$142,$B$142,$C$142,$G$142,$H$142,$M$11)</f>
        <v>6.5145491840138205E-8</v>
      </c>
      <c r="K142" s="114">
        <f>GasModel($I$142,"Ne_Weiss",$D$142,$E$142,$B$142,$C$142,$G$142,$H$142,$M$12)</f>
        <v>2.5470946053356499E-7</v>
      </c>
      <c r="L142" s="114">
        <f>GasModel($I$142,"Ar_Weiss",$D$142,$E$142,$B$142,$C$142,$G$142,$H$142,$M$13)</f>
        <v>3.4098102189725416E-4</v>
      </c>
      <c r="M142" s="114">
        <f>GasModel($I$142,"Kr_Weiss",$D$142,$E$142,$B$142,$C$142,$G$142,$H$142,$M$14)</f>
        <v>7.2083299175916352E-8</v>
      </c>
      <c r="N142" s="114">
        <f>GasModel($I$142,"Xe_Clvr",$D$142,$E$142,$B$142,$C$142,$G$142,$H$142,$M$15)</f>
        <v>9.532484789761383E-9</v>
      </c>
      <c r="O142" s="114">
        <f>GasModel($I$142,"N2_Weiss",$D$142,$E$142,$B$142,$C$142,$G$142,$H$142,$M$16)</f>
        <v>1.4738001520744965E-2</v>
      </c>
      <c r="P142" s="114">
        <f>GasModel($I$142,"O2_B&amp;K",$D$142,$E$142,$B$142,$C$142,$G$142,$H$142,$M$17)</f>
        <v>7.0487750616212326E-3</v>
      </c>
      <c r="Q142" s="114">
        <f>GasModel($I$142,"CO2_Weiss_F",$D$142,$E$142,$B$142,$C$142,$G$142,$H$142,$M$18)</f>
        <v>2.8841709471343774E-4</v>
      </c>
      <c r="R142" s="114">
        <f>GasModel($I$142,"CH4_Wies",$D$142,$E$142,$B$142,$C$142,$G$142,$H$142,$M$19)</f>
        <v>5.2168095407327803E-8</v>
      </c>
      <c r="S142" s="114">
        <f>GasModel($I$142,"H2_Wies",$D$142,$E$142,$B$142,$C$142,$G$142,$H$142,$M$20)</f>
        <v>1.2396126669924871E-8</v>
      </c>
      <c r="T142" s="114">
        <f>GasModel($I$142,"N2O_Weiss_F",$D$142,$E$142,$B$142,$C$142,$G$142,$H$142,$M$21)</f>
        <v>1.939138790717342E-7</v>
      </c>
      <c r="U142" s="114">
        <f>$L$142/$K$142</f>
        <v>1338.7057598212789</v>
      </c>
      <c r="V142" s="114">
        <f>$M$142/$N$142</f>
        <v>7.5618582946326152</v>
      </c>
      <c r="W142" s="114">
        <f>$N$142/$K$142</f>
        <v>3.7424934157501449E-2</v>
      </c>
      <c r="X142" s="114">
        <f>$M$142/$L$142</f>
        <v>2.1139973941903663E-4</v>
      </c>
      <c r="Y142" s="114">
        <f>$O$142/$L$142</f>
        <v>43.222351316625129</v>
      </c>
      <c r="Z142" s="114" t="e">
        <f>$I$142/$I$142</f>
        <v>#VALUE!</v>
      </c>
    </row>
    <row r="143" spans="1:26">
      <c r="A143" s="114" t="s">
        <v>822</v>
      </c>
      <c r="B143" s="114">
        <f t="shared" si="14"/>
        <v>0.60581683578000001</v>
      </c>
      <c r="C143" s="114">
        <f t="shared" si="15"/>
        <v>61.585365853658502</v>
      </c>
      <c r="D143" s="114">
        <f t="shared" si="12"/>
        <v>20.790000915499999</v>
      </c>
      <c r="E143" s="114">
        <v>5</v>
      </c>
      <c r="F143" s="114">
        <v>0</v>
      </c>
      <c r="G143" s="114">
        <v>0</v>
      </c>
      <c r="H143" s="114">
        <f t="shared" si="13"/>
        <v>0</v>
      </c>
      <c r="I143" s="114" t="s">
        <v>10</v>
      </c>
      <c r="J143" s="114">
        <f>GasModel($I$143,"He_Weiss",$D$143,$E$143,$B$143,$C$143,$G$143,$H$143,$M$11)</f>
        <v>7.0385491840138204E-8</v>
      </c>
      <c r="K143" s="114">
        <f>GasModel($I$143,"Ne_Weiss",$D$143,$E$143,$B$143,$C$143,$G$143,$H$143,$M$12)</f>
        <v>2.7288946053356496E-7</v>
      </c>
      <c r="L143" s="114">
        <f>GasModel($I$143,"Ar_Weiss",$D$143,$E$143,$B$143,$C$143,$G$143,$H$143,$M$13)</f>
        <v>3.5032102189725415E-4</v>
      </c>
      <c r="M143" s="114">
        <f>GasModel($I$143,"Kr_Weiss",$D$143,$E$143,$B$143,$C$143,$G$143,$H$143,$M$14)</f>
        <v>7.3223299175916361E-8</v>
      </c>
      <c r="N143" s="114">
        <f>GasModel($I$143,"Xe_Clvr",$D$143,$E$143,$B$143,$C$143,$G$143,$H$143,$M$15)</f>
        <v>9.619484789761384E-9</v>
      </c>
      <c r="O143" s="114">
        <f>GasModel($I$143,"N2_Weiss",$D$143,$E$143,$B$143,$C$143,$G$143,$H$143,$M$16)</f>
        <v>1.5518841520744965E-2</v>
      </c>
      <c r="P143" s="114">
        <f>GasModel($I$143,"O2_B&amp;K",$D$143,$E$143,$B$143,$C$143,$G$143,$H$143,$M$17)</f>
        <v>7.2582750616212322E-3</v>
      </c>
      <c r="Q143" s="114">
        <f>GasModel($I$143,"CO2_Weiss_F",$D$143,$E$143,$B$143,$C$143,$G$143,$H$143,$M$18)</f>
        <v>2.8876709471343777E-4</v>
      </c>
      <c r="R143" s="114">
        <f>GasModel($I$143,"CH4_Wies",$D$143,$E$143,$B$143,$C$143,$G$143,$H$143,$M$19)</f>
        <v>5.35780954073278E-8</v>
      </c>
      <c r="S143" s="114">
        <f>GasModel($I$143,"H2_Wies",$D$143,$E$143,$B$143,$C$143,$G$143,$H$143,$M$20)</f>
        <v>1.297612666992487E-8</v>
      </c>
      <c r="T143" s="114">
        <f>GasModel($I$143,"N2O_Weiss_F",$D$143,$E$143,$B$143,$C$143,$G$143,$H$143,$M$21)</f>
        <v>1.9423387907173419E-7</v>
      </c>
      <c r="U143" s="114">
        <f>$L$143/$K$143</f>
        <v>1283.7469838970392</v>
      </c>
      <c r="V143" s="114">
        <f>$M$143/$N$143</f>
        <v>7.6119772291601802</v>
      </c>
      <c r="W143" s="114">
        <f>$N$143/$K$143</f>
        <v>3.5250481169016065E-2</v>
      </c>
      <c r="X143" s="114">
        <f>$M$143/$L$143</f>
        <v>2.0901771403656176E-4</v>
      </c>
      <c r="Y143" s="114">
        <f>$O$143/$L$143</f>
        <v>44.298915996244425</v>
      </c>
      <c r="Z143" s="114" t="e">
        <f>$I$143/$I$143</f>
        <v>#VALUE!</v>
      </c>
    </row>
    <row r="144" spans="1:26">
      <c r="A144" s="114" t="s">
        <v>822</v>
      </c>
      <c r="B144" s="114">
        <f t="shared" si="14"/>
        <v>0.60581683578000001</v>
      </c>
      <c r="C144" s="114">
        <f t="shared" si="15"/>
        <v>61.585365853658502</v>
      </c>
      <c r="D144" s="114">
        <f t="shared" si="12"/>
        <v>20.790000915499999</v>
      </c>
      <c r="E144" s="114">
        <v>10</v>
      </c>
      <c r="F144" s="114">
        <v>0</v>
      </c>
      <c r="G144" s="114">
        <v>0</v>
      </c>
      <c r="H144" s="114">
        <f t="shared" si="13"/>
        <v>0</v>
      </c>
      <c r="I144" s="114" t="s">
        <v>10</v>
      </c>
      <c r="J144" s="114">
        <f>GasModel($I$144,"He_Weiss",$D$144,$E$144,$B$144,$C$144,$G$144,$H$144,$M$11)</f>
        <v>9.65854918401382E-8</v>
      </c>
      <c r="K144" s="114">
        <f>GasModel($I$144,"Ne_Weiss",$D$144,$E$144,$B$144,$C$144,$G$144,$H$144,$M$12)</f>
        <v>3.6378946053356501E-7</v>
      </c>
      <c r="L144" s="114">
        <f>GasModel($I$144,"Ar_Weiss",$D$144,$E$144,$B$144,$C$144,$G$144,$H$144,$M$13)</f>
        <v>3.9702102189725414E-4</v>
      </c>
      <c r="M144" s="114">
        <f>GasModel($I$144,"Kr_Weiss",$D$144,$E$144,$B$144,$C$144,$G$144,$H$144,$M$14)</f>
        <v>7.8923299175916353E-8</v>
      </c>
      <c r="N144" s="114">
        <f>GasModel($I$144,"Xe_Clvr",$D$144,$E$144,$B$144,$C$144,$G$144,$H$144,$M$15)</f>
        <v>1.0054484789761384E-8</v>
      </c>
      <c r="O144" s="114">
        <f>GasModel($I$144,"N2_Weiss",$D$144,$E$144,$B$144,$C$144,$G$144,$H$144,$M$16)</f>
        <v>1.9423041520744963E-2</v>
      </c>
      <c r="P144" s="114">
        <f>GasModel($I$144,"O2_B&amp;K",$D$144,$E$144,$B$144,$C$144,$G$144,$H$144,$M$17)</f>
        <v>8.305775061621232E-3</v>
      </c>
      <c r="Q144" s="114">
        <f>GasModel($I$144,"CO2_Weiss_F",$D$144,$E$144,$B$144,$C$144,$G$144,$H$144,$M$18)</f>
        <v>2.9051709471343773E-4</v>
      </c>
      <c r="R144" s="114">
        <f>GasModel($I$144,"CH4_Wies",$D$144,$E$144,$B$144,$C$144,$G$144,$H$144,$M$19)</f>
        <v>6.06280954073278E-8</v>
      </c>
      <c r="S144" s="114">
        <f>GasModel($I$144,"H2_Wies",$D$144,$E$144,$B$144,$C$144,$G$144,$H$144,$M$20)</f>
        <v>1.5876126669924869E-8</v>
      </c>
      <c r="T144" s="114">
        <f>GasModel($I$144,"N2O_Weiss_F",$D$144,$E$144,$B$144,$C$144,$G$144,$H$144,$M$21)</f>
        <v>1.958338790717342E-7</v>
      </c>
      <c r="U144" s="114">
        <f>$L$144/$K$144</f>
        <v>1091.3483345970189</v>
      </c>
      <c r="V144" s="114">
        <f>$M$144/$N$144</f>
        <v>7.8495617454496527</v>
      </c>
      <c r="W144" s="114">
        <f>$N$144/$K$144</f>
        <v>2.7638197035765165E-2</v>
      </c>
      <c r="X144" s="114">
        <f>$M$144/$L$144</f>
        <v>1.9878871602003247E-4</v>
      </c>
      <c r="Y144" s="114">
        <f>$O$144/$L$144</f>
        <v>48.921947326435252</v>
      </c>
      <c r="Z144" s="114" t="e">
        <f>$I$144/$I$144</f>
        <v>#VALUE!</v>
      </c>
    </row>
    <row r="145" spans="1:26">
      <c r="A145" s="114" t="s">
        <v>823</v>
      </c>
      <c r="B145" s="114">
        <f t="shared" si="14"/>
        <v>0.60581683578000001</v>
      </c>
      <c r="C145" s="114">
        <f t="shared" si="15"/>
        <v>61.585365853658502</v>
      </c>
      <c r="D145" s="114">
        <f t="shared" si="12"/>
        <v>20.790000915499999</v>
      </c>
      <c r="E145" s="114">
        <f t="shared" ref="E145:E151" si="16">$S$4</f>
        <v>1</v>
      </c>
      <c r="F145" s="114">
        <v>0</v>
      </c>
      <c r="G145" s="114">
        <v>0</v>
      </c>
      <c r="H145" s="114">
        <v>0</v>
      </c>
      <c r="I145" s="114" t="s">
        <v>10</v>
      </c>
      <c r="J145" s="114">
        <f>GasModel($I$145,"He_Weiss",$D$145,$E$145,$B$145,$C$145,$G$145,$H$145,$M$11)</f>
        <v>4.94254918401382E-8</v>
      </c>
      <c r="K145" s="114">
        <f>GasModel($I$145,"Ne_Weiss",$D$145,$E$145,$B$145,$C$145,$G$145,$H$145,$M$12)</f>
        <v>2.0016946053356498E-7</v>
      </c>
      <c r="L145" s="114">
        <f>GasModel($I$145,"Ar_Weiss",$D$145,$E$145,$B$145,$C$145,$G$145,$H$145,$M$13)</f>
        <v>3.1296102189725414E-4</v>
      </c>
      <c r="M145" s="114">
        <f>GasModel($I$145,"Kr_Weiss",$D$145,$E$145,$B$145,$C$145,$G$145,$H$145,$M$14)</f>
        <v>6.8663299175916352E-8</v>
      </c>
      <c r="N145" s="114">
        <f>GasModel($I$145,"Xe_Clvr",$D$145,$E$145,$B$145,$C$145,$G$145,$H$145,$M$15)</f>
        <v>9.2714847897613832E-9</v>
      </c>
      <c r="O145" s="114">
        <f>GasModel($I$145,"N2_Weiss",$D$145,$E$145,$B$145,$C$145,$G$145,$H$145,$M$16)</f>
        <v>1.2395481520744964E-2</v>
      </c>
      <c r="P145" s="114">
        <f>GasModel($I$145,"O2_B&amp;K",$D$145,$E$145,$B$145,$C$145,$G$145,$H$145,$M$17)</f>
        <v>6.420275061621232E-3</v>
      </c>
      <c r="Q145" s="114">
        <f>GasModel($I$145,"CO2_Weiss_F",$D$145,$E$145,$B$145,$C$145,$G$145,$H$145,$M$18)</f>
        <v>2.8736709471343774E-4</v>
      </c>
      <c r="R145" s="114">
        <f>GasModel($I$145,"CH4_Wies",$D$145,$E$145,$B$145,$C$145,$G$145,$H$145,$M$19)</f>
        <v>4.7938095407327797E-8</v>
      </c>
      <c r="S145" s="114">
        <f>GasModel($I$145,"H2_Wies",$D$145,$E$145,$B$145,$C$145,$G$145,$H$145,$M$20)</f>
        <v>1.065612666992487E-8</v>
      </c>
      <c r="T145" s="114">
        <f>GasModel($I$145,"N2O_Weiss_F",$D$145,$E$145,$B$145,$C$145,$G$145,$H$145,$M$21)</f>
        <v>1.9295387907173419E-7</v>
      </c>
      <c r="U145" s="114">
        <f>$L$145/$K$145</f>
        <v>1563.4803683990344</v>
      </c>
      <c r="V145" s="114">
        <f>$M$145/$N$145</f>
        <v>7.4058579324578186</v>
      </c>
      <c r="W145" s="114">
        <f>$N$145/$K$145</f>
        <v>4.6318178432652138E-2</v>
      </c>
      <c r="X145" s="114">
        <f>$M$145/$L$145</f>
        <v>2.1939888475459632E-4</v>
      </c>
      <c r="Y145" s="114">
        <f>$O$145/$L$145</f>
        <v>39.607109682861498</v>
      </c>
      <c r="Z145" s="114" t="e">
        <f>$I$145/$I$145</f>
        <v>#VALUE!</v>
      </c>
    </row>
    <row r="146" spans="1:26">
      <c r="A146" s="114" t="s">
        <v>823</v>
      </c>
      <c r="B146" s="114">
        <f t="shared" si="14"/>
        <v>0.60581683578000001</v>
      </c>
      <c r="C146" s="114">
        <f t="shared" si="15"/>
        <v>61.585365853658502</v>
      </c>
      <c r="D146" s="114">
        <f t="shared" si="12"/>
        <v>20.790000915499999</v>
      </c>
      <c r="E146" s="114">
        <f t="shared" si="16"/>
        <v>1</v>
      </c>
      <c r="F146" s="114">
        <v>0</v>
      </c>
      <c r="G146" s="114">
        <v>0</v>
      </c>
      <c r="H146" s="114">
        <v>1</v>
      </c>
      <c r="I146" s="114" t="s">
        <v>10</v>
      </c>
      <c r="J146" s="114">
        <f>GasModel($I$146,"He_Weiss",$D$146,$E$146,$B$146,$C$146,$G$146,$H$146,$M$11)</f>
        <v>4.94254918401382E-8</v>
      </c>
      <c r="K146" s="114">
        <f>GasModel($I$146,"Ne_Weiss",$D$146,$E$146,$B$146,$C$146,$G$146,$H$146,$M$12)</f>
        <v>2.0016946053356498E-7</v>
      </c>
      <c r="L146" s="114">
        <f>GasModel($I$146,"Ar_Weiss",$D$146,$E$146,$B$146,$C$146,$G$146,$H$146,$M$13)</f>
        <v>3.1296102189725414E-4</v>
      </c>
      <c r="M146" s="114">
        <f>GasModel($I$146,"Kr_Weiss",$D$146,$E$146,$B$146,$C$146,$G$146,$H$146,$M$14)</f>
        <v>6.8663299175916352E-8</v>
      </c>
      <c r="N146" s="114">
        <f>GasModel($I$146,"Xe_Clvr",$D$146,$E$146,$B$146,$C$146,$G$146,$H$146,$M$15)</f>
        <v>9.2714847897613832E-9</v>
      </c>
      <c r="O146" s="114">
        <f>GasModel($I$146,"N2_Weiss",$D$146,$E$146,$B$146,$C$146,$G$146,$H$146,$M$16)</f>
        <v>1.3194842032335693E-2</v>
      </c>
      <c r="P146" s="114">
        <f>GasModel($I$146,"O2_B&amp;K",$D$146,$E$146,$B$146,$C$146,$G$146,$H$146,$M$17)</f>
        <v>6.420275061621232E-3</v>
      </c>
      <c r="Q146" s="114">
        <f>GasModel($I$146,"CO2_Weiss_F",$D$146,$E$146,$B$146,$C$146,$G$146,$H$146,$M$18)</f>
        <v>2.8736709471343774E-4</v>
      </c>
      <c r="R146" s="114">
        <f>GasModel($I$146,"CH4_Wies",$D$146,$E$146,$B$146,$C$146,$G$146,$H$146,$M$19)</f>
        <v>4.7938095407327797E-8</v>
      </c>
      <c r="S146" s="114">
        <f>GasModel($I$146,"H2_Wies",$D$146,$E$146,$B$146,$C$146,$G$146,$H$146,$M$20)</f>
        <v>1.065612666992487E-8</v>
      </c>
      <c r="T146" s="114">
        <f>GasModel($I$146,"N2O_Weiss_F",$D$146,$E$146,$B$146,$C$146,$G$146,$H$146,$M$21)</f>
        <v>1.9295387907173419E-7</v>
      </c>
      <c r="U146" s="114">
        <f>$L$146/$K$146</f>
        <v>1563.4803683990344</v>
      </c>
      <c r="V146" s="114">
        <f>$M$146/$N$146</f>
        <v>7.4058579324578186</v>
      </c>
      <c r="W146" s="114">
        <f>$N$146/$K$146</f>
        <v>4.6318178432652138E-2</v>
      </c>
      <c r="X146" s="114">
        <f>$M$146/$L$146</f>
        <v>2.1939888475459632E-4</v>
      </c>
      <c r="Y146" s="114">
        <f>$O$146/$L$146</f>
        <v>42.161295206492497</v>
      </c>
      <c r="Z146" s="114" t="e">
        <f>$I$146/$I$146</f>
        <v>#VALUE!</v>
      </c>
    </row>
    <row r="147" spans="1:26">
      <c r="A147" s="114" t="s">
        <v>823</v>
      </c>
      <c r="B147" s="114">
        <f t="shared" si="14"/>
        <v>0.60581683578000001</v>
      </c>
      <c r="C147" s="114">
        <f t="shared" si="15"/>
        <v>61.585365853658502</v>
      </c>
      <c r="D147" s="114">
        <f t="shared" si="12"/>
        <v>20.790000915499999</v>
      </c>
      <c r="E147" s="114">
        <f t="shared" si="16"/>
        <v>1</v>
      </c>
      <c r="F147" s="114">
        <v>0</v>
      </c>
      <c r="G147" s="114">
        <v>0</v>
      </c>
      <c r="H147" s="114">
        <v>2</v>
      </c>
      <c r="I147" s="114" t="s">
        <v>10</v>
      </c>
      <c r="J147" s="114">
        <f>GasModel($I$147,"He_Weiss",$D$147,$E$147,$B$147,$C$147,$G$147,$H$147,$M$11)</f>
        <v>4.94254918401382E-8</v>
      </c>
      <c r="K147" s="114">
        <f>GasModel($I$147,"Ne_Weiss",$D$147,$E$147,$B$147,$C$147,$G$147,$H$147,$M$12)</f>
        <v>2.0016946053356498E-7</v>
      </c>
      <c r="L147" s="114">
        <f>GasModel($I$147,"Ar_Weiss",$D$147,$E$147,$B$147,$C$147,$G$147,$H$147,$M$13)</f>
        <v>3.1296102189725414E-4</v>
      </c>
      <c r="M147" s="114">
        <f>GasModel($I$147,"Kr_Weiss",$D$147,$E$147,$B$147,$C$147,$G$147,$H$147,$M$14)</f>
        <v>6.8663299175916352E-8</v>
      </c>
      <c r="N147" s="114">
        <f>GasModel($I$147,"Xe_Clvr",$D$147,$E$147,$B$147,$C$147,$G$147,$H$147,$M$15)</f>
        <v>9.2714847897613832E-9</v>
      </c>
      <c r="O147" s="114">
        <f>GasModel($I$147,"N2_Weiss",$D$147,$E$147,$B$147,$C$147,$G$147,$H$147,$M$16)</f>
        <v>1.399420254392642E-2</v>
      </c>
      <c r="P147" s="114">
        <f>GasModel($I$147,"O2_B&amp;K",$D$147,$E$147,$B$147,$C$147,$G$147,$H$147,$M$17)</f>
        <v>6.420275061621232E-3</v>
      </c>
      <c r="Q147" s="114">
        <f>GasModel($I$147,"CO2_Weiss_F",$D$147,$E$147,$B$147,$C$147,$G$147,$H$147,$M$18)</f>
        <v>2.8736709471343774E-4</v>
      </c>
      <c r="R147" s="114">
        <f>GasModel($I$147,"CH4_Wies",$D$147,$E$147,$B$147,$C$147,$G$147,$H$147,$M$19)</f>
        <v>4.7938095407327797E-8</v>
      </c>
      <c r="S147" s="114">
        <f>GasModel($I$147,"H2_Wies",$D$147,$E$147,$B$147,$C$147,$G$147,$H$147,$M$20)</f>
        <v>1.065612666992487E-8</v>
      </c>
      <c r="T147" s="114">
        <f>GasModel($I$147,"N2O_Weiss_F",$D$147,$E$147,$B$147,$C$147,$G$147,$H$147,$M$21)</f>
        <v>1.9295387907173419E-7</v>
      </c>
      <c r="U147" s="114">
        <f>$L$147/$K$147</f>
        <v>1563.4803683990344</v>
      </c>
      <c r="V147" s="114">
        <f>$M$147/$N$147</f>
        <v>7.4058579324578186</v>
      </c>
      <c r="W147" s="114">
        <f>$N$147/$K$147</f>
        <v>4.6318178432652138E-2</v>
      </c>
      <c r="X147" s="114">
        <f>$M$147/$L$147</f>
        <v>2.1939888475459632E-4</v>
      </c>
      <c r="Y147" s="114">
        <f>$O$147/$L$147</f>
        <v>44.715480730123481</v>
      </c>
      <c r="Z147" s="114" t="e">
        <f>$I$147/$I$147</f>
        <v>#VALUE!</v>
      </c>
    </row>
    <row r="148" spans="1:26">
      <c r="A148" s="114" t="s">
        <v>823</v>
      </c>
      <c r="B148" s="114">
        <f t="shared" si="14"/>
        <v>0.60581683578000001</v>
      </c>
      <c r="C148" s="114">
        <f t="shared" si="15"/>
        <v>61.585365853658502</v>
      </c>
      <c r="D148" s="114">
        <f t="shared" si="12"/>
        <v>20.790000915499999</v>
      </c>
      <c r="E148" s="114">
        <f t="shared" si="16"/>
        <v>1</v>
      </c>
      <c r="F148" s="114">
        <v>0</v>
      </c>
      <c r="G148" s="114">
        <v>0</v>
      </c>
      <c r="H148" s="114">
        <v>3</v>
      </c>
      <c r="I148" s="114" t="s">
        <v>10</v>
      </c>
      <c r="J148" s="114">
        <f>GasModel($I$148,"He_Weiss",$D$148,$E$148,$B$148,$C$148,$G$148,$H$148,$M$11)</f>
        <v>4.94254918401382E-8</v>
      </c>
      <c r="K148" s="114">
        <f>GasModel($I$148,"Ne_Weiss",$D$148,$E$148,$B$148,$C$148,$G$148,$H$148,$M$12)</f>
        <v>2.0016946053356498E-7</v>
      </c>
      <c r="L148" s="114">
        <f>GasModel($I$148,"Ar_Weiss",$D$148,$E$148,$B$148,$C$148,$G$148,$H$148,$M$13)</f>
        <v>3.1296102189725414E-4</v>
      </c>
      <c r="M148" s="114">
        <f>GasModel($I$148,"Kr_Weiss",$D$148,$E$148,$B$148,$C$148,$G$148,$H$148,$M$14)</f>
        <v>6.8663299175916352E-8</v>
      </c>
      <c r="N148" s="114">
        <f>GasModel($I$148,"Xe_Clvr",$D$148,$E$148,$B$148,$C$148,$G$148,$H$148,$M$15)</f>
        <v>9.2714847897613832E-9</v>
      </c>
      <c r="O148" s="114">
        <f>GasModel($I$148,"N2_Weiss",$D$148,$E$148,$B$148,$C$148,$G$148,$H$148,$M$16)</f>
        <v>1.4793563055517149E-2</v>
      </c>
      <c r="P148" s="114">
        <f>GasModel($I$148,"O2_B&amp;K",$D$148,$E$148,$B$148,$C$148,$G$148,$H$148,$M$17)</f>
        <v>6.420275061621232E-3</v>
      </c>
      <c r="Q148" s="114">
        <f>GasModel($I$148,"CO2_Weiss_F",$D$148,$E$148,$B$148,$C$148,$G$148,$H$148,$M$18)</f>
        <v>2.8736709471343774E-4</v>
      </c>
      <c r="R148" s="114">
        <f>GasModel($I$148,"CH4_Wies",$D$148,$E$148,$B$148,$C$148,$G$148,$H$148,$M$19)</f>
        <v>4.7938095407327797E-8</v>
      </c>
      <c r="S148" s="114">
        <f>GasModel($I$148,"H2_Wies",$D$148,$E$148,$B$148,$C$148,$G$148,$H$148,$M$20)</f>
        <v>1.065612666992487E-8</v>
      </c>
      <c r="T148" s="114">
        <f>GasModel($I$148,"N2O_Weiss_F",$D$148,$E$148,$B$148,$C$148,$G$148,$H$148,$M$21)</f>
        <v>1.9295387907173419E-7</v>
      </c>
      <c r="U148" s="114">
        <f>$L$148/$K$148</f>
        <v>1563.4803683990344</v>
      </c>
      <c r="V148" s="114">
        <f>$M$148/$N$148</f>
        <v>7.4058579324578186</v>
      </c>
      <c r="W148" s="114">
        <f>$N$148/$K$148</f>
        <v>4.6318178432652138E-2</v>
      </c>
      <c r="X148" s="114">
        <f>$M$148/$L$148</f>
        <v>2.1939888475459632E-4</v>
      </c>
      <c r="Y148" s="114">
        <f>$O$148/$L$148</f>
        <v>47.269666253754473</v>
      </c>
      <c r="Z148" s="114" t="e">
        <f>$I$148/$I$148</f>
        <v>#VALUE!</v>
      </c>
    </row>
    <row r="149" spans="1:26">
      <c r="A149" s="114" t="s">
        <v>823</v>
      </c>
      <c r="B149" s="114">
        <f t="shared" si="14"/>
        <v>0.60581683578000001</v>
      </c>
      <c r="C149" s="114">
        <f t="shared" si="15"/>
        <v>61.585365853658502</v>
      </c>
      <c r="D149" s="114">
        <f t="shared" si="12"/>
        <v>20.790000915499999</v>
      </c>
      <c r="E149" s="114">
        <f t="shared" si="16"/>
        <v>1</v>
      </c>
      <c r="F149" s="114">
        <v>0</v>
      </c>
      <c r="G149" s="114">
        <v>0</v>
      </c>
      <c r="H149" s="114">
        <v>4</v>
      </c>
      <c r="I149" s="114" t="s">
        <v>10</v>
      </c>
      <c r="J149" s="114">
        <f>GasModel($I$149,"He_Weiss",$D$149,$E$149,$B$149,$C$149,$G$149,$H$149,$M$11)</f>
        <v>4.94254918401382E-8</v>
      </c>
      <c r="K149" s="114">
        <f>GasModel($I$149,"Ne_Weiss",$D$149,$E$149,$B$149,$C$149,$G$149,$H$149,$M$12)</f>
        <v>2.0016946053356498E-7</v>
      </c>
      <c r="L149" s="114">
        <f>GasModel($I$149,"Ar_Weiss",$D$149,$E$149,$B$149,$C$149,$G$149,$H$149,$M$13)</f>
        <v>3.1296102189725414E-4</v>
      </c>
      <c r="M149" s="114">
        <f>GasModel($I$149,"Kr_Weiss",$D$149,$E$149,$B$149,$C$149,$G$149,$H$149,$M$14)</f>
        <v>6.8663299175916352E-8</v>
      </c>
      <c r="N149" s="114">
        <f>GasModel($I$149,"Xe_Clvr",$D$149,$E$149,$B$149,$C$149,$G$149,$H$149,$M$15)</f>
        <v>9.2714847897613832E-9</v>
      </c>
      <c r="O149" s="114">
        <f>GasModel($I$149,"N2_Weiss",$D$149,$E$149,$B$149,$C$149,$G$149,$H$149,$M$16)</f>
        <v>1.5592923567107876E-2</v>
      </c>
      <c r="P149" s="114">
        <f>GasModel($I$149,"O2_B&amp;K",$D$149,$E$149,$B$149,$C$149,$G$149,$H$149,$M$17)</f>
        <v>6.420275061621232E-3</v>
      </c>
      <c r="Q149" s="114">
        <f>GasModel($I$149,"CO2_Weiss_F",$D$149,$E$149,$B$149,$C$149,$G$149,$H$149,$M$18)</f>
        <v>2.8736709471343774E-4</v>
      </c>
      <c r="R149" s="114">
        <f>GasModel($I$149,"CH4_Wies",$D$149,$E$149,$B$149,$C$149,$G$149,$H$149,$M$19)</f>
        <v>4.7938095407327797E-8</v>
      </c>
      <c r="S149" s="114">
        <f>GasModel($I$149,"H2_Wies",$D$149,$E$149,$B$149,$C$149,$G$149,$H$149,$M$20)</f>
        <v>1.065612666992487E-8</v>
      </c>
      <c r="T149" s="114">
        <f>GasModel($I$149,"N2O_Weiss_F",$D$149,$E$149,$B$149,$C$149,$G$149,$H$149,$M$21)</f>
        <v>1.9295387907173419E-7</v>
      </c>
      <c r="U149" s="114">
        <f>$L$149/$K$149</f>
        <v>1563.4803683990344</v>
      </c>
      <c r="V149" s="114">
        <f>$M$149/$N$149</f>
        <v>7.4058579324578186</v>
      </c>
      <c r="W149" s="114">
        <f>$N$149/$K$149</f>
        <v>4.6318178432652138E-2</v>
      </c>
      <c r="X149" s="114">
        <f>$M$149/$L$149</f>
        <v>2.1939888475459632E-4</v>
      </c>
      <c r="Y149" s="114">
        <f>$O$149/$L$149</f>
        <v>49.823851777385464</v>
      </c>
      <c r="Z149" s="114" t="e">
        <f>$I$149/$I$149</f>
        <v>#VALUE!</v>
      </c>
    </row>
    <row r="150" spans="1:26">
      <c r="A150" s="114" t="s">
        <v>823</v>
      </c>
      <c r="B150" s="114">
        <f t="shared" si="14"/>
        <v>0.60581683578000001</v>
      </c>
      <c r="C150" s="114">
        <f t="shared" si="15"/>
        <v>61.585365853658502</v>
      </c>
      <c r="D150" s="114">
        <f t="shared" si="12"/>
        <v>20.790000915499999</v>
      </c>
      <c r="E150" s="114">
        <f t="shared" si="16"/>
        <v>1</v>
      </c>
      <c r="F150" s="114">
        <v>0</v>
      </c>
      <c r="G150" s="114">
        <v>0</v>
      </c>
      <c r="H150" s="114">
        <v>5</v>
      </c>
      <c r="I150" s="114" t="s">
        <v>10</v>
      </c>
      <c r="J150" s="114">
        <f>GasModel($I$150,"He_Weiss",$D$150,$E$150,$B$150,$C$150,$G$150,$H$150,$M$11)</f>
        <v>4.94254918401382E-8</v>
      </c>
      <c r="K150" s="114">
        <f>GasModel($I$150,"Ne_Weiss",$D$150,$E$150,$B$150,$C$150,$G$150,$H$150,$M$12)</f>
        <v>2.0016946053356498E-7</v>
      </c>
      <c r="L150" s="114">
        <f>GasModel($I$150,"Ar_Weiss",$D$150,$E$150,$B$150,$C$150,$G$150,$H$150,$M$13)</f>
        <v>3.1296102189725414E-4</v>
      </c>
      <c r="M150" s="114">
        <f>GasModel($I$150,"Kr_Weiss",$D$150,$E$150,$B$150,$C$150,$G$150,$H$150,$M$14)</f>
        <v>6.8663299175916352E-8</v>
      </c>
      <c r="N150" s="114">
        <f>GasModel($I$150,"Xe_Clvr",$D$150,$E$150,$B$150,$C$150,$G$150,$H$150,$M$15)</f>
        <v>9.2714847897613832E-9</v>
      </c>
      <c r="O150" s="114">
        <f>GasModel($I$150,"N2_Weiss",$D$150,$E$150,$B$150,$C$150,$G$150,$H$150,$M$16)</f>
        <v>1.6392284078698603E-2</v>
      </c>
      <c r="P150" s="114">
        <f>GasModel($I$150,"O2_B&amp;K",$D$150,$E$150,$B$150,$C$150,$G$150,$H$150,$M$17)</f>
        <v>6.420275061621232E-3</v>
      </c>
      <c r="Q150" s="114">
        <f>GasModel($I$150,"CO2_Weiss_F",$D$150,$E$150,$B$150,$C$150,$G$150,$H$150,$M$18)</f>
        <v>2.8736709471343774E-4</v>
      </c>
      <c r="R150" s="114">
        <f>GasModel($I$150,"CH4_Wies",$D$150,$E$150,$B$150,$C$150,$G$150,$H$150,$M$19)</f>
        <v>4.7938095407327797E-8</v>
      </c>
      <c r="S150" s="114">
        <f>GasModel($I$150,"H2_Wies",$D$150,$E$150,$B$150,$C$150,$G$150,$H$150,$M$20)</f>
        <v>1.065612666992487E-8</v>
      </c>
      <c r="T150" s="114">
        <f>GasModel($I$150,"N2O_Weiss_F",$D$150,$E$150,$B$150,$C$150,$G$150,$H$150,$M$21)</f>
        <v>1.9295387907173419E-7</v>
      </c>
      <c r="U150" s="114">
        <f>$L$150/$K$150</f>
        <v>1563.4803683990344</v>
      </c>
      <c r="V150" s="114">
        <f>$M$150/$N$150</f>
        <v>7.4058579324578186</v>
      </c>
      <c r="W150" s="114">
        <f>$N$150/$K$150</f>
        <v>4.6318178432652138E-2</v>
      </c>
      <c r="X150" s="114">
        <f>$M$150/$L$150</f>
        <v>2.1939888475459632E-4</v>
      </c>
      <c r="Y150" s="114">
        <f>$O$150/$L$150</f>
        <v>52.378037301016448</v>
      </c>
      <c r="Z150" s="114" t="e">
        <f>$I$150/$I$150</f>
        <v>#VALUE!</v>
      </c>
    </row>
    <row r="151" spans="1:26">
      <c r="A151" s="114" t="s">
        <v>823</v>
      </c>
      <c r="B151" s="114">
        <f t="shared" si="14"/>
        <v>0.60581683578000001</v>
      </c>
      <c r="C151" s="114">
        <f t="shared" si="15"/>
        <v>61.585365853658502</v>
      </c>
      <c r="D151" s="114">
        <f t="shared" si="12"/>
        <v>20.790000915499999</v>
      </c>
      <c r="E151" s="114">
        <f t="shared" si="16"/>
        <v>1</v>
      </c>
      <c r="F151" s="114">
        <v>0</v>
      </c>
      <c r="G151" s="114">
        <v>0</v>
      </c>
      <c r="H151" s="114">
        <v>10</v>
      </c>
      <c r="I151" s="114" t="s">
        <v>10</v>
      </c>
      <c r="J151" s="114">
        <f>GasModel($I$151,"He_Weiss",$D$151,$E$151,$B$151,$C$151,$G$151,$H$151,$M$11)</f>
        <v>4.94254918401382E-8</v>
      </c>
      <c r="K151" s="114">
        <f>GasModel($I$151,"Ne_Weiss",$D$151,$E$151,$B$151,$C$151,$G$151,$H$151,$M$12)</f>
        <v>2.0016946053356498E-7</v>
      </c>
      <c r="L151" s="114">
        <f>GasModel($I$151,"Ar_Weiss",$D$151,$E$151,$B$151,$C$151,$G$151,$H$151,$M$13)</f>
        <v>3.1296102189725414E-4</v>
      </c>
      <c r="M151" s="114">
        <f>GasModel($I$151,"Kr_Weiss",$D$151,$E$151,$B$151,$C$151,$G$151,$H$151,$M$14)</f>
        <v>6.8663299175916352E-8</v>
      </c>
      <c r="N151" s="114">
        <f>GasModel($I$151,"Xe_Clvr",$D$151,$E$151,$B$151,$C$151,$G$151,$H$151,$M$15)</f>
        <v>9.2714847897613832E-9</v>
      </c>
      <c r="O151" s="114">
        <f>GasModel($I$151,"N2_Weiss",$D$151,$E$151,$B$151,$C$151,$G$151,$H$151,$M$16)</f>
        <v>2.0389086636652246E-2</v>
      </c>
      <c r="P151" s="114">
        <f>GasModel($I$151,"O2_B&amp;K",$D$151,$E$151,$B$151,$C$151,$G$151,$H$151,$M$17)</f>
        <v>6.420275061621232E-3</v>
      </c>
      <c r="Q151" s="114">
        <f>GasModel($I$151,"CO2_Weiss_F",$D$151,$E$151,$B$151,$C$151,$G$151,$H$151,$M$18)</f>
        <v>2.8736709471343774E-4</v>
      </c>
      <c r="R151" s="114">
        <f>GasModel($I$151,"CH4_Wies",$D$151,$E$151,$B$151,$C$151,$G$151,$H$151,$M$19)</f>
        <v>4.7938095407327797E-8</v>
      </c>
      <c r="S151" s="114">
        <f>GasModel($I$151,"H2_Wies",$D$151,$E$151,$B$151,$C$151,$G$151,$H$151,$M$20)</f>
        <v>1.065612666992487E-8</v>
      </c>
      <c r="T151" s="114">
        <f>GasModel($I$151,"N2O_Weiss_F",$D$151,$E$151,$B$151,$C$151,$G$151,$H$151,$M$21)</f>
        <v>1.9295387907173419E-7</v>
      </c>
      <c r="U151" s="114">
        <f>$L$151/$K$151</f>
        <v>1563.4803683990344</v>
      </c>
      <c r="V151" s="114">
        <f>$M$151/$N$151</f>
        <v>7.4058579324578186</v>
      </c>
      <c r="W151" s="114">
        <f>$N$151/$K$151</f>
        <v>4.6318178432652138E-2</v>
      </c>
      <c r="X151" s="114">
        <f>$M$151/$L$151</f>
        <v>2.1939888475459632E-4</v>
      </c>
      <c r="Y151" s="114">
        <f>$O$151/$L$151</f>
        <v>65.148964919171405</v>
      </c>
      <c r="Z151" s="114" t="e">
        <f>$I$151/$I$151</f>
        <v>#VALUE!</v>
      </c>
    </row>
    <row r="152" spans="1:26">
      <c r="A152" s="114" t="s">
        <v>824</v>
      </c>
      <c r="B152" s="114">
        <f t="shared" si="14"/>
        <v>0.60581683578000001</v>
      </c>
      <c r="C152" s="114">
        <f t="shared" si="15"/>
        <v>61.585365853658502</v>
      </c>
      <c r="D152" s="114">
        <f t="shared" si="12"/>
        <v>20.790000915499999</v>
      </c>
      <c r="E152" s="114">
        <v>0</v>
      </c>
      <c r="F152" s="114">
        <v>0</v>
      </c>
      <c r="G152" s="114">
        <f t="shared" ref="G152:G174" si="17">$R$4</f>
        <v>0.5</v>
      </c>
      <c r="H152" s="114">
        <f t="shared" ref="H152:H167" si="18">$Q$4</f>
        <v>0</v>
      </c>
      <c r="I152" s="114" t="s">
        <v>16</v>
      </c>
      <c r="J152" s="114">
        <f>GasModel($I$152,"He_Weiss",$D$152,$F$152,$B$152,$C$152,$G$152,$H$152,$M$11)</f>
        <v>4.4185491840138201E-8</v>
      </c>
      <c r="K152" s="114">
        <f>GasModel($I$152,"Ne_Weiss",$D$152,$F$152,$B$152,$C$152,$G$152,$H$152,$M$12)</f>
        <v>1.8198946053356498E-7</v>
      </c>
      <c r="L152" s="114">
        <f>GasModel($I$152,"Ar_Weiss",$D$152,$F$152,$B$152,$C$152,$G$152,$H$152,$M$13)</f>
        <v>3.0362102189725415E-4</v>
      </c>
      <c r="M152" s="114">
        <f>GasModel($I$152,"Kr_Weiss",$D$152,$F$152,$B$152,$C$152,$G$152,$H$152,$M$14)</f>
        <v>6.7523299175916356E-8</v>
      </c>
      <c r="N152" s="114">
        <f>GasModel($I$152,"Xe_Clvr",$D$152,$F$152,$B$152,$C$152,$G$152,$H$152,$M$15)</f>
        <v>9.1844847897613838E-9</v>
      </c>
      <c r="O152" s="114">
        <f>GasModel($I$152,"N2_Weiss",$D$152,$F$152,$B$152,$C$152,$G$152,$H$152,$M$16)</f>
        <v>1.1614641520744965E-2</v>
      </c>
      <c r="P152" s="114">
        <f>GasModel($I$152,"O2_B&amp;K",$D$152,$F$152,$B$152,$C$152,$G$152,$H$152,$M$17)</f>
        <v>6.2107750616212324E-3</v>
      </c>
      <c r="Q152" s="114">
        <f>GasModel($I$152,"CO2_Weiss_F",$D$152,$F$152,$B$152,$C$152,$G$152,$H$152,$M$18)</f>
        <v>2.8701709471343776E-4</v>
      </c>
      <c r="R152" s="114">
        <f>GasModel($I$152,"CH4_Wies",$D$152,$F$152,$B$152,$C$152,$G$152,$H$152,$M$19)</f>
        <v>4.65280954073278E-8</v>
      </c>
      <c r="S152" s="114">
        <f>GasModel($I$152,"H2_Wies",$D$152,$F$152,$B$152,$C$152,$G$152,$H$152,$M$20)</f>
        <v>1.007612666992487E-8</v>
      </c>
      <c r="T152" s="114">
        <f>GasModel($I$152,"N2O_Weiss_F",$D$152,$F$152,$B$152,$C$152,$G$152,$H$152,$M$21)</f>
        <v>1.926338790717342E-7</v>
      </c>
      <c r="U152" s="114">
        <f>$L$152/$K$152</f>
        <v>1668.3439854543456</v>
      </c>
      <c r="V152" s="114">
        <f>$M$152/$N$152</f>
        <v>7.351887527887194</v>
      </c>
      <c r="W152" s="114">
        <f>$N$152/$K$152</f>
        <v>5.0467124650152233E-2</v>
      </c>
      <c r="X152" s="114">
        <f>$M$152/$L$152</f>
        <v>2.2239335983384692E-4</v>
      </c>
      <c r="Y152" s="114">
        <f>$O$152/$L$152</f>
        <v>38.253746226687092</v>
      </c>
      <c r="Z152" s="114" t="e">
        <f>$I$152/$I$152</f>
        <v>#VALUE!</v>
      </c>
    </row>
    <row r="153" spans="1:26">
      <c r="A153" s="114" t="s">
        <v>824</v>
      </c>
      <c r="B153" s="114">
        <f t="shared" si="14"/>
        <v>0.60581683578000001</v>
      </c>
      <c r="C153" s="114">
        <f t="shared" si="15"/>
        <v>61.585365853658502</v>
      </c>
      <c r="D153" s="114">
        <f t="shared" si="12"/>
        <v>20.790000915499999</v>
      </c>
      <c r="E153" s="114">
        <v>0</v>
      </c>
      <c r="F153" s="114">
        <v>4</v>
      </c>
      <c r="G153" s="114">
        <f t="shared" si="17"/>
        <v>0.5</v>
      </c>
      <c r="H153" s="114">
        <f t="shared" si="18"/>
        <v>0</v>
      </c>
      <c r="I153" s="114" t="s">
        <v>16</v>
      </c>
      <c r="J153" s="114">
        <f>GasModel($I$153,"He_Weiss",$D$153,$F$153,$B$153,$C$153,$G$153,$H$153,$M$11)</f>
        <v>5.2656355979416702E-8</v>
      </c>
      <c r="K153" s="114">
        <f>GasModel($I$153,"Ne_Weiss",$D$153,$F$153,$B$153,$C$153,$G$153,$H$153,$M$12)</f>
        <v>2.1229471875967004E-7</v>
      </c>
      <c r="L153" s="114">
        <f>GasModel($I$153,"Ar_Weiss",$D$153,$F$153,$B$153,$C$153,$G$153,$H$153,$M$13)</f>
        <v>3.2121836197285828E-4</v>
      </c>
      <c r="M153" s="114">
        <f>GasModel($I$153,"Kr_Weiss",$D$153,$F$153,$B$153,$C$153,$G$153,$H$153,$M$14)</f>
        <v>6.9728827051226392E-8</v>
      </c>
      <c r="N153" s="114">
        <f>GasModel($I$153,"Xe_Clvr",$D$153,$F$153,$B$153,$C$153,$G$153,$H$153,$M$15)</f>
        <v>9.3552496506678071E-9</v>
      </c>
      <c r="O153" s="114">
        <f>GasModel($I$153,"N2_Weiss",$D$153,$F$153,$B$153,$C$153,$G$153,$H$153,$M$16)</f>
        <v>1.2991228555416193E-2</v>
      </c>
      <c r="P153" s="114">
        <f>GasModel($I$153,"O2_B&amp;K",$D$153,$F$153,$B$153,$C$153,$G$153,$H$153,$M$17)</f>
        <v>6.6032943743628827E-3</v>
      </c>
      <c r="Q153" s="114">
        <f>GasModel($I$153,"CO2_Weiss_F",$D$153,$F$153,$B$153,$C$153,$G$153,$H$153,$M$18)</f>
        <v>2.8771539165161415E-4</v>
      </c>
      <c r="R153" s="114">
        <f>GasModel($I$153,"CH4_Wies",$D$153,$F$153,$B$153,$C$153,$G$153,$H$153,$M$19)</f>
        <v>4.9186946330866804E-8</v>
      </c>
      <c r="S153" s="114">
        <f>GasModel($I$153,"H2_Wies",$D$153,$F$153,$B$153,$C$153,$G$153,$H$153,$M$20)</f>
        <v>1.1116370099041623E-8</v>
      </c>
      <c r="T153" s="114">
        <f>GasModel($I$153,"N2O_Weiss_F",$D$153,$F$153,$B$153,$C$153,$G$153,$H$153,$M$21)</f>
        <v>1.9327175979932158E-7</v>
      </c>
      <c r="U153" s="114">
        <f>$L$153/$K$153</f>
        <v>1513.0774983455717</v>
      </c>
      <c r="V153" s="114">
        <f>$M$153/$N$153</f>
        <v>7.4534437513646603</v>
      </c>
      <c r="W153" s="114">
        <f>$N$153/$K$153</f>
        <v>4.4067274519713762E-2</v>
      </c>
      <c r="X153" s="114">
        <f>$M$153/$L$153</f>
        <v>2.1707609310677641E-4</v>
      </c>
      <c r="Y153" s="114">
        <f>$O$153/$L$153</f>
        <v>40.443605015686813</v>
      </c>
      <c r="Z153" s="114" t="e">
        <f>$I$153/$I$153</f>
        <v>#VALUE!</v>
      </c>
    </row>
    <row r="154" spans="1:26">
      <c r="A154" s="114" t="s">
        <v>824</v>
      </c>
      <c r="B154" s="114">
        <f t="shared" si="14"/>
        <v>0.60581683578000001</v>
      </c>
      <c r="C154" s="114">
        <f t="shared" si="15"/>
        <v>61.585365853658502</v>
      </c>
      <c r="D154" s="114">
        <f t="shared" si="12"/>
        <v>20.790000915499999</v>
      </c>
      <c r="E154" s="114">
        <v>0</v>
      </c>
      <c r="F154" s="114">
        <v>6</v>
      </c>
      <c r="G154" s="114">
        <f t="shared" si="17"/>
        <v>0.5</v>
      </c>
      <c r="H154" s="114">
        <f t="shared" si="18"/>
        <v>0</v>
      </c>
      <c r="I154" s="114" t="s">
        <v>16</v>
      </c>
      <c r="J154" s="114">
        <f>GasModel($I$154,"He_Weiss",$D$154,$F$154,$B$154,$C$154,$G$154,$H$154,$M$11)</f>
        <v>5.5780354187325804E-8</v>
      </c>
      <c r="K154" s="114">
        <f>GasModel($I$154,"Ne_Weiss",$D$154,$F$154,$B$154,$C$154,$G$154,$H$154,$M$12)</f>
        <v>2.2395338821982509E-7</v>
      </c>
      <c r="L154" s="114">
        <f>GasModel($I$154,"Ar_Weiss",$D$154,$F$154,$B$154,$C$154,$G$154,$H$154,$M$13)</f>
        <v>3.2927364166332386E-4</v>
      </c>
      <c r="M154" s="114">
        <f>GasModel($I$154,"Kr_Weiss",$D$154,$F$154,$B$154,$C$154,$G$154,$H$154,$M$14)</f>
        <v>7.0778429482289663E-8</v>
      </c>
      <c r="N154" s="114">
        <f>GasModel($I$154,"Xe_Clvr",$D$154,$F$154,$B$154,$C$154,$G$154,$H$154,$M$15)</f>
        <v>9.4382727724307493E-9</v>
      </c>
      <c r="O154" s="114">
        <f>GasModel($I$154,"N2_Weiss",$D$154,$F$154,$B$154,$C$154,$G$154,$H$154,$M$16)</f>
        <v>1.3564001354027405E-2</v>
      </c>
      <c r="P154" s="114">
        <f>GasModel($I$154,"O2_B&amp;K",$D$154,$F$154,$B$154,$C$154,$G$154,$H$154,$M$17)</f>
        <v>6.7815186113482171E-3</v>
      </c>
      <c r="Q154" s="114">
        <f>GasModel($I$154,"CO2_Weiss_F",$D$154,$F$154,$B$154,$C$154,$G$154,$H$154,$M$18)</f>
        <v>2.8806326748005972E-4</v>
      </c>
      <c r="R154" s="114">
        <f>GasModel($I$154,"CH4_Wies",$D$154,$F$154,$B$154,$C$154,$G$154,$H$154,$M$19)</f>
        <v>5.040558218049351E-8</v>
      </c>
      <c r="S154" s="114">
        <f>GasModel($I$154,"H2_Wies",$D$154,$F$154,$B$154,$C$154,$G$154,$H$154,$M$20)</f>
        <v>1.1559900574472963E-8</v>
      </c>
      <c r="T154" s="114">
        <f>GasModel($I$154,"N2O_Weiss_F",$D$154,$F$154,$B$154,$C$154,$G$154,$H$154,$M$21)</f>
        <v>1.9358911859064659E-7</v>
      </c>
      <c r="U154" s="114">
        <f>$L$154/$K$154</f>
        <v>1470.2775621332416</v>
      </c>
      <c r="V154" s="114">
        <f>$M$154/$N$154</f>
        <v>7.4990870881623461</v>
      </c>
      <c r="W154" s="114">
        <f>$N$154/$K$154</f>
        <v>4.2143915961505615E-2</v>
      </c>
      <c r="X154" s="114">
        <f>$M$154/$L$154</f>
        <v>2.1495321983488517E-4</v>
      </c>
      <c r="Y154" s="114">
        <f>$O$154/$L$154</f>
        <v>41.193705288734719</v>
      </c>
      <c r="Z154" s="114" t="e">
        <f>$I$154/$I$154</f>
        <v>#VALUE!</v>
      </c>
    </row>
    <row r="155" spans="1:26">
      <c r="A155" s="114" t="s">
        <v>824</v>
      </c>
      <c r="B155" s="114">
        <f t="shared" si="14"/>
        <v>0.60581683578000001</v>
      </c>
      <c r="C155" s="114">
        <f t="shared" si="15"/>
        <v>61.585365853658502</v>
      </c>
      <c r="D155" s="114">
        <f t="shared" si="12"/>
        <v>20.790000915499999</v>
      </c>
      <c r="E155" s="114">
        <v>0</v>
      </c>
      <c r="F155" s="114">
        <v>8</v>
      </c>
      <c r="G155" s="114">
        <f t="shared" si="17"/>
        <v>0.5</v>
      </c>
      <c r="H155" s="114">
        <f t="shared" si="18"/>
        <v>0</v>
      </c>
      <c r="I155" s="114" t="s">
        <v>16</v>
      </c>
      <c r="J155" s="114">
        <f>GasModel($I$155,"He_Weiss",$D$155,$F$155,$B$155,$C$155,$G$155,$H$155,$M$11)</f>
        <v>5.8401792658649791E-8</v>
      </c>
      <c r="K155" s="114">
        <f>GasModel($I$155,"Ne_Weiss",$D$155,$F$155,$B$155,$C$155,$G$155,$H$155,$M$12)</f>
        <v>2.3394777233822943E-7</v>
      </c>
      <c r="L155" s="114">
        <f>GasModel($I$155,"Ar_Weiss",$D$155,$F$155,$B$155,$C$155,$G$155,$H$155,$M$13)</f>
        <v>3.3688762810004573E-4</v>
      </c>
      <c r="M155" s="114">
        <f>GasModel($I$155,"Kr_Weiss",$D$155,$F$155,$B$155,$C$155,$G$155,$H$155,$M$14)</f>
        <v>7.1794832912056068E-8</v>
      </c>
      <c r="N155" s="114">
        <f>GasModel($I$155,"Xe_Clvr",$D$155,$F$155,$B$155,$C$155,$G$155,$H$155,$M$15)</f>
        <v>9.5197804421887471E-9</v>
      </c>
      <c r="O155" s="114">
        <f>GasModel($I$155,"N2_Weiss",$D$155,$F$155,$B$155,$C$155,$G$155,$H$155,$M$16)</f>
        <v>1.4076081539540696E-2</v>
      </c>
      <c r="P155" s="114">
        <f>GasModel($I$155,"O2_B&amp;K",$D$155,$F$155,$B$155,$C$155,$G$155,$H$155,$M$17)</f>
        <v>6.9491486735096955E-3</v>
      </c>
      <c r="Q155" s="114">
        <f>GasModel($I$155,"CO2_Weiss_F",$D$155,$F$155,$B$155,$C$155,$G$155,$H$155,$M$18)</f>
        <v>2.8841029899974419E-4</v>
      </c>
      <c r="R155" s="114">
        <f>GasModel($I$155,"CH4_Wies",$D$155,$F$155,$B$155,$C$155,$G$155,$H$155,$M$19)</f>
        <v>5.1558343417119394E-8</v>
      </c>
      <c r="S155" s="114">
        <f>GasModel($I$155,"H2_Wies",$D$155,$F$155,$B$155,$C$155,$G$155,$H$155,$M$20)</f>
        <v>1.1961926524724787E-8</v>
      </c>
      <c r="T155" s="114">
        <f>GasModel($I$155,"N2O_Weiss_F",$D$155,$F$155,$B$155,$C$155,$G$155,$H$155,$M$21)</f>
        <v>1.9390542996016032E-7</v>
      </c>
      <c r="U155" s="114">
        <f>$L$155/$K$155</f>
        <v>1440.0121220773638</v>
      </c>
      <c r="V155" s="114">
        <f>$M$155/$N$155</f>
        <v>7.5416479768675533</v>
      </c>
      <c r="W155" s="114">
        <f>$N$155/$K$155</f>
        <v>4.0691904637696431E-2</v>
      </c>
      <c r="X155" s="114">
        <f>$M$155/$L$155</f>
        <v>2.1311210897520733E-4</v>
      </c>
      <c r="Y155" s="114">
        <f>$O$155/$L$155</f>
        <v>41.782720306251534</v>
      </c>
      <c r="Z155" s="114" t="e">
        <f>$I$155/$I$155</f>
        <v>#VALUE!</v>
      </c>
    </row>
    <row r="156" spans="1:26">
      <c r="A156" s="114" t="s">
        <v>824</v>
      </c>
      <c r="B156" s="114">
        <f t="shared" si="14"/>
        <v>0.60581683578000001</v>
      </c>
      <c r="C156" s="114">
        <f t="shared" si="15"/>
        <v>61.585365853658502</v>
      </c>
      <c r="D156" s="114">
        <f t="shared" si="12"/>
        <v>20.790000915499999</v>
      </c>
      <c r="E156" s="114">
        <v>0</v>
      </c>
      <c r="F156" s="114">
        <v>10</v>
      </c>
      <c r="G156" s="114">
        <f t="shared" si="17"/>
        <v>0.5</v>
      </c>
      <c r="H156" s="114">
        <f t="shared" si="18"/>
        <v>0</v>
      </c>
      <c r="I156" s="114" t="s">
        <v>16</v>
      </c>
      <c r="J156" s="114">
        <f>GasModel($I$156,"He_Weiss",$D$156,$F$156,$B$156,$C$156,$G$156,$H$156,$M$11)</f>
        <v>6.0632913829330739E-8</v>
      </c>
      <c r="K156" s="114">
        <f>GasModel($I$156,"Ne_Weiss",$D$156,$F$156,$B$156,$C$156,$G$156,$H$156,$M$12)</f>
        <v>2.4261049708864409E-7</v>
      </c>
      <c r="L156" s="114">
        <f>GasModel($I$156,"Ar_Weiss",$D$156,$F$156,$B$156,$C$156,$G$156,$H$156,$M$13)</f>
        <v>3.4409561758612026E-4</v>
      </c>
      <c r="M156" s="114">
        <f>GasModel($I$156,"Kr_Weiss",$D$156,$F$156,$B$156,$C$156,$G$156,$H$156,$M$14)</f>
        <v>7.2779587947855681E-8</v>
      </c>
      <c r="N156" s="114">
        <f>GasModel($I$156,"Xe_Clvr",$D$156,$F$156,$B$156,$C$156,$G$156,$H$156,$M$15)</f>
        <v>9.5998137778376048E-9</v>
      </c>
      <c r="O156" s="114">
        <f>GasModel($I$156,"N2_Weiss",$D$156,$F$156,$B$156,$C$156,$G$156,$H$156,$M$16)</f>
        <v>1.4536630469770311E-2</v>
      </c>
      <c r="P156" s="114">
        <f>GasModel($I$156,"O2_B&amp;K",$D$156,$F$156,$B$156,$C$156,$G$156,$H$156,$M$17)</f>
        <v>7.1071019191480522E-3</v>
      </c>
      <c r="Q156" s="114">
        <f>GasModel($I$156,"CO2_Weiss_F",$D$156,$F$156,$B$156,$C$156,$G$156,$H$156,$M$18)</f>
        <v>2.8875648928069949E-4</v>
      </c>
      <c r="R156" s="114">
        <f>GasModel($I$156,"CH4_Wies",$D$156,$F$156,$B$156,$C$156,$G$156,$H$156,$M$19)</f>
        <v>5.2650430852958396E-8</v>
      </c>
      <c r="S156" s="114">
        <f>GasModel($I$156,"H2_Wies",$D$156,$F$156,$B$156,$C$156,$G$156,$H$156,$M$20)</f>
        <v>1.2328013391292034E-8</v>
      </c>
      <c r="T156" s="114">
        <f>GasModel($I$156,"N2O_Weiss_F",$D$156,$F$156,$B$156,$C$156,$G$156,$H$156,$M$21)</f>
        <v>1.9422069908474E-7</v>
      </c>
      <c r="U156" s="114">
        <f>$L$156/$K$156</f>
        <v>1418.3047383163967</v>
      </c>
      <c r="V156" s="114">
        <f>$M$156/$N$156</f>
        <v>7.581354142085198</v>
      </c>
      <c r="W156" s="114">
        <f>$N$156/$K$156</f>
        <v>3.9568831081245683E-2</v>
      </c>
      <c r="X156" s="114">
        <f>$M$156/$L$156</f>
        <v>2.1150977875979604E-4</v>
      </c>
      <c r="Y156" s="114">
        <f>$O$156/$L$156</f>
        <v>42.245904123240059</v>
      </c>
      <c r="Z156" s="114" t="e">
        <f>$I$156/$I$156</f>
        <v>#VALUE!</v>
      </c>
    </row>
    <row r="157" spans="1:26">
      <c r="A157" s="114" t="s">
        <v>824</v>
      </c>
      <c r="B157" s="114">
        <f t="shared" si="14"/>
        <v>0.60581683578000001</v>
      </c>
      <c r="C157" s="114">
        <f t="shared" si="15"/>
        <v>61.585365853658502</v>
      </c>
      <c r="D157" s="114">
        <f t="shared" si="12"/>
        <v>20.790000915499999</v>
      </c>
      <c r="E157" s="114">
        <v>0</v>
      </c>
      <c r="F157" s="114">
        <v>15</v>
      </c>
      <c r="G157" s="114">
        <f t="shared" si="17"/>
        <v>0.5</v>
      </c>
      <c r="H157" s="114">
        <f t="shared" si="18"/>
        <v>0</v>
      </c>
      <c r="I157" s="114" t="s">
        <v>16</v>
      </c>
      <c r="J157" s="114">
        <f>GasModel($I$157,"He_Weiss",$D$157,$F$157,$B$157,$C$157,$G$157,$H$157,$M$11)</f>
        <v>6.4985391212385304E-8</v>
      </c>
      <c r="K157" s="114">
        <f>GasModel($I$157,"Ne_Weiss",$D$157,$F$157,$B$157,$C$157,$G$157,$H$157,$M$12)</f>
        <v>2.5993852441072519E-7</v>
      </c>
      <c r="L157" s="114">
        <f>GasModel($I$157,"Ar_Weiss",$D$157,$F$157,$B$157,$C$157,$G$157,$H$157,$M$13)</f>
        <v>3.6053914328626236E-4</v>
      </c>
      <c r="M157" s="114">
        <f>GasModel($I$157,"Kr_Weiss",$D$157,$F$157,$B$157,$C$157,$G$157,$H$157,$M$14)</f>
        <v>7.5112350974748512E-8</v>
      </c>
      <c r="N157" s="114">
        <f>GasModel($I$157,"Xe_Clvr",$D$157,$F$157,$B$157,$C$157,$G$157,$H$157,$M$15)</f>
        <v>9.7937036157940176E-9</v>
      </c>
      <c r="O157" s="114">
        <f>GasModel($I$157,"N2_Weiss",$D$157,$F$157,$B$157,$C$157,$G$157,$H$157,$M$16)</f>
        <v>1.5507896217818578E-2</v>
      </c>
      <c r="P157" s="114">
        <f>GasModel($I$157,"O2_B&amp;K",$D$157,$F$157,$B$157,$C$157,$G$157,$H$157,$M$17)</f>
        <v>7.4647777457939471E-3</v>
      </c>
      <c r="Q157" s="114">
        <f>GasModel($I$157,"CO2_Weiss_F",$D$157,$F$157,$B$157,$C$157,$G$157,$H$157,$M$18)</f>
        <v>2.8961830457683202E-4</v>
      </c>
      <c r="R157" s="114">
        <f>GasModel($I$157,"CH4_Wies",$D$157,$F$157,$B$157,$C$157,$G$157,$H$157,$M$19)</f>
        <v>5.5144696756566577E-8</v>
      </c>
      <c r="S157" s="114">
        <f>GasModel($I$157,"H2_Wies",$D$157,$F$157,$B$157,$C$157,$G$157,$H$157,$M$20)</f>
        <v>1.3114444024059225E-8</v>
      </c>
      <c r="T157" s="114">
        <f>GasModel($I$157,"N2O_Weiss_F",$D$157,$F$157,$B$157,$C$157,$G$157,$H$157,$M$21)</f>
        <v>1.9500434574128199E-7</v>
      </c>
      <c r="U157" s="114">
        <f>$L$157/$K$157</f>
        <v>1387.0169652751415</v>
      </c>
      <c r="V157" s="114">
        <f>$M$157/$N$157</f>
        <v>7.6694531426923147</v>
      </c>
      <c r="W157" s="114">
        <f>$N$157/$K$157</f>
        <v>3.7676999352043425E-2</v>
      </c>
      <c r="X157" s="114">
        <f>$M$157/$L$157</f>
        <v>2.083334150353558E-4</v>
      </c>
      <c r="Y157" s="114">
        <f>$O$157/$L$157</f>
        <v>43.013072246376183</v>
      </c>
      <c r="Z157" s="114" t="e">
        <f>$I$157/$I$157</f>
        <v>#VALUE!</v>
      </c>
    </row>
    <row r="158" spans="1:26">
      <c r="A158" s="114" t="s">
        <v>824</v>
      </c>
      <c r="B158" s="114">
        <f t="shared" si="14"/>
        <v>0.60581683578000001</v>
      </c>
      <c r="C158" s="114">
        <f t="shared" si="15"/>
        <v>61.585365853658502</v>
      </c>
      <c r="D158" s="114">
        <f t="shared" si="12"/>
        <v>20.790000915499999</v>
      </c>
      <c r="E158" s="114">
        <v>0</v>
      </c>
      <c r="F158" s="114">
        <v>20</v>
      </c>
      <c r="G158" s="114">
        <f t="shared" si="17"/>
        <v>0.5</v>
      </c>
      <c r="H158" s="114">
        <f t="shared" si="18"/>
        <v>0</v>
      </c>
      <c r="I158" s="114" t="s">
        <v>16</v>
      </c>
      <c r="J158" s="114">
        <f>GasModel($I$158,"He_Weiss",$D$158,$F$158,$B$158,$C$158,$G$158,$H$158,$M$11)</f>
        <v>6.8157205689826963E-8</v>
      </c>
      <c r="K158" s="114">
        <f>GasModel($I$158,"Ne_Weiss",$D$158,$F$158,$B$158,$C$158,$G$158,$H$158,$M$12)</f>
        <v>2.7293680099932724E-7</v>
      </c>
      <c r="L158" s="114">
        <f>GasModel($I$158,"Ar_Weiss",$D$158,$F$158,$B$158,$C$158,$G$158,$H$158,$M$13)</f>
        <v>3.7504848261378623E-4</v>
      </c>
      <c r="M158" s="114">
        <f>GasModel($I$158,"Kr_Weiss",$D$158,$F$158,$B$158,$C$158,$G$158,$H$158,$M$14)</f>
        <v>7.7276637146363777E-8</v>
      </c>
      <c r="N158" s="114">
        <f>GasModel($I$158,"Xe_Clvr",$D$158,$F$158,$B$158,$C$158,$G$158,$H$158,$M$15)</f>
        <v>9.9792049503835615E-9</v>
      </c>
      <c r="O158" s="114">
        <f>GasModel($I$158,"N2_Weiss",$D$158,$F$158,$B$158,$C$158,$G$158,$H$158,$M$16)</f>
        <v>1.6283929116805592E-2</v>
      </c>
      <c r="P158" s="114">
        <f>GasModel($I$158,"O2_B&amp;K",$D$158,$F$158,$B$158,$C$158,$G$158,$H$158,$M$17)</f>
        <v>7.7773445458129593E-3</v>
      </c>
      <c r="Q158" s="114">
        <f>GasModel($I$158,"CO2_Weiss_F",$D$158,$F$158,$B$158,$C$158,$G$158,$H$158,$M$18)</f>
        <v>2.9047492852004361E-4</v>
      </c>
      <c r="R158" s="114">
        <f>GasModel($I$158,"CH4_Wies",$D$158,$F$158,$B$158,$C$158,$G$158,$H$158,$M$19)</f>
        <v>5.7348922630015537E-8</v>
      </c>
      <c r="S158" s="114">
        <f>GasModel($I$158,"H2_Wies",$D$158,$F$158,$B$158,$C$158,$G$158,$H$158,$M$20)</f>
        <v>1.3757221933310093E-8</v>
      </c>
      <c r="T158" s="114">
        <f>GasModel($I$158,"N2O_Weiss_F",$D$158,$F$158,$B$158,$C$158,$G$158,$H$158,$M$21)</f>
        <v>1.9578158985574901E-7</v>
      </c>
      <c r="U158" s="114">
        <f>$L$158/$K$158</f>
        <v>1374.1220723646961</v>
      </c>
      <c r="V158" s="114">
        <f>$M$158/$N$158</f>
        <v>7.7437669163607632</v>
      </c>
      <c r="W158" s="114">
        <f>$N$158/$K$158</f>
        <v>3.6562328399269831E-2</v>
      </c>
      <c r="X158" s="114">
        <f>$M$158/$L$158</f>
        <v>2.0604439353495788E-4</v>
      </c>
      <c r="Y158" s="114">
        <f>$O$158/$L$158</f>
        <v>43.418197570937245</v>
      </c>
      <c r="Z158" s="114" t="e">
        <f>$I$158/$I$158</f>
        <v>#VALUE!</v>
      </c>
    </row>
    <row r="159" spans="1:26">
      <c r="A159" s="114" t="s">
        <v>824</v>
      </c>
      <c r="B159" s="114">
        <f t="shared" si="14"/>
        <v>0.60581683578000001</v>
      </c>
      <c r="C159" s="114">
        <f t="shared" si="15"/>
        <v>61.585365853658502</v>
      </c>
      <c r="D159" s="114">
        <f t="shared" si="12"/>
        <v>20.790000915499999</v>
      </c>
      <c r="E159" s="114">
        <v>0</v>
      </c>
      <c r="F159" s="114">
        <v>25</v>
      </c>
      <c r="G159" s="114">
        <f t="shared" si="17"/>
        <v>0.5</v>
      </c>
      <c r="H159" s="114">
        <f t="shared" si="18"/>
        <v>0</v>
      </c>
      <c r="I159" s="114" t="s">
        <v>16</v>
      </c>
      <c r="J159" s="114">
        <f>GasModel($I$159,"He_Weiss",$D$159,$F$159,$B$159,$C$159,$G$159,$H$159,$M$11)</f>
        <v>7.0571385425291177E-8</v>
      </c>
      <c r="K159" s="114">
        <f>GasModel($I$159,"Ne_Weiss",$D$159,$F$159,$B$159,$C$159,$G$159,$H$159,$M$12)</f>
        <v>2.8304790893522058E-7</v>
      </c>
      <c r="L159" s="114">
        <f>GasModel($I$159,"Ar_Weiss",$D$159,$F$159,$B$159,$C$159,$G$159,$H$159,$M$13)</f>
        <v>3.8794594550050021E-4</v>
      </c>
      <c r="M159" s="114">
        <f>GasModel($I$159,"Kr_Weiss",$D$159,$F$159,$B$159,$C$159,$G$159,$H$159,$M$14)</f>
        <v>7.9290061957332837E-8</v>
      </c>
      <c r="N159" s="114">
        <f>GasModel($I$159,"Xe_Clvr",$D$159,$F$159,$B$159,$C$159,$G$159,$H$159,$M$15)</f>
        <v>1.0156850638552475E-8</v>
      </c>
      <c r="O159" s="114">
        <f>GasModel($I$159,"N2_Weiss",$D$159,$F$159,$B$159,$C$159,$G$159,$H$159,$M$16)</f>
        <v>1.6918218503063829E-2</v>
      </c>
      <c r="P159" s="114">
        <f>GasModel($I$159,"O2_B&amp;K",$D$159,$F$159,$B$159,$C$159,$G$159,$H$159,$M$17)</f>
        <v>8.0528296544912815E-3</v>
      </c>
      <c r="Q159" s="114">
        <f>GasModel($I$159,"CO2_Weiss_F",$D$159,$F$159,$B$159,$C$159,$G$159,$H$159,$M$18)</f>
        <v>2.9132640787653567E-4</v>
      </c>
      <c r="R159" s="114">
        <f>GasModel($I$159,"CH4_Wies",$D$159,$F$159,$B$159,$C$159,$G$159,$H$159,$M$19)</f>
        <v>5.931091868884451E-8</v>
      </c>
      <c r="S159" s="114">
        <f>GasModel($I$159,"H2_Wies",$D$159,$F$159,$B$159,$C$159,$G$159,$H$159,$M$20)</f>
        <v>1.429241342279507E-8</v>
      </c>
      <c r="T159" s="114">
        <f>GasModel($I$159,"N2O_Weiss_F",$D$159,$F$159,$B$159,$C$159,$G$159,$H$159,$M$21)</f>
        <v>1.9655250957388607E-7</v>
      </c>
      <c r="U159" s="114">
        <f>$L$159/$K$159</f>
        <v>1370.6017011745068</v>
      </c>
      <c r="V159" s="114">
        <f>$M$159/$N$159</f>
        <v>7.8065598066757662</v>
      </c>
      <c r="W159" s="114">
        <f>$N$159/$K$159</f>
        <v>3.5883856823959122E-2</v>
      </c>
      <c r="X159" s="114">
        <f>$M$159/$L$159</f>
        <v>2.0438430373344527E-4</v>
      </c>
      <c r="Y159" s="114">
        <f>$O$159/$L$159</f>
        <v>43.609731456884148</v>
      </c>
      <c r="Z159" s="114" t="e">
        <f>$I$159/$I$159</f>
        <v>#VALUE!</v>
      </c>
    </row>
    <row r="160" spans="1:26">
      <c r="A160" s="114" t="s">
        <v>824</v>
      </c>
      <c r="B160" s="114">
        <f t="shared" si="14"/>
        <v>0.60581683578000001</v>
      </c>
      <c r="C160" s="114">
        <f t="shared" si="15"/>
        <v>61.585365853658502</v>
      </c>
      <c r="D160" s="114">
        <f t="shared" si="12"/>
        <v>20.790000915499999</v>
      </c>
      <c r="E160" s="114">
        <v>0</v>
      </c>
      <c r="F160" s="114">
        <v>30</v>
      </c>
      <c r="G160" s="114">
        <f t="shared" si="17"/>
        <v>0.5</v>
      </c>
      <c r="H160" s="114">
        <f t="shared" si="18"/>
        <v>0</v>
      </c>
      <c r="I160" s="114" t="s">
        <v>16</v>
      </c>
      <c r="J160" s="114">
        <f>GasModel($I$160,"He_Weiss",$D$160,$F$160,$B$160,$C$160,$G$160,$H$160,$M$11)</f>
        <v>7.2470426864518311E-8</v>
      </c>
      <c r="K160" s="114">
        <f>GasModel($I$160,"Ne_Weiss",$D$160,$F$160,$B$160,$C$160,$G$160,$H$160,$M$12)</f>
        <v>2.9113763790557955E-7</v>
      </c>
      <c r="L160" s="114">
        <f>GasModel($I$160,"Ar_Weiss",$D$160,$F$160,$B$160,$C$160,$G$160,$H$160,$M$13)</f>
        <v>3.9948599801653984E-4</v>
      </c>
      <c r="M160" s="114">
        <f>GasModel($I$160,"Kr_Weiss",$D$160,$F$160,$B$160,$C$160,$G$160,$H$160,$M$14)</f>
        <v>8.1167867836704052E-8</v>
      </c>
      <c r="N160" s="114">
        <f>GasModel($I$160,"Xe_Clvr",$D$160,$F$160,$B$160,$C$160,$G$160,$H$160,$M$15)</f>
        <v>1.0327129341983597E-8</v>
      </c>
      <c r="O160" s="114">
        <f>GasModel($I$160,"N2_Weiss",$D$160,$F$160,$B$160,$C$160,$G$160,$H$160,$M$16)</f>
        <v>1.7446349061257155E-2</v>
      </c>
      <c r="P160" s="114">
        <f>GasModel($I$160,"O2_B&amp;K",$D$160,$F$160,$B$160,$C$160,$G$160,$H$160,$M$17)</f>
        <v>8.2974623986834355E-3</v>
      </c>
      <c r="Q160" s="114">
        <f>GasModel($I$160,"CO2_Weiss_F",$D$160,$F$160,$B$160,$C$160,$G$160,$H$160,$M$18)</f>
        <v>2.9217278885246826E-4</v>
      </c>
      <c r="R160" s="114">
        <f>GasModel($I$160,"CH4_Wies",$D$160,$F$160,$B$160,$C$160,$G$160,$H$160,$M$19)</f>
        <v>6.1068534406715383E-8</v>
      </c>
      <c r="S160" s="114">
        <f>GasModel($I$160,"H2_Wies",$D$160,$F$160,$B$160,$C$160,$G$160,$H$160,$M$20)</f>
        <v>1.474494381040367E-8</v>
      </c>
      <c r="T160" s="114">
        <f>GasModel($I$160,"N2O_Weiss_F",$D$160,$F$160,$B$160,$C$160,$G$160,$H$160,$M$21)</f>
        <v>1.9731718177485525E-7</v>
      </c>
      <c r="U160" s="114">
        <f>$L$160/$K$160</f>
        <v>1372.155111549333</v>
      </c>
      <c r="V160" s="114">
        <f>$M$160/$N$160</f>
        <v>7.8596737920892181</v>
      </c>
      <c r="W160" s="114">
        <f>$N$160/$K$160</f>
        <v>3.5471639518257152E-2</v>
      </c>
      <c r="X160" s="114">
        <f>$M$160/$L$160</f>
        <v>2.0318075787312945E-4</v>
      </c>
      <c r="Y160" s="114">
        <f>$O$160/$L$160</f>
        <v>43.67199137861855</v>
      </c>
      <c r="Z160" s="114" t="e">
        <f>$I$160/$I$160</f>
        <v>#VALUE!</v>
      </c>
    </row>
    <row r="161" spans="1:26">
      <c r="A161" s="114" t="s">
        <v>824</v>
      </c>
      <c r="B161" s="114">
        <f t="shared" si="14"/>
        <v>0.60581683578000001</v>
      </c>
      <c r="C161" s="114">
        <f t="shared" si="15"/>
        <v>61.585365853658502</v>
      </c>
      <c r="D161" s="114">
        <f t="shared" si="12"/>
        <v>20.790000915499999</v>
      </c>
      <c r="E161" s="114">
        <v>0</v>
      </c>
      <c r="F161" s="114">
        <v>35</v>
      </c>
      <c r="G161" s="114">
        <f t="shared" si="17"/>
        <v>0.5</v>
      </c>
      <c r="H161" s="114">
        <f t="shared" si="18"/>
        <v>0</v>
      </c>
      <c r="I161" s="114" t="s">
        <v>16</v>
      </c>
      <c r="J161" s="114">
        <f>GasModel($I$161,"He_Weiss",$D$161,$F$161,$B$161,$C$161,$G$161,$H$161,$M$11)</f>
        <v>7.4003315265374822E-8</v>
      </c>
      <c r="K161" s="114">
        <f>GasModel($I$161,"Ne_Weiss",$D$161,$F$161,$B$161,$C$161,$G$161,$H$161,$M$12)</f>
        <v>2.9775706424750539E-7</v>
      </c>
      <c r="L161" s="114">
        <f>GasModel($I$161,"Ar_Weiss",$D$161,$F$161,$B$161,$C$161,$G$161,$H$161,$M$13)</f>
        <v>4.0987222075673525E-4</v>
      </c>
      <c r="M161" s="114">
        <f>GasModel($I$161,"Kr_Weiss",$D$161,$F$161,$B$161,$C$161,$G$161,$H$161,$M$14)</f>
        <v>8.2923310736591769E-8</v>
      </c>
      <c r="N161" s="114">
        <f>GasModel($I$161,"Xe_Clvr",$D$161,$F$161,$B$161,$C$161,$G$161,$H$161,$M$15)</f>
        <v>1.0490490015974407E-8</v>
      </c>
      <c r="O161" s="114">
        <f>GasModel($I$161,"N2_Weiss",$D$161,$F$161,$B$161,$C$161,$G$161,$H$161,$M$16)</f>
        <v>1.7892913913966964E-2</v>
      </c>
      <c r="P161" s="114">
        <f>GasModel($I$161,"O2_B&amp;K",$D$161,$F$161,$B$161,$C$161,$G$161,$H$161,$M$17)</f>
        <v>8.5161508126807613E-3</v>
      </c>
      <c r="Q161" s="114">
        <f>GasModel($I$161,"CO2_Weiss_F",$D$161,$F$161,$B$161,$C$161,$G$161,$H$161,$M$18)</f>
        <v>2.9301411710231821E-4</v>
      </c>
      <c r="R161" s="114">
        <f>GasModel($I$161,"CH4_Wies",$D$161,$F$161,$B$161,$C$161,$G$161,$H$161,$M$19)</f>
        <v>6.2652124111530175E-8</v>
      </c>
      <c r="S161" s="114">
        <f>GasModel($I$161,"H2_Wies",$D$161,$F$161,$B$161,$C$161,$G$161,$H$161,$M$20)</f>
        <v>1.51325908841934E-8</v>
      </c>
      <c r="T161" s="114">
        <f>GasModel($I$161,"N2O_Weiss_F",$D$161,$F$161,$B$161,$C$161,$G$161,$H$161,$M$21)</f>
        <v>1.9807568209679304E-7</v>
      </c>
      <c r="U161" s="114">
        <f>$L$161/$K$161</f>
        <v>1376.5323143300341</v>
      </c>
      <c r="V161" s="114">
        <f>$M$161/$N$161</f>
        <v>7.9046174783370651</v>
      </c>
      <c r="W161" s="114">
        <f>$N$161/$K$161</f>
        <v>3.5231708246741607E-2</v>
      </c>
      <c r="X161" s="114">
        <f>$M$161/$L$161</f>
        <v>2.0231503023916296E-4</v>
      </c>
      <c r="Y161" s="114">
        <f>$O$161/$L$161</f>
        <v>43.654858777527771</v>
      </c>
      <c r="Z161" s="114" t="e">
        <f>$I$161/$I$161</f>
        <v>#VALUE!</v>
      </c>
    </row>
    <row r="162" spans="1:26">
      <c r="A162" s="114" t="s">
        <v>824</v>
      </c>
      <c r="B162" s="114">
        <f t="shared" si="14"/>
        <v>0.60581683578000001</v>
      </c>
      <c r="C162" s="114">
        <f t="shared" si="15"/>
        <v>61.585365853658502</v>
      </c>
      <c r="D162" s="114">
        <f t="shared" si="12"/>
        <v>20.790000915499999</v>
      </c>
      <c r="E162" s="114">
        <v>0</v>
      </c>
      <c r="F162" s="114">
        <v>40</v>
      </c>
      <c r="G162" s="114">
        <f t="shared" si="17"/>
        <v>0.5</v>
      </c>
      <c r="H162" s="114">
        <f t="shared" si="18"/>
        <v>0</v>
      </c>
      <c r="I162" s="114" t="s">
        <v>16</v>
      </c>
      <c r="J162" s="114">
        <f>GasModel($I$162,"He_Weiss",$D$162,$F$162,$B$162,$C$162,$G$162,$H$162,$M$11)</f>
        <v>7.5266635968018588E-8</v>
      </c>
      <c r="K162" s="114">
        <f>GasModel($I$162,"Ne_Weiss",$D$162,$F$162,$B$162,$C$162,$G$162,$H$162,$M$12)</f>
        <v>3.0327363597436481E-7</v>
      </c>
      <c r="L162" s="114">
        <f>GasModel($I$162,"Ar_Weiss",$D$162,$F$162,$B$162,$C$162,$G$162,$H$162,$M$13)</f>
        <v>4.1926942267541138E-4</v>
      </c>
      <c r="M162" s="114">
        <f>GasModel($I$162,"Kr_Weiss",$D$162,$F$162,$B$162,$C$162,$G$162,$H$162,$M$14)</f>
        <v>8.4567973531892395E-8</v>
      </c>
      <c r="N162" s="114">
        <f>GasModel($I$162,"Xe_Clvr",$D$162,$F$162,$B$162,$C$162,$G$162,$H$162,$M$15)</f>
        <v>1.0647345862089707E-8</v>
      </c>
      <c r="O162" s="114">
        <f>GasModel($I$162,"N2_Weiss",$D$162,$F$162,$B$162,$C$162,$G$162,$H$162,$M$16)</f>
        <v>1.8275454300817281E-2</v>
      </c>
      <c r="P162" s="114">
        <f>GasModel($I$162,"O2_B&amp;K",$D$162,$F$162,$B$162,$C$162,$G$162,$H$162,$M$17)</f>
        <v>8.7128143186971929E-3</v>
      </c>
      <c r="Q162" s="114">
        <f>GasModel($I$162,"CO2_Weiss_F",$D$162,$F$162,$B$162,$C$162,$G$162,$H$162,$M$18)</f>
        <v>2.9385043773708829E-4</v>
      </c>
      <c r="R162" s="114">
        <f>GasModel($I$162,"CH4_Wies",$D$162,$F$162,$B$162,$C$162,$G$162,$H$162,$M$19)</f>
        <v>6.408631475354147E-8</v>
      </c>
      <c r="S162" s="114">
        <f>GasModel($I$162,"H2_Wies",$D$162,$F$162,$B$162,$C$162,$G$162,$H$162,$M$20)</f>
        <v>1.5468375532047507E-8</v>
      </c>
      <c r="T162" s="114">
        <f>GasModel($I$162,"N2O_Weiss_F",$D$162,$F$162,$B$162,$C$162,$G$162,$H$162,$M$21)</f>
        <v>1.9882808496175136E-7</v>
      </c>
      <c r="U162" s="114">
        <f>$L$162/$K$162</f>
        <v>1382.4789659950907</v>
      </c>
      <c r="V162" s="114">
        <f>$M$162/$N$162</f>
        <v>7.9426342139405826</v>
      </c>
      <c r="W162" s="114">
        <f>$N$162/$K$162</f>
        <v>3.5108049626145901E-2</v>
      </c>
      <c r="X162" s="114">
        <f>$M$162/$L$162</f>
        <v>2.0170317451783968E-4</v>
      </c>
      <c r="Y162" s="114">
        <f>$O$162/$L$162</f>
        <v>43.588807846275287</v>
      </c>
      <c r="Z162" s="114" t="e">
        <f>$I$162/$I$162</f>
        <v>#VALUE!</v>
      </c>
    </row>
    <row r="163" spans="1:26">
      <c r="A163" s="114" t="s">
        <v>824</v>
      </c>
      <c r="B163" s="114">
        <f t="shared" si="14"/>
        <v>0.60581683578000001</v>
      </c>
      <c r="C163" s="114">
        <f t="shared" si="15"/>
        <v>61.585365853658502</v>
      </c>
      <c r="D163" s="114">
        <f t="shared" si="12"/>
        <v>20.790000915499999</v>
      </c>
      <c r="E163" s="114">
        <v>0</v>
      </c>
      <c r="F163" s="114">
        <v>45</v>
      </c>
      <c r="G163" s="114">
        <f t="shared" si="17"/>
        <v>0.5</v>
      </c>
      <c r="H163" s="114">
        <f t="shared" si="18"/>
        <v>0</v>
      </c>
      <c r="I163" s="114" t="s">
        <v>16</v>
      </c>
      <c r="J163" s="114">
        <f>GasModel($I$163,"He_Weiss",$D$163,$F$163,$B$163,$C$163,$G$163,$H$163,$M$11)</f>
        <v>7.6325749606640173E-8</v>
      </c>
      <c r="K163" s="114">
        <f>GasModel($I$163,"Ne_Weiss",$D$163,$F$163,$B$163,$C$163,$G$163,$H$163,$M$12)</f>
        <v>3.0794177641455712E-7</v>
      </c>
      <c r="L163" s="114">
        <f>GasModel($I$163,"Ar_Weiss",$D$163,$F$163,$B$163,$C$163,$G$163,$H$163,$M$13)</f>
        <v>4.2781245160476326E-4</v>
      </c>
      <c r="M163" s="114">
        <f>GasModel($I$163,"Kr_Weiss",$D$163,$F$163,$B$163,$C$163,$G$163,$H$163,$M$14)</f>
        <v>8.6112021902071991E-8</v>
      </c>
      <c r="N163" s="114">
        <f>GasModel($I$163,"Xe_Clvr",$D$163,$F$163,$B$163,$C$163,$G$163,$H$163,$M$15)</f>
        <v>1.0798077817861625E-8</v>
      </c>
      <c r="O163" s="114">
        <f>GasModel($I$163,"N2_Weiss",$D$163,$F$163,$B$163,$C$163,$G$163,$H$163,$M$16)</f>
        <v>1.8606818096324858E-2</v>
      </c>
      <c r="P163" s="114">
        <f>GasModel($I$163,"O2_B&amp;K",$D$163,$F$163,$B$163,$C$163,$G$163,$H$163,$M$17)</f>
        <v>8.8906207099749765E-3</v>
      </c>
      <c r="Q163" s="114">
        <f>GasModel($I$163,"CO2_Weiss_F",$D$163,$F$163,$B$163,$C$163,$G$163,$H$163,$M$18)</f>
        <v>2.9468179533237004E-4</v>
      </c>
      <c r="R163" s="114">
        <f>GasModel($I$163,"CH4_Wies",$D$163,$F$163,$B$163,$C$163,$G$163,$H$163,$M$19)</f>
        <v>6.5391295886669461E-8</v>
      </c>
      <c r="S163" s="114">
        <f>GasModel($I$163,"H2_Wies",$D$163,$F$163,$B$163,$C$163,$G$163,$H$163,$M$20)</f>
        <v>1.5762053021505594E-8</v>
      </c>
      <c r="T163" s="114">
        <f>GasModel($I$163,"N2O_Weiss_F",$D$163,$F$163,$B$163,$C$163,$G$163,$H$163,$M$21)</f>
        <v>1.9957446360003938E-7</v>
      </c>
      <c r="U163" s="114">
        <f>$L$163/$K$163</f>
        <v>1389.2640894194035</v>
      </c>
      <c r="V163" s="114">
        <f>$M$163/$N$163</f>
        <v>7.9747547067710434</v>
      </c>
      <c r="W163" s="114">
        <f>$N$163/$K$163</f>
        <v>3.506532287884527E-2</v>
      </c>
      <c r="X163" s="114">
        <f>$M$163/$L$163</f>
        <v>2.012845151632637E-4</v>
      </c>
      <c r="Y163" s="114">
        <f>$O$163/$L$163</f>
        <v>43.492932537444851</v>
      </c>
      <c r="Z163" s="114" t="e">
        <f>$I$163/$I$163</f>
        <v>#VALUE!</v>
      </c>
    </row>
    <row r="164" spans="1:26">
      <c r="A164" s="114" t="s">
        <v>824</v>
      </c>
      <c r="B164" s="114">
        <f t="shared" si="14"/>
        <v>0.60581683578000001</v>
      </c>
      <c r="C164" s="114">
        <f t="shared" si="15"/>
        <v>61.585365853658502</v>
      </c>
      <c r="D164" s="114">
        <f t="shared" si="12"/>
        <v>20.790000915499999</v>
      </c>
      <c r="E164" s="114">
        <v>0</v>
      </c>
      <c r="F164" s="114">
        <v>50</v>
      </c>
      <c r="G164" s="114">
        <f t="shared" si="17"/>
        <v>0.5</v>
      </c>
      <c r="H164" s="114">
        <f t="shared" si="18"/>
        <v>0</v>
      </c>
      <c r="I164" s="114" t="s">
        <v>16</v>
      </c>
      <c r="J164" s="114">
        <f>GasModel($I$164,"He_Weiss",$D$164,$F$164,$B$164,$C$164,$G$164,$H$164,$M$11)</f>
        <v>7.7226466696321463E-8</v>
      </c>
      <c r="K164" s="114">
        <f>GasModel($I$164,"Ne_Weiss",$D$164,$F$164,$B$164,$C$164,$G$164,$H$164,$M$12)</f>
        <v>3.1194323815490456E-7</v>
      </c>
      <c r="L164" s="114">
        <f>GasModel($I$164,"Ar_Weiss",$D$164,$F$164,$B$164,$C$164,$G$164,$H$164,$M$13)</f>
        <v>4.3561270668104288E-4</v>
      </c>
      <c r="M164" s="114">
        <f>GasModel($I$164,"Kr_Weiss",$D$164,$F$164,$B$164,$C$164,$G$164,$H$164,$M$14)</f>
        <v>8.7564414645069901E-8</v>
      </c>
      <c r="N164" s="114">
        <f>GasModel($I$164,"Xe_Clvr",$D$164,$F$164,$B$164,$C$164,$G$164,$H$164,$M$15)</f>
        <v>1.0943037645585986E-8</v>
      </c>
      <c r="O164" s="114">
        <f>GasModel($I$164,"N2_Weiss",$D$164,$F$164,$B$164,$C$164,$G$164,$H$164,$M$16)</f>
        <v>1.8896631100930678E-2</v>
      </c>
      <c r="P164" s="114">
        <f>GasModel($I$164,"O2_B&amp;K",$D$164,$F$164,$B$164,$C$164,$G$164,$H$164,$M$17)</f>
        <v>9.0521580830940467E-3</v>
      </c>
      <c r="Q164" s="114">
        <f>GasModel($I$164,"CO2_Weiss_F",$D$164,$F$164,$B$164,$C$164,$G$164,$H$164,$M$18)</f>
        <v>2.955082339362638E-4</v>
      </c>
      <c r="R164" s="114">
        <f>GasModel($I$164,"CH4_Wies",$D$164,$F$164,$B$164,$C$164,$G$164,$H$164,$M$19)</f>
        <v>6.6583776026191189E-8</v>
      </c>
      <c r="S164" s="114">
        <f>GasModel($I$164,"H2_Wies",$D$164,$F$164,$B$164,$C$164,$G$164,$H$164,$M$20)</f>
        <v>1.6021076363429898E-8</v>
      </c>
      <c r="T164" s="114">
        <f>GasModel($I$164,"N2O_Weiss_F",$D$164,$F$164,$B$164,$C$164,$G$164,$H$164,$M$21)</f>
        <v>2.0031489007398314E-7</v>
      </c>
      <c r="U164" s="114">
        <f>$L$164/$K$164</f>
        <v>1396.4486271849453</v>
      </c>
      <c r="V164" s="114">
        <f>$M$164/$N$164</f>
        <v>8.0018380161919787</v>
      </c>
      <c r="W164" s="114">
        <f>$N$164/$K$164</f>
        <v>3.5080220716795597E-2</v>
      </c>
      <c r="X164" s="114">
        <f>$M$164/$L$164</f>
        <v>2.010143719457313E-4</v>
      </c>
      <c r="Y164" s="114">
        <f>$O$164/$L$164</f>
        <v>43.379430423196666</v>
      </c>
      <c r="Z164" s="114" t="e">
        <f>$I$164/$I$164</f>
        <v>#VALUE!</v>
      </c>
    </row>
    <row r="165" spans="1:26">
      <c r="A165" s="114" t="s">
        <v>824</v>
      </c>
      <c r="B165" s="114">
        <f t="shared" si="14"/>
        <v>0.60581683578000001</v>
      </c>
      <c r="C165" s="114">
        <f t="shared" si="15"/>
        <v>61.585365853658502</v>
      </c>
      <c r="D165" s="114">
        <f t="shared" si="12"/>
        <v>20.790000915499999</v>
      </c>
      <c r="E165" s="114">
        <v>0</v>
      </c>
      <c r="F165" s="114">
        <v>75</v>
      </c>
      <c r="G165" s="114">
        <f t="shared" si="17"/>
        <v>0.5</v>
      </c>
      <c r="H165" s="114">
        <f t="shared" si="18"/>
        <v>0</v>
      </c>
      <c r="I165" s="114" t="s">
        <v>16</v>
      </c>
      <c r="J165" s="114">
        <f>GasModel($I$165,"He_Weiss",$D$165,$F$165,$B$165,$C$165,$G$165,$H$165,$M$11)</f>
        <v>8.0259328614454392E-8</v>
      </c>
      <c r="K165" s="114">
        <f>GasModel($I$165,"Ne_Weiss",$D$165,$F$165,$B$165,$C$165,$G$165,$H$165,$M$12)</f>
        <v>3.256338352413204E-7</v>
      </c>
      <c r="L165" s="114">
        <f>GasModel($I$165,"Ar_Weiss",$D$165,$F$165,$B$165,$C$165,$G$165,$H$165,$M$13)</f>
        <v>4.6625747367171966E-4</v>
      </c>
      <c r="M165" s="114">
        <f>GasModel($I$165,"Kr_Weiss",$D$165,$F$165,$B$165,$C$165,$G$165,$H$165,$M$14)</f>
        <v>9.3700270948253251E-8</v>
      </c>
      <c r="N165" s="114">
        <f>GasModel($I$165,"Xe_Clvr",$D$165,$F$165,$B$165,$C$165,$G$165,$H$165,$M$15)</f>
        <v>1.1591845458446747E-8</v>
      </c>
      <c r="O165" s="114">
        <f>GasModel($I$165,"N2_Weiss",$D$165,$F$165,$B$165,$C$165,$G$165,$H$165,$M$16)</f>
        <v>1.9930685847742845E-2</v>
      </c>
      <c r="P165" s="114">
        <f>GasModel($I$165,"O2_B&amp;K",$D$165,$F$165,$B$165,$C$165,$G$165,$H$165,$M$17)</f>
        <v>9.6794119172548959E-3</v>
      </c>
      <c r="Q165" s="114">
        <f>GasModel($I$165,"CO2_Weiss_F",$D$165,$F$165,$B$165,$C$165,$G$165,$H$165,$M$18)</f>
        <v>2.9956814781283901E-4</v>
      </c>
      <c r="R165" s="114">
        <f>GasModel($I$165,"CH4_Wies",$D$165,$F$165,$B$165,$C$165,$G$165,$H$165,$M$19)</f>
        <v>7.1277556524019529E-8</v>
      </c>
      <c r="S165" s="114">
        <f>GasModel($I$165,"H2_Wies",$D$165,$F$165,$B$165,$C$165,$G$165,$H$165,$M$20)</f>
        <v>1.6962159561824478E-8</v>
      </c>
      <c r="T165" s="114">
        <f>GasModel($I$165,"N2O_Weiss_F",$D$165,$F$165,$B$165,$C$165,$G$165,$H$165,$M$21)</f>
        <v>2.0393018327779618E-7</v>
      </c>
      <c r="U165" s="114">
        <f>$L$165/$K$165</f>
        <v>1431.8459054667524</v>
      </c>
      <c r="V165" s="114">
        <f>$M$165/$N$165</f>
        <v>8.083291938642585</v>
      </c>
      <c r="W165" s="114">
        <f>$N$165/$K$165</f>
        <v>3.5597791764655759E-2</v>
      </c>
      <c r="X165" s="114">
        <f>$M$165/$L$165</f>
        <v>2.0096250728245761E-4</v>
      </c>
      <c r="Y165" s="114">
        <f>$O$165/$L$165</f>
        <v>42.746094107170379</v>
      </c>
      <c r="Z165" s="114" t="e">
        <f>$I$165/$I$165</f>
        <v>#VALUE!</v>
      </c>
    </row>
    <row r="166" spans="1:26">
      <c r="A166" s="114" t="s">
        <v>824</v>
      </c>
      <c r="B166" s="114">
        <f t="shared" si="14"/>
        <v>0.60581683578000001</v>
      </c>
      <c r="C166" s="114">
        <f t="shared" si="15"/>
        <v>61.585365853658502</v>
      </c>
      <c r="D166" s="114">
        <f t="shared" si="12"/>
        <v>20.790000915499999</v>
      </c>
      <c r="E166" s="114">
        <v>0</v>
      </c>
      <c r="F166" s="114">
        <v>100</v>
      </c>
      <c r="G166" s="114">
        <f t="shared" si="17"/>
        <v>0.5</v>
      </c>
      <c r="H166" s="114">
        <f t="shared" si="18"/>
        <v>0</v>
      </c>
      <c r="I166" s="114" t="s">
        <v>16</v>
      </c>
      <c r="J166" s="114">
        <f>GasModel($I$166,"He_Weiss",$D$166,$F$166,$B$166,$C$166,$G$166,$H$166,$M$11)</f>
        <v>8.1994595049249236E-8</v>
      </c>
      <c r="K166" s="114">
        <f>GasModel($I$166,"Ne_Weiss",$D$166,$F$166,$B$166,$C$166,$G$166,$H$166,$M$12)</f>
        <v>3.3362100750021053E-7</v>
      </c>
      <c r="L166" s="114">
        <f>GasModel($I$166,"Ar_Weiss",$D$166,$F$166,$B$166,$C$166,$G$166,$H$166,$M$13)</f>
        <v>4.876168034773244E-4</v>
      </c>
      <c r="M166" s="114">
        <f>GasModel($I$166,"Kr_Weiss",$D$166,$F$166,$B$166,$C$166,$G$166,$H$166,$M$14)</f>
        <v>9.8431796449104736E-8</v>
      </c>
      <c r="N166" s="114">
        <f>GasModel($I$166,"Xe_Clvr",$D$166,$F$166,$B$166,$C$166,$G$166,$H$166,$M$15)</f>
        <v>1.2136389458174432E-8</v>
      </c>
      <c r="O166" s="114">
        <f>GasModel($I$166,"N2_Weiss",$D$166,$F$166,$B$166,$C$166,$G$166,$H$166,$M$16)</f>
        <v>2.056625814276725E-2</v>
      </c>
      <c r="P166" s="114">
        <f>GasModel($I$166,"O2_B&amp;K",$D$166,$F$166,$B$166,$C$166,$G$166,$H$166,$M$17)</f>
        <v>1.0109776967749123E-2</v>
      </c>
      <c r="Q166" s="114">
        <f>GasModel($I$166,"CO2_Weiss_F",$D$166,$F$166,$B$166,$C$166,$G$166,$H$166,$M$18)</f>
        <v>3.0351140404675055E-4</v>
      </c>
      <c r="R166" s="114">
        <f>GasModel($I$166,"CH4_Wies",$D$166,$F$166,$B$166,$C$166,$G$166,$H$166,$M$19)</f>
        <v>7.4557524706330272E-8</v>
      </c>
      <c r="S166" s="114">
        <f>GasModel($I$166,"H2_Wies",$D$166,$F$166,$B$166,$C$166,$G$166,$H$166,$M$20)</f>
        <v>1.7554034495746315E-8</v>
      </c>
      <c r="T166" s="114">
        <f>GasModel($I$166,"N2O_Weiss_F",$D$166,$F$166,$B$166,$C$166,$G$166,$H$166,$M$21)</f>
        <v>2.0740684920899565E-7</v>
      </c>
      <c r="U166" s="114">
        <f>$L$166/$K$166</f>
        <v>1461.5890262156729</v>
      </c>
      <c r="V166" s="114">
        <f>$M$166/$N$166</f>
        <v>8.1104678445207838</v>
      </c>
      <c r="W166" s="114">
        <f>$N$166/$K$166</f>
        <v>3.6377773537437604E-2</v>
      </c>
      <c r="X166" s="114">
        <f>$M$166/$L$166</f>
        <v>2.0186301158442769E-4</v>
      </c>
      <c r="Y166" s="114">
        <f>$O$166/$L$166</f>
        <v>42.1770906910997</v>
      </c>
      <c r="Z166" s="114" t="e">
        <f>$I$166/$I$166</f>
        <v>#VALUE!</v>
      </c>
    </row>
    <row r="167" spans="1:26">
      <c r="A167" s="114" t="s">
        <v>824</v>
      </c>
      <c r="B167" s="114">
        <f t="shared" si="14"/>
        <v>0.60581683578000001</v>
      </c>
      <c r="C167" s="114">
        <f t="shared" si="15"/>
        <v>61.585365853658502</v>
      </c>
      <c r="D167" s="114">
        <f t="shared" si="12"/>
        <v>20.790000915499999</v>
      </c>
      <c r="E167" s="114">
        <v>0</v>
      </c>
      <c r="F167" s="114">
        <v>200</v>
      </c>
      <c r="G167" s="114">
        <f t="shared" si="17"/>
        <v>0.5</v>
      </c>
      <c r="H167" s="114">
        <f t="shared" si="18"/>
        <v>0</v>
      </c>
      <c r="I167" s="114" t="s">
        <v>16</v>
      </c>
      <c r="J167" s="114">
        <f>GasModel($I$167,"He_Weiss",$D$167,$F$167,$B$167,$C$167,$G$167,$H$167,$M$11)</f>
        <v>8.4934856364121299E-8</v>
      </c>
      <c r="K167" s="114">
        <f>GasModel($I$167,"Ne_Weiss",$D$167,$F$167,$B$167,$C$167,$G$167,$H$167,$M$12)</f>
        <v>3.4741875192680756E-7</v>
      </c>
      <c r="L167" s="114">
        <f>GasModel($I$167,"Ar_Weiss",$D$167,$F$167,$B$167,$C$167,$G$167,$H$167,$M$13)</f>
        <v>5.3275581310927511E-4</v>
      </c>
      <c r="M167" s="114">
        <f>GasModel($I$167,"Kr_Weiss",$D$167,$F$167,$B$167,$C$167,$G$167,$H$167,$M$14)</f>
        <v>1.0992918393561641E-7</v>
      </c>
      <c r="N167" s="114">
        <f>GasModel($I$167,"Xe_Clvr",$D$167,$F$167,$B$167,$C$167,$G$167,$H$167,$M$15)</f>
        <v>1.365232485394196E-8</v>
      </c>
      <c r="O167" s="114">
        <f>GasModel($I$167,"N2_Weiss",$D$167,$F$167,$B$167,$C$167,$G$167,$H$167,$M$16)</f>
        <v>2.1725359510783904E-2</v>
      </c>
      <c r="P167" s="114">
        <f>GasModel($I$167,"O2_B&amp;K",$D$167,$F$167,$B$167,$C$167,$G$167,$H$167,$M$17)</f>
        <v>1.1001350339600733E-2</v>
      </c>
      <c r="Q167" s="114">
        <f>GasModel($I$167,"CO2_Weiss_F",$D$167,$F$167,$B$167,$C$167,$G$167,$H$167,$M$18)</f>
        <v>3.1821294884630568E-4</v>
      </c>
      <c r="R167" s="114">
        <f>GasModel($I$167,"CH4_Wies",$D$167,$F$167,$B$167,$C$167,$G$167,$H$167,$M$19)</f>
        <v>8.1511981092207761E-8</v>
      </c>
      <c r="S167" s="114">
        <f>GasModel($I$167,"H2_Wies",$D$167,$F$167,$B$167,$C$167,$G$167,$H$167,$M$20)</f>
        <v>1.8660859313267657E-8</v>
      </c>
      <c r="T167" s="114">
        <f>GasModel($I$167,"N2O_Weiss_F",$D$167,$F$167,$B$167,$C$167,$G$167,$H$167,$M$21)</f>
        <v>2.2007535030380514E-7</v>
      </c>
      <c r="U167" s="114">
        <f>$L$167/$K$167</f>
        <v>1533.4687899100893</v>
      </c>
      <c r="V167" s="114">
        <f>$M$167/$N$167</f>
        <v>8.0520486519096828</v>
      </c>
      <c r="W167" s="114">
        <f>$N$167/$K$167</f>
        <v>3.9296453568568923E-2</v>
      </c>
      <c r="X167" s="114">
        <f>$M$167/$L$167</f>
        <v>2.063406559452567E-4</v>
      </c>
      <c r="Y167" s="114">
        <f>$O$167/$L$167</f>
        <v>40.77920686400423</v>
      </c>
      <c r="Z167" s="114" t="e">
        <f>$I$167/$I$167</f>
        <v>#VALUE!</v>
      </c>
    </row>
    <row r="168" spans="1:26">
      <c r="A168" s="114" t="s">
        <v>825</v>
      </c>
      <c r="B168" s="114">
        <f t="shared" si="14"/>
        <v>0.60581683578000001</v>
      </c>
      <c r="C168" s="114">
        <f t="shared" si="15"/>
        <v>61.585365853658502</v>
      </c>
      <c r="D168" s="114">
        <f t="shared" si="12"/>
        <v>20.790000915499999</v>
      </c>
      <c r="E168" s="114">
        <v>0</v>
      </c>
      <c r="F168" s="114">
        <f t="shared" ref="F168:F174" si="19">$T$4</f>
        <v>20</v>
      </c>
      <c r="G168" s="114">
        <f t="shared" si="17"/>
        <v>0.5</v>
      </c>
      <c r="H168" s="114">
        <v>0</v>
      </c>
      <c r="I168" s="114" t="s">
        <v>16</v>
      </c>
      <c r="J168" s="114">
        <f>GasModel($I$168,"He_Weiss",$D$168,$F$168,$B$168,$C$168,$G$168,$H$168,$M$11)</f>
        <v>6.8157205689826963E-8</v>
      </c>
      <c r="K168" s="114">
        <f>GasModel($I$168,"Ne_Weiss",$D$168,$F$168,$B$168,$C$168,$G$168,$H$168,$M$12)</f>
        <v>2.7293680099932724E-7</v>
      </c>
      <c r="L168" s="114">
        <f>GasModel($I$168,"Ar_Weiss",$D$168,$F$168,$B$168,$C$168,$G$168,$H$168,$M$13)</f>
        <v>3.7504848261378623E-4</v>
      </c>
      <c r="M168" s="114">
        <f>GasModel($I$168,"Kr_Weiss",$D$168,$F$168,$B$168,$C$168,$G$168,$H$168,$M$14)</f>
        <v>7.7276637146363777E-8</v>
      </c>
      <c r="N168" s="114">
        <f>GasModel($I$168,"Xe_Clvr",$D$168,$F$168,$B$168,$C$168,$G$168,$H$168,$M$15)</f>
        <v>9.9792049503835615E-9</v>
      </c>
      <c r="O168" s="114">
        <f>GasModel($I$168,"N2_Weiss",$D$168,$F$168,$B$168,$C$168,$G$168,$H$168,$M$16)</f>
        <v>1.6283929116805592E-2</v>
      </c>
      <c r="P168" s="114">
        <f>GasModel($I$168,"O2_B&amp;K",$D$168,$F$168,$B$168,$C$168,$G$168,$H$168,$M$17)</f>
        <v>7.7773445458129593E-3</v>
      </c>
      <c r="Q168" s="114">
        <f>GasModel($I$168,"CO2_Weiss_F",$D$168,$F$168,$B$168,$C$168,$G$168,$H$168,$M$18)</f>
        <v>2.9047492852004361E-4</v>
      </c>
      <c r="R168" s="114">
        <f>GasModel($I$168,"CH4_Wies",$D$168,$F$168,$B$168,$C$168,$G$168,$H$168,$M$19)</f>
        <v>5.7348922630015537E-8</v>
      </c>
      <c r="S168" s="114">
        <f>GasModel($I$168,"H2_Wies",$D$168,$F$168,$B$168,$C$168,$G$168,$H$168,$M$20)</f>
        <v>1.3757221933310093E-8</v>
      </c>
      <c r="T168" s="114">
        <f>GasModel($I$168,"N2O_Weiss_F",$D$168,$F$168,$B$168,$C$168,$G$168,$H$168,$M$21)</f>
        <v>1.9578158985574901E-7</v>
      </c>
      <c r="U168" s="114">
        <f>$L$168/$K$168</f>
        <v>1374.1220723646961</v>
      </c>
      <c r="V168" s="114">
        <f>$M$168/$N$168</f>
        <v>7.7437669163607632</v>
      </c>
      <c r="W168" s="114">
        <f>$N$168/$K$168</f>
        <v>3.6562328399269831E-2</v>
      </c>
      <c r="X168" s="114">
        <f>$M$168/$L$168</f>
        <v>2.0604439353495788E-4</v>
      </c>
      <c r="Y168" s="114">
        <f>$O$168/$L$168</f>
        <v>43.418197570937245</v>
      </c>
      <c r="Z168" s="114" t="e">
        <f>$I$168/$I$168</f>
        <v>#VALUE!</v>
      </c>
    </row>
    <row r="169" spans="1:26">
      <c r="A169" s="114" t="s">
        <v>825</v>
      </c>
      <c r="B169" s="114">
        <f t="shared" si="14"/>
        <v>0.60581683578000001</v>
      </c>
      <c r="C169" s="114">
        <f t="shared" si="15"/>
        <v>61.585365853658502</v>
      </c>
      <c r="D169" s="114">
        <f t="shared" si="12"/>
        <v>20.790000915499999</v>
      </c>
      <c r="E169" s="114">
        <v>0</v>
      </c>
      <c r="F169" s="114">
        <f t="shared" si="19"/>
        <v>20</v>
      </c>
      <c r="G169" s="114">
        <f t="shared" si="17"/>
        <v>0.5</v>
      </c>
      <c r="H169" s="114">
        <v>1</v>
      </c>
      <c r="I169" s="114" t="s">
        <v>16</v>
      </c>
      <c r="J169" s="114">
        <f>GasModel($I$169,"He_Weiss",$D$169,$F$169,$B$169,$C$169,$G$169,$H$169,$M$11)</f>
        <v>6.8157205689826963E-8</v>
      </c>
      <c r="K169" s="114">
        <f>GasModel($I$169,"Ne_Weiss",$D$169,$F$169,$B$169,$C$169,$G$169,$H$169,$M$12)</f>
        <v>2.7293680099932724E-7</v>
      </c>
      <c r="L169" s="114">
        <f>GasModel($I$169,"Ar_Weiss",$D$169,$F$169,$B$169,$C$169,$G$169,$H$169,$M$13)</f>
        <v>3.7504848261378623E-4</v>
      </c>
      <c r="M169" s="114">
        <f>GasModel($I$169,"Kr_Weiss",$D$169,$F$169,$B$169,$C$169,$G$169,$H$169,$M$14)</f>
        <v>7.7276637146363777E-8</v>
      </c>
      <c r="N169" s="114">
        <f>GasModel($I$169,"Xe_Clvr",$D$169,$F$169,$B$169,$C$169,$G$169,$H$169,$M$15)</f>
        <v>9.9792049503835615E-9</v>
      </c>
      <c r="O169" s="114">
        <f>GasModel($I$169,"N2_Weiss",$D$169,$F$169,$B$169,$C$169,$G$169,$H$169,$M$16)</f>
        <v>1.7083289628396319E-2</v>
      </c>
      <c r="P169" s="114">
        <f>GasModel($I$169,"O2_B&amp;K",$D$169,$F$169,$B$169,$C$169,$G$169,$H$169,$M$17)</f>
        <v>7.7773445458129593E-3</v>
      </c>
      <c r="Q169" s="114">
        <f>GasModel($I$169,"CO2_Weiss_F",$D$169,$F$169,$B$169,$C$169,$G$169,$H$169,$M$18)</f>
        <v>2.9047492852004361E-4</v>
      </c>
      <c r="R169" s="114">
        <f>GasModel($I$169,"CH4_Wies",$D$169,$F$169,$B$169,$C$169,$G$169,$H$169,$M$19)</f>
        <v>5.7348922630015537E-8</v>
      </c>
      <c r="S169" s="114">
        <f>GasModel($I$169,"H2_Wies",$D$169,$F$169,$B$169,$C$169,$G$169,$H$169,$M$20)</f>
        <v>1.3757221933310093E-8</v>
      </c>
      <c r="T169" s="114">
        <f>GasModel($I$169,"N2O_Weiss_F",$D$169,$F$169,$B$169,$C$169,$G$169,$H$169,$M$21)</f>
        <v>1.9578158985574901E-7</v>
      </c>
      <c r="U169" s="114">
        <f>$L$169/$K$169</f>
        <v>1374.1220723646961</v>
      </c>
      <c r="V169" s="114">
        <f>$M$169/$N$169</f>
        <v>7.7437669163607632</v>
      </c>
      <c r="W169" s="114">
        <f>$N$169/$K$169</f>
        <v>3.6562328399269831E-2</v>
      </c>
      <c r="X169" s="114">
        <f>$M$169/$L$169</f>
        <v>2.0604439353495788E-4</v>
      </c>
      <c r="Y169" s="114">
        <f>$O$169/$L$169</f>
        <v>45.549550045742173</v>
      </c>
      <c r="Z169" s="114" t="e">
        <f>$I$169/$I$169</f>
        <v>#VALUE!</v>
      </c>
    </row>
    <row r="170" spans="1:26">
      <c r="A170" s="114" t="s">
        <v>825</v>
      </c>
      <c r="B170" s="114">
        <f t="shared" si="14"/>
        <v>0.60581683578000001</v>
      </c>
      <c r="C170" s="114">
        <f t="shared" si="15"/>
        <v>61.585365853658502</v>
      </c>
      <c r="D170" s="114">
        <f t="shared" si="12"/>
        <v>20.790000915499999</v>
      </c>
      <c r="E170" s="114">
        <v>0</v>
      </c>
      <c r="F170" s="114">
        <f t="shared" si="19"/>
        <v>20</v>
      </c>
      <c r="G170" s="114">
        <f t="shared" si="17"/>
        <v>0.5</v>
      </c>
      <c r="H170" s="114">
        <v>2</v>
      </c>
      <c r="I170" s="114" t="s">
        <v>16</v>
      </c>
      <c r="J170" s="114">
        <f>GasModel($I$170,"He_Weiss",$D$170,$F$170,$B$170,$C$170,$G$170,$H$170,$M$11)</f>
        <v>6.8157205689826963E-8</v>
      </c>
      <c r="K170" s="114">
        <f>GasModel($I$170,"Ne_Weiss",$D$170,$F$170,$B$170,$C$170,$G$170,$H$170,$M$12)</f>
        <v>2.7293680099932724E-7</v>
      </c>
      <c r="L170" s="114">
        <f>GasModel($I$170,"Ar_Weiss",$D$170,$F$170,$B$170,$C$170,$G$170,$H$170,$M$13)</f>
        <v>3.7504848261378623E-4</v>
      </c>
      <c r="M170" s="114">
        <f>GasModel($I$170,"Kr_Weiss",$D$170,$F$170,$B$170,$C$170,$G$170,$H$170,$M$14)</f>
        <v>7.7276637146363777E-8</v>
      </c>
      <c r="N170" s="114">
        <f>GasModel($I$170,"Xe_Clvr",$D$170,$F$170,$B$170,$C$170,$G$170,$H$170,$M$15)</f>
        <v>9.9792049503835615E-9</v>
      </c>
      <c r="O170" s="114">
        <f>GasModel($I$170,"N2_Weiss",$D$170,$F$170,$B$170,$C$170,$G$170,$H$170,$M$16)</f>
        <v>1.7882650139987046E-2</v>
      </c>
      <c r="P170" s="114">
        <f>GasModel($I$170,"O2_B&amp;K",$D$170,$F$170,$B$170,$C$170,$G$170,$H$170,$M$17)</f>
        <v>7.7773445458129593E-3</v>
      </c>
      <c r="Q170" s="114">
        <f>GasModel($I$170,"CO2_Weiss_F",$D$170,$F$170,$B$170,$C$170,$G$170,$H$170,$M$18)</f>
        <v>2.9047492852004361E-4</v>
      </c>
      <c r="R170" s="114">
        <f>GasModel($I$170,"CH4_Wies",$D$170,$F$170,$B$170,$C$170,$G$170,$H$170,$M$19)</f>
        <v>5.7348922630015537E-8</v>
      </c>
      <c r="S170" s="114">
        <f>GasModel($I$170,"H2_Wies",$D$170,$F$170,$B$170,$C$170,$G$170,$H$170,$M$20)</f>
        <v>1.3757221933310093E-8</v>
      </c>
      <c r="T170" s="114">
        <f>GasModel($I$170,"N2O_Weiss_F",$D$170,$F$170,$B$170,$C$170,$G$170,$H$170,$M$21)</f>
        <v>1.9578158985574901E-7</v>
      </c>
      <c r="U170" s="114">
        <f>$L$170/$K$170</f>
        <v>1374.1220723646961</v>
      </c>
      <c r="V170" s="114">
        <f>$M$170/$N$170</f>
        <v>7.7437669163607632</v>
      </c>
      <c r="W170" s="114">
        <f>$N$170/$K$170</f>
        <v>3.6562328399269831E-2</v>
      </c>
      <c r="X170" s="114">
        <f>$M$170/$L$170</f>
        <v>2.0604439353495788E-4</v>
      </c>
      <c r="Y170" s="114">
        <f>$O$170/$L$170</f>
        <v>47.6809025205471</v>
      </c>
      <c r="Z170" s="114" t="e">
        <f>$I$170/$I$170</f>
        <v>#VALUE!</v>
      </c>
    </row>
    <row r="171" spans="1:26">
      <c r="A171" s="114" t="s">
        <v>825</v>
      </c>
      <c r="B171" s="114">
        <f t="shared" si="14"/>
        <v>0.60581683578000001</v>
      </c>
      <c r="C171" s="114">
        <f t="shared" si="15"/>
        <v>61.585365853658502</v>
      </c>
      <c r="D171" s="114">
        <f t="shared" si="12"/>
        <v>20.790000915499999</v>
      </c>
      <c r="E171" s="114">
        <v>0</v>
      </c>
      <c r="F171" s="114">
        <f t="shared" si="19"/>
        <v>20</v>
      </c>
      <c r="G171" s="114">
        <f t="shared" si="17"/>
        <v>0.5</v>
      </c>
      <c r="H171" s="114">
        <v>3</v>
      </c>
      <c r="I171" s="114" t="s">
        <v>16</v>
      </c>
      <c r="J171" s="114">
        <f>GasModel($I$171,"He_Weiss",$D$171,$F$171,$B$171,$C$171,$G$171,$H$171,$M$11)</f>
        <v>6.8157205689826963E-8</v>
      </c>
      <c r="K171" s="114">
        <f>GasModel($I$171,"Ne_Weiss",$D$171,$F$171,$B$171,$C$171,$G$171,$H$171,$M$12)</f>
        <v>2.7293680099932724E-7</v>
      </c>
      <c r="L171" s="114">
        <f>GasModel($I$171,"Ar_Weiss",$D$171,$F$171,$B$171,$C$171,$G$171,$H$171,$M$13)</f>
        <v>3.7504848261378623E-4</v>
      </c>
      <c r="M171" s="114">
        <f>GasModel($I$171,"Kr_Weiss",$D$171,$F$171,$B$171,$C$171,$G$171,$H$171,$M$14)</f>
        <v>7.7276637146363777E-8</v>
      </c>
      <c r="N171" s="114">
        <f>GasModel($I$171,"Xe_Clvr",$D$171,$F$171,$B$171,$C$171,$G$171,$H$171,$M$15)</f>
        <v>9.9792049503835615E-9</v>
      </c>
      <c r="O171" s="114">
        <f>GasModel($I$171,"N2_Weiss",$D$171,$F$171,$B$171,$C$171,$G$171,$H$171,$M$16)</f>
        <v>1.8682010651577773E-2</v>
      </c>
      <c r="P171" s="114">
        <f>GasModel($I$171,"O2_B&amp;K",$D$171,$F$171,$B$171,$C$171,$G$171,$H$171,$M$17)</f>
        <v>7.7773445458129593E-3</v>
      </c>
      <c r="Q171" s="114">
        <f>GasModel($I$171,"CO2_Weiss_F",$D$171,$F$171,$B$171,$C$171,$G$171,$H$171,$M$18)</f>
        <v>2.9047492852004361E-4</v>
      </c>
      <c r="R171" s="114">
        <f>GasModel($I$171,"CH4_Wies",$D$171,$F$171,$B$171,$C$171,$G$171,$H$171,$M$19)</f>
        <v>5.7348922630015537E-8</v>
      </c>
      <c r="S171" s="114">
        <f>GasModel($I$171,"H2_Wies",$D$171,$F$171,$B$171,$C$171,$G$171,$H$171,$M$20)</f>
        <v>1.3757221933310093E-8</v>
      </c>
      <c r="T171" s="114">
        <f>GasModel($I$171,"N2O_Weiss_F",$D$171,$F$171,$B$171,$C$171,$G$171,$H$171,$M$21)</f>
        <v>1.9578158985574901E-7</v>
      </c>
      <c r="U171" s="114">
        <f>$L$171/$K$171</f>
        <v>1374.1220723646961</v>
      </c>
      <c r="V171" s="114">
        <f>$M$171/$N$171</f>
        <v>7.7437669163607632</v>
      </c>
      <c r="W171" s="114">
        <f>$N$171/$K$171</f>
        <v>3.6562328399269831E-2</v>
      </c>
      <c r="X171" s="114">
        <f>$M$171/$L$171</f>
        <v>2.0604439353495788E-4</v>
      </c>
      <c r="Y171" s="114">
        <f>$O$171/$L$171</f>
        <v>49.812254995352035</v>
      </c>
      <c r="Z171" s="114" t="e">
        <f>$I$171/$I$171</f>
        <v>#VALUE!</v>
      </c>
    </row>
    <row r="172" spans="1:26">
      <c r="A172" s="114" t="s">
        <v>825</v>
      </c>
      <c r="B172" s="114">
        <f t="shared" si="14"/>
        <v>0.60581683578000001</v>
      </c>
      <c r="C172" s="114">
        <f t="shared" si="15"/>
        <v>61.585365853658502</v>
      </c>
      <c r="D172" s="114">
        <f t="shared" si="12"/>
        <v>20.790000915499999</v>
      </c>
      <c r="E172" s="114">
        <v>0</v>
      </c>
      <c r="F172" s="114">
        <f t="shared" si="19"/>
        <v>20</v>
      </c>
      <c r="G172" s="114">
        <f t="shared" si="17"/>
        <v>0.5</v>
      </c>
      <c r="H172" s="114">
        <v>4</v>
      </c>
      <c r="I172" s="114" t="s">
        <v>16</v>
      </c>
      <c r="J172" s="114">
        <f>GasModel($I$172,"He_Weiss",$D$172,$F$172,$B$172,$C$172,$G$172,$H$172,$M$11)</f>
        <v>6.8157205689826963E-8</v>
      </c>
      <c r="K172" s="114">
        <f>GasModel($I$172,"Ne_Weiss",$D$172,$F$172,$B$172,$C$172,$G$172,$H$172,$M$12)</f>
        <v>2.7293680099932724E-7</v>
      </c>
      <c r="L172" s="114">
        <f>GasModel($I$172,"Ar_Weiss",$D$172,$F$172,$B$172,$C$172,$G$172,$H$172,$M$13)</f>
        <v>3.7504848261378623E-4</v>
      </c>
      <c r="M172" s="114">
        <f>GasModel($I$172,"Kr_Weiss",$D$172,$F$172,$B$172,$C$172,$G$172,$H$172,$M$14)</f>
        <v>7.7276637146363777E-8</v>
      </c>
      <c r="N172" s="114">
        <f>GasModel($I$172,"Xe_Clvr",$D$172,$F$172,$B$172,$C$172,$G$172,$H$172,$M$15)</f>
        <v>9.9792049503835615E-9</v>
      </c>
      <c r="O172" s="114">
        <f>GasModel($I$172,"N2_Weiss",$D$172,$F$172,$B$172,$C$172,$G$172,$H$172,$M$16)</f>
        <v>1.9481371163168504E-2</v>
      </c>
      <c r="P172" s="114">
        <f>GasModel($I$172,"O2_B&amp;K",$D$172,$F$172,$B$172,$C$172,$G$172,$H$172,$M$17)</f>
        <v>7.7773445458129593E-3</v>
      </c>
      <c r="Q172" s="114">
        <f>GasModel($I$172,"CO2_Weiss_F",$D$172,$F$172,$B$172,$C$172,$G$172,$H$172,$M$18)</f>
        <v>2.9047492852004361E-4</v>
      </c>
      <c r="R172" s="114">
        <f>GasModel($I$172,"CH4_Wies",$D$172,$F$172,$B$172,$C$172,$G$172,$H$172,$M$19)</f>
        <v>5.7348922630015537E-8</v>
      </c>
      <c r="S172" s="114">
        <f>GasModel($I$172,"H2_Wies",$D$172,$F$172,$B$172,$C$172,$G$172,$H$172,$M$20)</f>
        <v>1.3757221933310093E-8</v>
      </c>
      <c r="T172" s="114">
        <f>GasModel($I$172,"N2O_Weiss_F",$D$172,$F$172,$B$172,$C$172,$G$172,$H$172,$M$21)</f>
        <v>1.9578158985574901E-7</v>
      </c>
      <c r="U172" s="114">
        <f>$L$172/$K$172</f>
        <v>1374.1220723646961</v>
      </c>
      <c r="V172" s="114">
        <f>$M$172/$N$172</f>
        <v>7.7437669163607632</v>
      </c>
      <c r="W172" s="114">
        <f>$N$172/$K$172</f>
        <v>3.6562328399269831E-2</v>
      </c>
      <c r="X172" s="114">
        <f>$M$172/$L$172</f>
        <v>2.0604439353495788E-4</v>
      </c>
      <c r="Y172" s="114">
        <f>$O$172/$L$172</f>
        <v>51.943607470156969</v>
      </c>
      <c r="Z172" s="114" t="e">
        <f>$I$172/$I$172</f>
        <v>#VALUE!</v>
      </c>
    </row>
    <row r="173" spans="1:26">
      <c r="A173" s="114" t="s">
        <v>825</v>
      </c>
      <c r="B173" s="114">
        <f t="shared" si="14"/>
        <v>0.60581683578000001</v>
      </c>
      <c r="C173" s="114">
        <f t="shared" si="15"/>
        <v>61.585365853658502</v>
      </c>
      <c r="D173" s="114">
        <f t="shared" si="12"/>
        <v>20.790000915499999</v>
      </c>
      <c r="E173" s="114">
        <v>0</v>
      </c>
      <c r="F173" s="114">
        <f t="shared" si="19"/>
        <v>20</v>
      </c>
      <c r="G173" s="114">
        <f t="shared" si="17"/>
        <v>0.5</v>
      </c>
      <c r="H173" s="114">
        <v>5</v>
      </c>
      <c r="I173" s="114" t="s">
        <v>16</v>
      </c>
      <c r="J173" s="114">
        <f>GasModel($I$173,"He_Weiss",$D$173,$F$173,$B$173,$C$173,$G$173,$H$173,$M$11)</f>
        <v>6.8157205689826963E-8</v>
      </c>
      <c r="K173" s="114">
        <f>GasModel($I$173,"Ne_Weiss",$D$173,$F$173,$B$173,$C$173,$G$173,$H$173,$M$12)</f>
        <v>2.7293680099932724E-7</v>
      </c>
      <c r="L173" s="114">
        <f>GasModel($I$173,"Ar_Weiss",$D$173,$F$173,$B$173,$C$173,$G$173,$H$173,$M$13)</f>
        <v>3.7504848261378623E-4</v>
      </c>
      <c r="M173" s="114">
        <f>GasModel($I$173,"Kr_Weiss",$D$173,$F$173,$B$173,$C$173,$G$173,$H$173,$M$14)</f>
        <v>7.7276637146363777E-8</v>
      </c>
      <c r="N173" s="114">
        <f>GasModel($I$173,"Xe_Clvr",$D$173,$F$173,$B$173,$C$173,$G$173,$H$173,$M$15)</f>
        <v>9.9792049503835615E-9</v>
      </c>
      <c r="O173" s="114">
        <f>GasModel($I$173,"N2_Weiss",$D$173,$F$173,$B$173,$C$173,$G$173,$H$173,$M$16)</f>
        <v>2.0280731674759231E-2</v>
      </c>
      <c r="P173" s="114">
        <f>GasModel($I$173,"O2_B&amp;K",$D$173,$F$173,$B$173,$C$173,$G$173,$H$173,$M$17)</f>
        <v>7.7773445458129593E-3</v>
      </c>
      <c r="Q173" s="114">
        <f>GasModel($I$173,"CO2_Weiss_F",$D$173,$F$173,$B$173,$C$173,$G$173,$H$173,$M$18)</f>
        <v>2.9047492852004361E-4</v>
      </c>
      <c r="R173" s="114">
        <f>GasModel($I$173,"CH4_Wies",$D$173,$F$173,$B$173,$C$173,$G$173,$H$173,$M$19)</f>
        <v>5.7348922630015537E-8</v>
      </c>
      <c r="S173" s="114">
        <f>GasModel($I$173,"H2_Wies",$D$173,$F$173,$B$173,$C$173,$G$173,$H$173,$M$20)</f>
        <v>1.3757221933310093E-8</v>
      </c>
      <c r="T173" s="114">
        <f>GasModel($I$173,"N2O_Weiss_F",$D$173,$F$173,$B$173,$C$173,$G$173,$H$173,$M$21)</f>
        <v>1.9578158985574901E-7</v>
      </c>
      <c r="U173" s="114">
        <f>$L$173/$K$173</f>
        <v>1374.1220723646961</v>
      </c>
      <c r="V173" s="114">
        <f>$M$173/$N$173</f>
        <v>7.7437669163607632</v>
      </c>
      <c r="W173" s="114">
        <f>$N$173/$K$173</f>
        <v>3.6562328399269831E-2</v>
      </c>
      <c r="X173" s="114">
        <f>$M$173/$L$173</f>
        <v>2.0604439353495788E-4</v>
      </c>
      <c r="Y173" s="114">
        <f>$O$173/$L$173</f>
        <v>54.074959944961904</v>
      </c>
      <c r="Z173" s="114" t="e">
        <f>$I$173/$I$173</f>
        <v>#VALUE!</v>
      </c>
    </row>
    <row r="174" spans="1:26">
      <c r="A174" s="114" t="s">
        <v>825</v>
      </c>
      <c r="B174" s="114">
        <f t="shared" si="14"/>
        <v>0.60581683578000001</v>
      </c>
      <c r="C174" s="114">
        <f t="shared" si="15"/>
        <v>61.585365853658502</v>
      </c>
      <c r="D174" s="114">
        <f t="shared" si="12"/>
        <v>20.790000915499999</v>
      </c>
      <c r="E174" s="114">
        <v>0</v>
      </c>
      <c r="F174" s="114">
        <f t="shared" si="19"/>
        <v>20</v>
      </c>
      <c r="G174" s="114">
        <f t="shared" si="17"/>
        <v>0.5</v>
      </c>
      <c r="H174" s="114">
        <v>10</v>
      </c>
      <c r="I174" s="114" t="s">
        <v>16</v>
      </c>
      <c r="J174" s="114">
        <f>GasModel($I$174,"He_Weiss",$D$174,$F$174,$B$174,$C$174,$G$174,$H$174,$M$11)</f>
        <v>6.8157205689826963E-8</v>
      </c>
      <c r="K174" s="114">
        <f>GasModel($I$174,"Ne_Weiss",$D$174,$F$174,$B$174,$C$174,$G$174,$H$174,$M$12)</f>
        <v>2.7293680099932724E-7</v>
      </c>
      <c r="L174" s="114">
        <f>GasModel($I$174,"Ar_Weiss",$D$174,$F$174,$B$174,$C$174,$G$174,$H$174,$M$13)</f>
        <v>3.7504848261378623E-4</v>
      </c>
      <c r="M174" s="114">
        <f>GasModel($I$174,"Kr_Weiss",$D$174,$F$174,$B$174,$C$174,$G$174,$H$174,$M$14)</f>
        <v>7.7276637146363777E-8</v>
      </c>
      <c r="N174" s="114">
        <f>GasModel($I$174,"Xe_Clvr",$D$174,$F$174,$B$174,$C$174,$G$174,$H$174,$M$15)</f>
        <v>9.9792049503835615E-9</v>
      </c>
      <c r="O174" s="114">
        <f>GasModel($I$174,"N2_Weiss",$D$174,$F$174,$B$174,$C$174,$G$174,$H$174,$M$16)</f>
        <v>2.427753423271287E-2</v>
      </c>
      <c r="P174" s="114">
        <f>GasModel($I$174,"O2_B&amp;K",$D$174,$F$174,$B$174,$C$174,$G$174,$H$174,$M$17)</f>
        <v>7.7773445458129593E-3</v>
      </c>
      <c r="Q174" s="114">
        <f>GasModel($I$174,"CO2_Weiss_F",$D$174,$F$174,$B$174,$C$174,$G$174,$H$174,$M$18)</f>
        <v>2.9047492852004361E-4</v>
      </c>
      <c r="R174" s="114">
        <f>GasModel($I$174,"CH4_Wies",$D$174,$F$174,$B$174,$C$174,$G$174,$H$174,$M$19)</f>
        <v>5.7348922630015537E-8</v>
      </c>
      <c r="S174" s="114">
        <f>GasModel($I$174,"H2_Wies",$D$174,$F$174,$B$174,$C$174,$G$174,$H$174,$M$20)</f>
        <v>1.3757221933310093E-8</v>
      </c>
      <c r="T174" s="114">
        <f>GasModel($I$174,"N2O_Weiss_F",$D$174,$F$174,$B$174,$C$174,$G$174,$H$174,$M$21)</f>
        <v>1.9578158985574901E-7</v>
      </c>
      <c r="U174" s="114">
        <f>$L$174/$K$174</f>
        <v>1374.1220723646961</v>
      </c>
      <c r="V174" s="114">
        <f>$M$174/$N$174</f>
        <v>7.7437669163607632</v>
      </c>
      <c r="W174" s="114">
        <f>$N$174/$K$174</f>
        <v>3.6562328399269831E-2</v>
      </c>
      <c r="X174" s="114">
        <f>$M$174/$L$174</f>
        <v>2.0604439353495788E-4</v>
      </c>
      <c r="Y174" s="114">
        <f>$O$174/$L$174</f>
        <v>64.731722318986556</v>
      </c>
      <c r="Z174" s="114" t="e">
        <f>$I$174/$I$174</f>
        <v>#VALUE!</v>
      </c>
    </row>
  </sheetData>
  <mergeCells count="75">
    <mergeCell ref="N1:T1"/>
    <mergeCell ref="N2:Q2"/>
    <mergeCell ref="S2:T2"/>
    <mergeCell ref="A105:Z105"/>
    <mergeCell ref="A10:B10"/>
    <mergeCell ref="C1:I1"/>
    <mergeCell ref="C2:F2"/>
    <mergeCell ref="H2:I2"/>
    <mergeCell ref="A35:Z35"/>
    <mergeCell ref="J106:Z106"/>
    <mergeCell ref="AC2:AC3"/>
    <mergeCell ref="AD2:AD3"/>
    <mergeCell ref="AE2:AE3"/>
    <mergeCell ref="AF2:AF3"/>
    <mergeCell ref="J36:Z36"/>
    <mergeCell ref="L10:M10"/>
    <mergeCell ref="AB1:AG1"/>
    <mergeCell ref="AI2:AI3"/>
    <mergeCell ref="AJ2:AJ3"/>
    <mergeCell ref="AK2:AK3"/>
    <mergeCell ref="AL2:AL3"/>
    <mergeCell ref="AG2:AG3"/>
    <mergeCell ref="AH1:AW1"/>
    <mergeCell ref="AM2:AM3"/>
    <mergeCell ref="AN2:AN3"/>
    <mergeCell ref="AO2:AO3"/>
    <mergeCell ref="AP2:AP3"/>
    <mergeCell ref="AQ2:AQ3"/>
    <mergeCell ref="AR2:AR3"/>
    <mergeCell ref="AH2:AH3"/>
    <mergeCell ref="AS2:AS3"/>
    <mergeCell ref="AT2:AT3"/>
    <mergeCell ref="AU2:AU3"/>
    <mergeCell ref="AV2:AV3"/>
    <mergeCell ref="AW2:AW3"/>
    <mergeCell ref="BI2:BI3"/>
    <mergeCell ref="AX2:AX3"/>
    <mergeCell ref="AY2:AY3"/>
    <mergeCell ref="AZ2:AZ3"/>
    <mergeCell ref="BA2:BA3"/>
    <mergeCell ref="BB2:BB3"/>
    <mergeCell ref="BC2:BC3"/>
    <mergeCell ref="BD2:BD3"/>
    <mergeCell ref="BE2:BE3"/>
    <mergeCell ref="BF2:BF3"/>
    <mergeCell ref="BG2:BG3"/>
    <mergeCell ref="BH2:BH3"/>
    <mergeCell ref="BU2:BU3"/>
    <mergeCell ref="BJ2:BJ3"/>
    <mergeCell ref="BK2:BK3"/>
    <mergeCell ref="BL2:BL3"/>
    <mergeCell ref="BM2:BM3"/>
    <mergeCell ref="BN2:BN3"/>
    <mergeCell ref="BO2:BO3"/>
    <mergeCell ref="BP2:BP3"/>
    <mergeCell ref="BQ2:BQ3"/>
    <mergeCell ref="BR2:BR3"/>
    <mergeCell ref="BS2:BS3"/>
    <mergeCell ref="BT2:BT3"/>
    <mergeCell ref="CH2:CH3"/>
    <mergeCell ref="CI2:CI3"/>
    <mergeCell ref="CJ2:CJ3"/>
    <mergeCell ref="AX1:CJ1"/>
    <mergeCell ref="CB2:CB3"/>
    <mergeCell ref="CC2:CC3"/>
    <mergeCell ref="CD2:CD3"/>
    <mergeCell ref="CE2:CE3"/>
    <mergeCell ref="CF2:CF3"/>
    <mergeCell ref="CG2:CG3"/>
    <mergeCell ref="BV2:BV3"/>
    <mergeCell ref="BW2:BW3"/>
    <mergeCell ref="BX2:BX3"/>
    <mergeCell ref="BY2:BY3"/>
    <mergeCell ref="BZ2:BZ3"/>
    <mergeCell ref="CA2:CA3"/>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21A23-ACB1-4235-AA4A-E9EF58367238}">
  <sheetPr codeName="Sheet4"/>
  <dimension ref="A1:KA54"/>
  <sheetViews>
    <sheetView tabSelected="1" topLeftCell="M1" workbookViewId="0">
      <selection activeCell="A27" sqref="A27:XFD28"/>
    </sheetView>
  </sheetViews>
  <sheetFormatPr defaultColWidth="10.33203125" defaultRowHeight="13.2"/>
  <cols>
    <col min="1" max="1" width="7.6640625" style="94" customWidth="1"/>
    <col min="2" max="2" width="11" style="94" bestFit="1" customWidth="1"/>
    <col min="3" max="3" width="18.77734375" style="94" bestFit="1" customWidth="1"/>
    <col min="4" max="4" width="13" style="95" bestFit="1" customWidth="1"/>
    <col min="5" max="5" width="13.77734375" style="94" bestFit="1" customWidth="1"/>
    <col min="6" max="11" width="10.33203125" style="94"/>
    <col min="12" max="12" width="29.109375" style="94" bestFit="1" customWidth="1"/>
    <col min="13" max="14" width="10.33203125" style="94"/>
    <col min="15" max="15" width="10.33203125" style="96"/>
    <col min="16" max="17" width="10.33203125" style="94"/>
    <col min="18" max="18" width="13" style="94" bestFit="1" customWidth="1"/>
    <col min="19" max="29" width="10.33203125" style="94"/>
    <col min="30" max="30" width="10.33203125" style="94" bestFit="1" customWidth="1"/>
    <col min="31" max="33" width="10.33203125" style="94"/>
    <col min="34" max="34" width="18.109375" style="94" bestFit="1" customWidth="1"/>
    <col min="35" max="35" width="71.77734375" style="94" bestFit="1" customWidth="1"/>
    <col min="36" max="36" width="20" style="94" bestFit="1" customWidth="1"/>
    <col min="37" max="47" width="10.33203125" style="96"/>
    <col min="48" max="16384" width="10.33203125" style="94"/>
  </cols>
  <sheetData>
    <row r="1" spans="1:287" s="93" customFormat="1" ht="13.8">
      <c r="A1" s="155" t="s">
        <v>141</v>
      </c>
      <c r="B1" s="152"/>
      <c r="C1" s="152"/>
      <c r="D1" s="152"/>
      <c r="E1" s="152"/>
      <c r="F1" s="155" t="s">
        <v>328</v>
      </c>
      <c r="G1" s="152"/>
      <c r="H1" s="152"/>
      <c r="I1" s="152"/>
      <c r="J1" s="152"/>
      <c r="K1" s="152"/>
      <c r="L1" s="155" t="s">
        <v>329</v>
      </c>
      <c r="M1" s="152"/>
      <c r="N1" s="152"/>
      <c r="O1" s="152"/>
      <c r="P1" s="152"/>
      <c r="Q1" s="152"/>
      <c r="R1" s="152"/>
      <c r="S1" s="152"/>
      <c r="T1" s="152"/>
      <c r="U1" s="152"/>
      <c r="V1" s="152"/>
      <c r="W1" s="152"/>
      <c r="X1" s="152"/>
      <c r="Y1" s="152"/>
      <c r="Z1" s="152"/>
      <c r="AA1" s="152"/>
      <c r="AB1" s="152"/>
      <c r="AC1" s="152"/>
      <c r="AD1" s="152"/>
      <c r="AE1" s="152"/>
      <c r="AF1" s="152"/>
      <c r="AG1" s="152"/>
      <c r="AH1" s="152"/>
      <c r="AI1" s="152"/>
      <c r="AJ1" s="152"/>
      <c r="AK1" s="157" t="s">
        <v>330</v>
      </c>
      <c r="AL1" s="152"/>
      <c r="AM1" s="152"/>
      <c r="AN1" s="152"/>
      <c r="AO1" s="152"/>
      <c r="AP1" s="152"/>
      <c r="AQ1" s="152"/>
      <c r="AR1" s="152"/>
      <c r="AS1" s="152"/>
      <c r="AT1" s="152"/>
      <c r="AU1" s="152"/>
      <c r="AV1" s="152"/>
      <c r="AW1" s="155" t="s">
        <v>331</v>
      </c>
      <c r="AX1" s="152"/>
      <c r="AY1" s="152"/>
      <c r="AZ1" s="152"/>
      <c r="BA1" s="152"/>
      <c r="BB1" s="152"/>
      <c r="BC1" s="152"/>
      <c r="BD1" s="152"/>
      <c r="BE1" s="152"/>
      <c r="BF1" s="152"/>
      <c r="BG1" s="152"/>
      <c r="BH1" s="152"/>
      <c r="BI1" s="152"/>
      <c r="BJ1" s="152"/>
      <c r="BK1" s="152"/>
      <c r="BL1" s="152"/>
      <c r="BM1" s="152"/>
      <c r="BN1" s="152"/>
      <c r="BO1" s="152"/>
      <c r="BP1" s="152"/>
      <c r="BQ1" s="155" t="s">
        <v>332</v>
      </c>
      <c r="BR1" s="152"/>
      <c r="BS1" s="152"/>
      <c r="BT1" s="152"/>
      <c r="BU1" s="152"/>
      <c r="BV1" s="152"/>
      <c r="BW1" s="152"/>
      <c r="BX1" s="152"/>
      <c r="BY1" s="152"/>
      <c r="BZ1" s="152"/>
      <c r="CA1" s="152"/>
      <c r="CB1" s="152"/>
      <c r="CC1" s="152"/>
      <c r="CD1" s="152"/>
      <c r="CE1" s="152"/>
      <c r="CF1" s="152"/>
      <c r="CG1" s="152"/>
      <c r="CH1" s="152"/>
      <c r="CI1" s="152"/>
      <c r="CJ1" s="152"/>
      <c r="CK1" s="155" t="s">
        <v>333</v>
      </c>
      <c r="CL1" s="152"/>
      <c r="CM1" s="152"/>
      <c r="CN1" s="152"/>
      <c r="CO1" s="152"/>
      <c r="CP1" s="152"/>
      <c r="CQ1" s="152"/>
      <c r="CR1" s="152"/>
      <c r="CS1" s="152"/>
      <c r="CT1" s="152"/>
      <c r="CU1" s="152"/>
      <c r="CV1" s="152"/>
      <c r="CW1" s="152"/>
      <c r="CX1" s="152"/>
      <c r="CY1" s="152"/>
      <c r="CZ1" s="152"/>
      <c r="DA1" s="152"/>
      <c r="DB1" s="152"/>
      <c r="DC1" s="152"/>
      <c r="DD1" s="152"/>
      <c r="DE1" s="155" t="s">
        <v>334</v>
      </c>
      <c r="DF1" s="152"/>
      <c r="DG1" s="152"/>
      <c r="DH1" s="152"/>
      <c r="DI1" s="155" t="s">
        <v>335</v>
      </c>
      <c r="DJ1" s="152"/>
      <c r="DK1" s="152"/>
      <c r="DL1" s="152"/>
      <c r="DM1" s="152"/>
      <c r="DN1" s="152"/>
      <c r="DO1" s="152"/>
      <c r="DP1" s="152"/>
      <c r="DQ1" s="152"/>
      <c r="DR1" s="152"/>
      <c r="DS1" s="155" t="s">
        <v>336</v>
      </c>
      <c r="DT1" s="152"/>
      <c r="DU1" s="152"/>
      <c r="DV1" s="152"/>
      <c r="DW1" s="152"/>
      <c r="DX1" s="152"/>
      <c r="DY1" s="152"/>
      <c r="DZ1" s="152"/>
      <c r="EA1" s="152"/>
      <c r="EB1" s="152"/>
      <c r="EC1" s="155" t="s">
        <v>337</v>
      </c>
      <c r="ED1" s="152"/>
      <c r="EE1" s="152"/>
      <c r="EF1" s="152"/>
      <c r="EG1" s="152"/>
      <c r="EH1" s="152"/>
      <c r="EI1" s="152"/>
      <c r="EJ1" s="152"/>
      <c r="EK1" s="152"/>
      <c r="EL1" s="152"/>
      <c r="EM1" s="155" t="s">
        <v>338</v>
      </c>
      <c r="EN1" s="152"/>
      <c r="EO1" s="152"/>
      <c r="EP1" s="152"/>
      <c r="EQ1" s="152"/>
      <c r="ER1" s="152"/>
      <c r="ES1" s="152"/>
      <c r="ET1" s="152"/>
      <c r="EU1" s="152"/>
      <c r="EV1" s="152"/>
      <c r="EW1" s="155" t="s">
        <v>339</v>
      </c>
      <c r="EX1" s="152"/>
      <c r="EY1" s="152"/>
      <c r="EZ1" s="152"/>
      <c r="FA1" s="152"/>
      <c r="FB1" s="152"/>
      <c r="FC1" s="152"/>
      <c r="FD1" s="152"/>
      <c r="FE1" s="152"/>
      <c r="FF1" s="152"/>
      <c r="FG1" s="155" t="s">
        <v>340</v>
      </c>
      <c r="FH1" s="152"/>
      <c r="FI1" s="152"/>
      <c r="FJ1" s="152"/>
      <c r="FK1" s="152"/>
      <c r="FL1" s="152"/>
      <c r="FM1" s="152"/>
      <c r="FN1" s="152"/>
      <c r="FO1" s="152"/>
      <c r="FP1" s="152"/>
      <c r="FQ1" s="155" t="s">
        <v>341</v>
      </c>
      <c r="FR1" s="152"/>
      <c r="FS1" s="152"/>
      <c r="FT1" s="152"/>
      <c r="FU1" s="152"/>
      <c r="FV1" s="152"/>
      <c r="FW1" s="152"/>
      <c r="FX1" s="152"/>
      <c r="FY1" s="152"/>
      <c r="FZ1" s="152"/>
      <c r="GA1" s="155" t="s">
        <v>342</v>
      </c>
      <c r="GB1" s="152"/>
      <c r="GC1" s="152"/>
      <c r="GD1" s="152"/>
      <c r="GE1" s="152"/>
      <c r="GF1" s="152"/>
      <c r="GG1" s="152"/>
      <c r="GH1" s="152"/>
      <c r="GI1" s="152"/>
      <c r="GJ1" s="152"/>
      <c r="GK1" s="155" t="s">
        <v>343</v>
      </c>
      <c r="GL1" s="152"/>
      <c r="GM1" s="152"/>
      <c r="GN1" s="152"/>
      <c r="GO1" s="152"/>
      <c r="GP1" s="152"/>
      <c r="GQ1" s="152"/>
      <c r="GR1" s="152"/>
      <c r="GS1" s="152"/>
      <c r="GT1" s="152"/>
      <c r="GU1" s="155" t="s">
        <v>344</v>
      </c>
      <c r="GV1" s="152"/>
      <c r="GW1" s="152"/>
      <c r="GX1" s="152"/>
      <c r="GY1" s="152"/>
      <c r="GZ1" s="152"/>
      <c r="HA1" s="152"/>
      <c r="HB1" s="152"/>
      <c r="HC1" s="152"/>
      <c r="HD1" s="152"/>
      <c r="HE1" s="155" t="s">
        <v>345</v>
      </c>
      <c r="HF1" s="152"/>
      <c r="HG1" s="152"/>
      <c r="HH1" s="152"/>
      <c r="HI1" s="152"/>
      <c r="HJ1" s="152"/>
      <c r="HK1" s="152"/>
      <c r="HL1" s="152"/>
      <c r="HM1" s="152"/>
      <c r="HN1" s="152"/>
      <c r="HO1" s="152"/>
      <c r="HP1" s="152"/>
      <c r="HQ1" s="152"/>
      <c r="HR1" s="152"/>
      <c r="HS1" s="152"/>
      <c r="HT1" s="155" t="s">
        <v>346</v>
      </c>
      <c r="HU1" s="152"/>
      <c r="HV1" s="152"/>
      <c r="HW1" s="152"/>
      <c r="HX1" s="152"/>
      <c r="HY1" s="152"/>
      <c r="HZ1" s="152"/>
      <c r="IA1" s="152"/>
      <c r="IB1" s="152"/>
      <c r="IC1" s="152"/>
      <c r="ID1" s="152"/>
      <c r="IE1" s="152"/>
      <c r="IF1" s="152"/>
      <c r="IG1" s="152"/>
      <c r="IH1" s="152"/>
      <c r="II1" s="152"/>
      <c r="IJ1" s="152"/>
      <c r="IK1" s="152"/>
      <c r="IL1" s="152"/>
      <c r="IM1" s="152"/>
      <c r="IN1" s="155" t="s">
        <v>347</v>
      </c>
      <c r="IO1" s="152"/>
      <c r="IP1" s="152"/>
      <c r="IQ1" s="152"/>
      <c r="IR1" s="152"/>
      <c r="IS1" s="152"/>
      <c r="IT1" s="152"/>
      <c r="IU1" s="152"/>
      <c r="IV1" s="152"/>
      <c r="IW1" s="152"/>
      <c r="IX1" s="152"/>
      <c r="IY1" s="152"/>
      <c r="IZ1" s="152"/>
      <c r="JA1" s="152"/>
      <c r="JB1" s="152"/>
      <c r="JC1" s="152"/>
      <c r="JD1" s="152"/>
      <c r="JE1" s="152"/>
      <c r="JF1" s="152"/>
      <c r="JG1" s="152"/>
      <c r="JH1" s="155" t="s">
        <v>348</v>
      </c>
      <c r="JI1" s="152"/>
      <c r="JJ1" s="152"/>
      <c r="JK1" s="152"/>
      <c r="JL1" s="152"/>
      <c r="JM1" s="152"/>
      <c r="JN1" s="152"/>
      <c r="JO1" s="152"/>
      <c r="JP1" s="152"/>
      <c r="JQ1" s="152"/>
      <c r="JR1" s="152"/>
      <c r="JS1" s="152"/>
      <c r="JT1" s="152"/>
      <c r="JU1" s="152"/>
      <c r="JV1" s="152"/>
      <c r="JW1" s="152"/>
      <c r="JX1" s="152"/>
      <c r="JY1" s="152"/>
      <c r="JZ1" s="152"/>
      <c r="KA1" s="152"/>
    </row>
    <row r="2" spans="1:287" s="93" customFormat="1">
      <c r="A2" s="153" t="s">
        <v>142</v>
      </c>
      <c r="B2" s="153" t="s">
        <v>143</v>
      </c>
      <c r="C2" s="153" t="s">
        <v>144</v>
      </c>
      <c r="D2" s="156" t="s">
        <v>145</v>
      </c>
      <c r="E2" s="153" t="s">
        <v>146</v>
      </c>
      <c r="F2" s="153" t="s">
        <v>349</v>
      </c>
      <c r="G2" s="153" t="s">
        <v>350</v>
      </c>
      <c r="H2" s="153" t="s">
        <v>264</v>
      </c>
      <c r="I2" s="153" t="s">
        <v>351</v>
      </c>
      <c r="J2" s="153" t="s">
        <v>147</v>
      </c>
      <c r="K2" s="153" t="s">
        <v>352</v>
      </c>
      <c r="L2" s="153" t="s">
        <v>353</v>
      </c>
      <c r="M2" s="153" t="s">
        <v>354</v>
      </c>
      <c r="N2" s="153" t="s">
        <v>355</v>
      </c>
      <c r="O2" s="154" t="s">
        <v>356</v>
      </c>
      <c r="P2" s="153" t="s">
        <v>357</v>
      </c>
      <c r="Q2" s="153" t="s">
        <v>358</v>
      </c>
      <c r="R2" s="153" t="s">
        <v>217</v>
      </c>
      <c r="S2" s="153" t="s">
        <v>359</v>
      </c>
      <c r="T2" s="153" t="s">
        <v>360</v>
      </c>
      <c r="U2" s="153" t="s">
        <v>361</v>
      </c>
      <c r="V2" s="153" t="s">
        <v>362</v>
      </c>
      <c r="W2" s="153" t="s">
        <v>363</v>
      </c>
      <c r="X2" s="153" t="s">
        <v>364</v>
      </c>
      <c r="Y2" s="153" t="s">
        <v>365</v>
      </c>
      <c r="Z2" s="153" t="s">
        <v>349</v>
      </c>
      <c r="AA2" s="153" t="s">
        <v>366</v>
      </c>
      <c r="AB2" s="153" t="s">
        <v>350</v>
      </c>
      <c r="AC2" s="153" t="s">
        <v>367</v>
      </c>
      <c r="AD2" s="153" t="s">
        <v>368</v>
      </c>
      <c r="AE2" s="153" t="s">
        <v>369</v>
      </c>
      <c r="AF2" s="153" t="s">
        <v>370</v>
      </c>
      <c r="AG2" s="153" t="s">
        <v>371</v>
      </c>
      <c r="AH2" s="153" t="s">
        <v>372</v>
      </c>
      <c r="AI2" s="153" t="s">
        <v>373</v>
      </c>
      <c r="AJ2" s="153" t="s">
        <v>374</v>
      </c>
      <c r="AK2" s="154" t="s">
        <v>375</v>
      </c>
      <c r="AL2" s="154" t="s">
        <v>376</v>
      </c>
      <c r="AM2" s="154" t="s">
        <v>377</v>
      </c>
      <c r="AN2" s="154" t="s">
        <v>378</v>
      </c>
      <c r="AO2" s="154" t="s">
        <v>379</v>
      </c>
      <c r="AP2" s="154" t="s">
        <v>380</v>
      </c>
      <c r="AQ2" s="154" t="s">
        <v>381</v>
      </c>
      <c r="AR2" s="154" t="s">
        <v>382</v>
      </c>
      <c r="AS2" s="154" t="s">
        <v>383</v>
      </c>
      <c r="AT2" s="154" t="s">
        <v>384</v>
      </c>
      <c r="AU2" s="154" t="s">
        <v>385</v>
      </c>
      <c r="AV2" s="154" t="s">
        <v>386</v>
      </c>
      <c r="AW2" s="153" t="s">
        <v>387</v>
      </c>
      <c r="AX2" s="153" t="s">
        <v>388</v>
      </c>
      <c r="AY2" s="153" t="s">
        <v>389</v>
      </c>
      <c r="AZ2" s="153" t="s">
        <v>390</v>
      </c>
      <c r="BA2" s="153" t="s">
        <v>391</v>
      </c>
      <c r="BB2" s="153" t="s">
        <v>392</v>
      </c>
      <c r="BC2" s="153" t="s">
        <v>393</v>
      </c>
      <c r="BD2" s="153" t="s">
        <v>394</v>
      </c>
      <c r="BE2" s="153" t="s">
        <v>395</v>
      </c>
      <c r="BF2" s="153" t="s">
        <v>396</v>
      </c>
      <c r="BG2" s="153" t="s">
        <v>397</v>
      </c>
      <c r="BH2" s="153" t="s">
        <v>398</v>
      </c>
      <c r="BI2" s="153" t="s">
        <v>399</v>
      </c>
      <c r="BJ2" s="153" t="s">
        <v>400</v>
      </c>
      <c r="BK2" s="153" t="s">
        <v>401</v>
      </c>
      <c r="BL2" s="153" t="s">
        <v>402</v>
      </c>
      <c r="BM2" s="153" t="s">
        <v>403</v>
      </c>
      <c r="BN2" s="153" t="s">
        <v>404</v>
      </c>
      <c r="BO2" s="153" t="s">
        <v>405</v>
      </c>
      <c r="BP2" s="153" t="s">
        <v>406</v>
      </c>
      <c r="BQ2" s="153" t="s">
        <v>407</v>
      </c>
      <c r="BR2" s="153" t="s">
        <v>408</v>
      </c>
      <c r="BS2" s="153" t="s">
        <v>409</v>
      </c>
      <c r="BT2" s="153" t="s">
        <v>410</v>
      </c>
      <c r="BU2" s="153" t="s">
        <v>411</v>
      </c>
      <c r="BV2" s="153" t="s">
        <v>412</v>
      </c>
      <c r="BW2" s="153" t="s">
        <v>413</v>
      </c>
      <c r="BX2" s="153" t="s">
        <v>414</v>
      </c>
      <c r="BY2" s="153" t="s">
        <v>415</v>
      </c>
      <c r="BZ2" s="153" t="s">
        <v>416</v>
      </c>
      <c r="CA2" s="153" t="s">
        <v>417</v>
      </c>
      <c r="CB2" s="153" t="s">
        <v>418</v>
      </c>
      <c r="CC2" s="153" t="s">
        <v>419</v>
      </c>
      <c r="CD2" s="153" t="s">
        <v>420</v>
      </c>
      <c r="CE2" s="153" t="s">
        <v>421</v>
      </c>
      <c r="CF2" s="153" t="s">
        <v>422</v>
      </c>
      <c r="CG2" s="153" t="s">
        <v>423</v>
      </c>
      <c r="CH2" s="153" t="s">
        <v>424</v>
      </c>
      <c r="CI2" s="153" t="s">
        <v>425</v>
      </c>
      <c r="CJ2" s="153" t="s">
        <v>426</v>
      </c>
      <c r="CK2" s="153" t="s">
        <v>427</v>
      </c>
      <c r="CL2" s="153" t="s">
        <v>428</v>
      </c>
      <c r="CM2" s="153" t="s">
        <v>429</v>
      </c>
      <c r="CN2" s="153" t="s">
        <v>430</v>
      </c>
      <c r="CO2" s="153" t="s">
        <v>431</v>
      </c>
      <c r="CP2" s="153" t="s">
        <v>432</v>
      </c>
      <c r="CQ2" s="153" t="s">
        <v>433</v>
      </c>
      <c r="CR2" s="153" t="s">
        <v>434</v>
      </c>
      <c r="CS2" s="153" t="s">
        <v>435</v>
      </c>
      <c r="CT2" s="153" t="s">
        <v>436</v>
      </c>
      <c r="CU2" s="153" t="s">
        <v>437</v>
      </c>
      <c r="CV2" s="153" t="s">
        <v>438</v>
      </c>
      <c r="CW2" s="153" t="s">
        <v>439</v>
      </c>
      <c r="CX2" s="153" t="s">
        <v>440</v>
      </c>
      <c r="CY2" s="153" t="s">
        <v>441</v>
      </c>
      <c r="CZ2" s="153" t="s">
        <v>442</v>
      </c>
      <c r="DA2" s="153" t="s">
        <v>443</v>
      </c>
      <c r="DB2" s="153" t="s">
        <v>444</v>
      </c>
      <c r="DC2" s="153" t="s">
        <v>445</v>
      </c>
      <c r="DD2" s="153" t="s">
        <v>446</v>
      </c>
      <c r="DE2" s="153" t="s">
        <v>447</v>
      </c>
      <c r="DF2" s="153" t="s">
        <v>448</v>
      </c>
      <c r="DG2" s="153" t="s">
        <v>449</v>
      </c>
      <c r="DH2" s="153" t="s">
        <v>450</v>
      </c>
      <c r="DI2" s="153" t="s">
        <v>451</v>
      </c>
      <c r="DJ2" s="153" t="s">
        <v>452</v>
      </c>
      <c r="DK2" s="153" t="s">
        <v>453</v>
      </c>
      <c r="DL2" s="153" t="s">
        <v>454</v>
      </c>
      <c r="DM2" s="153" t="s">
        <v>455</v>
      </c>
      <c r="DN2" s="153" t="s">
        <v>456</v>
      </c>
      <c r="DO2" s="153" t="s">
        <v>457</v>
      </c>
      <c r="DP2" s="153" t="s">
        <v>458</v>
      </c>
      <c r="DQ2" s="153" t="s">
        <v>459</v>
      </c>
      <c r="DR2" s="153" t="s">
        <v>460</v>
      </c>
      <c r="DS2" s="153" t="s">
        <v>461</v>
      </c>
      <c r="DT2" s="153" t="s">
        <v>462</v>
      </c>
      <c r="DU2" s="153" t="s">
        <v>463</v>
      </c>
      <c r="DV2" s="153" t="s">
        <v>464</v>
      </c>
      <c r="DW2" s="153" t="s">
        <v>465</v>
      </c>
      <c r="DX2" s="153" t="s">
        <v>466</v>
      </c>
      <c r="DY2" s="153" t="s">
        <v>467</v>
      </c>
      <c r="DZ2" s="153" t="s">
        <v>468</v>
      </c>
      <c r="EA2" s="153" t="s">
        <v>469</v>
      </c>
      <c r="EB2" s="153" t="s">
        <v>470</v>
      </c>
      <c r="EC2" s="153" t="s">
        <v>471</v>
      </c>
      <c r="ED2" s="153" t="s">
        <v>472</v>
      </c>
      <c r="EE2" s="153" t="s">
        <v>473</v>
      </c>
      <c r="EF2" s="153" t="s">
        <v>474</v>
      </c>
      <c r="EG2" s="153" t="s">
        <v>475</v>
      </c>
      <c r="EH2" s="153" t="s">
        <v>476</v>
      </c>
      <c r="EI2" s="153" t="s">
        <v>477</v>
      </c>
      <c r="EJ2" s="153" t="s">
        <v>478</v>
      </c>
      <c r="EK2" s="153" t="s">
        <v>479</v>
      </c>
      <c r="EL2" s="153" t="s">
        <v>480</v>
      </c>
      <c r="EM2" s="153" t="s">
        <v>481</v>
      </c>
      <c r="EN2" s="153" t="s">
        <v>482</v>
      </c>
      <c r="EO2" s="153" t="s">
        <v>483</v>
      </c>
      <c r="EP2" s="153" t="s">
        <v>484</v>
      </c>
      <c r="EQ2" s="153" t="s">
        <v>485</v>
      </c>
      <c r="ER2" s="153" t="s">
        <v>486</v>
      </c>
      <c r="ES2" s="153" t="s">
        <v>487</v>
      </c>
      <c r="ET2" s="153" t="s">
        <v>488</v>
      </c>
      <c r="EU2" s="153" t="s">
        <v>489</v>
      </c>
      <c r="EV2" s="153" t="s">
        <v>490</v>
      </c>
      <c r="EW2" s="153" t="s">
        <v>491</v>
      </c>
      <c r="EX2" s="153" t="s">
        <v>492</v>
      </c>
      <c r="EY2" s="153" t="s">
        <v>493</v>
      </c>
      <c r="EZ2" s="153" t="s">
        <v>494</v>
      </c>
      <c r="FA2" s="153" t="s">
        <v>495</v>
      </c>
      <c r="FB2" s="153" t="s">
        <v>496</v>
      </c>
      <c r="FC2" s="153" t="s">
        <v>497</v>
      </c>
      <c r="FD2" s="153" t="s">
        <v>498</v>
      </c>
      <c r="FE2" s="153" t="s">
        <v>499</v>
      </c>
      <c r="FF2" s="153" t="s">
        <v>500</v>
      </c>
      <c r="FG2" s="153" t="s">
        <v>501</v>
      </c>
      <c r="FH2" s="153" t="s">
        <v>502</v>
      </c>
      <c r="FI2" s="153" t="s">
        <v>503</v>
      </c>
      <c r="FJ2" s="153" t="s">
        <v>504</v>
      </c>
      <c r="FK2" s="153" t="s">
        <v>505</v>
      </c>
      <c r="FL2" s="153" t="s">
        <v>506</v>
      </c>
      <c r="FM2" s="153" t="s">
        <v>507</v>
      </c>
      <c r="FN2" s="153" t="s">
        <v>508</v>
      </c>
      <c r="FO2" s="153" t="s">
        <v>509</v>
      </c>
      <c r="FP2" s="153" t="s">
        <v>510</v>
      </c>
      <c r="FQ2" s="153" t="s">
        <v>511</v>
      </c>
      <c r="FR2" s="153" t="s">
        <v>512</v>
      </c>
      <c r="FS2" s="153" t="s">
        <v>513</v>
      </c>
      <c r="FT2" s="153" t="s">
        <v>514</v>
      </c>
      <c r="FU2" s="153" t="s">
        <v>515</v>
      </c>
      <c r="FV2" s="153" t="s">
        <v>516</v>
      </c>
      <c r="FW2" s="153" t="s">
        <v>517</v>
      </c>
      <c r="FX2" s="153" t="s">
        <v>518</v>
      </c>
      <c r="FY2" s="153" t="s">
        <v>519</v>
      </c>
      <c r="FZ2" s="153" t="s">
        <v>520</v>
      </c>
      <c r="GA2" s="153" t="s">
        <v>521</v>
      </c>
      <c r="GB2" s="153" t="s">
        <v>522</v>
      </c>
      <c r="GC2" s="153" t="s">
        <v>523</v>
      </c>
      <c r="GD2" s="153" t="s">
        <v>524</v>
      </c>
      <c r="GE2" s="153" t="s">
        <v>525</v>
      </c>
      <c r="GF2" s="153" t="s">
        <v>526</v>
      </c>
      <c r="GG2" s="153" t="s">
        <v>527</v>
      </c>
      <c r="GH2" s="153" t="s">
        <v>528</v>
      </c>
      <c r="GI2" s="153" t="s">
        <v>529</v>
      </c>
      <c r="GJ2" s="153" t="s">
        <v>530</v>
      </c>
      <c r="GK2" s="153" t="s">
        <v>531</v>
      </c>
      <c r="GL2" s="153" t="s">
        <v>532</v>
      </c>
      <c r="GM2" s="153" t="s">
        <v>533</v>
      </c>
      <c r="GN2" s="153" t="s">
        <v>534</v>
      </c>
      <c r="GO2" s="153" t="s">
        <v>535</v>
      </c>
      <c r="GP2" s="153" t="s">
        <v>536</v>
      </c>
      <c r="GQ2" s="153" t="s">
        <v>537</v>
      </c>
      <c r="GR2" s="153" t="s">
        <v>538</v>
      </c>
      <c r="GS2" s="153" t="s">
        <v>539</v>
      </c>
      <c r="GT2" s="153" t="s">
        <v>540</v>
      </c>
      <c r="GU2" s="153" t="s">
        <v>541</v>
      </c>
      <c r="GV2" s="153" t="s">
        <v>542</v>
      </c>
      <c r="GW2" s="153" t="s">
        <v>543</v>
      </c>
      <c r="GX2" s="153" t="s">
        <v>544</v>
      </c>
      <c r="GY2" s="153" t="s">
        <v>545</v>
      </c>
      <c r="GZ2" s="153" t="s">
        <v>546</v>
      </c>
      <c r="HA2" s="153" t="s">
        <v>547</v>
      </c>
      <c r="HB2" s="153" t="s">
        <v>548</v>
      </c>
      <c r="HC2" s="153" t="s">
        <v>549</v>
      </c>
      <c r="HD2" s="153" t="s">
        <v>550</v>
      </c>
      <c r="HE2" s="153" t="s">
        <v>551</v>
      </c>
      <c r="HF2" s="153" t="s">
        <v>552</v>
      </c>
      <c r="HG2" s="153" t="s">
        <v>553</v>
      </c>
      <c r="HH2" s="153" t="s">
        <v>554</v>
      </c>
      <c r="HI2" s="153" t="s">
        <v>555</v>
      </c>
      <c r="HJ2" s="153" t="s">
        <v>556</v>
      </c>
      <c r="HK2" s="153" t="s">
        <v>557</v>
      </c>
      <c r="HL2" s="153" t="s">
        <v>558</v>
      </c>
      <c r="HM2" s="153" t="s">
        <v>559</v>
      </c>
      <c r="HN2" s="153" t="s">
        <v>560</v>
      </c>
      <c r="HO2" s="153" t="s">
        <v>561</v>
      </c>
      <c r="HP2" s="153" t="s">
        <v>562</v>
      </c>
      <c r="HQ2" s="153" t="s">
        <v>563</v>
      </c>
      <c r="HR2" s="153" t="s">
        <v>564</v>
      </c>
      <c r="HS2" s="153" t="s">
        <v>565</v>
      </c>
      <c r="HT2" s="153" t="s">
        <v>566</v>
      </c>
      <c r="HU2" s="153" t="s">
        <v>567</v>
      </c>
      <c r="HV2" s="153" t="s">
        <v>568</v>
      </c>
      <c r="HW2" s="153" t="s">
        <v>569</v>
      </c>
      <c r="HX2" s="153" t="s">
        <v>570</v>
      </c>
      <c r="HY2" s="153" t="s">
        <v>571</v>
      </c>
      <c r="HZ2" s="153" t="s">
        <v>572</v>
      </c>
      <c r="IA2" s="153" t="s">
        <v>573</v>
      </c>
      <c r="IB2" s="153" t="s">
        <v>574</v>
      </c>
      <c r="IC2" s="153" t="s">
        <v>575</v>
      </c>
      <c r="ID2" s="153" t="s">
        <v>576</v>
      </c>
      <c r="IE2" s="153" t="s">
        <v>577</v>
      </c>
      <c r="IF2" s="153" t="s">
        <v>578</v>
      </c>
      <c r="IG2" s="153" t="s">
        <v>579</v>
      </c>
      <c r="IH2" s="153" t="s">
        <v>580</v>
      </c>
      <c r="II2" s="153" t="s">
        <v>581</v>
      </c>
      <c r="IJ2" s="153" t="s">
        <v>582</v>
      </c>
      <c r="IK2" s="153" t="s">
        <v>583</v>
      </c>
      <c r="IL2" s="153" t="s">
        <v>584</v>
      </c>
      <c r="IM2" s="153" t="s">
        <v>585</v>
      </c>
      <c r="IN2" s="153" t="s">
        <v>586</v>
      </c>
      <c r="IO2" s="153" t="s">
        <v>587</v>
      </c>
      <c r="IP2" s="153" t="s">
        <v>588</v>
      </c>
      <c r="IQ2" s="153" t="s">
        <v>589</v>
      </c>
      <c r="IR2" s="153" t="s">
        <v>590</v>
      </c>
      <c r="IS2" s="153" t="s">
        <v>591</v>
      </c>
      <c r="IT2" s="153" t="s">
        <v>592</v>
      </c>
      <c r="IU2" s="153" t="s">
        <v>593</v>
      </c>
      <c r="IV2" s="153" t="s">
        <v>594</v>
      </c>
      <c r="IW2" s="153" t="s">
        <v>595</v>
      </c>
      <c r="IX2" s="153" t="s">
        <v>596</v>
      </c>
      <c r="IY2" s="153" t="s">
        <v>597</v>
      </c>
      <c r="IZ2" s="153" t="s">
        <v>598</v>
      </c>
      <c r="JA2" s="153" t="s">
        <v>599</v>
      </c>
      <c r="JB2" s="153" t="s">
        <v>600</v>
      </c>
      <c r="JC2" s="153" t="s">
        <v>601</v>
      </c>
      <c r="JD2" s="153" t="s">
        <v>602</v>
      </c>
      <c r="JE2" s="153" t="s">
        <v>603</v>
      </c>
      <c r="JF2" s="153" t="s">
        <v>604</v>
      </c>
      <c r="JG2" s="153" t="s">
        <v>605</v>
      </c>
      <c r="JH2" s="153" t="s">
        <v>606</v>
      </c>
      <c r="JI2" s="153" t="s">
        <v>607</v>
      </c>
      <c r="JJ2" s="153" t="s">
        <v>608</v>
      </c>
      <c r="JK2" s="153" t="s">
        <v>609</v>
      </c>
      <c r="JL2" s="153" t="s">
        <v>610</v>
      </c>
      <c r="JM2" s="153" t="s">
        <v>611</v>
      </c>
      <c r="JN2" s="153" t="s">
        <v>612</v>
      </c>
      <c r="JO2" s="153" t="s">
        <v>613</v>
      </c>
      <c r="JP2" s="153" t="s">
        <v>614</v>
      </c>
      <c r="JQ2" s="153" t="s">
        <v>615</v>
      </c>
      <c r="JR2" s="153" t="s">
        <v>616</v>
      </c>
      <c r="JS2" s="153" t="s">
        <v>617</v>
      </c>
      <c r="JT2" s="153" t="s">
        <v>618</v>
      </c>
      <c r="JU2" s="153" t="s">
        <v>619</v>
      </c>
      <c r="JV2" s="153" t="s">
        <v>620</v>
      </c>
      <c r="JW2" s="153" t="s">
        <v>621</v>
      </c>
      <c r="JX2" s="153" t="s">
        <v>622</v>
      </c>
      <c r="JY2" s="153" t="s">
        <v>623</v>
      </c>
      <c r="JZ2" s="153" t="s">
        <v>624</v>
      </c>
      <c r="KA2" s="153" t="s">
        <v>625</v>
      </c>
    </row>
    <row r="3" spans="1:287" s="93" customFormat="1" ht="52.5" customHeight="1">
      <c r="A3" s="140"/>
      <c r="B3" s="140"/>
      <c r="C3" s="140"/>
      <c r="D3" s="148"/>
      <c r="E3" s="140"/>
      <c r="F3" s="140"/>
      <c r="G3" s="140"/>
      <c r="H3" s="140"/>
      <c r="I3" s="140"/>
      <c r="J3" s="140"/>
      <c r="K3" s="140"/>
      <c r="L3" s="140"/>
      <c r="M3" s="140"/>
      <c r="N3" s="140"/>
      <c r="O3" s="145"/>
      <c r="P3" s="140"/>
      <c r="Q3" s="140"/>
      <c r="R3" s="140"/>
      <c r="S3" s="140"/>
      <c r="T3" s="140"/>
      <c r="U3" s="140"/>
      <c r="V3" s="140"/>
      <c r="W3" s="140"/>
      <c r="X3" s="140"/>
      <c r="Y3" s="140"/>
      <c r="Z3" s="140"/>
      <c r="AA3" s="140"/>
      <c r="AB3" s="140"/>
      <c r="AC3" s="140"/>
      <c r="AD3" s="140"/>
      <c r="AE3" s="140"/>
      <c r="AF3" s="140"/>
      <c r="AG3" s="140"/>
      <c r="AH3" s="140"/>
      <c r="AI3" s="140"/>
      <c r="AJ3" s="140"/>
      <c r="AK3" s="145"/>
      <c r="AL3" s="145"/>
      <c r="AM3" s="145"/>
      <c r="AN3" s="145"/>
      <c r="AO3" s="145"/>
      <c r="AP3" s="145"/>
      <c r="AQ3" s="145"/>
      <c r="AR3" s="145"/>
      <c r="AS3" s="145"/>
      <c r="AT3" s="145"/>
      <c r="AU3" s="145"/>
      <c r="AV3" s="145"/>
      <c r="AW3" s="140"/>
      <c r="AX3" s="140"/>
      <c r="AY3" s="140"/>
      <c r="AZ3" s="140"/>
      <c r="BA3" s="140"/>
      <c r="BB3" s="140"/>
      <c r="BC3" s="140"/>
      <c r="BD3" s="140"/>
      <c r="BE3" s="140"/>
      <c r="BF3" s="140"/>
      <c r="BG3" s="140"/>
      <c r="BH3" s="140"/>
      <c r="BI3" s="140"/>
      <c r="BJ3" s="140"/>
      <c r="BK3" s="140"/>
      <c r="BL3" s="140"/>
      <c r="BM3" s="140"/>
      <c r="BN3" s="140"/>
      <c r="BO3" s="140"/>
      <c r="BP3" s="140"/>
      <c r="BQ3" s="140"/>
      <c r="BR3" s="140"/>
      <c r="BS3" s="140"/>
      <c r="BT3" s="140"/>
      <c r="BU3" s="140"/>
      <c r="BV3" s="140"/>
      <c r="BW3" s="140"/>
      <c r="BX3" s="140"/>
      <c r="BY3" s="140"/>
      <c r="BZ3" s="140"/>
      <c r="CA3" s="140"/>
      <c r="CB3" s="140"/>
      <c r="CC3" s="140"/>
      <c r="CD3" s="140"/>
      <c r="CE3" s="140"/>
      <c r="CF3" s="140"/>
      <c r="CG3" s="140"/>
      <c r="CH3" s="140"/>
      <c r="CI3" s="140"/>
      <c r="CJ3" s="140"/>
      <c r="CK3" s="140"/>
      <c r="CL3" s="140"/>
      <c r="CM3" s="140"/>
      <c r="CN3" s="140"/>
      <c r="CO3" s="140"/>
      <c r="CP3" s="140"/>
      <c r="CQ3" s="140"/>
      <c r="CR3" s="140"/>
      <c r="CS3" s="140"/>
      <c r="CT3" s="140"/>
      <c r="CU3" s="140"/>
      <c r="CV3" s="140"/>
      <c r="CW3" s="140"/>
      <c r="CX3" s="140"/>
      <c r="CY3" s="140"/>
      <c r="CZ3" s="140"/>
      <c r="DA3" s="140"/>
      <c r="DB3" s="140"/>
      <c r="DC3" s="140"/>
      <c r="DD3" s="140"/>
      <c r="DE3" s="140"/>
      <c r="DF3" s="140"/>
      <c r="DG3" s="140"/>
      <c r="DH3" s="140"/>
      <c r="DI3" s="140"/>
      <c r="DJ3" s="140"/>
      <c r="DK3" s="140"/>
      <c r="DL3" s="140"/>
      <c r="DM3" s="140"/>
      <c r="DN3" s="140"/>
      <c r="DO3" s="140"/>
      <c r="DP3" s="140"/>
      <c r="DQ3" s="140"/>
      <c r="DR3" s="140"/>
      <c r="DS3" s="140"/>
      <c r="DT3" s="140"/>
      <c r="DU3" s="140"/>
      <c r="DV3" s="140"/>
      <c r="DW3" s="140"/>
      <c r="DX3" s="140"/>
      <c r="DY3" s="140"/>
      <c r="DZ3" s="140"/>
      <c r="EA3" s="140"/>
      <c r="EB3" s="140"/>
      <c r="EC3" s="140"/>
      <c r="ED3" s="140"/>
      <c r="EE3" s="140"/>
      <c r="EF3" s="140"/>
      <c r="EG3" s="140"/>
      <c r="EH3" s="140"/>
      <c r="EI3" s="140"/>
      <c r="EJ3" s="140"/>
      <c r="EK3" s="140"/>
      <c r="EL3" s="140"/>
      <c r="EM3" s="140"/>
      <c r="EN3" s="140"/>
      <c r="EO3" s="140"/>
      <c r="EP3" s="140"/>
      <c r="EQ3" s="140"/>
      <c r="ER3" s="140"/>
      <c r="ES3" s="140"/>
      <c r="ET3" s="140"/>
      <c r="EU3" s="140"/>
      <c r="EV3" s="140"/>
      <c r="EW3" s="140"/>
      <c r="EX3" s="140"/>
      <c r="EY3" s="140"/>
      <c r="EZ3" s="140"/>
      <c r="FA3" s="140"/>
      <c r="FB3" s="140"/>
      <c r="FC3" s="140"/>
      <c r="FD3" s="140"/>
      <c r="FE3" s="140"/>
      <c r="FF3" s="140"/>
      <c r="FG3" s="140"/>
      <c r="FH3" s="140"/>
      <c r="FI3" s="140"/>
      <c r="FJ3" s="140"/>
      <c r="FK3" s="140"/>
      <c r="FL3" s="140"/>
      <c r="FM3" s="140"/>
      <c r="FN3" s="140"/>
      <c r="FO3" s="140"/>
      <c r="FP3" s="140"/>
      <c r="FQ3" s="140"/>
      <c r="FR3" s="140"/>
      <c r="FS3" s="140"/>
      <c r="FT3" s="140"/>
      <c r="FU3" s="140"/>
      <c r="FV3" s="140"/>
      <c r="FW3" s="140"/>
      <c r="FX3" s="140"/>
      <c r="FY3" s="140"/>
      <c r="FZ3" s="140"/>
      <c r="GA3" s="140"/>
      <c r="GB3" s="140"/>
      <c r="GC3" s="140"/>
      <c r="GD3" s="140"/>
      <c r="GE3" s="140"/>
      <c r="GF3" s="140"/>
      <c r="GG3" s="140"/>
      <c r="GH3" s="140"/>
      <c r="GI3" s="140"/>
      <c r="GJ3" s="140"/>
      <c r="GK3" s="140"/>
      <c r="GL3" s="140"/>
      <c r="GM3" s="140"/>
      <c r="GN3" s="140"/>
      <c r="GO3" s="140"/>
      <c r="GP3" s="140"/>
      <c r="GQ3" s="140"/>
      <c r="GR3" s="140"/>
      <c r="GS3" s="140"/>
      <c r="GT3" s="140"/>
      <c r="GU3" s="140"/>
      <c r="GV3" s="140"/>
      <c r="GW3" s="140"/>
      <c r="GX3" s="140"/>
      <c r="GY3" s="140"/>
      <c r="GZ3" s="140"/>
      <c r="HA3" s="140"/>
      <c r="HB3" s="140"/>
      <c r="HC3" s="140"/>
      <c r="HD3" s="140"/>
      <c r="HE3" s="140"/>
      <c r="HF3" s="140"/>
      <c r="HG3" s="140"/>
      <c r="HH3" s="140"/>
      <c r="HI3" s="140"/>
      <c r="HJ3" s="140"/>
      <c r="HK3" s="140"/>
      <c r="HL3" s="140"/>
      <c r="HM3" s="140"/>
      <c r="HN3" s="140"/>
      <c r="HO3" s="140"/>
      <c r="HP3" s="140"/>
      <c r="HQ3" s="140"/>
      <c r="HR3" s="140"/>
      <c r="HS3" s="140"/>
      <c r="HT3" s="140"/>
      <c r="HU3" s="140"/>
      <c r="HV3" s="140"/>
      <c r="HW3" s="140"/>
      <c r="HX3" s="140"/>
      <c r="HY3" s="140"/>
      <c r="HZ3" s="140"/>
      <c r="IA3" s="140"/>
      <c r="IB3" s="140"/>
      <c r="IC3" s="140"/>
      <c r="ID3" s="140"/>
      <c r="IE3" s="140"/>
      <c r="IF3" s="140"/>
      <c r="IG3" s="140"/>
      <c r="IH3" s="140"/>
      <c r="II3" s="140"/>
      <c r="IJ3" s="140"/>
      <c r="IK3" s="140"/>
      <c r="IL3" s="140"/>
      <c r="IM3" s="140"/>
      <c r="IN3" s="140"/>
      <c r="IO3" s="140"/>
      <c r="IP3" s="140"/>
      <c r="IQ3" s="140"/>
      <c r="IR3" s="140"/>
      <c r="IS3" s="140"/>
      <c r="IT3" s="140"/>
      <c r="IU3" s="140"/>
      <c r="IV3" s="140"/>
      <c r="IW3" s="140"/>
      <c r="IX3" s="140"/>
      <c r="IY3" s="140"/>
      <c r="IZ3" s="140"/>
      <c r="JA3" s="140"/>
      <c r="JB3" s="140"/>
      <c r="JC3" s="140"/>
      <c r="JD3" s="140"/>
      <c r="JE3" s="140"/>
      <c r="JF3" s="140"/>
      <c r="JG3" s="140"/>
      <c r="JH3" s="140"/>
      <c r="JI3" s="140"/>
      <c r="JJ3" s="140"/>
      <c r="JK3" s="140"/>
      <c r="JL3" s="140"/>
      <c r="JM3" s="140"/>
      <c r="JN3" s="140"/>
      <c r="JO3" s="140"/>
      <c r="JP3" s="140"/>
      <c r="JQ3" s="140"/>
      <c r="JR3" s="140"/>
      <c r="JS3" s="140"/>
      <c r="JT3" s="140"/>
      <c r="JU3" s="140"/>
      <c r="JV3" s="140"/>
      <c r="JW3" s="140"/>
      <c r="JX3" s="140"/>
      <c r="JY3" s="140"/>
      <c r="JZ3" s="140"/>
      <c r="KA3" s="140"/>
    </row>
    <row r="4" spans="1:287">
      <c r="A4" s="94" t="s">
        <v>626</v>
      </c>
      <c r="B4" s="94" t="s">
        <v>627</v>
      </c>
      <c r="C4" s="94" t="s">
        <v>628</v>
      </c>
      <c r="D4" s="95">
        <v>41541</v>
      </c>
      <c r="E4" s="94" t="s">
        <v>629</v>
      </c>
      <c r="F4" s="94">
        <v>0.60750157991999998</v>
      </c>
      <c r="G4" s="94">
        <v>5.48780487804878</v>
      </c>
      <c r="H4" s="94">
        <v>21</v>
      </c>
      <c r="I4" s="94">
        <v>1</v>
      </c>
      <c r="J4" s="94">
        <v>0</v>
      </c>
      <c r="K4" s="94">
        <v>0</v>
      </c>
      <c r="L4" s="94" t="s">
        <v>630</v>
      </c>
      <c r="M4" s="94" t="s">
        <v>631</v>
      </c>
      <c r="N4" s="94">
        <v>0.80477247768666604</v>
      </c>
      <c r="O4" s="96" t="s">
        <v>270</v>
      </c>
      <c r="P4" s="94">
        <v>23.610664594430364</v>
      </c>
      <c r="Q4" s="94">
        <v>6.8561798327244308</v>
      </c>
      <c r="R4" s="94">
        <v>4.0694622398512541</v>
      </c>
      <c r="S4" s="94">
        <v>0.54391171643270031</v>
      </c>
      <c r="T4" s="94" t="s">
        <v>270</v>
      </c>
      <c r="U4" s="94" t="s">
        <v>270</v>
      </c>
      <c r="V4" s="94" t="s">
        <v>632</v>
      </c>
      <c r="W4" s="94" t="s">
        <v>270</v>
      </c>
      <c r="X4" s="94">
        <v>0</v>
      </c>
      <c r="Y4" s="94">
        <v>2.0097376359084502</v>
      </c>
      <c r="Z4" s="94" t="s">
        <v>632</v>
      </c>
      <c r="AA4" s="94" t="s">
        <v>270</v>
      </c>
      <c r="AB4" s="94" t="s">
        <v>632</v>
      </c>
      <c r="AC4" s="94" t="s">
        <v>270</v>
      </c>
      <c r="AD4" s="94" t="s">
        <v>633</v>
      </c>
      <c r="AE4" s="94" t="s">
        <v>98</v>
      </c>
      <c r="AF4" s="94">
        <v>0.79779941005412924</v>
      </c>
      <c r="AG4" s="94">
        <v>12</v>
      </c>
      <c r="AH4" s="97">
        <v>42880.574386574073</v>
      </c>
      <c r="AJ4" s="98" t="s">
        <v>634</v>
      </c>
      <c r="AK4" s="96">
        <v>99.792781320861877</v>
      </c>
      <c r="AL4" s="96">
        <v>0.41407336231041936</v>
      </c>
      <c r="AM4" s="96">
        <v>0.13144776599930141</v>
      </c>
      <c r="AN4" s="96" t="s">
        <v>270</v>
      </c>
      <c r="AO4" s="96" t="s">
        <v>270</v>
      </c>
      <c r="AP4" s="96">
        <v>0.17988005062369949</v>
      </c>
      <c r="AQ4" s="96">
        <v>-0.97859079633667678</v>
      </c>
      <c r="AR4" s="96">
        <v>4.8564909609689355</v>
      </c>
      <c r="AS4" s="96">
        <v>633737.7126959723</v>
      </c>
      <c r="AT4" s="96" t="s">
        <v>270</v>
      </c>
      <c r="AU4" s="96" t="s">
        <v>270</v>
      </c>
      <c r="AV4" s="94">
        <v>4.4477003383180896E-6</v>
      </c>
      <c r="AW4" s="94">
        <v>4.4477003383180903E-8</v>
      </c>
      <c r="AX4" s="94">
        <v>2.5373849131212002E-7</v>
      </c>
      <c r="AY4" s="94">
        <v>3.8060773696818E-9</v>
      </c>
      <c r="AZ4" s="94" t="s">
        <v>270</v>
      </c>
      <c r="BA4" s="94" t="s">
        <v>270</v>
      </c>
      <c r="BB4" s="94" t="s">
        <v>270</v>
      </c>
      <c r="BC4" s="94" t="s">
        <v>270</v>
      </c>
      <c r="BD4" s="94" t="s">
        <v>270</v>
      </c>
      <c r="BE4" s="94" t="s">
        <v>270</v>
      </c>
      <c r="BF4" s="94" t="s">
        <v>270</v>
      </c>
      <c r="BG4" s="94" t="s">
        <v>270</v>
      </c>
      <c r="BH4" s="94" t="s">
        <v>270</v>
      </c>
      <c r="BI4" s="94" t="s">
        <v>270</v>
      </c>
      <c r="BJ4" s="94" t="s">
        <v>270</v>
      </c>
      <c r="BK4" s="94" t="s">
        <v>270</v>
      </c>
      <c r="BL4" s="94" t="s">
        <v>270</v>
      </c>
      <c r="BM4" s="94" t="s">
        <v>270</v>
      </c>
      <c r="BN4" s="94" t="s">
        <v>270</v>
      </c>
      <c r="BO4" s="94" t="s">
        <v>270</v>
      </c>
      <c r="BP4" s="94" t="s">
        <v>270</v>
      </c>
      <c r="BQ4" s="94" t="s">
        <v>270</v>
      </c>
      <c r="BR4" s="94" t="s">
        <v>270</v>
      </c>
      <c r="BS4" s="94" t="s">
        <v>270</v>
      </c>
      <c r="BT4" s="94" t="s">
        <v>270</v>
      </c>
      <c r="BU4" s="94" t="s">
        <v>270</v>
      </c>
      <c r="BV4" s="94" t="s">
        <v>270</v>
      </c>
      <c r="BW4" s="94" t="s">
        <v>270</v>
      </c>
      <c r="BX4" s="94" t="s">
        <v>270</v>
      </c>
      <c r="BY4" s="94" t="s">
        <v>270</v>
      </c>
      <c r="BZ4" s="94" t="s">
        <v>270</v>
      </c>
      <c r="CA4" s="94" t="s">
        <v>270</v>
      </c>
      <c r="CB4" s="94" t="s">
        <v>270</v>
      </c>
      <c r="CC4" s="94" t="s">
        <v>270</v>
      </c>
      <c r="CD4" s="94" t="s">
        <v>270</v>
      </c>
      <c r="CE4" s="94" t="s">
        <v>270</v>
      </c>
      <c r="CF4" s="94" t="s">
        <v>270</v>
      </c>
      <c r="CG4" s="94" t="s">
        <v>270</v>
      </c>
      <c r="CH4" s="94" t="s">
        <v>270</v>
      </c>
      <c r="CI4" s="94" t="s">
        <v>270</v>
      </c>
      <c r="CJ4" s="94" t="s">
        <v>270</v>
      </c>
      <c r="CK4" s="94" t="s">
        <v>270</v>
      </c>
      <c r="CL4" s="94" t="s">
        <v>270</v>
      </c>
      <c r="CM4" s="94" t="s">
        <v>270</v>
      </c>
      <c r="CN4" s="94" t="s">
        <v>270</v>
      </c>
      <c r="CO4" s="94" t="s">
        <v>270</v>
      </c>
      <c r="CP4" s="94" t="s">
        <v>270</v>
      </c>
      <c r="CQ4" s="94" t="s">
        <v>270</v>
      </c>
      <c r="CR4" s="94">
        <v>0.58365456838212904</v>
      </c>
      <c r="CS4" s="94">
        <v>5.8365456838212905E-2</v>
      </c>
      <c r="CT4" s="94" t="s">
        <v>270</v>
      </c>
      <c r="CU4" s="94" t="s">
        <v>270</v>
      </c>
      <c r="CV4" s="94" t="s">
        <v>270</v>
      </c>
      <c r="CW4" s="94" t="s">
        <v>270</v>
      </c>
      <c r="CX4" s="94">
        <v>16.401067505721102</v>
      </c>
      <c r="CY4" s="94">
        <v>1.6401067505721103</v>
      </c>
      <c r="CZ4" s="94">
        <v>0.18079081595203</v>
      </c>
      <c r="DA4" s="94">
        <v>1.8079081595203002E-2</v>
      </c>
      <c r="DB4" s="94">
        <v>3.0709621470881099</v>
      </c>
      <c r="DC4" s="94">
        <v>0.30709621470881099</v>
      </c>
      <c r="DD4" s="94">
        <v>20.007606112844801</v>
      </c>
      <c r="DE4" s="94">
        <v>2.00076061128448</v>
      </c>
      <c r="DF4" s="94" t="s">
        <v>270</v>
      </c>
      <c r="DG4" s="94" t="s">
        <v>270</v>
      </c>
      <c r="DH4" s="94" t="s">
        <v>270</v>
      </c>
      <c r="DI4" s="94" t="s">
        <v>270</v>
      </c>
      <c r="DJ4" s="94">
        <v>0.99785540276097739</v>
      </c>
      <c r="DK4" s="94">
        <v>0.99933903722158868</v>
      </c>
      <c r="DL4" s="94">
        <v>2.8738824491893848E-2</v>
      </c>
      <c r="DM4" s="94">
        <v>0.99931947987309844</v>
      </c>
      <c r="DN4" s="94">
        <v>4.4127171410811284E-8</v>
      </c>
      <c r="DO4" s="94">
        <v>1.7943799669455834E-7</v>
      </c>
      <c r="DP4" s="94">
        <v>2.8977370999601706E-4</v>
      </c>
      <c r="DQ4" s="94">
        <v>6.3518556257888583E-8</v>
      </c>
      <c r="DR4" s="94">
        <v>8.5222749301288297E-9</v>
      </c>
      <c r="DS4" s="94">
        <v>1.1139052709810209E-2</v>
      </c>
      <c r="DT4" s="94">
        <v>5.9278050690252451E-3</v>
      </c>
      <c r="DU4" s="94">
        <v>2.6580773090511872E-4</v>
      </c>
      <c r="DV4" s="94">
        <v>4.4204418405972434E-8</v>
      </c>
      <c r="DW4" s="94">
        <v>9.9262549456827261E-9</v>
      </c>
      <c r="DX4" s="94">
        <v>1.7882930377065724E-7</v>
      </c>
      <c r="DY4" s="94">
        <v>2.1323982136820577E-8</v>
      </c>
      <c r="DZ4" s="94">
        <v>7.3982823520495818E-8</v>
      </c>
      <c r="EA4" s="94">
        <v>3.8008777320210714E-5</v>
      </c>
      <c r="EB4" s="94">
        <v>4.6391869534304291E-9</v>
      </c>
      <c r="EC4" s="94">
        <v>3.5404321486705936E-10</v>
      </c>
      <c r="ED4" s="94">
        <v>3.1775988953654539E-3</v>
      </c>
      <c r="EE4" s="94">
        <v>8.52389560759244E-4</v>
      </c>
      <c r="EF4" s="94">
        <v>1.4243117839479215E-6</v>
      </c>
      <c r="EG4" s="94">
        <v>5.7379417581902679E-9</v>
      </c>
      <c r="EH4" s="94">
        <v>2.3602880991137274E-9</v>
      </c>
      <c r="EI4" s="94">
        <v>1.3022279167524114E-9</v>
      </c>
      <c r="EJ4" s="94">
        <v>6.5451153547631861E-8</v>
      </c>
      <c r="EK4" s="94">
        <v>2.5342082021505416E-7</v>
      </c>
      <c r="EL4" s="94">
        <v>3.2778248731622778E-4</v>
      </c>
      <c r="EM4" s="94">
        <v>6.8157743211319012E-8</v>
      </c>
      <c r="EN4" s="94">
        <v>8.876318144995889E-9</v>
      </c>
      <c r="EO4" s="94">
        <v>1.4316651605175663E-2</v>
      </c>
      <c r="EP4" s="94">
        <v>6.7801946297844891E-3</v>
      </c>
      <c r="EQ4" s="94">
        <v>2.6723204268906664E-4</v>
      </c>
      <c r="ER4" s="94">
        <v>4.9942360164162702E-8</v>
      </c>
      <c r="ES4" s="94">
        <v>1.2286543044796453E-8</v>
      </c>
      <c r="ET4" s="94">
        <v>1.8013153168740965E-7</v>
      </c>
      <c r="EU4" s="94">
        <v>1.9636746205477717E-6</v>
      </c>
      <c r="EV4" s="94">
        <v>7.9851108290664228E-6</v>
      </c>
      <c r="EW4" s="94">
        <v>1.2912975847034497E-2</v>
      </c>
      <c r="EX4" s="94">
        <v>2.8357920569209573E-6</v>
      </c>
      <c r="EY4" s="94">
        <v>3.8196199705638948E-7</v>
      </c>
      <c r="EZ4" s="94">
        <v>0.49621333993409023</v>
      </c>
      <c r="FA4" s="94">
        <v>0.26390168263767061</v>
      </c>
      <c r="FB4" s="94">
        <v>1.1914904109397993E-2</v>
      </c>
      <c r="FC4" s="94">
        <v>1.9679493946777188E-6</v>
      </c>
      <c r="FD4" s="94">
        <v>4.4190983879416349E-7</v>
      </c>
      <c r="FE4" s="94">
        <v>7.9613539278814284E-6</v>
      </c>
      <c r="FF4" s="94">
        <v>9.4892469180178426E-7</v>
      </c>
      <c r="FG4" s="94">
        <v>3.2922851131916161E-6</v>
      </c>
      <c r="FH4" s="94">
        <v>1.6937575997420171E-3</v>
      </c>
      <c r="FI4" s="94">
        <v>2.071169479938469E-7</v>
      </c>
      <c r="FJ4" s="94">
        <v>1.5867952454432519E-8</v>
      </c>
      <c r="FK4" s="94">
        <v>0.14155305679193908</v>
      </c>
      <c r="FL4" s="94">
        <v>3.794777944412725E-2</v>
      </c>
      <c r="FM4" s="94">
        <v>6.3845164585085018E-5</v>
      </c>
      <c r="FN4" s="94">
        <v>2.5544910253136341E-7</v>
      </c>
      <c r="FO4" s="94">
        <v>1.0507835423275941E-7</v>
      </c>
      <c r="FP4" s="94">
        <v>5.7974264404281141E-8</v>
      </c>
      <c r="FQ4" s="94">
        <v>2.912599312349556E-6</v>
      </c>
      <c r="FR4" s="94">
        <v>1.1277395942258039E-5</v>
      </c>
      <c r="FS4" s="94">
        <v>1.4606733446776514E-2</v>
      </c>
      <c r="FT4" s="94">
        <v>3.0429090049148042E-6</v>
      </c>
      <c r="FU4" s="94">
        <v>3.97829949510822E-7</v>
      </c>
      <c r="FV4" s="94">
        <v>0.63776639672602931</v>
      </c>
      <c r="FW4" s="94">
        <v>0.30184946208179786</v>
      </c>
      <c r="FX4" s="94">
        <v>1.1978749273983078E-2</v>
      </c>
      <c r="FY4" s="94">
        <v>2.2233984972090822E-6</v>
      </c>
      <c r="FZ4" s="94">
        <v>5.469881930269229E-7</v>
      </c>
      <c r="GA4" s="94">
        <v>8.0193281922857095E-6</v>
      </c>
      <c r="GB4" s="94">
        <v>7.8598437024318462E-6</v>
      </c>
      <c r="GC4" s="94">
        <v>1.611371409973117E-4</v>
      </c>
      <c r="GD4" s="94">
        <v>0.51584755913733404</v>
      </c>
      <c r="GE4" s="94">
        <v>2.3763370278586239E-4</v>
      </c>
      <c r="GF4" s="94">
        <v>5.0148936479524544E-5</v>
      </c>
      <c r="GG4" s="94">
        <v>13.900622776909643</v>
      </c>
      <c r="GH4" s="94">
        <v>8.4445371623862933</v>
      </c>
      <c r="GI4" s="94">
        <v>0.52436897240255098</v>
      </c>
      <c r="GJ4" s="94">
        <v>3.157074944614151E-5</v>
      </c>
      <c r="GK4" s="94">
        <v>8.908372058283784E-7</v>
      </c>
      <c r="GL4" s="94">
        <v>3.504014781570597E-4</v>
      </c>
      <c r="GM4" s="94" t="s">
        <v>270</v>
      </c>
      <c r="GN4" s="94" t="s">
        <v>270</v>
      </c>
      <c r="GO4" s="94" t="s">
        <v>270</v>
      </c>
      <c r="GP4" s="94" t="s">
        <v>270</v>
      </c>
      <c r="GQ4" s="94" t="s">
        <v>270</v>
      </c>
      <c r="GR4" s="94" t="s">
        <v>270</v>
      </c>
      <c r="GS4" s="94" t="s">
        <v>270</v>
      </c>
      <c r="GT4" s="94" t="s">
        <v>270</v>
      </c>
      <c r="GU4" s="94" t="s">
        <v>270</v>
      </c>
      <c r="GV4" s="94" t="s">
        <v>270</v>
      </c>
      <c r="GW4" s="94" t="s">
        <v>270</v>
      </c>
      <c r="GX4" s="94" t="s">
        <v>270</v>
      </c>
      <c r="GY4" s="94" t="s">
        <v>270</v>
      </c>
      <c r="GZ4" s="94" t="s">
        <v>270</v>
      </c>
      <c r="HA4" s="94" t="s">
        <v>270</v>
      </c>
      <c r="HB4" s="94" t="s">
        <v>270</v>
      </c>
      <c r="HC4" s="94" t="s">
        <v>270</v>
      </c>
      <c r="HD4" s="94" t="s">
        <v>270</v>
      </c>
      <c r="HE4" s="94" t="s">
        <v>270</v>
      </c>
      <c r="HF4" s="94" t="s">
        <v>270</v>
      </c>
      <c r="HG4" s="94" t="s">
        <v>270</v>
      </c>
      <c r="HH4" s="94" t="s">
        <v>270</v>
      </c>
      <c r="HI4" s="94" t="s">
        <v>270</v>
      </c>
      <c r="HJ4" s="94" t="s">
        <v>270</v>
      </c>
      <c r="HK4" s="94" t="s">
        <v>270</v>
      </c>
      <c r="HL4" s="94" t="s">
        <v>270</v>
      </c>
      <c r="HM4" s="94" t="s">
        <v>270</v>
      </c>
      <c r="HN4" s="94" t="s">
        <v>270</v>
      </c>
      <c r="HO4" s="94" t="s">
        <v>270</v>
      </c>
      <c r="HP4" s="94" t="s">
        <v>270</v>
      </c>
      <c r="HQ4" s="94" t="s">
        <v>270</v>
      </c>
      <c r="HR4" s="94" t="s">
        <v>270</v>
      </c>
      <c r="HS4" s="94" t="s">
        <v>270</v>
      </c>
      <c r="HT4" s="94" t="s">
        <v>270</v>
      </c>
      <c r="HU4" s="94" t="s">
        <v>270</v>
      </c>
      <c r="HV4" s="94" t="s">
        <v>270</v>
      </c>
      <c r="HW4" s="94" t="s">
        <v>270</v>
      </c>
      <c r="HX4" s="94" t="s">
        <v>270</v>
      </c>
      <c r="HY4" s="94" t="s">
        <v>270</v>
      </c>
      <c r="HZ4" s="94" t="s">
        <v>270</v>
      </c>
      <c r="IA4" s="94" t="s">
        <v>270</v>
      </c>
      <c r="IB4" s="94" t="s">
        <v>270</v>
      </c>
      <c r="IC4" s="94" t="s">
        <v>270</v>
      </c>
      <c r="ID4" s="94" t="s">
        <v>270</v>
      </c>
      <c r="IE4" s="94" t="s">
        <v>270</v>
      </c>
      <c r="IF4" s="94" t="s">
        <v>270</v>
      </c>
      <c r="IG4" s="94" t="s">
        <v>270</v>
      </c>
      <c r="IH4" s="94" t="s">
        <v>270</v>
      </c>
      <c r="II4" s="94" t="s">
        <v>270</v>
      </c>
      <c r="IJ4" s="94" t="s">
        <v>270</v>
      </c>
      <c r="IK4" s="94" t="s">
        <v>270</v>
      </c>
      <c r="IL4" s="94" t="s">
        <v>270</v>
      </c>
      <c r="IM4" s="94" t="s">
        <v>270</v>
      </c>
      <c r="IN4" s="94" t="s">
        <v>270</v>
      </c>
      <c r="IO4" s="94" t="s">
        <v>270</v>
      </c>
      <c r="IP4" s="94" t="s">
        <v>270</v>
      </c>
      <c r="IQ4" s="94" t="s">
        <v>270</v>
      </c>
      <c r="IR4" s="94" t="s">
        <v>270</v>
      </c>
      <c r="IS4" s="94" t="s">
        <v>270</v>
      </c>
      <c r="IT4" s="94" t="s">
        <v>270</v>
      </c>
      <c r="IU4" s="94" t="s">
        <v>270</v>
      </c>
      <c r="IV4" s="94" t="s">
        <v>270</v>
      </c>
      <c r="IW4" s="94" t="s">
        <v>270</v>
      </c>
      <c r="IX4" s="94" t="s">
        <v>270</v>
      </c>
      <c r="IY4" s="94" t="s">
        <v>270</v>
      </c>
      <c r="IZ4" s="94" t="s">
        <v>270</v>
      </c>
      <c r="JA4" s="94" t="s">
        <v>270</v>
      </c>
      <c r="JB4" s="94" t="s">
        <v>270</v>
      </c>
      <c r="JC4" s="94" t="s">
        <v>270</v>
      </c>
      <c r="JD4" s="94" t="s">
        <v>270</v>
      </c>
      <c r="JE4" s="94" t="s">
        <v>270</v>
      </c>
      <c r="JF4" s="94" t="s">
        <v>270</v>
      </c>
      <c r="JG4" s="94" t="s">
        <v>270</v>
      </c>
      <c r="JH4" s="94" t="s">
        <v>270</v>
      </c>
      <c r="JI4" s="94" t="s">
        <v>270</v>
      </c>
      <c r="JJ4" s="94" t="s">
        <v>270</v>
      </c>
      <c r="JK4" s="94" t="s">
        <v>270</v>
      </c>
      <c r="JL4" s="94" t="s">
        <v>270</v>
      </c>
      <c r="JM4" s="94" t="s">
        <v>270</v>
      </c>
    </row>
    <row r="5" spans="1:287">
      <c r="A5" s="94" t="s">
        <v>626</v>
      </c>
      <c r="B5" s="94" t="s">
        <v>627</v>
      </c>
      <c r="C5" s="94" t="s">
        <v>628</v>
      </c>
      <c r="D5" s="95">
        <v>41541</v>
      </c>
      <c r="E5" s="94" t="s">
        <v>635</v>
      </c>
      <c r="F5" s="94">
        <v>0.60750157991999998</v>
      </c>
      <c r="G5" s="94">
        <v>5.48780487804878</v>
      </c>
      <c r="H5" s="94">
        <v>21</v>
      </c>
      <c r="I5" s="94">
        <v>1</v>
      </c>
      <c r="J5" s="94">
        <v>0</v>
      </c>
      <c r="K5" s="94">
        <v>0</v>
      </c>
      <c r="L5" s="94" t="s">
        <v>630</v>
      </c>
      <c r="M5" s="94" t="s">
        <v>631</v>
      </c>
      <c r="N5" s="94">
        <v>1.1362658029419817</v>
      </c>
      <c r="O5" s="96" t="s">
        <v>270</v>
      </c>
      <c r="P5" s="94">
        <v>24.771653331522945</v>
      </c>
      <c r="Q5" s="94">
        <v>7.0117201550685602</v>
      </c>
      <c r="R5" s="94">
        <v>4.151276565406798</v>
      </c>
      <c r="S5" s="94">
        <v>0.54183641229979407</v>
      </c>
      <c r="T5" s="94" t="s">
        <v>270</v>
      </c>
      <c r="U5" s="94" t="s">
        <v>270</v>
      </c>
      <c r="V5" s="94" t="s">
        <v>632</v>
      </c>
      <c r="W5" s="94" t="s">
        <v>270</v>
      </c>
      <c r="X5" s="94">
        <v>0</v>
      </c>
      <c r="Y5" s="94">
        <v>1.9622407290640105</v>
      </c>
      <c r="Z5" s="94" t="s">
        <v>632</v>
      </c>
      <c r="AA5" s="94" t="s">
        <v>270</v>
      </c>
      <c r="AB5" s="94" t="s">
        <v>632</v>
      </c>
      <c r="AC5" s="94" t="s">
        <v>270</v>
      </c>
      <c r="AD5" s="94" t="s">
        <v>633</v>
      </c>
      <c r="AE5" s="94" t="s">
        <v>98</v>
      </c>
      <c r="AF5" s="94">
        <v>1.1293178915976843</v>
      </c>
      <c r="AG5" s="94">
        <v>12</v>
      </c>
      <c r="AH5" s="97">
        <v>42880.574386574073</v>
      </c>
      <c r="AJ5" s="98" t="s">
        <v>636</v>
      </c>
      <c r="AK5" s="96">
        <v>100.11218604065442</v>
      </c>
      <c r="AL5" s="96">
        <v>0.42588891879499036</v>
      </c>
      <c r="AM5" s="96">
        <v>0.13685316395009672</v>
      </c>
      <c r="AN5" s="96" t="s">
        <v>270</v>
      </c>
      <c r="AO5" s="96" t="s">
        <v>270</v>
      </c>
      <c r="AP5" s="96">
        <v>0.17212240077633445</v>
      </c>
      <c r="AQ5" s="96">
        <v>-0.97920421549293513</v>
      </c>
      <c r="AR5" s="96">
        <v>5.0882143715302099</v>
      </c>
      <c r="AS5" s="96">
        <v>647511.69268238393</v>
      </c>
      <c r="AT5" s="96" t="s">
        <v>270</v>
      </c>
      <c r="AU5" s="96" t="s">
        <v>270</v>
      </c>
      <c r="AV5" s="94">
        <v>4.4477003383180896E-6</v>
      </c>
      <c r="AW5" s="94">
        <v>4.4477003383180903E-8</v>
      </c>
      <c r="AX5" s="94">
        <v>2.5373849131212002E-7</v>
      </c>
      <c r="AY5" s="94">
        <v>3.8060773696818E-9</v>
      </c>
      <c r="AZ5" s="94" t="s">
        <v>270</v>
      </c>
      <c r="BA5" s="94" t="s">
        <v>270</v>
      </c>
      <c r="BB5" s="94" t="s">
        <v>270</v>
      </c>
      <c r="BC5" s="94" t="s">
        <v>270</v>
      </c>
      <c r="BD5" s="94" t="s">
        <v>270</v>
      </c>
      <c r="BE5" s="94" t="s">
        <v>270</v>
      </c>
      <c r="BF5" s="94" t="s">
        <v>270</v>
      </c>
      <c r="BG5" s="94" t="s">
        <v>270</v>
      </c>
      <c r="BH5" s="94" t="s">
        <v>270</v>
      </c>
      <c r="BI5" s="94" t="s">
        <v>270</v>
      </c>
      <c r="BJ5" s="94" t="s">
        <v>270</v>
      </c>
      <c r="BK5" s="94" t="s">
        <v>270</v>
      </c>
      <c r="BL5" s="94" t="s">
        <v>270</v>
      </c>
      <c r="BM5" s="94" t="s">
        <v>270</v>
      </c>
      <c r="BN5" s="94" t="s">
        <v>270</v>
      </c>
      <c r="BO5" s="94" t="s">
        <v>270</v>
      </c>
      <c r="BP5" s="94" t="s">
        <v>270</v>
      </c>
      <c r="BQ5" s="94" t="s">
        <v>270</v>
      </c>
      <c r="BR5" s="94" t="s">
        <v>270</v>
      </c>
      <c r="BS5" s="94" t="s">
        <v>270</v>
      </c>
      <c r="BT5" s="94" t="s">
        <v>270</v>
      </c>
      <c r="BU5" s="94" t="s">
        <v>270</v>
      </c>
      <c r="BV5" s="94" t="s">
        <v>270</v>
      </c>
      <c r="BW5" s="94" t="s">
        <v>270</v>
      </c>
      <c r="BX5" s="94" t="s">
        <v>270</v>
      </c>
      <c r="BY5" s="94" t="s">
        <v>270</v>
      </c>
      <c r="BZ5" s="94" t="s">
        <v>270</v>
      </c>
      <c r="CA5" s="94" t="s">
        <v>270</v>
      </c>
      <c r="CB5" s="94" t="s">
        <v>270</v>
      </c>
      <c r="CC5" s="94" t="s">
        <v>270</v>
      </c>
      <c r="CD5" s="94" t="s">
        <v>270</v>
      </c>
      <c r="CE5" s="94" t="s">
        <v>270</v>
      </c>
      <c r="CF5" s="94" t="s">
        <v>270</v>
      </c>
      <c r="CG5" s="94" t="s">
        <v>270</v>
      </c>
      <c r="CH5" s="94" t="s">
        <v>270</v>
      </c>
      <c r="CI5" s="94" t="s">
        <v>270</v>
      </c>
      <c r="CJ5" s="94" t="s">
        <v>270</v>
      </c>
      <c r="CK5" s="94" t="s">
        <v>270</v>
      </c>
      <c r="CL5" s="94" t="s">
        <v>270</v>
      </c>
      <c r="CM5" s="94" t="s">
        <v>270</v>
      </c>
      <c r="CN5" s="94" t="s">
        <v>270</v>
      </c>
      <c r="CO5" s="94" t="s">
        <v>270</v>
      </c>
      <c r="CP5" s="94" t="s">
        <v>270</v>
      </c>
      <c r="CQ5" s="94" t="s">
        <v>270</v>
      </c>
      <c r="CR5" s="94">
        <v>0.57388255002350497</v>
      </c>
      <c r="CS5" s="94">
        <v>5.7388255002350501E-2</v>
      </c>
      <c r="CT5" s="94" t="s">
        <v>270</v>
      </c>
      <c r="CU5" s="94" t="s">
        <v>270</v>
      </c>
      <c r="CV5" s="94" t="s">
        <v>270</v>
      </c>
      <c r="CW5" s="94" t="s">
        <v>270</v>
      </c>
      <c r="CX5" s="94">
        <v>15.976578116515901</v>
      </c>
      <c r="CY5" s="94">
        <v>1.5976578116515903</v>
      </c>
      <c r="CZ5" s="94">
        <v>0.17185644692194399</v>
      </c>
      <c r="DA5" s="94">
        <v>1.7185644692194399E-2</v>
      </c>
      <c r="DB5" s="94">
        <v>3.08614385762084</v>
      </c>
      <c r="DC5" s="94">
        <v>0.308614385762084</v>
      </c>
      <c r="DD5" s="94">
        <v>19.967107110891799</v>
      </c>
      <c r="DE5" s="94">
        <v>1.99671071108918</v>
      </c>
      <c r="DF5" s="94" t="s">
        <v>270</v>
      </c>
      <c r="DG5" s="94" t="s">
        <v>270</v>
      </c>
      <c r="DH5" s="94" t="s">
        <v>270</v>
      </c>
      <c r="DI5" s="94" t="s">
        <v>270</v>
      </c>
      <c r="DJ5" s="94">
        <v>0.99756585324983738</v>
      </c>
      <c r="DK5" s="94">
        <v>0.99933903722158868</v>
      </c>
      <c r="DL5" s="94">
        <v>3.0811571518555569E-2</v>
      </c>
      <c r="DM5" s="94">
        <v>0.99931802448421003</v>
      </c>
      <c r="DN5" s="94">
        <v>4.39877774626472E-8</v>
      </c>
      <c r="DO5" s="94">
        <v>1.7795109280080021E-7</v>
      </c>
      <c r="DP5" s="94">
        <v>2.836496709769027E-4</v>
      </c>
      <c r="DQ5" s="94">
        <v>6.1814482769065432E-8</v>
      </c>
      <c r="DR5" s="94">
        <v>8.2454755091950983E-9</v>
      </c>
      <c r="DS5" s="94">
        <v>1.0925739476725984E-2</v>
      </c>
      <c r="DT5" s="94">
        <v>5.8027601646542084E-3</v>
      </c>
      <c r="DU5" s="94">
        <v>2.5702945232827345E-4</v>
      </c>
      <c r="DV5" s="94">
        <v>4.3189053790237308E-8</v>
      </c>
      <c r="DW5" s="94">
        <v>9.8405042336136135E-9</v>
      </c>
      <c r="DX5" s="94">
        <v>1.7262518082511763E-7</v>
      </c>
      <c r="DY5" s="94">
        <v>2.1752689202731618E-8</v>
      </c>
      <c r="DZ5" s="94">
        <v>7.5470207959095548E-8</v>
      </c>
      <c r="EA5" s="94">
        <v>3.8772923120899505E-5</v>
      </c>
      <c r="EB5" s="94">
        <v>4.7324552845637511E-9</v>
      </c>
      <c r="EC5" s="94">
        <v>3.6116106119039209E-10</v>
      </c>
      <c r="ED5" s="94">
        <v>3.241482793332244E-3</v>
      </c>
      <c r="EE5" s="94">
        <v>8.6952638939010764E-4</v>
      </c>
      <c r="EF5" s="94">
        <v>1.4529467978924055E-6</v>
      </c>
      <c r="EG5" s="94">
        <v>5.853299957223588E-9</v>
      </c>
      <c r="EH5" s="94">
        <v>2.4077404079359434E-9</v>
      </c>
      <c r="EI5" s="94">
        <v>1.3284085009301711E-9</v>
      </c>
      <c r="EJ5" s="94">
        <v>6.5740466665378819E-8</v>
      </c>
      <c r="EK5" s="94">
        <v>2.5342130075989576E-7</v>
      </c>
      <c r="EL5" s="94">
        <v>3.224225940978022E-4</v>
      </c>
      <c r="EM5" s="94">
        <v>6.6546938053629183E-8</v>
      </c>
      <c r="EN5" s="94">
        <v>8.6066365703854904E-9</v>
      </c>
      <c r="EO5" s="94">
        <v>1.4167222270058228E-2</v>
      </c>
      <c r="EP5" s="94">
        <v>6.672286554044316E-3</v>
      </c>
      <c r="EQ5" s="94">
        <v>2.5848239912616586E-4</v>
      </c>
      <c r="ER5" s="94">
        <v>4.9042353747460896E-8</v>
      </c>
      <c r="ES5" s="94">
        <v>1.2248244641549557E-8</v>
      </c>
      <c r="ET5" s="94">
        <v>1.739535893260478E-7</v>
      </c>
      <c r="EU5" s="94">
        <v>1.9569035378486011E-6</v>
      </c>
      <c r="EV5" s="94">
        <v>7.9166447576846679E-6</v>
      </c>
      <c r="EW5" s="94">
        <v>1.2636406940758845E-2</v>
      </c>
      <c r="EX5" s="94">
        <v>2.7589127409403904E-6</v>
      </c>
      <c r="EY5" s="94">
        <v>3.6944881900238214E-7</v>
      </c>
      <c r="EZ5" s="94">
        <v>0.48656960806133165</v>
      </c>
      <c r="FA5" s="94">
        <v>0.25825981060308029</v>
      </c>
      <c r="FB5" s="94">
        <v>1.1518072185534904E-2</v>
      </c>
      <c r="FC5" s="94">
        <v>1.9221881545155352E-6</v>
      </c>
      <c r="FD5" s="94">
        <v>4.3796515580500582E-7</v>
      </c>
      <c r="FE5" s="94">
        <v>7.6829207549842017E-6</v>
      </c>
      <c r="FF5" s="94">
        <v>9.6772141976697219E-7</v>
      </c>
      <c r="FG5" s="94">
        <v>3.3575001805106015E-6</v>
      </c>
      <c r="FH5" s="94">
        <v>1.7273083136357305E-3</v>
      </c>
      <c r="FI5" s="94">
        <v>2.1121961384505182E-7</v>
      </c>
      <c r="FJ5" s="94">
        <v>1.6182272008162499E-8</v>
      </c>
      <c r="FK5" s="94">
        <v>0.14435700353728809</v>
      </c>
      <c r="FL5" s="94">
        <v>3.8699466162005591E-2</v>
      </c>
      <c r="FM5" s="94">
        <v>6.5109838379503668E-5</v>
      </c>
      <c r="FN5" s="94">
        <v>2.6050915348242078E-7</v>
      </c>
      <c r="FO5" s="94">
        <v>1.0715979363106671E-7</v>
      </c>
      <c r="FP5" s="94">
        <v>5.9122644761968365E-8</v>
      </c>
      <c r="FQ5" s="94">
        <v>2.9246249576155733E-6</v>
      </c>
      <c r="FR5" s="94">
        <v>1.1274144938195269E-5</v>
      </c>
      <c r="FS5" s="94">
        <v>1.4363715254394576E-2</v>
      </c>
      <c r="FT5" s="94">
        <v>2.9701323547854422E-6</v>
      </c>
      <c r="FU5" s="94">
        <v>3.8563109101054464E-7</v>
      </c>
      <c r="FV5" s="94">
        <v>0.63092661159861974</v>
      </c>
      <c r="FW5" s="94">
        <v>0.29695927676508588</v>
      </c>
      <c r="FX5" s="94">
        <v>1.1583182023914408E-2</v>
      </c>
      <c r="FY5" s="94">
        <v>2.182697307997956E-6</v>
      </c>
      <c r="FZ5" s="94">
        <v>5.4512494943607253E-7</v>
      </c>
      <c r="GA5" s="94">
        <v>7.7420433997461701E-6</v>
      </c>
      <c r="GB5" s="94">
        <v>7.8327416300442744E-6</v>
      </c>
      <c r="GC5" s="94">
        <v>1.5975551621664929E-4</v>
      </c>
      <c r="GD5" s="94">
        <v>0.50479918446943439</v>
      </c>
      <c r="GE5" s="94">
        <v>2.3119136986532283E-4</v>
      </c>
      <c r="GF5" s="94">
        <v>4.8506043793279759E-5</v>
      </c>
      <c r="GG5" s="94">
        <v>13.630469058465309</v>
      </c>
      <c r="GH5" s="94">
        <v>8.2640040275258446</v>
      </c>
      <c r="GI5" s="94">
        <v>0.50690459784929842</v>
      </c>
      <c r="GJ5" s="94">
        <v>3.0836626581289289E-5</v>
      </c>
      <c r="GK5" s="94">
        <v>8.8288519828419516E-7</v>
      </c>
      <c r="GL5" s="94">
        <v>3.3814685460496866E-4</v>
      </c>
      <c r="GM5" s="94" t="s">
        <v>270</v>
      </c>
      <c r="GN5" s="94" t="s">
        <v>270</v>
      </c>
      <c r="GO5" s="94" t="s">
        <v>270</v>
      </c>
      <c r="GP5" s="94" t="s">
        <v>270</v>
      </c>
      <c r="GQ5" s="94" t="s">
        <v>270</v>
      </c>
      <c r="GR5" s="94" t="s">
        <v>270</v>
      </c>
      <c r="GS5" s="94" t="s">
        <v>270</v>
      </c>
      <c r="GT5" s="94" t="s">
        <v>270</v>
      </c>
      <c r="GU5" s="94" t="s">
        <v>270</v>
      </c>
      <c r="GV5" s="94" t="s">
        <v>270</v>
      </c>
      <c r="GW5" s="94" t="s">
        <v>270</v>
      </c>
      <c r="GX5" s="94" t="s">
        <v>270</v>
      </c>
      <c r="GY5" s="94" t="s">
        <v>270</v>
      </c>
      <c r="GZ5" s="94" t="s">
        <v>270</v>
      </c>
      <c r="HA5" s="94" t="s">
        <v>270</v>
      </c>
      <c r="HB5" s="94" t="s">
        <v>270</v>
      </c>
      <c r="HC5" s="94" t="s">
        <v>270</v>
      </c>
      <c r="HD5" s="94" t="s">
        <v>270</v>
      </c>
      <c r="HE5" s="94" t="s">
        <v>270</v>
      </c>
      <c r="HF5" s="94" t="s">
        <v>270</v>
      </c>
      <c r="HG5" s="94" t="s">
        <v>270</v>
      </c>
      <c r="HH5" s="94" t="s">
        <v>270</v>
      </c>
      <c r="HI5" s="94" t="s">
        <v>270</v>
      </c>
      <c r="HJ5" s="94" t="s">
        <v>270</v>
      </c>
      <c r="HK5" s="94" t="s">
        <v>270</v>
      </c>
      <c r="HL5" s="94" t="s">
        <v>270</v>
      </c>
      <c r="HM5" s="94" t="s">
        <v>270</v>
      </c>
      <c r="HN5" s="94" t="s">
        <v>270</v>
      </c>
      <c r="HO5" s="94" t="s">
        <v>270</v>
      </c>
      <c r="HP5" s="94" t="s">
        <v>270</v>
      </c>
      <c r="HQ5" s="94" t="s">
        <v>270</v>
      </c>
      <c r="HR5" s="94" t="s">
        <v>270</v>
      </c>
      <c r="HS5" s="94" t="s">
        <v>270</v>
      </c>
      <c r="HT5" s="94" t="s">
        <v>270</v>
      </c>
      <c r="HU5" s="94" t="s">
        <v>270</v>
      </c>
      <c r="HV5" s="94" t="s">
        <v>270</v>
      </c>
      <c r="HW5" s="94" t="s">
        <v>270</v>
      </c>
      <c r="HX5" s="94" t="s">
        <v>270</v>
      </c>
      <c r="HY5" s="94" t="s">
        <v>270</v>
      </c>
      <c r="HZ5" s="94" t="s">
        <v>270</v>
      </c>
      <c r="IA5" s="94" t="s">
        <v>270</v>
      </c>
      <c r="IB5" s="94" t="s">
        <v>270</v>
      </c>
      <c r="IC5" s="94" t="s">
        <v>270</v>
      </c>
      <c r="ID5" s="94" t="s">
        <v>270</v>
      </c>
      <c r="IE5" s="94" t="s">
        <v>270</v>
      </c>
      <c r="IF5" s="94" t="s">
        <v>270</v>
      </c>
      <c r="IG5" s="94" t="s">
        <v>270</v>
      </c>
      <c r="IH5" s="94" t="s">
        <v>270</v>
      </c>
      <c r="II5" s="94" t="s">
        <v>270</v>
      </c>
      <c r="IJ5" s="94" t="s">
        <v>270</v>
      </c>
      <c r="IK5" s="94" t="s">
        <v>270</v>
      </c>
      <c r="IL5" s="94" t="s">
        <v>270</v>
      </c>
      <c r="IM5" s="94" t="s">
        <v>270</v>
      </c>
      <c r="IN5" s="94" t="s">
        <v>270</v>
      </c>
      <c r="IO5" s="94" t="s">
        <v>270</v>
      </c>
      <c r="IP5" s="94" t="s">
        <v>270</v>
      </c>
      <c r="IQ5" s="94" t="s">
        <v>270</v>
      </c>
      <c r="IR5" s="94" t="s">
        <v>270</v>
      </c>
      <c r="IS5" s="94" t="s">
        <v>270</v>
      </c>
      <c r="IT5" s="94" t="s">
        <v>270</v>
      </c>
      <c r="IU5" s="94" t="s">
        <v>270</v>
      </c>
      <c r="IV5" s="94" t="s">
        <v>270</v>
      </c>
      <c r="IW5" s="94" t="s">
        <v>270</v>
      </c>
      <c r="IX5" s="94" t="s">
        <v>270</v>
      </c>
      <c r="IY5" s="94" t="s">
        <v>270</v>
      </c>
      <c r="IZ5" s="94" t="s">
        <v>270</v>
      </c>
      <c r="JA5" s="94" t="s">
        <v>270</v>
      </c>
      <c r="JB5" s="94" t="s">
        <v>270</v>
      </c>
      <c r="JC5" s="94" t="s">
        <v>270</v>
      </c>
      <c r="JD5" s="94" t="s">
        <v>270</v>
      </c>
      <c r="JE5" s="94" t="s">
        <v>270</v>
      </c>
      <c r="JF5" s="94" t="s">
        <v>270</v>
      </c>
      <c r="JG5" s="94" t="s">
        <v>270</v>
      </c>
      <c r="JH5" s="94" t="s">
        <v>270</v>
      </c>
      <c r="JI5" s="94" t="s">
        <v>270</v>
      </c>
      <c r="JJ5" s="94" t="s">
        <v>270</v>
      </c>
      <c r="JK5" s="94" t="s">
        <v>270</v>
      </c>
      <c r="JL5" s="94" t="s">
        <v>270</v>
      </c>
      <c r="JM5" s="94" t="s">
        <v>270</v>
      </c>
    </row>
    <row r="6" spans="1:287">
      <c r="A6" s="94" t="s">
        <v>626</v>
      </c>
      <c r="B6" s="94" t="s">
        <v>627</v>
      </c>
      <c r="C6" s="94" t="s">
        <v>637</v>
      </c>
      <c r="D6" s="95">
        <v>41541</v>
      </c>
      <c r="E6" s="94" t="s">
        <v>638</v>
      </c>
      <c r="F6" s="94">
        <v>0.60581683578000001</v>
      </c>
      <c r="G6" s="94">
        <v>9.1463414634146307</v>
      </c>
      <c r="H6" s="94">
        <v>20.879999160800001</v>
      </c>
      <c r="I6" s="94">
        <v>1</v>
      </c>
      <c r="J6" s="94">
        <v>0</v>
      </c>
      <c r="K6" s="94">
        <v>0</v>
      </c>
      <c r="L6" s="94" t="s">
        <v>630</v>
      </c>
      <c r="M6" s="94" t="s">
        <v>631</v>
      </c>
      <c r="N6" s="94">
        <v>8.4645861094695158E-26</v>
      </c>
      <c r="O6" s="96" t="s">
        <v>270</v>
      </c>
      <c r="P6" s="94">
        <v>15.427332234696777</v>
      </c>
      <c r="Q6" s="94">
        <v>5.7812858694894356</v>
      </c>
      <c r="R6" s="94">
        <v>3.2256100774440539</v>
      </c>
      <c r="S6" s="94">
        <v>0.56451547424541204</v>
      </c>
      <c r="T6" s="94" t="s">
        <v>270</v>
      </c>
      <c r="U6" s="94" t="s">
        <v>270</v>
      </c>
      <c r="V6" s="94" t="s">
        <v>632</v>
      </c>
      <c r="W6" s="94" t="s">
        <v>270</v>
      </c>
      <c r="X6" s="94">
        <v>2.3726134914221597E-2</v>
      </c>
      <c r="Y6" s="94">
        <v>2.3475884382667993</v>
      </c>
      <c r="Z6" s="94" t="s">
        <v>632</v>
      </c>
      <c r="AA6" s="94" t="s">
        <v>270</v>
      </c>
      <c r="AB6" s="94" t="s">
        <v>632</v>
      </c>
      <c r="AC6" s="94" t="s">
        <v>270</v>
      </c>
      <c r="AD6" s="94" t="s">
        <v>633</v>
      </c>
      <c r="AE6" s="94" t="s">
        <v>73</v>
      </c>
      <c r="AF6" s="94">
        <v>7.229633474718461E-14</v>
      </c>
      <c r="AG6" s="94">
        <v>4</v>
      </c>
      <c r="AH6" s="97">
        <v>42880.574386574073</v>
      </c>
      <c r="AJ6" s="98" t="s">
        <v>639</v>
      </c>
      <c r="AK6" s="96">
        <v>41.306708725591072</v>
      </c>
      <c r="AL6" s="96">
        <v>0.30670198540320559</v>
      </c>
      <c r="AM6" s="96">
        <v>8.8461590689476566E-2</v>
      </c>
      <c r="AN6" s="96" t="s">
        <v>270</v>
      </c>
      <c r="AO6" s="96" t="s">
        <v>270</v>
      </c>
      <c r="AP6" s="96">
        <v>0.19655966262632596</v>
      </c>
      <c r="AQ6" s="96">
        <v>-0.97814321792441061</v>
      </c>
      <c r="AR6" s="96">
        <v>7.179029727733754</v>
      </c>
      <c r="AS6" s="96">
        <v>288243.19645709591</v>
      </c>
      <c r="AT6" s="96" t="s">
        <v>270</v>
      </c>
      <c r="AU6" s="96" t="s">
        <v>270</v>
      </c>
      <c r="AV6" s="94">
        <v>1.9146646739520499E-6</v>
      </c>
      <c r="AW6" s="94">
        <v>1.91466467395205E-8</v>
      </c>
      <c r="AX6" s="94">
        <v>2.49842150704935E-7</v>
      </c>
      <c r="AY6" s="94">
        <v>3.7476322605740302E-9</v>
      </c>
      <c r="AZ6" s="94" t="s">
        <v>270</v>
      </c>
      <c r="BA6" s="94" t="s">
        <v>270</v>
      </c>
      <c r="BB6" s="94" t="s">
        <v>270</v>
      </c>
      <c r="BC6" s="94" t="s">
        <v>270</v>
      </c>
      <c r="BD6" s="94" t="s">
        <v>270</v>
      </c>
      <c r="BE6" s="94" t="s">
        <v>270</v>
      </c>
      <c r="BF6" s="94" t="s">
        <v>270</v>
      </c>
      <c r="BG6" s="94" t="s">
        <v>270</v>
      </c>
      <c r="BH6" s="94" t="s">
        <v>270</v>
      </c>
      <c r="BI6" s="94" t="s">
        <v>270</v>
      </c>
      <c r="BJ6" s="94" t="s">
        <v>270</v>
      </c>
      <c r="BK6" s="94" t="s">
        <v>270</v>
      </c>
      <c r="BL6" s="94" t="s">
        <v>270</v>
      </c>
      <c r="BM6" s="94" t="s">
        <v>270</v>
      </c>
      <c r="BN6" s="94" t="s">
        <v>270</v>
      </c>
      <c r="BO6" s="94" t="s">
        <v>270</v>
      </c>
      <c r="BP6" s="94" t="s">
        <v>270</v>
      </c>
      <c r="BQ6" s="94" t="s">
        <v>270</v>
      </c>
      <c r="BR6" s="94" t="s">
        <v>270</v>
      </c>
      <c r="BS6" s="94" t="s">
        <v>270</v>
      </c>
      <c r="BT6" s="94" t="s">
        <v>270</v>
      </c>
      <c r="BU6" s="94" t="s">
        <v>270</v>
      </c>
      <c r="BV6" s="94" t="s">
        <v>270</v>
      </c>
      <c r="BW6" s="94" t="s">
        <v>270</v>
      </c>
      <c r="BX6" s="94" t="s">
        <v>270</v>
      </c>
      <c r="BY6" s="94" t="s">
        <v>270</v>
      </c>
      <c r="BZ6" s="94" t="s">
        <v>270</v>
      </c>
      <c r="CA6" s="94" t="s">
        <v>270</v>
      </c>
      <c r="CB6" s="94" t="s">
        <v>270</v>
      </c>
      <c r="CC6" s="94" t="s">
        <v>270</v>
      </c>
      <c r="CD6" s="94" t="s">
        <v>270</v>
      </c>
      <c r="CE6" s="94" t="s">
        <v>270</v>
      </c>
      <c r="CF6" s="94" t="s">
        <v>270</v>
      </c>
      <c r="CG6" s="94" t="s">
        <v>270</v>
      </c>
      <c r="CH6" s="94" t="s">
        <v>270</v>
      </c>
      <c r="CI6" s="94" t="s">
        <v>270</v>
      </c>
      <c r="CJ6" s="94" t="s">
        <v>270</v>
      </c>
      <c r="CK6" s="94" t="s">
        <v>270</v>
      </c>
      <c r="CL6" s="94" t="s">
        <v>270</v>
      </c>
      <c r="CM6" s="94" t="s">
        <v>270</v>
      </c>
      <c r="CN6" s="94" t="s">
        <v>270</v>
      </c>
      <c r="CO6" s="94" t="s">
        <v>270</v>
      </c>
      <c r="CP6" s="94" t="s">
        <v>270</v>
      </c>
      <c r="CQ6" s="94" t="s">
        <v>270</v>
      </c>
      <c r="CR6" s="94">
        <v>0.66099284040362405</v>
      </c>
      <c r="CS6" s="94">
        <v>6.6099284040362402E-2</v>
      </c>
      <c r="CT6" s="94" t="s">
        <v>270</v>
      </c>
      <c r="CU6" s="94" t="s">
        <v>270</v>
      </c>
      <c r="CV6" s="94" t="s">
        <v>270</v>
      </c>
      <c r="CW6" s="94" t="s">
        <v>270</v>
      </c>
      <c r="CX6" s="94">
        <v>19.3097996592066</v>
      </c>
      <c r="CY6" s="94">
        <v>1.9309799659206601</v>
      </c>
      <c r="CZ6" s="94">
        <v>0.21733141820341101</v>
      </c>
      <c r="DA6" s="94">
        <v>2.1733141820341102E-2</v>
      </c>
      <c r="DB6" s="94">
        <v>5.5177978456922503</v>
      </c>
      <c r="DC6" s="94">
        <v>0.55177978456922505</v>
      </c>
      <c r="DD6" s="94">
        <v>10.861860644179901</v>
      </c>
      <c r="DE6" s="94">
        <v>1.0861860644179901</v>
      </c>
      <c r="DF6" s="94" t="s">
        <v>270</v>
      </c>
      <c r="DG6" s="94" t="s">
        <v>270</v>
      </c>
      <c r="DH6" s="94" t="s">
        <v>270</v>
      </c>
      <c r="DI6" s="94" t="s">
        <v>270</v>
      </c>
      <c r="DJ6" s="94">
        <v>0.99950474984957283</v>
      </c>
      <c r="DK6" s="94">
        <v>0.99889863809369528</v>
      </c>
      <c r="DL6" s="94">
        <v>1.7275680863728247E-2</v>
      </c>
      <c r="DM6" s="94">
        <v>0.99887927683801214</v>
      </c>
      <c r="DN6" s="94">
        <v>4.5256762618215225E-8</v>
      </c>
      <c r="DO6" s="94">
        <v>1.9120055949700104E-7</v>
      </c>
      <c r="DP6" s="94">
        <v>3.4056812553918172E-4</v>
      </c>
      <c r="DQ6" s="94">
        <v>7.7926018462044182E-8</v>
      </c>
      <c r="DR6" s="94">
        <v>1.0924781071461797E-8</v>
      </c>
      <c r="DS6" s="94">
        <v>1.2910413777455901E-2</v>
      </c>
      <c r="DT6" s="94">
        <v>6.9684647129992375E-3</v>
      </c>
      <c r="DU6" s="94">
        <v>3.4141089135209527E-4</v>
      </c>
      <c r="DV6" s="94">
        <v>5.2675321482773476E-8</v>
      </c>
      <c r="DW6" s="94">
        <v>1.060833766148386E-8</v>
      </c>
      <c r="DX6" s="94">
        <v>2.3277859016902068E-7</v>
      </c>
      <c r="DY6" s="94">
        <v>1.6902196805806839E-8</v>
      </c>
      <c r="DZ6" s="94">
        <v>5.8641591207932906E-8</v>
      </c>
      <c r="EA6" s="94">
        <v>3.0127198123327441E-5</v>
      </c>
      <c r="EB6" s="94">
        <v>3.6771954882862175E-9</v>
      </c>
      <c r="EC6" s="94">
        <v>2.8062807673763298E-10</v>
      </c>
      <c r="ED6" s="94">
        <v>2.5376571760189984E-3</v>
      </c>
      <c r="EE6" s="94">
        <v>6.7563628682143148E-4</v>
      </c>
      <c r="EF6" s="94">
        <v>1.1289635271054125E-6</v>
      </c>
      <c r="EG6" s="94">
        <v>4.5481102091961184E-9</v>
      </c>
      <c r="EH6" s="94">
        <v>1.8708538449175504E-9</v>
      </c>
      <c r="EI6" s="94">
        <v>1.0321952247821077E-9</v>
      </c>
      <c r="EJ6" s="94">
        <v>6.2158959424022064E-8</v>
      </c>
      <c r="EK6" s="94">
        <v>2.4984215070493394E-7</v>
      </c>
      <c r="EL6" s="94">
        <v>3.7069532366250916E-4</v>
      </c>
      <c r="EM6" s="94">
        <v>8.16032139503304E-8</v>
      </c>
      <c r="EN6" s="94">
        <v>1.120540914819943E-8</v>
      </c>
      <c r="EO6" s="94">
        <v>1.5448070953474899E-2</v>
      </c>
      <c r="EP6" s="94">
        <v>7.644100999820669E-3</v>
      </c>
      <c r="EQ6" s="94">
        <v>3.4253985487920068E-4</v>
      </c>
      <c r="ER6" s="94">
        <v>5.7223431691969594E-8</v>
      </c>
      <c r="ES6" s="94">
        <v>1.247919150640141E-8</v>
      </c>
      <c r="ET6" s="94">
        <v>2.3381078539380279E-7</v>
      </c>
      <c r="EU6" s="94">
        <v>2.017270653952084E-6</v>
      </c>
      <c r="EV6" s="94">
        <v>8.5226164561787018E-6</v>
      </c>
      <c r="EW6" s="94">
        <v>1.5201575675465392E-2</v>
      </c>
      <c r="EX6" s="94">
        <v>3.4847650285035664E-6</v>
      </c>
      <c r="EY6" s="94">
        <v>4.9044985072274874E-7</v>
      </c>
      <c r="EZ6" s="94">
        <v>0.57607308818228498</v>
      </c>
      <c r="FA6" s="94">
        <v>0.31074389130908708</v>
      </c>
      <c r="FB6" s="94">
        <v>1.5329132004707591E-2</v>
      </c>
      <c r="FC6" s="94">
        <v>2.3489441430304866E-6</v>
      </c>
      <c r="FD6" s="94">
        <v>4.7305629877135838E-7</v>
      </c>
      <c r="FE6" s="94">
        <v>1.0380267089195289E-5</v>
      </c>
      <c r="FF6" s="94">
        <v>7.5339692083837892E-7</v>
      </c>
      <c r="FG6" s="94">
        <v>2.6139033879399925E-6</v>
      </c>
      <c r="FH6" s="94">
        <v>1.3447555652380382E-3</v>
      </c>
      <c r="FI6" s="94">
        <v>1.6444009964133348E-7</v>
      </c>
      <c r="FJ6" s="94">
        <v>1.2598330112455771E-8</v>
      </c>
      <c r="FK6" s="94">
        <v>0.11323273186121252</v>
      </c>
      <c r="FL6" s="94">
        <v>3.0128565978796706E-2</v>
      </c>
      <c r="FM6" s="94">
        <v>5.0689744744116666E-5</v>
      </c>
      <c r="FN6" s="94">
        <v>2.0281332010934478E-7</v>
      </c>
      <c r="FO6" s="94">
        <v>8.3426755789659522E-8</v>
      </c>
      <c r="FP6" s="94">
        <v>4.6028554918431993E-8</v>
      </c>
      <c r="FQ6" s="94">
        <v>2.7706675747904629E-6</v>
      </c>
      <c r="FR6" s="94">
        <v>1.1136519844118694E-5</v>
      </c>
      <c r="FS6" s="94">
        <v>1.654633124070343E-2</v>
      </c>
      <c r="FT6" s="94">
        <v>3.6492051281448999E-6</v>
      </c>
      <c r="FU6" s="94">
        <v>5.0304818083520451E-7</v>
      </c>
      <c r="FV6" s="94">
        <v>0.6893058200434975</v>
      </c>
      <c r="FW6" s="94">
        <v>0.34087245728788379</v>
      </c>
      <c r="FX6" s="94">
        <v>1.5379821749451707E-2</v>
      </c>
      <c r="FY6" s="94">
        <v>2.5517574631398314E-6</v>
      </c>
      <c r="FZ6" s="94">
        <v>5.564830545610179E-7</v>
      </c>
      <c r="GA6" s="94">
        <v>1.0426295644113721E-5</v>
      </c>
      <c r="GB6" s="94">
        <v>8.0743682683758207E-6</v>
      </c>
      <c r="GC6" s="94">
        <v>1.7198384330074936E-4</v>
      </c>
      <c r="GD6" s="94">
        <v>0.60727254508349149</v>
      </c>
      <c r="GE6" s="94">
        <v>2.9201633985854189E-4</v>
      </c>
      <c r="GF6" s="94">
        <v>6.4392632250941857E-5</v>
      </c>
      <c r="GG6" s="94">
        <v>16.137765848485621</v>
      </c>
      <c r="GH6" s="94">
        <v>9.9434316292212159</v>
      </c>
      <c r="GI6" s="94">
        <v>0.67462743496117872</v>
      </c>
      <c r="GJ6" s="94">
        <v>3.7682842456800856E-5</v>
      </c>
      <c r="GK6" s="94">
        <v>9.5362473156720597E-7</v>
      </c>
      <c r="GL6" s="94">
        <v>4.568646193433344E-4</v>
      </c>
      <c r="GM6" s="94" t="s">
        <v>270</v>
      </c>
      <c r="GN6" s="94" t="s">
        <v>270</v>
      </c>
      <c r="GO6" s="94" t="s">
        <v>270</v>
      </c>
      <c r="GP6" s="94" t="s">
        <v>270</v>
      </c>
      <c r="GQ6" s="94" t="s">
        <v>270</v>
      </c>
      <c r="GR6" s="94" t="s">
        <v>270</v>
      </c>
      <c r="GS6" s="94" t="s">
        <v>270</v>
      </c>
      <c r="GT6" s="94" t="s">
        <v>270</v>
      </c>
      <c r="GU6" s="94" t="s">
        <v>270</v>
      </c>
      <c r="GV6" s="94" t="s">
        <v>270</v>
      </c>
      <c r="GW6" s="94" t="s">
        <v>270</v>
      </c>
      <c r="GX6" s="94" t="s">
        <v>270</v>
      </c>
      <c r="GY6" s="94" t="s">
        <v>270</v>
      </c>
      <c r="GZ6" s="94" t="s">
        <v>270</v>
      </c>
      <c r="HA6" s="94" t="s">
        <v>270</v>
      </c>
      <c r="HB6" s="94" t="s">
        <v>270</v>
      </c>
      <c r="HC6" s="94" t="s">
        <v>270</v>
      </c>
      <c r="HD6" s="94" t="s">
        <v>270</v>
      </c>
      <c r="HE6" s="94" t="s">
        <v>270</v>
      </c>
      <c r="HF6" s="94" t="s">
        <v>270</v>
      </c>
      <c r="HG6" s="94" t="s">
        <v>270</v>
      </c>
      <c r="HH6" s="94" t="s">
        <v>270</v>
      </c>
      <c r="HI6" s="94" t="s">
        <v>270</v>
      </c>
      <c r="HJ6" s="94" t="s">
        <v>270</v>
      </c>
      <c r="HK6" s="94" t="s">
        <v>270</v>
      </c>
      <c r="HL6" s="94" t="s">
        <v>270</v>
      </c>
      <c r="HM6" s="94" t="s">
        <v>270</v>
      </c>
      <c r="HN6" s="94" t="s">
        <v>270</v>
      </c>
      <c r="HO6" s="94" t="s">
        <v>270</v>
      </c>
      <c r="HP6" s="94" t="s">
        <v>270</v>
      </c>
      <c r="HQ6" s="94" t="s">
        <v>270</v>
      </c>
      <c r="HR6" s="94" t="s">
        <v>270</v>
      </c>
      <c r="HS6" s="94" t="s">
        <v>270</v>
      </c>
      <c r="HT6" s="94" t="s">
        <v>270</v>
      </c>
      <c r="HU6" s="94" t="s">
        <v>270</v>
      </c>
      <c r="HV6" s="94" t="s">
        <v>270</v>
      </c>
      <c r="HW6" s="94" t="s">
        <v>270</v>
      </c>
      <c r="HX6" s="94" t="s">
        <v>270</v>
      </c>
      <c r="HY6" s="94" t="s">
        <v>270</v>
      </c>
      <c r="HZ6" s="94" t="s">
        <v>270</v>
      </c>
      <c r="IA6" s="94" t="s">
        <v>270</v>
      </c>
      <c r="IB6" s="94" t="s">
        <v>270</v>
      </c>
      <c r="IC6" s="94" t="s">
        <v>270</v>
      </c>
      <c r="ID6" s="94" t="s">
        <v>270</v>
      </c>
      <c r="IE6" s="94" t="s">
        <v>270</v>
      </c>
      <c r="IF6" s="94" t="s">
        <v>270</v>
      </c>
      <c r="IG6" s="94" t="s">
        <v>270</v>
      </c>
      <c r="IH6" s="94" t="s">
        <v>270</v>
      </c>
      <c r="II6" s="94" t="s">
        <v>270</v>
      </c>
      <c r="IJ6" s="94" t="s">
        <v>270</v>
      </c>
      <c r="IK6" s="94" t="s">
        <v>270</v>
      </c>
      <c r="IL6" s="94" t="s">
        <v>270</v>
      </c>
      <c r="IM6" s="94" t="s">
        <v>270</v>
      </c>
      <c r="IN6" s="94" t="s">
        <v>270</v>
      </c>
      <c r="IO6" s="94" t="s">
        <v>270</v>
      </c>
      <c r="IP6" s="94" t="s">
        <v>270</v>
      </c>
      <c r="IQ6" s="94" t="s">
        <v>270</v>
      </c>
      <c r="IR6" s="94" t="s">
        <v>270</v>
      </c>
      <c r="IS6" s="94" t="s">
        <v>270</v>
      </c>
      <c r="IT6" s="94" t="s">
        <v>270</v>
      </c>
      <c r="IU6" s="94" t="s">
        <v>270</v>
      </c>
      <c r="IV6" s="94" t="s">
        <v>270</v>
      </c>
      <c r="IW6" s="94" t="s">
        <v>270</v>
      </c>
      <c r="IX6" s="94" t="s">
        <v>270</v>
      </c>
      <c r="IY6" s="94" t="s">
        <v>270</v>
      </c>
      <c r="IZ6" s="94" t="s">
        <v>270</v>
      </c>
      <c r="JA6" s="94" t="s">
        <v>270</v>
      </c>
      <c r="JB6" s="94" t="s">
        <v>270</v>
      </c>
      <c r="JC6" s="94" t="s">
        <v>270</v>
      </c>
      <c r="JD6" s="94" t="s">
        <v>270</v>
      </c>
      <c r="JE6" s="94" t="s">
        <v>270</v>
      </c>
      <c r="JF6" s="94" t="s">
        <v>270</v>
      </c>
      <c r="JG6" s="94" t="s">
        <v>270</v>
      </c>
      <c r="JH6" s="94" t="s">
        <v>270</v>
      </c>
      <c r="JI6" s="94" t="s">
        <v>270</v>
      </c>
      <c r="JJ6" s="94" t="s">
        <v>270</v>
      </c>
      <c r="JK6" s="94" t="s">
        <v>270</v>
      </c>
      <c r="JL6" s="94" t="s">
        <v>270</v>
      </c>
      <c r="JM6" s="94" t="s">
        <v>270</v>
      </c>
    </row>
    <row r="7" spans="1:287">
      <c r="A7" s="94" t="s">
        <v>626</v>
      </c>
      <c r="B7" s="94" t="s">
        <v>627</v>
      </c>
      <c r="C7" s="94" t="s">
        <v>637</v>
      </c>
      <c r="D7" s="95">
        <v>41541</v>
      </c>
      <c r="E7" s="94" t="s">
        <v>640</v>
      </c>
      <c r="F7" s="94">
        <v>0.60581683578000001</v>
      </c>
      <c r="G7" s="94">
        <v>9.1463414634146307</v>
      </c>
      <c r="H7" s="94">
        <v>20.879999160800001</v>
      </c>
      <c r="I7" s="94">
        <v>1</v>
      </c>
      <c r="J7" s="94">
        <v>0</v>
      </c>
      <c r="K7" s="94">
        <v>0</v>
      </c>
      <c r="L7" s="94" t="s">
        <v>630</v>
      </c>
      <c r="M7" s="94" t="s">
        <v>631</v>
      </c>
      <c r="N7" s="94">
        <v>1.026420989975446E-24</v>
      </c>
      <c r="O7" s="96" t="s">
        <v>270</v>
      </c>
      <c r="P7" s="94">
        <v>13.768578640869395</v>
      </c>
      <c r="Q7" s="94">
        <v>5.5839354642770092</v>
      </c>
      <c r="R7" s="94">
        <v>3.0741039925765734</v>
      </c>
      <c r="S7" s="94">
        <v>0.57177494749860613</v>
      </c>
      <c r="T7" s="94" t="s">
        <v>270</v>
      </c>
      <c r="U7" s="94" t="s">
        <v>270</v>
      </c>
      <c r="V7" s="94" t="s">
        <v>632</v>
      </c>
      <c r="W7" s="94" t="s">
        <v>270</v>
      </c>
      <c r="X7" s="94">
        <v>0.43387851642663172</v>
      </c>
      <c r="Y7" s="94">
        <v>2.4384493042604469</v>
      </c>
      <c r="Z7" s="94" t="s">
        <v>632</v>
      </c>
      <c r="AA7" s="94" t="s">
        <v>270</v>
      </c>
      <c r="AB7" s="94" t="s">
        <v>632</v>
      </c>
      <c r="AC7" s="94" t="s">
        <v>270</v>
      </c>
      <c r="AD7" s="94" t="s">
        <v>633</v>
      </c>
      <c r="AE7" s="94" t="s">
        <v>73</v>
      </c>
      <c r="AF7" s="94">
        <v>8.0753701216221254E-12</v>
      </c>
      <c r="AG7" s="94">
        <v>4</v>
      </c>
      <c r="AH7" s="97">
        <v>42880.574386574073</v>
      </c>
      <c r="AJ7" s="98" t="s">
        <v>641</v>
      </c>
      <c r="AK7" s="96">
        <v>41.047721869368075</v>
      </c>
      <c r="AL7" s="96">
        <v>0.28814533185125946</v>
      </c>
      <c r="AM7" s="96">
        <v>8.1363671028368945E-2</v>
      </c>
      <c r="AN7" s="96" t="s">
        <v>270</v>
      </c>
      <c r="AO7" s="96" t="s">
        <v>270</v>
      </c>
      <c r="AP7" s="96">
        <v>0.20594266535731753</v>
      </c>
      <c r="AQ7" s="96">
        <v>-0.97889881400831757</v>
      </c>
      <c r="AR7" s="96">
        <v>5.6567735968357251</v>
      </c>
      <c r="AS7" s="96">
        <v>300460.90273969009</v>
      </c>
      <c r="AT7" s="96" t="s">
        <v>270</v>
      </c>
      <c r="AU7" s="96" t="s">
        <v>270</v>
      </c>
      <c r="AV7" s="94">
        <v>1.9146646739520499E-6</v>
      </c>
      <c r="AW7" s="94">
        <v>1.91466467395205E-8</v>
      </c>
      <c r="AX7" s="94">
        <v>2.49842150704935E-7</v>
      </c>
      <c r="AY7" s="94">
        <v>3.7476322605740302E-9</v>
      </c>
      <c r="AZ7" s="94" t="s">
        <v>270</v>
      </c>
      <c r="BA7" s="94" t="s">
        <v>270</v>
      </c>
      <c r="BB7" s="94" t="s">
        <v>270</v>
      </c>
      <c r="BC7" s="94" t="s">
        <v>270</v>
      </c>
      <c r="BD7" s="94" t="s">
        <v>270</v>
      </c>
      <c r="BE7" s="94" t="s">
        <v>270</v>
      </c>
      <c r="BF7" s="94" t="s">
        <v>270</v>
      </c>
      <c r="BG7" s="94" t="s">
        <v>270</v>
      </c>
      <c r="BH7" s="94" t="s">
        <v>270</v>
      </c>
      <c r="BI7" s="94" t="s">
        <v>270</v>
      </c>
      <c r="BJ7" s="94" t="s">
        <v>270</v>
      </c>
      <c r="BK7" s="94" t="s">
        <v>270</v>
      </c>
      <c r="BL7" s="94" t="s">
        <v>270</v>
      </c>
      <c r="BM7" s="94" t="s">
        <v>270</v>
      </c>
      <c r="BN7" s="94" t="s">
        <v>270</v>
      </c>
      <c r="BO7" s="94" t="s">
        <v>270</v>
      </c>
      <c r="BP7" s="94" t="s">
        <v>270</v>
      </c>
      <c r="BQ7" s="94" t="s">
        <v>270</v>
      </c>
      <c r="BR7" s="94" t="s">
        <v>270</v>
      </c>
      <c r="BS7" s="94" t="s">
        <v>270</v>
      </c>
      <c r="BT7" s="94" t="s">
        <v>270</v>
      </c>
      <c r="BU7" s="94" t="s">
        <v>270</v>
      </c>
      <c r="BV7" s="94" t="s">
        <v>270</v>
      </c>
      <c r="BW7" s="94" t="s">
        <v>270</v>
      </c>
      <c r="BX7" s="94" t="s">
        <v>270</v>
      </c>
      <c r="BY7" s="94" t="s">
        <v>270</v>
      </c>
      <c r="BZ7" s="94" t="s">
        <v>270</v>
      </c>
      <c r="CA7" s="94" t="s">
        <v>270</v>
      </c>
      <c r="CB7" s="94" t="s">
        <v>270</v>
      </c>
      <c r="CC7" s="94" t="s">
        <v>270</v>
      </c>
      <c r="CD7" s="94" t="s">
        <v>270</v>
      </c>
      <c r="CE7" s="94" t="s">
        <v>270</v>
      </c>
      <c r="CF7" s="94" t="s">
        <v>270</v>
      </c>
      <c r="CG7" s="94" t="s">
        <v>270</v>
      </c>
      <c r="CH7" s="94" t="s">
        <v>270</v>
      </c>
      <c r="CI7" s="94" t="s">
        <v>270</v>
      </c>
      <c r="CJ7" s="94" t="s">
        <v>270</v>
      </c>
      <c r="CK7" s="94" t="s">
        <v>270</v>
      </c>
      <c r="CL7" s="94" t="s">
        <v>270</v>
      </c>
      <c r="CM7" s="94" t="s">
        <v>270</v>
      </c>
      <c r="CN7" s="94" t="s">
        <v>270</v>
      </c>
      <c r="CO7" s="94" t="s">
        <v>270</v>
      </c>
      <c r="CP7" s="94" t="s">
        <v>270</v>
      </c>
      <c r="CQ7" s="94" t="s">
        <v>270</v>
      </c>
      <c r="CR7" s="94">
        <v>0.68060090183963495</v>
      </c>
      <c r="CS7" s="94">
        <v>6.8060090183963501E-2</v>
      </c>
      <c r="CT7" s="94" t="s">
        <v>270</v>
      </c>
      <c r="CU7" s="94" t="s">
        <v>270</v>
      </c>
      <c r="CV7" s="94" t="s">
        <v>270</v>
      </c>
      <c r="CW7" s="94" t="s">
        <v>270</v>
      </c>
      <c r="CX7" s="94">
        <v>20.114661816637302</v>
      </c>
      <c r="CY7" s="94">
        <v>2.0114661816637303</v>
      </c>
      <c r="CZ7" s="94">
        <v>0.21751086087864399</v>
      </c>
      <c r="DA7" s="94">
        <v>2.1751086087864399E-2</v>
      </c>
      <c r="DB7" s="94">
        <v>4.74185952300469</v>
      </c>
      <c r="DC7" s="94">
        <v>0.474185952300469</v>
      </c>
      <c r="DD7" s="94">
        <v>11.7724135076755</v>
      </c>
      <c r="DE7" s="94">
        <v>1.1772413507675501</v>
      </c>
      <c r="DF7" s="94" t="s">
        <v>270</v>
      </c>
      <c r="DG7" s="94" t="s">
        <v>270</v>
      </c>
      <c r="DH7" s="94" t="s">
        <v>270</v>
      </c>
      <c r="DI7" s="94" t="s">
        <v>270</v>
      </c>
      <c r="DJ7" s="94">
        <v>0.99974919564107212</v>
      </c>
      <c r="DK7" s="94">
        <v>0.99889863809369528</v>
      </c>
      <c r="DL7" s="94">
        <v>1.5519895822727408E-2</v>
      </c>
      <c r="DM7" s="94">
        <v>0.99888127560767204</v>
      </c>
      <c r="DN7" s="94">
        <v>4.5535515096405028E-8</v>
      </c>
      <c r="DO7" s="94">
        <v>1.9395494011989634E-7</v>
      </c>
      <c r="DP7" s="94">
        <v>3.5288637948306987E-4</v>
      </c>
      <c r="DQ7" s="94">
        <v>8.1475285295917639E-8</v>
      </c>
      <c r="DR7" s="94">
        <v>1.1532858924938099E-8</v>
      </c>
      <c r="DS7" s="94">
        <v>1.3340638794922444E-2</v>
      </c>
      <c r="DT7" s="94">
        <v>7.2221864153036407E-3</v>
      </c>
      <c r="DU7" s="94">
        <v>3.6040604712423113E-4</v>
      </c>
      <c r="DV7" s="94">
        <v>5.4756216789869208E-8</v>
      </c>
      <c r="DW7" s="94">
        <v>1.0770801353605041E-8</v>
      </c>
      <c r="DX7" s="94">
        <v>2.4646016701631525E-7</v>
      </c>
      <c r="DY7" s="94">
        <v>1.6108304921101239E-8</v>
      </c>
      <c r="DZ7" s="94">
        <v>5.5887210585042107E-8</v>
      </c>
      <c r="EA7" s="94">
        <v>2.8712131290665208E-5</v>
      </c>
      <c r="EB7" s="94">
        <v>3.5044785515372877E-9</v>
      </c>
      <c r="EC7" s="94">
        <v>2.6744704735416131E-10</v>
      </c>
      <c r="ED7" s="94">
        <v>2.7473196760273207E-3</v>
      </c>
      <c r="EE7" s="94">
        <v>6.4390182228508952E-4</v>
      </c>
      <c r="EF7" s="94">
        <v>1.0759363974017968E-6</v>
      </c>
      <c r="EG7" s="94">
        <v>4.3344866295329656E-9</v>
      </c>
      <c r="EH7" s="94">
        <v>1.7829803156944126E-9</v>
      </c>
      <c r="EI7" s="94">
        <v>9.8371327762449345E-10</v>
      </c>
      <c r="EJ7" s="94">
        <v>6.1643820017506267E-8</v>
      </c>
      <c r="EK7" s="94">
        <v>2.4984215070493844E-7</v>
      </c>
      <c r="EL7" s="94">
        <v>3.8159851077373508E-4</v>
      </c>
      <c r="EM7" s="94">
        <v>8.4979763847454926E-8</v>
      </c>
      <c r="EN7" s="94">
        <v>1.180030597229226E-8</v>
      </c>
      <c r="EO7" s="94">
        <v>1.6087958470949765E-2</v>
      </c>
      <c r="EP7" s="94">
        <v>7.8660882375887302E-3</v>
      </c>
      <c r="EQ7" s="94">
        <v>3.6148198352163293E-4</v>
      </c>
      <c r="ER7" s="94">
        <v>5.9090703419402174E-8</v>
      </c>
      <c r="ES7" s="94">
        <v>1.2553781669299454E-8</v>
      </c>
      <c r="ET7" s="94">
        <v>2.4744388029393975E-7</v>
      </c>
      <c r="EU7" s="94">
        <v>2.0301921369566457E-6</v>
      </c>
      <c r="EV7" s="94">
        <v>8.6475052099852327E-6</v>
      </c>
      <c r="EW7" s="94">
        <v>1.5755264694547397E-2</v>
      </c>
      <c r="EX7" s="94">
        <v>3.6443753764610424E-6</v>
      </c>
      <c r="EY7" s="94">
        <v>5.1787511733740562E-7</v>
      </c>
      <c r="EZ7" s="94">
        <v>0.59541565924248085</v>
      </c>
      <c r="FA7" s="94">
        <v>0.3221368367747699</v>
      </c>
      <c r="FB7" s="94">
        <v>1.6185960007035999E-2</v>
      </c>
      <c r="FC7" s="94">
        <v>2.4423344200954719E-6</v>
      </c>
      <c r="FD7" s="94">
        <v>4.8041848798413542E-7</v>
      </c>
      <c r="FE7" s="94">
        <v>1.099305584599471E-5</v>
      </c>
      <c r="FF7" s="94">
        <v>7.1818566060542128E-7</v>
      </c>
      <c r="FG7" s="94">
        <v>2.4917382584168426E-6</v>
      </c>
      <c r="FH7" s="94">
        <v>1.2819061735725897E-3</v>
      </c>
      <c r="FI7" s="94">
        <v>1.5675471763212489E-7</v>
      </c>
      <c r="FJ7" s="94">
        <v>1.2009526166194946E-8</v>
      </c>
      <c r="FK7" s="94">
        <v>0.1226214878599009</v>
      </c>
      <c r="FL7" s="94">
        <v>2.8720457254454268E-2</v>
      </c>
      <c r="FM7" s="94">
        <v>4.8320675075846919E-5</v>
      </c>
      <c r="FN7" s="94">
        <v>1.9333450171288328E-7</v>
      </c>
      <c r="FO7" s="94">
        <v>7.9527667371256902E-8</v>
      </c>
      <c r="FP7" s="94">
        <v>4.3877333722072248E-8</v>
      </c>
      <c r="FQ7" s="94">
        <v>2.748377797562067E-6</v>
      </c>
      <c r="FR7" s="94">
        <v>1.1139243468402075E-5</v>
      </c>
      <c r="FS7" s="94">
        <v>1.7037170868119986E-2</v>
      </c>
      <c r="FT7" s="94">
        <v>3.8011300940931673E-6</v>
      </c>
      <c r="FU7" s="94">
        <v>5.2988464350360057E-7</v>
      </c>
      <c r="FV7" s="94">
        <v>0.71803714710238176</v>
      </c>
      <c r="FW7" s="94">
        <v>0.35085729402922416</v>
      </c>
      <c r="FX7" s="94">
        <v>1.6234280682111846E-2</v>
      </c>
      <c r="FY7" s="94">
        <v>2.6356689218083551E-6</v>
      </c>
      <c r="FZ7" s="94">
        <v>5.5994615535539232E-7</v>
      </c>
      <c r="GA7" s="94">
        <v>1.1036933179716782E-5</v>
      </c>
      <c r="GB7" s="94">
        <v>8.1260880572638357E-6</v>
      </c>
      <c r="GC7" s="94">
        <v>1.74504060885939E-4</v>
      </c>
      <c r="GD7" s="94">
        <v>0.62939131401777937</v>
      </c>
      <c r="GE7" s="94">
        <v>3.0539136779668245E-4</v>
      </c>
      <c r="GF7" s="94">
        <v>6.7993377780579996E-5</v>
      </c>
      <c r="GG7" s="94">
        <v>16.679617028623312</v>
      </c>
      <c r="GH7" s="94">
        <v>10.307992212588507</v>
      </c>
      <c r="GI7" s="94">
        <v>0.71233600692965082</v>
      </c>
      <c r="GJ7" s="94">
        <v>3.9181052241004799E-5</v>
      </c>
      <c r="GK7" s="94">
        <v>9.6846602155745907E-7</v>
      </c>
      <c r="GL7" s="94">
        <v>4.8383516833859594E-4</v>
      </c>
      <c r="GM7" s="94" t="s">
        <v>270</v>
      </c>
      <c r="GN7" s="94" t="s">
        <v>270</v>
      </c>
      <c r="GO7" s="94" t="s">
        <v>270</v>
      </c>
      <c r="GP7" s="94" t="s">
        <v>270</v>
      </c>
      <c r="GQ7" s="94" t="s">
        <v>270</v>
      </c>
      <c r="GR7" s="94" t="s">
        <v>270</v>
      </c>
      <c r="GS7" s="94" t="s">
        <v>270</v>
      </c>
      <c r="GT7" s="94" t="s">
        <v>270</v>
      </c>
      <c r="GU7" s="94" t="s">
        <v>270</v>
      </c>
      <c r="GV7" s="94" t="s">
        <v>270</v>
      </c>
      <c r="GW7" s="94" t="s">
        <v>270</v>
      </c>
      <c r="GX7" s="94" t="s">
        <v>270</v>
      </c>
      <c r="GY7" s="94" t="s">
        <v>270</v>
      </c>
      <c r="GZ7" s="94" t="s">
        <v>270</v>
      </c>
      <c r="HA7" s="94" t="s">
        <v>270</v>
      </c>
      <c r="HB7" s="94" t="s">
        <v>270</v>
      </c>
      <c r="HC7" s="94" t="s">
        <v>270</v>
      </c>
      <c r="HD7" s="94" t="s">
        <v>270</v>
      </c>
      <c r="HE7" s="94" t="s">
        <v>270</v>
      </c>
      <c r="HF7" s="94" t="s">
        <v>270</v>
      </c>
      <c r="HG7" s="94" t="s">
        <v>270</v>
      </c>
      <c r="HH7" s="94" t="s">
        <v>270</v>
      </c>
      <c r="HI7" s="94" t="s">
        <v>270</v>
      </c>
      <c r="HJ7" s="94" t="s">
        <v>270</v>
      </c>
      <c r="HK7" s="94" t="s">
        <v>270</v>
      </c>
      <c r="HL7" s="94" t="s">
        <v>270</v>
      </c>
      <c r="HM7" s="94" t="s">
        <v>270</v>
      </c>
      <c r="HN7" s="94" t="s">
        <v>270</v>
      </c>
      <c r="HO7" s="94" t="s">
        <v>270</v>
      </c>
      <c r="HP7" s="94" t="s">
        <v>270</v>
      </c>
      <c r="HQ7" s="94" t="s">
        <v>270</v>
      </c>
      <c r="HR7" s="94" t="s">
        <v>270</v>
      </c>
      <c r="HS7" s="94" t="s">
        <v>270</v>
      </c>
      <c r="HT7" s="94" t="s">
        <v>270</v>
      </c>
      <c r="HU7" s="94" t="s">
        <v>270</v>
      </c>
      <c r="HV7" s="94" t="s">
        <v>270</v>
      </c>
      <c r="HW7" s="94" t="s">
        <v>270</v>
      </c>
      <c r="HX7" s="94" t="s">
        <v>270</v>
      </c>
      <c r="HY7" s="94" t="s">
        <v>270</v>
      </c>
      <c r="HZ7" s="94" t="s">
        <v>270</v>
      </c>
      <c r="IA7" s="94" t="s">
        <v>270</v>
      </c>
      <c r="IB7" s="94" t="s">
        <v>270</v>
      </c>
      <c r="IC7" s="94" t="s">
        <v>270</v>
      </c>
      <c r="ID7" s="94" t="s">
        <v>270</v>
      </c>
      <c r="IE7" s="94" t="s">
        <v>270</v>
      </c>
      <c r="IF7" s="94" t="s">
        <v>270</v>
      </c>
      <c r="IG7" s="94" t="s">
        <v>270</v>
      </c>
      <c r="IH7" s="94" t="s">
        <v>270</v>
      </c>
      <c r="II7" s="94" t="s">
        <v>270</v>
      </c>
      <c r="IJ7" s="94" t="s">
        <v>270</v>
      </c>
      <c r="IK7" s="94" t="s">
        <v>270</v>
      </c>
      <c r="IL7" s="94" t="s">
        <v>270</v>
      </c>
      <c r="IM7" s="94" t="s">
        <v>270</v>
      </c>
      <c r="IN7" s="94" t="s">
        <v>270</v>
      </c>
      <c r="IO7" s="94" t="s">
        <v>270</v>
      </c>
      <c r="IP7" s="94" t="s">
        <v>270</v>
      </c>
      <c r="IQ7" s="94" t="s">
        <v>270</v>
      </c>
      <c r="IR7" s="94" t="s">
        <v>270</v>
      </c>
      <c r="IS7" s="94" t="s">
        <v>270</v>
      </c>
      <c r="IT7" s="94" t="s">
        <v>270</v>
      </c>
      <c r="IU7" s="94" t="s">
        <v>270</v>
      </c>
      <c r="IV7" s="94" t="s">
        <v>270</v>
      </c>
      <c r="IW7" s="94" t="s">
        <v>270</v>
      </c>
      <c r="IX7" s="94" t="s">
        <v>270</v>
      </c>
      <c r="IY7" s="94" t="s">
        <v>270</v>
      </c>
      <c r="IZ7" s="94" t="s">
        <v>270</v>
      </c>
      <c r="JA7" s="94" t="s">
        <v>270</v>
      </c>
      <c r="JB7" s="94" t="s">
        <v>270</v>
      </c>
      <c r="JC7" s="94" t="s">
        <v>270</v>
      </c>
      <c r="JD7" s="94" t="s">
        <v>270</v>
      </c>
      <c r="JE7" s="94" t="s">
        <v>270</v>
      </c>
      <c r="JF7" s="94" t="s">
        <v>270</v>
      </c>
      <c r="JG7" s="94" t="s">
        <v>270</v>
      </c>
      <c r="JH7" s="94" t="s">
        <v>270</v>
      </c>
      <c r="JI7" s="94" t="s">
        <v>270</v>
      </c>
      <c r="JJ7" s="94" t="s">
        <v>270</v>
      </c>
      <c r="JK7" s="94" t="s">
        <v>270</v>
      </c>
      <c r="JL7" s="94" t="s">
        <v>270</v>
      </c>
      <c r="JM7" s="94" t="s">
        <v>270</v>
      </c>
    </row>
    <row r="8" spans="1:287">
      <c r="A8" s="94" t="s">
        <v>626</v>
      </c>
      <c r="B8" s="94" t="s">
        <v>627</v>
      </c>
      <c r="C8" s="94" t="s">
        <v>642</v>
      </c>
      <c r="D8" s="95">
        <v>41493</v>
      </c>
      <c r="E8" s="94" t="s">
        <v>643</v>
      </c>
      <c r="F8" s="94">
        <v>0.27351300200000001</v>
      </c>
      <c r="G8" s="94">
        <v>32.317073170731703</v>
      </c>
      <c r="H8" s="94">
        <v>20.790000915499999</v>
      </c>
      <c r="I8" s="94">
        <v>1</v>
      </c>
      <c r="J8" s="94">
        <v>0</v>
      </c>
      <c r="K8" s="94">
        <v>0</v>
      </c>
      <c r="L8" s="94" t="s">
        <v>630</v>
      </c>
      <c r="M8" s="94" t="s">
        <v>631</v>
      </c>
      <c r="N8" s="94">
        <v>3.176913473826568E-22</v>
      </c>
      <c r="O8" s="96" t="s">
        <v>270</v>
      </c>
      <c r="P8" s="94">
        <v>12.235194849771506</v>
      </c>
      <c r="Q8" s="94">
        <v>0.63552001464497554</v>
      </c>
      <c r="R8" s="94">
        <v>2.4641938112003907</v>
      </c>
      <c r="S8" s="94">
        <v>0.55703606754867618</v>
      </c>
      <c r="T8" s="94" t="s">
        <v>270</v>
      </c>
      <c r="U8" s="94" t="s">
        <v>270</v>
      </c>
      <c r="V8" s="94" t="s">
        <v>632</v>
      </c>
      <c r="W8" s="94" t="s">
        <v>270</v>
      </c>
      <c r="X8" s="94">
        <v>0.6</v>
      </c>
      <c r="Y8" s="94">
        <v>0.31622776601683794</v>
      </c>
      <c r="Z8" s="94" t="s">
        <v>632</v>
      </c>
      <c r="AA8" s="94" t="s">
        <v>270</v>
      </c>
      <c r="AB8" s="94" t="s">
        <v>632</v>
      </c>
      <c r="AC8" s="94" t="s">
        <v>270</v>
      </c>
      <c r="AD8" s="94" t="s">
        <v>644</v>
      </c>
      <c r="AE8" s="94" t="s">
        <v>98</v>
      </c>
      <c r="AF8" s="94">
        <v>6.3535544418075941E-7</v>
      </c>
      <c r="AG8" s="94">
        <v>19</v>
      </c>
      <c r="AH8" s="97">
        <v>42880.56287037037</v>
      </c>
      <c r="AI8" s="94" t="s">
        <v>645</v>
      </c>
      <c r="AJ8" s="98" t="s">
        <v>646</v>
      </c>
      <c r="AK8" s="96" t="s">
        <v>270</v>
      </c>
      <c r="AL8" s="96" t="s">
        <v>270</v>
      </c>
      <c r="AM8" s="96">
        <v>6.326267307761424E-2</v>
      </c>
      <c r="AN8" s="96" t="s">
        <v>270</v>
      </c>
      <c r="AO8" s="96" t="s">
        <v>270</v>
      </c>
      <c r="AP8" s="96">
        <v>0.1748842824717427</v>
      </c>
      <c r="AQ8" s="96">
        <v>-0.97521285488689857</v>
      </c>
      <c r="AR8" s="96">
        <v>5.4057267387675143</v>
      </c>
      <c r="AS8" s="96" t="s">
        <v>270</v>
      </c>
      <c r="AT8" s="96" t="s">
        <v>270</v>
      </c>
      <c r="AU8" s="96" t="s">
        <v>270</v>
      </c>
      <c r="AV8" s="94" t="s">
        <v>270</v>
      </c>
      <c r="AW8" s="94" t="s">
        <v>270</v>
      </c>
      <c r="AX8" s="94" t="s">
        <v>270</v>
      </c>
      <c r="AY8" s="94" t="s">
        <v>270</v>
      </c>
      <c r="AZ8" s="94" t="s">
        <v>270</v>
      </c>
      <c r="BA8" s="94" t="s">
        <v>270</v>
      </c>
      <c r="BB8" s="94" t="s">
        <v>270</v>
      </c>
      <c r="BC8" s="94" t="s">
        <v>270</v>
      </c>
      <c r="BD8" s="94" t="s">
        <v>270</v>
      </c>
      <c r="BE8" s="94" t="s">
        <v>270</v>
      </c>
      <c r="BF8" s="94" t="s">
        <v>270</v>
      </c>
      <c r="BG8" s="94" t="s">
        <v>270</v>
      </c>
      <c r="BH8" s="94" t="s">
        <v>270</v>
      </c>
      <c r="BI8" s="94" t="s">
        <v>270</v>
      </c>
      <c r="BJ8" s="94" t="s">
        <v>270</v>
      </c>
      <c r="BK8" s="94" t="s">
        <v>270</v>
      </c>
      <c r="BL8" s="94" t="s">
        <v>270</v>
      </c>
      <c r="BM8" s="94" t="s">
        <v>270</v>
      </c>
      <c r="BN8" s="94" t="s">
        <v>270</v>
      </c>
      <c r="BO8" s="94" t="s">
        <v>270</v>
      </c>
      <c r="BP8" s="94" t="s">
        <v>270</v>
      </c>
      <c r="BQ8" s="94" t="s">
        <v>270</v>
      </c>
      <c r="BR8" s="94" t="s">
        <v>270</v>
      </c>
      <c r="BS8" s="94" t="s">
        <v>270</v>
      </c>
      <c r="BT8" s="94" t="s">
        <v>270</v>
      </c>
      <c r="BU8" s="94" t="s">
        <v>270</v>
      </c>
      <c r="BV8" s="94" t="s">
        <v>270</v>
      </c>
      <c r="BW8" s="94" t="s">
        <v>270</v>
      </c>
      <c r="BX8" s="94" t="s">
        <v>270</v>
      </c>
      <c r="BY8" s="94" t="s">
        <v>270</v>
      </c>
      <c r="BZ8" s="94" t="s">
        <v>270</v>
      </c>
      <c r="CA8" s="94" t="s">
        <v>270</v>
      </c>
      <c r="CB8" s="94" t="s">
        <v>270</v>
      </c>
      <c r="CC8" s="94" t="s">
        <v>270</v>
      </c>
      <c r="CD8" s="94" t="s">
        <v>270</v>
      </c>
      <c r="CE8" s="94" t="s">
        <v>270</v>
      </c>
      <c r="CF8" s="94" t="s">
        <v>270</v>
      </c>
      <c r="CG8" s="94" t="s">
        <v>270</v>
      </c>
      <c r="CH8" s="94" t="s">
        <v>270</v>
      </c>
      <c r="CI8" s="94" t="s">
        <v>270</v>
      </c>
      <c r="CJ8" s="94" t="s">
        <v>270</v>
      </c>
      <c r="CK8" s="94" t="s">
        <v>270</v>
      </c>
      <c r="CL8" s="94" t="s">
        <v>270</v>
      </c>
      <c r="CM8" s="94" t="s">
        <v>270</v>
      </c>
      <c r="CN8" s="94" t="s">
        <v>270</v>
      </c>
      <c r="CO8" s="94" t="s">
        <v>270</v>
      </c>
      <c r="CP8" s="94" t="s">
        <v>270</v>
      </c>
      <c r="CQ8" s="94" t="s">
        <v>270</v>
      </c>
      <c r="CR8" s="94">
        <v>0.69179577183219998</v>
      </c>
      <c r="CS8" s="94">
        <v>6.9179577183220001E-2</v>
      </c>
      <c r="CT8" s="94" t="s">
        <v>270</v>
      </c>
      <c r="CU8" s="94" t="s">
        <v>270</v>
      </c>
      <c r="CV8" s="94" t="s">
        <v>270</v>
      </c>
      <c r="CW8" s="94" t="s">
        <v>270</v>
      </c>
      <c r="CX8" s="94">
        <v>20.2103243014305</v>
      </c>
      <c r="CY8" s="94">
        <v>2.02103243014305</v>
      </c>
      <c r="CZ8" s="94">
        <v>0.264204248523283</v>
      </c>
      <c r="DA8" s="94">
        <v>2.6420424852328303E-2</v>
      </c>
      <c r="DB8" s="94">
        <v>4.7976683685938299</v>
      </c>
      <c r="DC8" s="94">
        <v>0.47976683685938304</v>
      </c>
      <c r="DD8" s="94" t="s">
        <v>270</v>
      </c>
      <c r="DE8" s="94" t="s">
        <v>270</v>
      </c>
      <c r="DF8" s="94" t="s">
        <v>270</v>
      </c>
      <c r="DG8" s="94" t="s">
        <v>270</v>
      </c>
      <c r="DH8" s="94" t="s">
        <v>270</v>
      </c>
      <c r="DI8" s="94" t="s">
        <v>270</v>
      </c>
      <c r="DJ8" s="94">
        <v>0.99968637617989697</v>
      </c>
      <c r="DK8" s="94">
        <v>0.99611394704900091</v>
      </c>
      <c r="DL8" s="94">
        <v>1.4040892917580657E-2</v>
      </c>
      <c r="DM8" s="94">
        <v>0.9960586063629977</v>
      </c>
      <c r="DN8" s="94">
        <v>4.576457193546748E-8</v>
      </c>
      <c r="DO8" s="94">
        <v>1.9646547394233773E-7</v>
      </c>
      <c r="DP8" s="94">
        <v>3.6482011534362275E-4</v>
      </c>
      <c r="DQ8" s="94">
        <v>8.4949193434808138E-8</v>
      </c>
      <c r="DR8" s="94">
        <v>1.2130089982536971E-8</v>
      </c>
      <c r="DS8" s="94">
        <v>1.375929015477303E-2</v>
      </c>
      <c r="DT8" s="94">
        <v>7.4685310307234711E-3</v>
      </c>
      <c r="DU8" s="94">
        <v>3.7896253611999936E-4</v>
      </c>
      <c r="DV8" s="94">
        <v>5.6794456717535717E-8</v>
      </c>
      <c r="DW8" s="94">
        <v>1.0919562030491383E-8</v>
      </c>
      <c r="DX8" s="94">
        <v>2.5993192050144944E-7</v>
      </c>
      <c r="DY8" s="94">
        <v>1.291237557069005E-8</v>
      </c>
      <c r="DZ8" s="94">
        <v>4.4799043487623077E-8</v>
      </c>
      <c r="EA8" s="94">
        <v>2.3015570196611643E-5</v>
      </c>
      <c r="EB8" s="94">
        <v>2.8091809447684395E-9</v>
      </c>
      <c r="EC8" s="94">
        <v>2.1438486157443446E-10</v>
      </c>
      <c r="ED8" s="94">
        <v>2.4039108485844705E-3</v>
      </c>
      <c r="EE8" s="94">
        <v>5.1615003569403448E-4</v>
      </c>
      <c r="EF8" s="94">
        <v>8.6246783392011526E-7</v>
      </c>
      <c r="EG8" s="94">
        <v>3.4745132737925509E-9</v>
      </c>
      <c r="EH8" s="94">
        <v>1.4292324104962259E-9</v>
      </c>
      <c r="EI8" s="94">
        <v>7.8854201958414379E-10</v>
      </c>
      <c r="EJ8" s="94">
        <v>5.8676947506157531E-8</v>
      </c>
      <c r="EK8" s="94">
        <v>2.4126451742996081E-7</v>
      </c>
      <c r="EL8" s="94">
        <v>3.8783568554023439E-4</v>
      </c>
      <c r="EM8" s="94">
        <v>8.7758374379576577E-8</v>
      </c>
      <c r="EN8" s="94">
        <v>1.2344474844111405E-8</v>
      </c>
      <c r="EO8" s="94">
        <v>1.61632010033575E-2</v>
      </c>
      <c r="EP8" s="94">
        <v>7.9846810664175056E-3</v>
      </c>
      <c r="EQ8" s="94">
        <v>3.7982500395391947E-4</v>
      </c>
      <c r="ER8" s="94">
        <v>6.0268969991328268E-8</v>
      </c>
      <c r="ES8" s="94">
        <v>1.2348794440987609E-8</v>
      </c>
      <c r="ET8" s="94">
        <v>2.6072046252103358E-7</v>
      </c>
      <c r="EU8" s="94">
        <v>2.0402763825690192E-6</v>
      </c>
      <c r="EV8" s="94">
        <v>8.7588872725646886E-6</v>
      </c>
      <c r="EW8" s="94">
        <v>1.6287044926238226E-2</v>
      </c>
      <c r="EX8" s="94">
        <v>3.7995239259127823E-6</v>
      </c>
      <c r="EY8" s="94">
        <v>5.4465914229113715E-7</v>
      </c>
      <c r="EZ8" s="94">
        <v>0.61406220247762766</v>
      </c>
      <c r="FA8" s="94">
        <v>0.33310380661600147</v>
      </c>
      <c r="FB8" s="94">
        <v>1.7018268920612079E-2</v>
      </c>
      <c r="FC8" s="94">
        <v>2.5330884546738327E-6</v>
      </c>
      <c r="FD8" s="94">
        <v>4.8702317282651595E-7</v>
      </c>
      <c r="FE8" s="94">
        <v>1.1593218508948651E-5</v>
      </c>
      <c r="FF8" s="94">
        <v>5.7565959443232267E-7</v>
      </c>
      <c r="FG8" s="94">
        <v>1.9972454393792339E-6</v>
      </c>
      <c r="FH8" s="94">
        <v>1.0275081061309581E-3</v>
      </c>
      <c r="FI8" s="94">
        <v>1.2564628079791125E-7</v>
      </c>
      <c r="FJ8" s="94">
        <v>9.6262002172645272E-9</v>
      </c>
      <c r="FK8" s="94">
        <v>0.10729065226889456</v>
      </c>
      <c r="FL8" s="94">
        <v>2.3020797659859593E-2</v>
      </c>
      <c r="FM8" s="94">
        <v>3.8731294347213452E-5</v>
      </c>
      <c r="FN8" s="94">
        <v>1.5496669865560043E-7</v>
      </c>
      <c r="FO8" s="94">
        <v>6.374516682287108E-8</v>
      </c>
      <c r="FP8" s="94">
        <v>3.5169747212617709E-8</v>
      </c>
      <c r="FQ8" s="94">
        <v>2.6159359770013419E-6</v>
      </c>
      <c r="FR8" s="94">
        <v>1.0756132711943922E-5</v>
      </c>
      <c r="FS8" s="94">
        <v>1.7314553032369184E-2</v>
      </c>
      <c r="FT8" s="94">
        <v>3.9251702067106935E-6</v>
      </c>
      <c r="FU8" s="94">
        <v>5.5428534250840168E-7</v>
      </c>
      <c r="FV8" s="94">
        <v>0.72135285474652222</v>
      </c>
      <c r="FW8" s="94">
        <v>0.35612460427586107</v>
      </c>
      <c r="FX8" s="94">
        <v>1.7057000214959293E-2</v>
      </c>
      <c r="FY8" s="94">
        <v>2.6880551533294331E-6</v>
      </c>
      <c r="FZ8" s="94">
        <v>5.5076833964938703E-7</v>
      </c>
      <c r="GA8" s="94">
        <v>1.1628388256161268E-5</v>
      </c>
      <c r="GB8" s="94">
        <v>8.1664514624536835E-6</v>
      </c>
      <c r="GC8" s="94">
        <v>1.7675171749417364E-4</v>
      </c>
      <c r="GD8" s="94">
        <v>0.65063487071336468</v>
      </c>
      <c r="GE8" s="94">
        <v>3.1839250594363933E-4</v>
      </c>
      <c r="GF8" s="94">
        <v>7.150993276883027E-5</v>
      </c>
      <c r="GG8" s="94">
        <v>17.201970102886776</v>
      </c>
      <c r="GH8" s="94">
        <v>10.658922087144107</v>
      </c>
      <c r="GI8" s="94">
        <v>0.74896550606167733</v>
      </c>
      <c r="GJ8" s="94">
        <v>4.0636970210566768E-5</v>
      </c>
      <c r="GK8" s="94">
        <v>9.81780273637517E-7</v>
      </c>
      <c r="GL8" s="94">
        <v>5.1025000759065517E-4</v>
      </c>
      <c r="GM8" s="94" t="s">
        <v>270</v>
      </c>
      <c r="GN8" s="94" t="s">
        <v>270</v>
      </c>
      <c r="GO8" s="94" t="s">
        <v>270</v>
      </c>
      <c r="GP8" s="94" t="s">
        <v>270</v>
      </c>
      <c r="GQ8" s="94" t="s">
        <v>270</v>
      </c>
      <c r="GR8" s="94" t="s">
        <v>270</v>
      </c>
      <c r="GS8" s="94" t="s">
        <v>270</v>
      </c>
      <c r="GT8" s="94" t="s">
        <v>270</v>
      </c>
      <c r="GU8" s="94" t="s">
        <v>270</v>
      </c>
      <c r="GV8" s="94" t="s">
        <v>270</v>
      </c>
      <c r="GW8" s="94" t="s">
        <v>270</v>
      </c>
      <c r="GX8" s="94" t="s">
        <v>270</v>
      </c>
      <c r="GY8" s="94" t="s">
        <v>270</v>
      </c>
      <c r="GZ8" s="94" t="s">
        <v>270</v>
      </c>
      <c r="HA8" s="94" t="s">
        <v>270</v>
      </c>
      <c r="HB8" s="94" t="s">
        <v>270</v>
      </c>
      <c r="HC8" s="94" t="s">
        <v>270</v>
      </c>
      <c r="HD8" s="94" t="s">
        <v>270</v>
      </c>
      <c r="HE8" s="94" t="s">
        <v>270</v>
      </c>
      <c r="HF8" s="94" t="s">
        <v>270</v>
      </c>
      <c r="HG8" s="94" t="s">
        <v>270</v>
      </c>
      <c r="HH8" s="94" t="s">
        <v>270</v>
      </c>
      <c r="HI8" s="94" t="s">
        <v>270</v>
      </c>
      <c r="HJ8" s="94" t="s">
        <v>270</v>
      </c>
      <c r="HK8" s="94" t="s">
        <v>270</v>
      </c>
      <c r="HL8" s="94" t="s">
        <v>270</v>
      </c>
      <c r="HM8" s="94" t="s">
        <v>270</v>
      </c>
      <c r="HN8" s="94" t="s">
        <v>270</v>
      </c>
      <c r="HO8" s="94" t="s">
        <v>270</v>
      </c>
      <c r="HP8" s="94" t="s">
        <v>270</v>
      </c>
      <c r="HQ8" s="94" t="s">
        <v>270</v>
      </c>
      <c r="HR8" s="94" t="s">
        <v>270</v>
      </c>
      <c r="HS8" s="94" t="s">
        <v>270</v>
      </c>
      <c r="HT8" s="94" t="s">
        <v>270</v>
      </c>
      <c r="HU8" s="94" t="s">
        <v>270</v>
      </c>
      <c r="HV8" s="94" t="s">
        <v>270</v>
      </c>
      <c r="HW8" s="94" t="s">
        <v>270</v>
      </c>
      <c r="HX8" s="94" t="s">
        <v>270</v>
      </c>
      <c r="HY8" s="94" t="s">
        <v>270</v>
      </c>
      <c r="HZ8" s="94" t="s">
        <v>270</v>
      </c>
      <c r="IA8" s="94" t="s">
        <v>270</v>
      </c>
      <c r="IB8" s="94" t="s">
        <v>270</v>
      </c>
      <c r="IC8" s="94" t="s">
        <v>270</v>
      </c>
      <c r="ID8" s="94" t="s">
        <v>270</v>
      </c>
      <c r="IE8" s="94" t="s">
        <v>270</v>
      </c>
      <c r="IF8" s="94" t="s">
        <v>270</v>
      </c>
      <c r="IG8" s="94" t="s">
        <v>270</v>
      </c>
      <c r="IH8" s="94" t="s">
        <v>270</v>
      </c>
      <c r="II8" s="94" t="s">
        <v>270</v>
      </c>
      <c r="IJ8" s="94" t="s">
        <v>270</v>
      </c>
      <c r="IK8" s="94" t="s">
        <v>270</v>
      </c>
      <c r="IL8" s="94" t="s">
        <v>270</v>
      </c>
      <c r="IM8" s="94" t="s">
        <v>270</v>
      </c>
      <c r="IN8" s="94" t="s">
        <v>270</v>
      </c>
      <c r="IO8" s="94" t="s">
        <v>270</v>
      </c>
      <c r="IP8" s="94" t="s">
        <v>270</v>
      </c>
      <c r="IQ8" s="94" t="s">
        <v>270</v>
      </c>
      <c r="IR8" s="94" t="s">
        <v>270</v>
      </c>
      <c r="IS8" s="94" t="s">
        <v>270</v>
      </c>
      <c r="IT8" s="94" t="s">
        <v>270</v>
      </c>
      <c r="IU8" s="94" t="s">
        <v>270</v>
      </c>
      <c r="IV8" s="94" t="s">
        <v>270</v>
      </c>
      <c r="IW8" s="94" t="s">
        <v>270</v>
      </c>
      <c r="IX8" s="94" t="s">
        <v>270</v>
      </c>
      <c r="IY8" s="94" t="s">
        <v>270</v>
      </c>
      <c r="IZ8" s="94" t="s">
        <v>270</v>
      </c>
      <c r="JA8" s="94" t="s">
        <v>270</v>
      </c>
      <c r="JB8" s="94" t="s">
        <v>270</v>
      </c>
      <c r="JC8" s="94" t="s">
        <v>270</v>
      </c>
      <c r="JD8" s="94" t="s">
        <v>270</v>
      </c>
      <c r="JE8" s="94" t="s">
        <v>270</v>
      </c>
      <c r="JF8" s="94" t="s">
        <v>270</v>
      </c>
      <c r="JG8" s="94" t="s">
        <v>270</v>
      </c>
      <c r="JH8" s="94" t="s">
        <v>270</v>
      </c>
      <c r="JI8" s="94" t="s">
        <v>270</v>
      </c>
      <c r="JJ8" s="94" t="s">
        <v>270</v>
      </c>
      <c r="JK8" s="94" t="s">
        <v>270</v>
      </c>
      <c r="JL8" s="94" t="s">
        <v>270</v>
      </c>
      <c r="JM8" s="94" t="s">
        <v>270</v>
      </c>
    </row>
    <row r="9" spans="1:287">
      <c r="A9" s="94" t="s">
        <v>626</v>
      </c>
      <c r="B9" s="94" t="s">
        <v>627</v>
      </c>
      <c r="C9" s="94" t="s">
        <v>642</v>
      </c>
      <c r="D9" s="95">
        <v>41493</v>
      </c>
      <c r="E9" s="94" t="s">
        <v>647</v>
      </c>
      <c r="F9" s="94">
        <v>0.27351300200000001</v>
      </c>
      <c r="G9" s="94">
        <v>32.317073170731703</v>
      </c>
      <c r="H9" s="94">
        <v>20.790000915499999</v>
      </c>
      <c r="I9" s="94">
        <v>1</v>
      </c>
      <c r="J9" s="94">
        <v>0</v>
      </c>
      <c r="K9" s="94">
        <v>0</v>
      </c>
      <c r="L9" s="94" t="s">
        <v>630</v>
      </c>
      <c r="M9" s="94" t="s">
        <v>631</v>
      </c>
      <c r="N9" s="94">
        <v>2.0797335081525476E-22</v>
      </c>
      <c r="O9" s="96" t="s">
        <v>270</v>
      </c>
      <c r="P9" s="94">
        <v>12.343462207428638</v>
      </c>
      <c r="Q9" s="94">
        <v>0.63819658399004797</v>
      </c>
      <c r="R9" s="94">
        <v>2.538992622376409</v>
      </c>
      <c r="S9" s="94">
        <v>0.55704533671037149</v>
      </c>
      <c r="T9" s="94" t="s">
        <v>270</v>
      </c>
      <c r="U9" s="94" t="s">
        <v>270</v>
      </c>
      <c r="V9" s="94" t="s">
        <v>632</v>
      </c>
      <c r="W9" s="94" t="s">
        <v>270</v>
      </c>
      <c r="X9" s="94">
        <v>0.5</v>
      </c>
      <c r="Y9" s="94">
        <v>0.31622776601683783</v>
      </c>
      <c r="Z9" s="94" t="s">
        <v>632</v>
      </c>
      <c r="AA9" s="94" t="s">
        <v>270</v>
      </c>
      <c r="AB9" s="94" t="s">
        <v>632</v>
      </c>
      <c r="AC9" s="94" t="s">
        <v>270</v>
      </c>
      <c r="AD9" s="94" t="s">
        <v>644</v>
      </c>
      <c r="AE9" s="94" t="s">
        <v>82</v>
      </c>
      <c r="AF9" s="94">
        <v>3.659111562025319E-19</v>
      </c>
      <c r="AG9" s="94">
        <v>5</v>
      </c>
      <c r="AH9" s="97">
        <v>42880.56287037037</v>
      </c>
      <c r="AI9" s="94" t="s">
        <v>645</v>
      </c>
      <c r="AJ9" s="98" t="s">
        <v>648</v>
      </c>
      <c r="AK9" s="96" t="s">
        <v>270</v>
      </c>
      <c r="AL9" s="96" t="s">
        <v>270</v>
      </c>
      <c r="AM9" s="96">
        <v>6.5335618682784036E-2</v>
      </c>
      <c r="AN9" s="96" t="s">
        <v>270</v>
      </c>
      <c r="AO9" s="96" t="s">
        <v>270</v>
      </c>
      <c r="AP9" s="96">
        <v>0.17370471768613926</v>
      </c>
      <c r="AQ9" s="96">
        <v>-0.97168076290351446</v>
      </c>
      <c r="AR9" s="96">
        <v>5.5963245127149923</v>
      </c>
      <c r="AS9" s="96" t="s">
        <v>270</v>
      </c>
      <c r="AT9" s="96" t="s">
        <v>270</v>
      </c>
      <c r="AU9" s="96" t="s">
        <v>270</v>
      </c>
      <c r="AV9" s="94" t="s">
        <v>270</v>
      </c>
      <c r="AW9" s="94" t="s">
        <v>270</v>
      </c>
      <c r="AX9" s="94" t="s">
        <v>270</v>
      </c>
      <c r="AY9" s="94" t="s">
        <v>270</v>
      </c>
      <c r="AZ9" s="94" t="s">
        <v>270</v>
      </c>
      <c r="BA9" s="94" t="s">
        <v>270</v>
      </c>
      <c r="BB9" s="94" t="s">
        <v>270</v>
      </c>
      <c r="BC9" s="94" t="s">
        <v>270</v>
      </c>
      <c r="BD9" s="94" t="s">
        <v>270</v>
      </c>
      <c r="BE9" s="94" t="s">
        <v>270</v>
      </c>
      <c r="BF9" s="94" t="s">
        <v>270</v>
      </c>
      <c r="BG9" s="94" t="s">
        <v>270</v>
      </c>
      <c r="BH9" s="94" t="s">
        <v>270</v>
      </c>
      <c r="BI9" s="94" t="s">
        <v>270</v>
      </c>
      <c r="BJ9" s="94" t="s">
        <v>270</v>
      </c>
      <c r="BK9" s="94" t="s">
        <v>270</v>
      </c>
      <c r="BL9" s="94" t="s">
        <v>270</v>
      </c>
      <c r="BM9" s="94" t="s">
        <v>270</v>
      </c>
      <c r="BN9" s="94" t="s">
        <v>270</v>
      </c>
      <c r="BO9" s="94" t="s">
        <v>270</v>
      </c>
      <c r="BP9" s="94" t="s">
        <v>270</v>
      </c>
      <c r="BQ9" s="94" t="s">
        <v>270</v>
      </c>
      <c r="BR9" s="94" t="s">
        <v>270</v>
      </c>
      <c r="BS9" s="94" t="s">
        <v>270</v>
      </c>
      <c r="BT9" s="94" t="s">
        <v>270</v>
      </c>
      <c r="BU9" s="94" t="s">
        <v>270</v>
      </c>
      <c r="BV9" s="94" t="s">
        <v>270</v>
      </c>
      <c r="BW9" s="94" t="s">
        <v>270</v>
      </c>
      <c r="BX9" s="94" t="s">
        <v>270</v>
      </c>
      <c r="BY9" s="94" t="s">
        <v>270</v>
      </c>
      <c r="BZ9" s="94" t="s">
        <v>270</v>
      </c>
      <c r="CA9" s="94" t="s">
        <v>270</v>
      </c>
      <c r="CB9" s="94" t="s">
        <v>270</v>
      </c>
      <c r="CC9" s="94" t="s">
        <v>270</v>
      </c>
      <c r="CD9" s="94" t="s">
        <v>270</v>
      </c>
      <c r="CE9" s="94" t="s">
        <v>270</v>
      </c>
      <c r="CF9" s="94" t="s">
        <v>270</v>
      </c>
      <c r="CG9" s="94" t="s">
        <v>270</v>
      </c>
      <c r="CH9" s="94" t="s">
        <v>270</v>
      </c>
      <c r="CI9" s="94" t="s">
        <v>270</v>
      </c>
      <c r="CJ9" s="94" t="s">
        <v>270</v>
      </c>
      <c r="CK9" s="94" t="s">
        <v>270</v>
      </c>
      <c r="CL9" s="94" t="s">
        <v>270</v>
      </c>
      <c r="CM9" s="94" t="s">
        <v>270</v>
      </c>
      <c r="CN9" s="94" t="s">
        <v>270</v>
      </c>
      <c r="CO9" s="94" t="s">
        <v>270</v>
      </c>
      <c r="CP9" s="94" t="s">
        <v>270</v>
      </c>
      <c r="CQ9" s="94" t="s">
        <v>270</v>
      </c>
      <c r="CR9" s="94">
        <v>0.69146452140950798</v>
      </c>
      <c r="CS9" s="94">
        <v>6.9146452140950804E-2</v>
      </c>
      <c r="CT9" s="94" t="s">
        <v>270</v>
      </c>
      <c r="CU9" s="94" t="s">
        <v>270</v>
      </c>
      <c r="CV9" s="94" t="s">
        <v>270</v>
      </c>
      <c r="CW9" s="94" t="s">
        <v>270</v>
      </c>
      <c r="CX9" s="94">
        <v>20.144663031395901</v>
      </c>
      <c r="CY9" s="94">
        <v>2.01446630313959</v>
      </c>
      <c r="CZ9" s="94">
        <v>0.30111405763078403</v>
      </c>
      <c r="DA9" s="94">
        <v>3.0111405763078403E-2</v>
      </c>
      <c r="DB9" s="94">
        <v>4.9223638266329797</v>
      </c>
      <c r="DC9" s="94">
        <v>0.492236382663298</v>
      </c>
      <c r="DD9" s="94" t="s">
        <v>270</v>
      </c>
      <c r="DE9" s="94" t="s">
        <v>270</v>
      </c>
      <c r="DF9" s="94" t="s">
        <v>270</v>
      </c>
      <c r="DG9" s="94" t="s">
        <v>270</v>
      </c>
      <c r="DH9" s="94" t="s">
        <v>270</v>
      </c>
      <c r="DI9" s="94" t="s">
        <v>270</v>
      </c>
      <c r="DJ9" s="94">
        <v>0.99967354832682098</v>
      </c>
      <c r="DK9" s="94">
        <v>0.99611394704900091</v>
      </c>
      <c r="DL9" s="94">
        <v>1.4141275925250212E-2</v>
      </c>
      <c r="DM9" s="94">
        <v>0.99605820503881404</v>
      </c>
      <c r="DN9" s="94">
        <v>4.5744525247683552E-8</v>
      </c>
      <c r="DO9" s="94">
        <v>1.9627207878684508E-7</v>
      </c>
      <c r="DP9" s="94">
        <v>3.6394056729826581E-4</v>
      </c>
      <c r="DQ9" s="94">
        <v>8.469400572015785E-8</v>
      </c>
      <c r="DR9" s="94">
        <v>1.2085739886963597E-8</v>
      </c>
      <c r="DS9" s="94">
        <v>1.3728546857590075E-2</v>
      </c>
      <c r="DT9" s="94">
        <v>7.4503548244738323E-3</v>
      </c>
      <c r="DU9" s="94">
        <v>3.7758239074722939E-4</v>
      </c>
      <c r="DV9" s="94">
        <v>5.6644328346039342E-8</v>
      </c>
      <c r="DW9" s="94">
        <v>1.0908000926415953E-8</v>
      </c>
      <c r="DX9" s="94">
        <v>2.5893280379204717E-7</v>
      </c>
      <c r="DY9" s="94">
        <v>1.330432134125238E-8</v>
      </c>
      <c r="DZ9" s="94">
        <v>4.6158885874803097E-8</v>
      </c>
      <c r="EA9" s="94">
        <v>2.3714191092995632E-5</v>
      </c>
      <c r="EB9" s="94">
        <v>2.8944515895091042E-9</v>
      </c>
      <c r="EC9" s="94">
        <v>2.2089235814674838E-10</v>
      </c>
      <c r="ED9" s="94">
        <v>2.3823551267953599E-3</v>
      </c>
      <c r="EE9" s="94">
        <v>5.3181739468296206E-4</v>
      </c>
      <c r="EF9" s="94">
        <v>8.8864741783174295E-7</v>
      </c>
      <c r="EG9" s="94">
        <v>3.5799795975507411E-9</v>
      </c>
      <c r="EH9" s="94">
        <v>1.472615720978317E-9</v>
      </c>
      <c r="EI9" s="94">
        <v>8.1247763916042523E-10</v>
      </c>
      <c r="EJ9" s="94">
        <v>5.9048846588935932E-8</v>
      </c>
      <c r="EK9" s="94">
        <v>2.4243096466164818E-7</v>
      </c>
      <c r="EL9" s="94">
        <v>3.8765475839126144E-4</v>
      </c>
      <c r="EM9" s="94">
        <v>8.7588457309666954E-8</v>
      </c>
      <c r="EN9" s="94">
        <v>1.2306632245110345E-8</v>
      </c>
      <c r="EO9" s="94">
        <v>1.6110901984385435E-2</v>
      </c>
      <c r="EP9" s="94">
        <v>7.9821722191567943E-3</v>
      </c>
      <c r="EQ9" s="94">
        <v>3.7847103816506113E-4</v>
      </c>
      <c r="ER9" s="94">
        <v>6.0224307943590083E-8</v>
      </c>
      <c r="ES9" s="94">
        <v>1.238061664739427E-8</v>
      </c>
      <c r="ET9" s="94">
        <v>2.597452814312076E-7</v>
      </c>
      <c r="EU9" s="94">
        <v>2.0393564919222242E-6</v>
      </c>
      <c r="EV9" s="94">
        <v>8.7501529848901802E-6</v>
      </c>
      <c r="EW9" s="94">
        <v>1.6247569855956961E-2</v>
      </c>
      <c r="EX9" s="94">
        <v>3.7880615323756185E-6</v>
      </c>
      <c r="EY9" s="94">
        <v>5.4266079336883868E-7</v>
      </c>
      <c r="EZ9" s="94">
        <v>0.61268230048960326</v>
      </c>
      <c r="FA9" s="94">
        <v>0.33228886605137881</v>
      </c>
      <c r="FB9" s="94">
        <v>1.6956072429091553E-2</v>
      </c>
      <c r="FC9" s="94">
        <v>2.5263601637492045E-6</v>
      </c>
      <c r="FD9" s="94">
        <v>4.8650129344438678E-7</v>
      </c>
      <c r="FE9" s="94">
        <v>1.1548508733158219E-5</v>
      </c>
      <c r="FF9" s="94">
        <v>5.9312571178725664E-7</v>
      </c>
      <c r="FG9" s="94">
        <v>2.057843965953268E-6</v>
      </c>
      <c r="FH9" s="94">
        <v>1.0586837824132708E-3</v>
      </c>
      <c r="FI9" s="94">
        <v>1.294585210642991E-7</v>
      </c>
      <c r="FJ9" s="94">
        <v>9.9182692530331924E-9</v>
      </c>
      <c r="FK9" s="94">
        <v>0.10632638887508761</v>
      </c>
      <c r="FL9" s="94">
        <v>2.3719272865380669E-2</v>
      </c>
      <c r="FM9" s="94">
        <v>3.9906442540555559E-5</v>
      </c>
      <c r="FN9" s="94">
        <v>1.596685512278564E-7</v>
      </c>
      <c r="FO9" s="94">
        <v>6.5679262207203224E-8</v>
      </c>
      <c r="FP9" s="94">
        <v>3.6236834321215397E-8</v>
      </c>
      <c r="FQ9" s="94">
        <v>2.6324822037094809E-6</v>
      </c>
      <c r="FR9" s="94">
        <v>1.0807996950843448E-5</v>
      </c>
      <c r="FS9" s="94">
        <v>1.7306253638370232E-2</v>
      </c>
      <c r="FT9" s="94">
        <v>3.9175200534399175E-6</v>
      </c>
      <c r="FU9" s="94">
        <v>5.5257906262187187E-7</v>
      </c>
      <c r="FV9" s="94">
        <v>0.71900868936469087</v>
      </c>
      <c r="FW9" s="94">
        <v>0.35600813891675948</v>
      </c>
      <c r="FX9" s="94">
        <v>1.6995978871632109E-2</v>
      </c>
      <c r="FY9" s="94">
        <v>2.6860287149770609E-6</v>
      </c>
      <c r="FZ9" s="94">
        <v>5.5218055565159001E-7</v>
      </c>
      <c r="GA9" s="94">
        <v>1.1584745567479434E-5</v>
      </c>
      <c r="GB9" s="94">
        <v>8.1627694895690306E-6</v>
      </c>
      <c r="GC9" s="94">
        <v>1.7657546218918837E-4</v>
      </c>
      <c r="GD9" s="94">
        <v>0.64905792060576872</v>
      </c>
      <c r="GE9" s="94">
        <v>3.1743198029001211E-4</v>
      </c>
      <c r="GF9" s="94">
        <v>7.1247563543774936E-5</v>
      </c>
      <c r="GG9" s="94">
        <v>17.163314356535452</v>
      </c>
      <c r="GH9" s="94">
        <v>10.632844967004861</v>
      </c>
      <c r="GI9" s="94">
        <v>0.74622826956810473</v>
      </c>
      <c r="GJ9" s="94">
        <v>4.052903187254006E-5</v>
      </c>
      <c r="GK9" s="94">
        <v>9.8072822742867045E-7</v>
      </c>
      <c r="GL9" s="94">
        <v>5.0828220517074604E-4</v>
      </c>
      <c r="GM9" s="94" t="s">
        <v>270</v>
      </c>
      <c r="GN9" s="94" t="s">
        <v>270</v>
      </c>
      <c r="GO9" s="94" t="s">
        <v>270</v>
      </c>
      <c r="GP9" s="94" t="s">
        <v>270</v>
      </c>
      <c r="GQ9" s="94" t="s">
        <v>270</v>
      </c>
      <c r="GR9" s="94" t="s">
        <v>270</v>
      </c>
      <c r="GS9" s="94" t="s">
        <v>270</v>
      </c>
      <c r="GT9" s="94" t="s">
        <v>270</v>
      </c>
      <c r="GU9" s="94" t="s">
        <v>270</v>
      </c>
      <c r="GV9" s="94" t="s">
        <v>270</v>
      </c>
      <c r="GW9" s="94" t="s">
        <v>270</v>
      </c>
      <c r="GX9" s="94" t="s">
        <v>270</v>
      </c>
      <c r="GY9" s="94" t="s">
        <v>270</v>
      </c>
      <c r="GZ9" s="94" t="s">
        <v>270</v>
      </c>
      <c r="HA9" s="94" t="s">
        <v>270</v>
      </c>
      <c r="HB9" s="94" t="s">
        <v>270</v>
      </c>
      <c r="HC9" s="94" t="s">
        <v>270</v>
      </c>
      <c r="HD9" s="94" t="s">
        <v>270</v>
      </c>
      <c r="HE9" s="94" t="s">
        <v>270</v>
      </c>
      <c r="HF9" s="94" t="s">
        <v>270</v>
      </c>
      <c r="HG9" s="94" t="s">
        <v>270</v>
      </c>
      <c r="HH9" s="94" t="s">
        <v>270</v>
      </c>
      <c r="HI9" s="94" t="s">
        <v>270</v>
      </c>
      <c r="HJ9" s="94" t="s">
        <v>270</v>
      </c>
      <c r="HK9" s="94" t="s">
        <v>270</v>
      </c>
      <c r="HL9" s="94" t="s">
        <v>270</v>
      </c>
      <c r="HM9" s="94" t="s">
        <v>270</v>
      </c>
      <c r="HN9" s="94" t="s">
        <v>270</v>
      </c>
      <c r="HO9" s="94" t="s">
        <v>270</v>
      </c>
      <c r="HP9" s="94" t="s">
        <v>270</v>
      </c>
      <c r="HQ9" s="94" t="s">
        <v>270</v>
      </c>
      <c r="HR9" s="94" t="s">
        <v>270</v>
      </c>
      <c r="HS9" s="94" t="s">
        <v>270</v>
      </c>
      <c r="HT9" s="94" t="s">
        <v>270</v>
      </c>
      <c r="HU9" s="94" t="s">
        <v>270</v>
      </c>
      <c r="HV9" s="94" t="s">
        <v>270</v>
      </c>
      <c r="HW9" s="94" t="s">
        <v>270</v>
      </c>
      <c r="HX9" s="94" t="s">
        <v>270</v>
      </c>
      <c r="HY9" s="94" t="s">
        <v>270</v>
      </c>
      <c r="HZ9" s="94" t="s">
        <v>270</v>
      </c>
      <c r="IA9" s="94" t="s">
        <v>270</v>
      </c>
      <c r="IB9" s="94" t="s">
        <v>270</v>
      </c>
      <c r="IC9" s="94" t="s">
        <v>270</v>
      </c>
      <c r="ID9" s="94" t="s">
        <v>270</v>
      </c>
      <c r="IE9" s="94" t="s">
        <v>270</v>
      </c>
      <c r="IF9" s="94" t="s">
        <v>270</v>
      </c>
      <c r="IG9" s="94" t="s">
        <v>270</v>
      </c>
      <c r="IH9" s="94" t="s">
        <v>270</v>
      </c>
      <c r="II9" s="94" t="s">
        <v>270</v>
      </c>
      <c r="IJ9" s="94" t="s">
        <v>270</v>
      </c>
      <c r="IK9" s="94" t="s">
        <v>270</v>
      </c>
      <c r="IL9" s="94" t="s">
        <v>270</v>
      </c>
      <c r="IM9" s="94" t="s">
        <v>270</v>
      </c>
      <c r="IN9" s="94" t="s">
        <v>270</v>
      </c>
      <c r="IO9" s="94" t="s">
        <v>270</v>
      </c>
      <c r="IP9" s="94" t="s">
        <v>270</v>
      </c>
      <c r="IQ9" s="94" t="s">
        <v>270</v>
      </c>
      <c r="IR9" s="94" t="s">
        <v>270</v>
      </c>
      <c r="IS9" s="94" t="s">
        <v>270</v>
      </c>
      <c r="IT9" s="94" t="s">
        <v>270</v>
      </c>
      <c r="IU9" s="94" t="s">
        <v>270</v>
      </c>
      <c r="IV9" s="94" t="s">
        <v>270</v>
      </c>
      <c r="IW9" s="94" t="s">
        <v>270</v>
      </c>
      <c r="IX9" s="94" t="s">
        <v>270</v>
      </c>
      <c r="IY9" s="94" t="s">
        <v>270</v>
      </c>
      <c r="IZ9" s="94" t="s">
        <v>270</v>
      </c>
      <c r="JA9" s="94" t="s">
        <v>270</v>
      </c>
      <c r="JB9" s="94" t="s">
        <v>270</v>
      </c>
      <c r="JC9" s="94" t="s">
        <v>270</v>
      </c>
      <c r="JD9" s="94" t="s">
        <v>270</v>
      </c>
      <c r="JE9" s="94" t="s">
        <v>270</v>
      </c>
      <c r="JF9" s="94" t="s">
        <v>270</v>
      </c>
      <c r="JG9" s="94" t="s">
        <v>270</v>
      </c>
      <c r="JH9" s="94" t="s">
        <v>270</v>
      </c>
      <c r="JI9" s="94" t="s">
        <v>270</v>
      </c>
      <c r="JJ9" s="94" t="s">
        <v>270</v>
      </c>
      <c r="JK9" s="94" t="s">
        <v>270</v>
      </c>
      <c r="JL9" s="94" t="s">
        <v>270</v>
      </c>
      <c r="JM9" s="94" t="s">
        <v>270</v>
      </c>
    </row>
    <row r="10" spans="1:287">
      <c r="A10" s="94" t="s">
        <v>626</v>
      </c>
      <c r="B10" s="94" t="s">
        <v>627</v>
      </c>
      <c r="C10" s="94" t="s">
        <v>649</v>
      </c>
      <c r="D10" s="95">
        <v>41508</v>
      </c>
      <c r="E10" s="94" t="s">
        <v>650</v>
      </c>
      <c r="F10" s="94">
        <v>0.70640354088000001</v>
      </c>
      <c r="G10" s="94">
        <v>19.8170731707317</v>
      </c>
      <c r="H10" s="94">
        <v>20.159999847400002</v>
      </c>
      <c r="I10" s="94">
        <v>1</v>
      </c>
      <c r="J10" s="94">
        <v>0</v>
      </c>
      <c r="K10" s="94">
        <v>0</v>
      </c>
      <c r="L10" s="94" t="s">
        <v>630</v>
      </c>
      <c r="M10" s="94" t="s">
        <v>631</v>
      </c>
      <c r="N10" s="94">
        <v>2.7737479278449269E-25</v>
      </c>
      <c r="O10" s="96" t="s">
        <v>270</v>
      </c>
      <c r="P10" s="94">
        <v>12.686004942733291</v>
      </c>
      <c r="Q10" s="94">
        <v>0.16729321493758914</v>
      </c>
      <c r="R10" s="94">
        <v>1.7399696836991687</v>
      </c>
      <c r="S10" s="94">
        <v>0.1437303899326601</v>
      </c>
      <c r="T10" s="94" t="s">
        <v>270</v>
      </c>
      <c r="U10" s="94" t="s">
        <v>270</v>
      </c>
      <c r="V10" s="94" t="s">
        <v>632</v>
      </c>
      <c r="W10" s="94" t="s">
        <v>270</v>
      </c>
      <c r="X10" s="94">
        <v>0.10000000000000002</v>
      </c>
      <c r="Y10" s="94">
        <v>8.1649658092772595E-2</v>
      </c>
      <c r="Z10" s="94" t="s">
        <v>632</v>
      </c>
      <c r="AA10" s="94" t="s">
        <v>270</v>
      </c>
      <c r="AB10" s="94" t="s">
        <v>632</v>
      </c>
      <c r="AC10" s="94" t="s">
        <v>270</v>
      </c>
      <c r="AD10" s="94" t="s">
        <v>644</v>
      </c>
      <c r="AE10" s="94" t="s">
        <v>98</v>
      </c>
      <c r="AF10" s="94">
        <v>1.19783497026807E-5</v>
      </c>
      <c r="AG10" s="94">
        <v>16</v>
      </c>
      <c r="AH10" s="97">
        <v>42880.562835648147</v>
      </c>
      <c r="AI10" s="94" t="s">
        <v>651</v>
      </c>
      <c r="AJ10" s="98" t="s">
        <v>652</v>
      </c>
      <c r="AK10" s="96">
        <v>8.4713355917627631</v>
      </c>
      <c r="AL10" s="96">
        <v>6.6220204693919982E-2</v>
      </c>
      <c r="AM10" s="96">
        <v>4.5075049101945597E-2</v>
      </c>
      <c r="AN10" s="96" t="s">
        <v>270</v>
      </c>
      <c r="AO10" s="96" t="s">
        <v>270</v>
      </c>
      <c r="AP10" s="96">
        <v>0.10572331038105554</v>
      </c>
      <c r="AQ10" s="96">
        <v>-0.97637117068904133</v>
      </c>
      <c r="AR10" s="96">
        <v>2.1027208384411082</v>
      </c>
      <c r="AS10" s="96">
        <v>146.72985007171465</v>
      </c>
      <c r="AT10" s="96" t="s">
        <v>270</v>
      </c>
      <c r="AU10" s="96" t="s">
        <v>270</v>
      </c>
      <c r="AV10" s="94">
        <v>4.3230000000000003E-7</v>
      </c>
      <c r="AW10" s="94">
        <v>3E-10</v>
      </c>
      <c r="AX10" s="94">
        <v>2.0840000000000001E-7</v>
      </c>
      <c r="AY10" s="94">
        <v>4.8E-10</v>
      </c>
      <c r="AZ10" s="94" t="s">
        <v>270</v>
      </c>
      <c r="BA10" s="94" t="s">
        <v>270</v>
      </c>
      <c r="BB10" s="94" t="s">
        <v>270</v>
      </c>
      <c r="BC10" s="94" t="s">
        <v>270</v>
      </c>
      <c r="BD10" s="94" t="s">
        <v>270</v>
      </c>
      <c r="BE10" s="94" t="s">
        <v>270</v>
      </c>
      <c r="BF10" s="94" t="s">
        <v>270</v>
      </c>
      <c r="BG10" s="94" t="s">
        <v>270</v>
      </c>
      <c r="BH10" s="94" t="s">
        <v>270</v>
      </c>
      <c r="BI10" s="94" t="s">
        <v>270</v>
      </c>
      <c r="BJ10" s="94" t="s">
        <v>270</v>
      </c>
      <c r="BK10" s="94" t="s">
        <v>270</v>
      </c>
      <c r="BL10" s="94" t="s">
        <v>270</v>
      </c>
      <c r="BM10" s="94" t="s">
        <v>270</v>
      </c>
      <c r="BN10" s="94" t="s">
        <v>270</v>
      </c>
      <c r="BO10" s="94" t="s">
        <v>270</v>
      </c>
      <c r="BP10" s="94" t="s">
        <v>270</v>
      </c>
      <c r="BQ10" s="94" t="s">
        <v>270</v>
      </c>
      <c r="BR10" s="94" t="s">
        <v>270</v>
      </c>
      <c r="BS10" s="94" t="s">
        <v>270</v>
      </c>
      <c r="BT10" s="94" t="s">
        <v>270</v>
      </c>
      <c r="BU10" s="94" t="s">
        <v>270</v>
      </c>
      <c r="BV10" s="94" t="s">
        <v>270</v>
      </c>
      <c r="BW10" s="94" t="s">
        <v>270</v>
      </c>
      <c r="BX10" s="94" t="s">
        <v>270</v>
      </c>
      <c r="BY10" s="94" t="s">
        <v>270</v>
      </c>
      <c r="BZ10" s="94" t="s">
        <v>270</v>
      </c>
      <c r="CA10" s="94" t="s">
        <v>270</v>
      </c>
      <c r="CB10" s="94" t="s">
        <v>270</v>
      </c>
      <c r="CC10" s="94" t="s">
        <v>270</v>
      </c>
      <c r="CD10" s="94" t="s">
        <v>270</v>
      </c>
      <c r="CE10" s="94" t="s">
        <v>270</v>
      </c>
      <c r="CF10" s="94" t="s">
        <v>270</v>
      </c>
      <c r="CG10" s="94" t="s">
        <v>270</v>
      </c>
      <c r="CH10" s="94" t="s">
        <v>270</v>
      </c>
      <c r="CI10" s="94" t="s">
        <v>270</v>
      </c>
      <c r="CJ10" s="94" t="s">
        <v>270</v>
      </c>
      <c r="CK10" s="94" t="s">
        <v>270</v>
      </c>
      <c r="CL10" s="94" t="s">
        <v>270</v>
      </c>
      <c r="CM10" s="94" t="s">
        <v>270</v>
      </c>
      <c r="CN10" s="94" t="s">
        <v>270</v>
      </c>
      <c r="CO10" s="94" t="s">
        <v>270</v>
      </c>
      <c r="CP10" s="94" t="s">
        <v>270</v>
      </c>
      <c r="CQ10" s="94" t="s">
        <v>270</v>
      </c>
      <c r="CR10" s="94">
        <v>0.67235170200266103</v>
      </c>
      <c r="CS10" s="94">
        <v>6.7235170200266106E-2</v>
      </c>
      <c r="CT10" s="94" t="s">
        <v>270</v>
      </c>
      <c r="CU10" s="94" t="s">
        <v>270</v>
      </c>
      <c r="CV10" s="94" t="s">
        <v>270</v>
      </c>
      <c r="CW10" s="94" t="s">
        <v>270</v>
      </c>
      <c r="CX10" s="94">
        <v>18.817703893028099</v>
      </c>
      <c r="CY10" s="94">
        <v>1.8817703893028099</v>
      </c>
      <c r="CZ10" s="94">
        <v>0.24901772196694399</v>
      </c>
      <c r="DA10" s="94">
        <v>2.4901772196694399E-2</v>
      </c>
      <c r="DB10" s="94">
        <v>2.2874090331888501</v>
      </c>
      <c r="DC10" s="94">
        <v>0.22874090331888502</v>
      </c>
      <c r="DD10" s="94">
        <v>5.92962525906257E-3</v>
      </c>
      <c r="DE10" s="94">
        <v>5.9296252590625707E-4</v>
      </c>
      <c r="DF10" s="94" t="s">
        <v>270</v>
      </c>
      <c r="DG10" s="94" t="s">
        <v>270</v>
      </c>
      <c r="DH10" s="94" t="s">
        <v>270</v>
      </c>
      <c r="DI10" s="94" t="s">
        <v>270</v>
      </c>
      <c r="DJ10" s="94">
        <v>0.99996919740385337</v>
      </c>
      <c r="DK10" s="94">
        <v>0.99761524887060249</v>
      </c>
      <c r="DL10" s="94">
        <v>1.4459639352862331E-2</v>
      </c>
      <c r="DM10" s="94">
        <v>0.9975802603073185</v>
      </c>
      <c r="DN10" s="94">
        <v>4.5642982007307619E-8</v>
      </c>
      <c r="DO10" s="94">
        <v>1.9545681003093113E-7</v>
      </c>
      <c r="DP10" s="94">
        <v>3.6063479087548227E-4</v>
      </c>
      <c r="DQ10" s="94">
        <v>8.3756325375320498E-8</v>
      </c>
      <c r="DR10" s="94">
        <v>1.1933720710041144E-8</v>
      </c>
      <c r="DS10" s="94">
        <v>1.3608653515746959E-2</v>
      </c>
      <c r="DT10" s="94">
        <v>7.3822220465516739E-3</v>
      </c>
      <c r="DU10" s="94">
        <v>3.7291748111542355E-4</v>
      </c>
      <c r="DV10" s="94">
        <v>5.6081648449096332E-8</v>
      </c>
      <c r="DW10" s="94">
        <v>1.0861950896088757E-8</v>
      </c>
      <c r="DX10" s="94">
        <v>2.5550905905932912E-7</v>
      </c>
      <c r="DY10" s="94">
        <v>9.1174411425836432E-9</v>
      </c>
      <c r="DZ10" s="94">
        <v>3.1632648849650884E-8</v>
      </c>
      <c r="EA10" s="94">
        <v>1.6251316845750216E-5</v>
      </c>
      <c r="EB10" s="94">
        <v>1.9835654394170523E-9</v>
      </c>
      <c r="EC10" s="94">
        <v>1.513773624818274E-10</v>
      </c>
      <c r="ED10" s="94">
        <v>1.438599553327452E-3</v>
      </c>
      <c r="EE10" s="94">
        <v>3.644540499476278E-4</v>
      </c>
      <c r="EF10" s="94">
        <v>6.0898938929469966E-7</v>
      </c>
      <c r="EG10" s="94">
        <v>2.453357254015824E-9</v>
      </c>
      <c r="EH10" s="94">
        <v>1.0091824165455176E-9</v>
      </c>
      <c r="EI10" s="94">
        <v>5.5679029878372747E-10</v>
      </c>
      <c r="EJ10" s="94">
        <v>5.4760423149891263E-8</v>
      </c>
      <c r="EK10" s="94">
        <v>2.2708945888058201E-7</v>
      </c>
      <c r="EL10" s="94">
        <v>3.7688610772123248E-4</v>
      </c>
      <c r="EM10" s="94">
        <v>8.573989081473755E-8</v>
      </c>
      <c r="EN10" s="94">
        <v>1.2085098072522971E-8</v>
      </c>
      <c r="EO10" s="94">
        <v>1.5047253069074411E-2</v>
      </c>
      <c r="EP10" s="94">
        <v>7.7466760964993017E-3</v>
      </c>
      <c r="EQ10" s="94">
        <v>3.7352647050471825E-4</v>
      </c>
      <c r="ER10" s="94">
        <v>5.8535005703112156E-8</v>
      </c>
      <c r="ES10" s="94">
        <v>1.1871133312634274E-8</v>
      </c>
      <c r="ET10" s="94">
        <v>2.5606584935811284E-7</v>
      </c>
      <c r="EU10" s="94">
        <v>2.0354313406788548E-6</v>
      </c>
      <c r="EV10" s="94">
        <v>8.7163839462983547E-6</v>
      </c>
      <c r="EW10" s="94">
        <v>1.6104750026020572E-2</v>
      </c>
      <c r="EX10" s="94">
        <v>3.7472303261557613E-6</v>
      </c>
      <c r="EY10" s="94">
        <v>5.3599346390568748E-7</v>
      </c>
      <c r="EZ10" s="94">
        <v>0.60751127496548496</v>
      </c>
      <c r="FA10" s="94">
        <v>0.32934749062850488</v>
      </c>
      <c r="FB10" s="94">
        <v>1.675153830864996E-2</v>
      </c>
      <c r="FC10" s="94">
        <v>2.502004148689565E-6</v>
      </c>
      <c r="FD10" s="94">
        <v>4.845907165076265E-7</v>
      </c>
      <c r="FE10" s="94">
        <v>1.1399178581108731E-5</v>
      </c>
      <c r="FF10" s="94">
        <v>4.0658880362896494E-7</v>
      </c>
      <c r="FG10" s="94">
        <v>1.4106559529358793E-6</v>
      </c>
      <c r="FH10" s="94">
        <v>7.2572974659239342E-4</v>
      </c>
      <c r="FI10" s="94">
        <v>8.8744062435769285E-8</v>
      </c>
      <c r="FJ10" s="94">
        <v>6.7989924387347218E-9</v>
      </c>
      <c r="FK10" s="94">
        <v>6.4221412071179151E-2</v>
      </c>
      <c r="FL10" s="94">
        <v>1.6259606666222615E-2</v>
      </c>
      <c r="FM10" s="94">
        <v>2.7355942268564998E-5</v>
      </c>
      <c r="FN10" s="94">
        <v>1.0945309557611896E-7</v>
      </c>
      <c r="FO10" s="94">
        <v>4.5023259173155324E-8</v>
      </c>
      <c r="FP10" s="94">
        <v>2.4840418854154837E-8</v>
      </c>
      <c r="FQ10" s="94">
        <v>2.4420201443078197E-6</v>
      </c>
      <c r="FR10" s="94">
        <v>1.0127039899234234E-5</v>
      </c>
      <c r="FS10" s="94">
        <v>1.6830479772612966E-2</v>
      </c>
      <c r="FT10" s="94">
        <v>3.8359743885915306E-6</v>
      </c>
      <c r="FU10" s="94">
        <v>5.427924563444222E-7</v>
      </c>
      <c r="FV10" s="94">
        <v>0.67173268703666411</v>
      </c>
      <c r="FW10" s="94">
        <v>0.34560709729472749</v>
      </c>
      <c r="FX10" s="94">
        <v>1.6778894250918525E-2</v>
      </c>
      <c r="FY10" s="94">
        <v>2.611457244265684E-6</v>
      </c>
      <c r="FZ10" s="94">
        <v>5.2961397568078183E-7</v>
      </c>
      <c r="GA10" s="94">
        <v>1.1424018999962886E-5</v>
      </c>
      <c r="GB10" s="94">
        <v>8.1470585999142651E-6</v>
      </c>
      <c r="GC10" s="94">
        <v>1.7589401312111691E-4</v>
      </c>
      <c r="GD10" s="94">
        <v>0.64335255403946978</v>
      </c>
      <c r="GE10" s="94">
        <v>3.1401040687120051E-4</v>
      </c>
      <c r="GF10" s="94">
        <v>7.0372189856569427E-5</v>
      </c>
      <c r="GG10" s="94">
        <v>17.018456350118118</v>
      </c>
      <c r="GH10" s="94">
        <v>10.538724483123401</v>
      </c>
      <c r="GI10" s="94">
        <v>0.73722682519453042</v>
      </c>
      <c r="GJ10" s="94">
        <v>4.0138301475186396E-5</v>
      </c>
      <c r="GK10" s="94">
        <v>9.7687673359339412E-7</v>
      </c>
      <c r="GL10" s="94">
        <v>5.0170976705462232E-4</v>
      </c>
      <c r="GM10" s="94" t="s">
        <v>270</v>
      </c>
      <c r="GN10" s="94" t="s">
        <v>270</v>
      </c>
      <c r="GO10" s="94" t="s">
        <v>270</v>
      </c>
      <c r="GP10" s="94" t="s">
        <v>270</v>
      </c>
      <c r="GQ10" s="94" t="s">
        <v>270</v>
      </c>
      <c r="GR10" s="94" t="s">
        <v>270</v>
      </c>
      <c r="GS10" s="94" t="s">
        <v>270</v>
      </c>
      <c r="GT10" s="94" t="s">
        <v>270</v>
      </c>
      <c r="GU10" s="94" t="s">
        <v>270</v>
      </c>
      <c r="GV10" s="94" t="s">
        <v>270</v>
      </c>
      <c r="GW10" s="94" t="s">
        <v>270</v>
      </c>
      <c r="GX10" s="94" t="s">
        <v>270</v>
      </c>
      <c r="GY10" s="94" t="s">
        <v>270</v>
      </c>
      <c r="GZ10" s="94" t="s">
        <v>270</v>
      </c>
      <c r="HA10" s="94" t="s">
        <v>270</v>
      </c>
      <c r="HB10" s="94" t="s">
        <v>270</v>
      </c>
      <c r="HC10" s="94" t="s">
        <v>270</v>
      </c>
      <c r="HD10" s="94" t="s">
        <v>270</v>
      </c>
      <c r="HE10" s="94" t="s">
        <v>270</v>
      </c>
      <c r="HF10" s="94" t="s">
        <v>270</v>
      </c>
      <c r="HG10" s="94" t="s">
        <v>270</v>
      </c>
      <c r="HH10" s="94" t="s">
        <v>270</v>
      </c>
      <c r="HI10" s="94" t="s">
        <v>270</v>
      </c>
      <c r="HJ10" s="94" t="s">
        <v>270</v>
      </c>
      <c r="HK10" s="94" t="s">
        <v>270</v>
      </c>
      <c r="HL10" s="94" t="s">
        <v>270</v>
      </c>
      <c r="HM10" s="94" t="s">
        <v>270</v>
      </c>
      <c r="HN10" s="94" t="s">
        <v>270</v>
      </c>
      <c r="HO10" s="94" t="s">
        <v>270</v>
      </c>
      <c r="HP10" s="94" t="s">
        <v>270</v>
      </c>
      <c r="HQ10" s="94" t="s">
        <v>270</v>
      </c>
      <c r="HR10" s="94" t="s">
        <v>270</v>
      </c>
      <c r="HS10" s="94" t="s">
        <v>270</v>
      </c>
      <c r="HT10" s="94" t="s">
        <v>270</v>
      </c>
      <c r="HU10" s="94" t="s">
        <v>270</v>
      </c>
      <c r="HV10" s="94" t="s">
        <v>270</v>
      </c>
      <c r="HW10" s="94" t="s">
        <v>270</v>
      </c>
      <c r="HX10" s="94" t="s">
        <v>270</v>
      </c>
      <c r="HY10" s="94" t="s">
        <v>270</v>
      </c>
      <c r="HZ10" s="94" t="s">
        <v>270</v>
      </c>
      <c r="IA10" s="94" t="s">
        <v>270</v>
      </c>
      <c r="IB10" s="94" t="s">
        <v>270</v>
      </c>
      <c r="IC10" s="94" t="s">
        <v>270</v>
      </c>
      <c r="ID10" s="94" t="s">
        <v>270</v>
      </c>
      <c r="IE10" s="94" t="s">
        <v>270</v>
      </c>
      <c r="IF10" s="94" t="s">
        <v>270</v>
      </c>
      <c r="IG10" s="94" t="s">
        <v>270</v>
      </c>
      <c r="IH10" s="94" t="s">
        <v>270</v>
      </c>
      <c r="II10" s="94" t="s">
        <v>270</v>
      </c>
      <c r="IJ10" s="94" t="s">
        <v>270</v>
      </c>
      <c r="IK10" s="94" t="s">
        <v>270</v>
      </c>
      <c r="IL10" s="94" t="s">
        <v>270</v>
      </c>
      <c r="IM10" s="94" t="s">
        <v>270</v>
      </c>
      <c r="IN10" s="94" t="s">
        <v>270</v>
      </c>
      <c r="IO10" s="94" t="s">
        <v>270</v>
      </c>
      <c r="IP10" s="94" t="s">
        <v>270</v>
      </c>
      <c r="IQ10" s="94" t="s">
        <v>270</v>
      </c>
      <c r="IR10" s="94" t="s">
        <v>270</v>
      </c>
      <c r="IS10" s="94" t="s">
        <v>270</v>
      </c>
      <c r="IT10" s="94" t="s">
        <v>270</v>
      </c>
      <c r="IU10" s="94" t="s">
        <v>270</v>
      </c>
      <c r="IV10" s="94" t="s">
        <v>270</v>
      </c>
      <c r="IW10" s="94" t="s">
        <v>270</v>
      </c>
      <c r="IX10" s="94" t="s">
        <v>270</v>
      </c>
      <c r="IY10" s="94" t="s">
        <v>270</v>
      </c>
      <c r="IZ10" s="94" t="s">
        <v>270</v>
      </c>
      <c r="JA10" s="94" t="s">
        <v>270</v>
      </c>
      <c r="JB10" s="94" t="s">
        <v>270</v>
      </c>
      <c r="JC10" s="94" t="s">
        <v>270</v>
      </c>
      <c r="JD10" s="94" t="s">
        <v>270</v>
      </c>
      <c r="JE10" s="94" t="s">
        <v>270</v>
      </c>
      <c r="JF10" s="94" t="s">
        <v>270</v>
      </c>
      <c r="JG10" s="94" t="s">
        <v>270</v>
      </c>
      <c r="JH10" s="94" t="s">
        <v>270</v>
      </c>
      <c r="JI10" s="94" t="s">
        <v>270</v>
      </c>
      <c r="JJ10" s="94" t="s">
        <v>270</v>
      </c>
      <c r="JK10" s="94" t="s">
        <v>270</v>
      </c>
      <c r="JL10" s="94" t="s">
        <v>270</v>
      </c>
      <c r="JM10" s="94" t="s">
        <v>270</v>
      </c>
    </row>
    <row r="11" spans="1:287">
      <c r="A11" s="94" t="s">
        <v>626</v>
      </c>
      <c r="B11" s="94" t="s">
        <v>627</v>
      </c>
      <c r="C11" s="94" t="s">
        <v>649</v>
      </c>
      <c r="D11" s="95">
        <v>41508</v>
      </c>
      <c r="E11" s="94" t="s">
        <v>653</v>
      </c>
      <c r="F11" s="94">
        <v>0.70640354088000001</v>
      </c>
      <c r="G11" s="94">
        <v>19.8170731707317</v>
      </c>
      <c r="H11" s="94">
        <v>20.159999847400002</v>
      </c>
      <c r="I11" s="94">
        <v>1</v>
      </c>
      <c r="J11" s="94">
        <v>0</v>
      </c>
      <c r="K11" s="94">
        <v>0</v>
      </c>
      <c r="L11" s="94" t="s">
        <v>630</v>
      </c>
      <c r="M11" s="94" t="s">
        <v>631</v>
      </c>
      <c r="N11" s="94">
        <v>1.1919088565333783E-24</v>
      </c>
      <c r="O11" s="96" t="s">
        <v>270</v>
      </c>
      <c r="P11" s="94">
        <v>12.549990624909505</v>
      </c>
      <c r="Q11" s="94">
        <v>0.1019086224770609</v>
      </c>
      <c r="R11" s="94">
        <v>1.7452930315252524</v>
      </c>
      <c r="S11" s="94">
        <v>8.8015962414266347E-2</v>
      </c>
      <c r="T11" s="94" t="s">
        <v>270</v>
      </c>
      <c r="U11" s="94" t="s">
        <v>270</v>
      </c>
      <c r="V11" s="94" t="s">
        <v>632</v>
      </c>
      <c r="W11" s="94" t="s">
        <v>270</v>
      </c>
      <c r="X11" s="94">
        <v>0.05</v>
      </c>
      <c r="Y11" s="94">
        <v>0.05</v>
      </c>
      <c r="Z11" s="94" t="s">
        <v>632</v>
      </c>
      <c r="AA11" s="94" t="s">
        <v>270</v>
      </c>
      <c r="AB11" s="94" t="s">
        <v>632</v>
      </c>
      <c r="AC11" s="94" t="s">
        <v>270</v>
      </c>
      <c r="AD11" s="94" t="s">
        <v>644</v>
      </c>
      <c r="AE11" s="94" t="s">
        <v>82</v>
      </c>
      <c r="AF11" s="94">
        <v>4.0660299181920313E-10</v>
      </c>
      <c r="AG11" s="94">
        <v>4</v>
      </c>
      <c r="AH11" s="97">
        <v>42880.562835648147</v>
      </c>
      <c r="AI11" s="94" t="s">
        <v>654</v>
      </c>
      <c r="AJ11" s="98" t="s">
        <v>655</v>
      </c>
      <c r="AK11" s="96">
        <v>8.4662113608506715</v>
      </c>
      <c r="AL11" s="96">
        <v>6.4915255634100166E-2</v>
      </c>
      <c r="AM11" s="96">
        <v>4.5069460662984673E-2</v>
      </c>
      <c r="AN11" s="96" t="s">
        <v>270</v>
      </c>
      <c r="AO11" s="96" t="s">
        <v>270</v>
      </c>
      <c r="AP11" s="96">
        <v>0.10279668735548819</v>
      </c>
      <c r="AQ11" s="96">
        <v>-0.97652920620273054</v>
      </c>
      <c r="AR11" s="96">
        <v>2.0962945210719188</v>
      </c>
      <c r="AS11" s="96">
        <v>141.12318477308284</v>
      </c>
      <c r="AT11" s="96" t="s">
        <v>270</v>
      </c>
      <c r="AU11" s="96" t="s">
        <v>270</v>
      </c>
      <c r="AV11" s="94">
        <v>4.3230000000000003E-7</v>
      </c>
      <c r="AW11" s="94">
        <v>3E-10</v>
      </c>
      <c r="AX11" s="94">
        <v>2.0840000000000001E-7</v>
      </c>
      <c r="AY11" s="94">
        <v>4.8E-10</v>
      </c>
      <c r="AZ11" s="94" t="s">
        <v>270</v>
      </c>
      <c r="BA11" s="94" t="s">
        <v>270</v>
      </c>
      <c r="BB11" s="94" t="s">
        <v>270</v>
      </c>
      <c r="BC11" s="94" t="s">
        <v>270</v>
      </c>
      <c r="BD11" s="94" t="s">
        <v>270</v>
      </c>
      <c r="BE11" s="94" t="s">
        <v>270</v>
      </c>
      <c r="BF11" s="94" t="s">
        <v>270</v>
      </c>
      <c r="BG11" s="94" t="s">
        <v>270</v>
      </c>
      <c r="BH11" s="94" t="s">
        <v>270</v>
      </c>
      <c r="BI11" s="94" t="s">
        <v>270</v>
      </c>
      <c r="BJ11" s="94" t="s">
        <v>270</v>
      </c>
      <c r="BK11" s="94" t="s">
        <v>270</v>
      </c>
      <c r="BL11" s="94" t="s">
        <v>270</v>
      </c>
      <c r="BM11" s="94" t="s">
        <v>270</v>
      </c>
      <c r="BN11" s="94" t="s">
        <v>270</v>
      </c>
      <c r="BO11" s="94" t="s">
        <v>270</v>
      </c>
      <c r="BP11" s="94" t="s">
        <v>270</v>
      </c>
      <c r="BQ11" s="94" t="s">
        <v>270</v>
      </c>
      <c r="BR11" s="94" t="s">
        <v>270</v>
      </c>
      <c r="BS11" s="94" t="s">
        <v>270</v>
      </c>
      <c r="BT11" s="94" t="s">
        <v>270</v>
      </c>
      <c r="BU11" s="94" t="s">
        <v>270</v>
      </c>
      <c r="BV11" s="94" t="s">
        <v>270</v>
      </c>
      <c r="BW11" s="94" t="s">
        <v>270</v>
      </c>
      <c r="BX11" s="94" t="s">
        <v>270</v>
      </c>
      <c r="BY11" s="94" t="s">
        <v>270</v>
      </c>
      <c r="BZ11" s="94" t="s">
        <v>270</v>
      </c>
      <c r="CA11" s="94" t="s">
        <v>270</v>
      </c>
      <c r="CB11" s="94" t="s">
        <v>270</v>
      </c>
      <c r="CC11" s="94" t="s">
        <v>270</v>
      </c>
      <c r="CD11" s="94" t="s">
        <v>270</v>
      </c>
      <c r="CE11" s="94" t="s">
        <v>270</v>
      </c>
      <c r="CF11" s="94" t="s">
        <v>270</v>
      </c>
      <c r="CG11" s="94" t="s">
        <v>270</v>
      </c>
      <c r="CH11" s="94" t="s">
        <v>270</v>
      </c>
      <c r="CI11" s="94" t="s">
        <v>270</v>
      </c>
      <c r="CJ11" s="94" t="s">
        <v>270</v>
      </c>
      <c r="CK11" s="94" t="s">
        <v>270</v>
      </c>
      <c r="CL11" s="94" t="s">
        <v>270</v>
      </c>
      <c r="CM11" s="94" t="s">
        <v>270</v>
      </c>
      <c r="CN11" s="94" t="s">
        <v>270</v>
      </c>
      <c r="CO11" s="94" t="s">
        <v>270</v>
      </c>
      <c r="CP11" s="94" t="s">
        <v>270</v>
      </c>
      <c r="CQ11" s="94" t="s">
        <v>270</v>
      </c>
      <c r="CR11" s="94">
        <v>0.67438778880241201</v>
      </c>
      <c r="CS11" s="94">
        <v>6.7438778880241204E-2</v>
      </c>
      <c r="CT11" s="94" t="s">
        <v>270</v>
      </c>
      <c r="CU11" s="94" t="s">
        <v>270</v>
      </c>
      <c r="CV11" s="94" t="s">
        <v>270</v>
      </c>
      <c r="CW11" s="94" t="s">
        <v>270</v>
      </c>
      <c r="CX11" s="94">
        <v>18.820636805411599</v>
      </c>
      <c r="CY11" s="94">
        <v>1.8820636805411599</v>
      </c>
      <c r="CZ11" s="94">
        <v>0.24810933146247199</v>
      </c>
      <c r="DA11" s="94">
        <v>2.4810933146247202E-2</v>
      </c>
      <c r="DB11" s="94">
        <v>2.2931443891349099</v>
      </c>
      <c r="DC11" s="94">
        <v>0.22931443891349101</v>
      </c>
      <c r="DD11" s="94">
        <v>5.7235381249341596E-3</v>
      </c>
      <c r="DE11" s="94">
        <v>5.7235381249341603E-4</v>
      </c>
      <c r="DF11" s="94" t="s">
        <v>270</v>
      </c>
      <c r="DG11" s="94" t="s">
        <v>270</v>
      </c>
      <c r="DH11" s="94" t="s">
        <v>270</v>
      </c>
      <c r="DI11" s="94" t="s">
        <v>270</v>
      </c>
      <c r="DJ11" s="94">
        <v>0.99998601623539962</v>
      </c>
      <c r="DK11" s="94">
        <v>0.99761524887060249</v>
      </c>
      <c r="DL11" s="94">
        <v>1.4331141284075003E-2</v>
      </c>
      <c r="DM11" s="94">
        <v>0.99758057575999282</v>
      </c>
      <c r="DN11" s="94">
        <v>4.5667689376539741E-8</v>
      </c>
      <c r="DO11" s="94">
        <v>1.9569632315569462E-7</v>
      </c>
      <c r="DP11" s="94">
        <v>3.6172275380253572E-4</v>
      </c>
      <c r="DQ11" s="94">
        <v>8.4071720071014438E-8</v>
      </c>
      <c r="DR11" s="94">
        <v>1.1988440281620594E-8</v>
      </c>
      <c r="DS11" s="94">
        <v>1.3646665556499949E-2</v>
      </c>
      <c r="DT11" s="94">
        <v>7.4046932045443012E-3</v>
      </c>
      <c r="DU11" s="94">
        <v>3.7462214411263726E-4</v>
      </c>
      <c r="DV11" s="94">
        <v>5.6267047213531006E-8</v>
      </c>
      <c r="DW11" s="94">
        <v>1.0876247533468032E-8</v>
      </c>
      <c r="DX11" s="94">
        <v>2.5674183900533584E-7</v>
      </c>
      <c r="DY11" s="94">
        <v>9.1453354851923218E-9</v>
      </c>
      <c r="DZ11" s="94">
        <v>3.1729427313129095E-8</v>
      </c>
      <c r="EA11" s="94">
        <v>1.6301036914445871E-5</v>
      </c>
      <c r="EB11" s="94">
        <v>1.9896340559387862E-9</v>
      </c>
      <c r="EC11" s="94">
        <v>1.5184049374269705E-10</v>
      </c>
      <c r="ED11" s="94">
        <v>1.4027754234900748E-3</v>
      </c>
      <c r="EE11" s="94">
        <v>3.6556907838327952E-4</v>
      </c>
      <c r="EF11" s="94">
        <v>6.1085256103382427E-7</v>
      </c>
      <c r="EG11" s="94">
        <v>2.4608631744506085E-9</v>
      </c>
      <c r="EH11" s="94">
        <v>1.0122699582846459E-9</v>
      </c>
      <c r="EI11" s="94">
        <v>5.5849377008808961E-10</v>
      </c>
      <c r="EJ11" s="94">
        <v>5.4813024861732063E-8</v>
      </c>
      <c r="EK11" s="94">
        <v>2.2742575046882372E-7</v>
      </c>
      <c r="EL11" s="94">
        <v>3.7802379071698159E-4</v>
      </c>
      <c r="EM11" s="94">
        <v>8.6061354126953225E-8</v>
      </c>
      <c r="EN11" s="94">
        <v>1.2140280775363291E-8</v>
      </c>
      <c r="EO11" s="94">
        <v>1.5049440979990024E-2</v>
      </c>
      <c r="EP11" s="94">
        <v>7.7702622829275807E-3</v>
      </c>
      <c r="EQ11" s="94">
        <v>3.7523299667367109E-4</v>
      </c>
      <c r="ER11" s="94">
        <v>5.8727910387981614E-8</v>
      </c>
      <c r="ES11" s="94">
        <v>1.1888517491752678E-8</v>
      </c>
      <c r="ET11" s="94">
        <v>2.5730033277542393E-7</v>
      </c>
      <c r="EU11" s="94">
        <v>2.0365674095313073E-6</v>
      </c>
      <c r="EV11" s="94">
        <v>8.7272118023410581E-6</v>
      </c>
      <c r="EW11" s="94">
        <v>1.6153606519570315E-2</v>
      </c>
      <c r="EX11" s="94">
        <v>3.7614042439510731E-6</v>
      </c>
      <c r="EY11" s="94">
        <v>5.3846020583434373E-7</v>
      </c>
      <c r="EZ11" s="94">
        <v>0.6092184375577836</v>
      </c>
      <c r="FA11" s="94">
        <v>0.33035556612195904</v>
      </c>
      <c r="FB11" s="94">
        <v>1.682839519719509E-2</v>
      </c>
      <c r="FC11" s="94">
        <v>2.5103176759341484E-6</v>
      </c>
      <c r="FD11" s="94">
        <v>4.8523670217644276E-7</v>
      </c>
      <c r="FE11" s="94">
        <v>1.1454369982506294E-5</v>
      </c>
      <c r="FF11" s="94">
        <v>4.0783960065956148E-7</v>
      </c>
      <c r="FG11" s="94">
        <v>1.4149955812320285E-6</v>
      </c>
      <c r="FH11" s="94">
        <v>7.2796232310200562E-4</v>
      </c>
      <c r="FI11" s="94">
        <v>8.9017067518021727E-8</v>
      </c>
      <c r="FJ11" s="94">
        <v>6.8199083111776583E-9</v>
      </c>
      <c r="FK11" s="94">
        <v>6.2623135945764186E-2</v>
      </c>
      <c r="FL11" s="94">
        <v>1.630962640989303E-2</v>
      </c>
      <c r="FM11" s="94">
        <v>2.7440097884884329E-5</v>
      </c>
      <c r="FN11" s="94">
        <v>1.0978980825909094E-7</v>
      </c>
      <c r="FO11" s="94">
        <v>4.5161765099484138E-8</v>
      </c>
      <c r="FP11" s="94">
        <v>2.4916835916956941E-8</v>
      </c>
      <c r="FQ11" s="94">
        <v>2.4444070101908688E-6</v>
      </c>
      <c r="FR11" s="94">
        <v>1.0142207383573087E-5</v>
      </c>
      <c r="FS11" s="94">
        <v>1.688156884267232E-2</v>
      </c>
      <c r="FT11" s="94">
        <v>3.8504213114690948E-6</v>
      </c>
      <c r="FU11" s="94">
        <v>5.4528011414552138E-7</v>
      </c>
      <c r="FV11" s="94">
        <v>0.67184157350354778</v>
      </c>
      <c r="FW11" s="94">
        <v>0.34666519253185207</v>
      </c>
      <c r="FX11" s="94">
        <v>1.6855835295079974E-2</v>
      </c>
      <c r="FY11" s="94">
        <v>2.6201074841932393E-6</v>
      </c>
      <c r="FZ11" s="94">
        <v>5.3039846727592689E-7</v>
      </c>
      <c r="GA11" s="94">
        <v>1.1479286818423251E-5</v>
      </c>
      <c r="GB11" s="94">
        <v>8.1516058520516822E-6</v>
      </c>
      <c r="GC11" s="94">
        <v>1.7611251600770184E-4</v>
      </c>
      <c r="GD11" s="94">
        <v>0.64530427324379491</v>
      </c>
      <c r="GE11" s="94">
        <v>3.1519815283461203E-4</v>
      </c>
      <c r="GF11" s="94">
        <v>7.0696055804608495E-5</v>
      </c>
      <c r="GG11" s="94">
        <v>17.066279778681217</v>
      </c>
      <c r="GH11" s="94">
        <v>10.570981689223343</v>
      </c>
      <c r="GI11" s="94">
        <v>0.74060925843095737</v>
      </c>
      <c r="GJ11" s="94">
        <v>4.0271670903466532E-5</v>
      </c>
      <c r="GK11" s="94">
        <v>9.7817896318344747E-7</v>
      </c>
      <c r="GL11" s="94">
        <v>5.0413889516605305E-4</v>
      </c>
      <c r="GM11" s="94" t="s">
        <v>270</v>
      </c>
      <c r="GN11" s="94" t="s">
        <v>270</v>
      </c>
      <c r="GO11" s="94" t="s">
        <v>270</v>
      </c>
      <c r="GP11" s="94" t="s">
        <v>270</v>
      </c>
      <c r="GQ11" s="94" t="s">
        <v>270</v>
      </c>
      <c r="GR11" s="94" t="s">
        <v>270</v>
      </c>
      <c r="GS11" s="94" t="s">
        <v>270</v>
      </c>
      <c r="GT11" s="94" t="s">
        <v>270</v>
      </c>
      <c r="GU11" s="94" t="s">
        <v>270</v>
      </c>
      <c r="GV11" s="94" t="s">
        <v>270</v>
      </c>
      <c r="GW11" s="94" t="s">
        <v>270</v>
      </c>
      <c r="GX11" s="94" t="s">
        <v>270</v>
      </c>
      <c r="GY11" s="94" t="s">
        <v>270</v>
      </c>
      <c r="GZ11" s="94" t="s">
        <v>270</v>
      </c>
      <c r="HA11" s="94" t="s">
        <v>270</v>
      </c>
      <c r="HB11" s="94" t="s">
        <v>270</v>
      </c>
      <c r="HC11" s="94" t="s">
        <v>270</v>
      </c>
      <c r="HD11" s="94" t="s">
        <v>270</v>
      </c>
      <c r="HE11" s="94" t="s">
        <v>270</v>
      </c>
      <c r="HF11" s="94" t="s">
        <v>270</v>
      </c>
      <c r="HG11" s="94" t="s">
        <v>270</v>
      </c>
      <c r="HH11" s="94" t="s">
        <v>270</v>
      </c>
      <c r="HI11" s="94" t="s">
        <v>270</v>
      </c>
      <c r="HJ11" s="94" t="s">
        <v>270</v>
      </c>
      <c r="HK11" s="94" t="s">
        <v>270</v>
      </c>
      <c r="HL11" s="94" t="s">
        <v>270</v>
      </c>
      <c r="HM11" s="94" t="s">
        <v>270</v>
      </c>
      <c r="HN11" s="94" t="s">
        <v>270</v>
      </c>
      <c r="HO11" s="94" t="s">
        <v>270</v>
      </c>
      <c r="HP11" s="94" t="s">
        <v>270</v>
      </c>
      <c r="HQ11" s="94" t="s">
        <v>270</v>
      </c>
      <c r="HR11" s="94" t="s">
        <v>270</v>
      </c>
      <c r="HS11" s="94" t="s">
        <v>270</v>
      </c>
      <c r="HT11" s="94" t="s">
        <v>270</v>
      </c>
      <c r="HU11" s="94" t="s">
        <v>270</v>
      </c>
      <c r="HV11" s="94" t="s">
        <v>270</v>
      </c>
      <c r="HW11" s="94" t="s">
        <v>270</v>
      </c>
      <c r="HX11" s="94" t="s">
        <v>270</v>
      </c>
      <c r="HY11" s="94" t="s">
        <v>270</v>
      </c>
      <c r="HZ11" s="94" t="s">
        <v>270</v>
      </c>
      <c r="IA11" s="94" t="s">
        <v>270</v>
      </c>
      <c r="IB11" s="94" t="s">
        <v>270</v>
      </c>
      <c r="IC11" s="94" t="s">
        <v>270</v>
      </c>
      <c r="ID11" s="94" t="s">
        <v>270</v>
      </c>
      <c r="IE11" s="94" t="s">
        <v>270</v>
      </c>
      <c r="IF11" s="94" t="s">
        <v>270</v>
      </c>
      <c r="IG11" s="94" t="s">
        <v>270</v>
      </c>
      <c r="IH11" s="94" t="s">
        <v>270</v>
      </c>
      <c r="II11" s="94" t="s">
        <v>270</v>
      </c>
      <c r="IJ11" s="94" t="s">
        <v>270</v>
      </c>
      <c r="IK11" s="94" t="s">
        <v>270</v>
      </c>
      <c r="IL11" s="94" t="s">
        <v>270</v>
      </c>
      <c r="IM11" s="94" t="s">
        <v>270</v>
      </c>
      <c r="IN11" s="94" t="s">
        <v>270</v>
      </c>
      <c r="IO11" s="94" t="s">
        <v>270</v>
      </c>
      <c r="IP11" s="94" t="s">
        <v>270</v>
      </c>
      <c r="IQ11" s="94" t="s">
        <v>270</v>
      </c>
      <c r="IR11" s="94" t="s">
        <v>270</v>
      </c>
      <c r="IS11" s="94" t="s">
        <v>270</v>
      </c>
      <c r="IT11" s="94" t="s">
        <v>270</v>
      </c>
      <c r="IU11" s="94" t="s">
        <v>270</v>
      </c>
      <c r="IV11" s="94" t="s">
        <v>270</v>
      </c>
      <c r="IW11" s="94" t="s">
        <v>270</v>
      </c>
      <c r="IX11" s="94" t="s">
        <v>270</v>
      </c>
      <c r="IY11" s="94" t="s">
        <v>270</v>
      </c>
      <c r="IZ11" s="94" t="s">
        <v>270</v>
      </c>
      <c r="JA11" s="94" t="s">
        <v>270</v>
      </c>
      <c r="JB11" s="94" t="s">
        <v>270</v>
      </c>
      <c r="JC11" s="94" t="s">
        <v>270</v>
      </c>
      <c r="JD11" s="94" t="s">
        <v>270</v>
      </c>
      <c r="JE11" s="94" t="s">
        <v>270</v>
      </c>
      <c r="JF11" s="94" t="s">
        <v>270</v>
      </c>
      <c r="JG11" s="94" t="s">
        <v>270</v>
      </c>
      <c r="JH11" s="94" t="s">
        <v>270</v>
      </c>
      <c r="JI11" s="94" t="s">
        <v>270</v>
      </c>
      <c r="JJ11" s="94" t="s">
        <v>270</v>
      </c>
      <c r="JK11" s="94" t="s">
        <v>270</v>
      </c>
      <c r="JL11" s="94" t="s">
        <v>270</v>
      </c>
      <c r="JM11" s="94" t="s">
        <v>270</v>
      </c>
    </row>
    <row r="12" spans="1:287">
      <c r="A12" s="94" t="s">
        <v>626</v>
      </c>
      <c r="B12" s="94" t="s">
        <v>627</v>
      </c>
      <c r="C12" s="94" t="s">
        <v>656</v>
      </c>
      <c r="D12" s="95">
        <v>41540</v>
      </c>
      <c r="E12" s="94" t="s">
        <v>657</v>
      </c>
      <c r="F12" s="94">
        <v>0.31042765472</v>
      </c>
      <c r="G12" s="94">
        <v>7.9268292682926802</v>
      </c>
      <c r="H12" s="94">
        <v>20.010000228900001</v>
      </c>
      <c r="I12" s="94">
        <v>1</v>
      </c>
      <c r="J12" s="94">
        <v>0</v>
      </c>
      <c r="K12" s="94">
        <v>0</v>
      </c>
      <c r="L12" s="94" t="s">
        <v>630</v>
      </c>
      <c r="M12" s="94" t="s">
        <v>631</v>
      </c>
      <c r="N12" s="94">
        <v>6.6372017242685571E-3</v>
      </c>
      <c r="O12" s="96" t="s">
        <v>270</v>
      </c>
      <c r="P12" s="94">
        <v>13.928045196433484</v>
      </c>
      <c r="Q12" s="94">
        <v>5.5456286524990368</v>
      </c>
      <c r="R12" s="94">
        <v>2.7467883846537662</v>
      </c>
      <c r="S12" s="94">
        <v>0.51913641960466661</v>
      </c>
      <c r="T12" s="94" t="s">
        <v>270</v>
      </c>
      <c r="U12" s="94" t="s">
        <v>270</v>
      </c>
      <c r="V12" s="94" t="s">
        <v>632</v>
      </c>
      <c r="W12" s="94" t="s">
        <v>270</v>
      </c>
      <c r="X12" s="94">
        <v>0</v>
      </c>
      <c r="Y12" s="94">
        <v>2.3523612358360233</v>
      </c>
      <c r="Z12" s="94" t="s">
        <v>632</v>
      </c>
      <c r="AA12" s="94" t="s">
        <v>270</v>
      </c>
      <c r="AB12" s="94" t="s">
        <v>632</v>
      </c>
      <c r="AC12" s="94" t="s">
        <v>270</v>
      </c>
      <c r="AD12" s="94" t="s">
        <v>633</v>
      </c>
      <c r="AE12" s="94" t="s">
        <v>98</v>
      </c>
      <c r="AF12" s="94">
        <v>5.3015570717710857E-3</v>
      </c>
      <c r="AG12" s="94">
        <v>16</v>
      </c>
      <c r="AH12" s="97">
        <v>42880.574386574073</v>
      </c>
      <c r="AJ12" s="98" t="s">
        <v>658</v>
      </c>
      <c r="AK12" s="96">
        <v>19.066732056449254</v>
      </c>
      <c r="AL12" s="96">
        <v>0.25739551621246992</v>
      </c>
      <c r="AM12" s="96">
        <v>7.2835530543271743E-2</v>
      </c>
      <c r="AN12" s="96" t="s">
        <v>270</v>
      </c>
      <c r="AO12" s="96" t="s">
        <v>270</v>
      </c>
      <c r="AP12" s="96">
        <v>0.15247823520781267</v>
      </c>
      <c r="AQ12" s="96">
        <v>-0.9753507703084684</v>
      </c>
      <c r="AR12" s="96">
        <v>2.8922760969772927</v>
      </c>
      <c r="AS12" s="96">
        <v>43939.121293184922</v>
      </c>
      <c r="AT12" s="96" t="s">
        <v>270</v>
      </c>
      <c r="AU12" s="96" t="s">
        <v>270</v>
      </c>
      <c r="AV12" s="94">
        <v>9.1480000000000001E-7</v>
      </c>
      <c r="AW12" s="94">
        <v>3.3000000000000002E-9</v>
      </c>
      <c r="AX12" s="94">
        <v>2.4400000000000001E-7</v>
      </c>
      <c r="AY12" s="94">
        <v>3.1999999999999998E-10</v>
      </c>
      <c r="AZ12" s="94" t="s">
        <v>270</v>
      </c>
      <c r="BA12" s="94" t="s">
        <v>270</v>
      </c>
      <c r="BB12" s="94" t="s">
        <v>270</v>
      </c>
      <c r="BC12" s="94" t="s">
        <v>270</v>
      </c>
      <c r="BD12" s="94" t="s">
        <v>270</v>
      </c>
      <c r="BE12" s="94" t="s">
        <v>270</v>
      </c>
      <c r="BF12" s="94" t="s">
        <v>270</v>
      </c>
      <c r="BG12" s="94" t="s">
        <v>270</v>
      </c>
      <c r="BH12" s="94" t="s">
        <v>270</v>
      </c>
      <c r="BI12" s="94" t="s">
        <v>270</v>
      </c>
      <c r="BJ12" s="94" t="s">
        <v>270</v>
      </c>
      <c r="BK12" s="94" t="s">
        <v>270</v>
      </c>
      <c r="BL12" s="94" t="s">
        <v>270</v>
      </c>
      <c r="BM12" s="94" t="s">
        <v>270</v>
      </c>
      <c r="BN12" s="94" t="s">
        <v>270</v>
      </c>
      <c r="BO12" s="94" t="s">
        <v>270</v>
      </c>
      <c r="BP12" s="94" t="s">
        <v>270</v>
      </c>
      <c r="BQ12" s="94" t="s">
        <v>270</v>
      </c>
      <c r="BR12" s="94" t="s">
        <v>270</v>
      </c>
      <c r="BS12" s="94" t="s">
        <v>270</v>
      </c>
      <c r="BT12" s="94" t="s">
        <v>270</v>
      </c>
      <c r="BU12" s="94" t="s">
        <v>270</v>
      </c>
      <c r="BV12" s="94" t="s">
        <v>270</v>
      </c>
      <c r="BW12" s="94" t="s">
        <v>270</v>
      </c>
      <c r="BX12" s="94" t="s">
        <v>270</v>
      </c>
      <c r="BY12" s="94" t="s">
        <v>270</v>
      </c>
      <c r="BZ12" s="94" t="s">
        <v>270</v>
      </c>
      <c r="CA12" s="94" t="s">
        <v>270</v>
      </c>
      <c r="CB12" s="94" t="s">
        <v>270</v>
      </c>
      <c r="CC12" s="94" t="s">
        <v>270</v>
      </c>
      <c r="CD12" s="94" t="s">
        <v>270</v>
      </c>
      <c r="CE12" s="94" t="s">
        <v>270</v>
      </c>
      <c r="CF12" s="94" t="s">
        <v>270</v>
      </c>
      <c r="CG12" s="94" t="s">
        <v>270</v>
      </c>
      <c r="CH12" s="94" t="s">
        <v>270</v>
      </c>
      <c r="CI12" s="94" t="s">
        <v>270</v>
      </c>
      <c r="CJ12" s="94" t="s">
        <v>270</v>
      </c>
      <c r="CK12" s="94" t="s">
        <v>270</v>
      </c>
      <c r="CL12" s="94" t="s">
        <v>270</v>
      </c>
      <c r="CM12" s="94" t="s">
        <v>270</v>
      </c>
      <c r="CN12" s="94" t="s">
        <v>270</v>
      </c>
      <c r="CO12" s="94" t="s">
        <v>270</v>
      </c>
      <c r="CP12" s="94" t="s">
        <v>270</v>
      </c>
      <c r="CQ12" s="94" t="s">
        <v>270</v>
      </c>
      <c r="CR12" s="94">
        <v>0.67422035038596395</v>
      </c>
      <c r="CS12" s="94">
        <v>6.7422035038596395E-2</v>
      </c>
      <c r="CT12" s="94" t="s">
        <v>270</v>
      </c>
      <c r="CU12" s="94" t="s">
        <v>270</v>
      </c>
      <c r="CV12" s="94" t="s">
        <v>270</v>
      </c>
      <c r="CW12" s="94" t="s">
        <v>270</v>
      </c>
      <c r="CX12" s="94">
        <v>19.201807533848399</v>
      </c>
      <c r="CY12" s="94">
        <v>1.9201807533848401</v>
      </c>
      <c r="CZ12" s="94">
        <v>0.25369470158651303</v>
      </c>
      <c r="DA12" s="94">
        <v>2.5369470158651306E-2</v>
      </c>
      <c r="DB12" s="94">
        <v>2.7623707827761299</v>
      </c>
      <c r="DC12" s="94">
        <v>0.27623707827761301</v>
      </c>
      <c r="DD12" s="94">
        <v>1.7186421281020601</v>
      </c>
      <c r="DE12" s="94">
        <v>0.17186421281020603</v>
      </c>
      <c r="DF12" s="94" t="s">
        <v>270</v>
      </c>
      <c r="DG12" s="94" t="s">
        <v>270</v>
      </c>
      <c r="DH12" s="94" t="s">
        <v>270</v>
      </c>
      <c r="DI12" s="94" t="s">
        <v>270</v>
      </c>
      <c r="DJ12" s="94">
        <v>0.99949786385315165</v>
      </c>
      <c r="DK12" s="94">
        <v>0.99904541623436038</v>
      </c>
      <c r="DL12" s="94">
        <v>1.5684107430405655E-2</v>
      </c>
      <c r="DM12" s="94">
        <v>0.99903020587918412</v>
      </c>
      <c r="DN12" s="94">
        <v>4.5587891313174338E-8</v>
      </c>
      <c r="DO12" s="94">
        <v>1.9405190877010397E-7</v>
      </c>
      <c r="DP12" s="94">
        <v>3.5244556727428761E-4</v>
      </c>
      <c r="DQ12" s="94">
        <v>8.1310032749242863E-8</v>
      </c>
      <c r="DR12" s="94">
        <v>1.1494391504347983E-8</v>
      </c>
      <c r="DS12" s="94">
        <v>1.332935466567443E-2</v>
      </c>
      <c r="DT12" s="94">
        <v>7.2129322120533359E-3</v>
      </c>
      <c r="DU12" s="94">
        <v>3.5916556961475212E-4</v>
      </c>
      <c r="DV12" s="94">
        <v>5.4675244523415285E-8</v>
      </c>
      <c r="DW12" s="94">
        <v>1.077401654418101E-8</v>
      </c>
      <c r="DX12" s="94">
        <v>2.4558051965625665E-7</v>
      </c>
      <c r="DY12" s="94">
        <v>1.4393171135585729E-8</v>
      </c>
      <c r="DZ12" s="94">
        <v>4.9936612833005448E-8</v>
      </c>
      <c r="EA12" s="94">
        <v>2.5655003512666148E-5</v>
      </c>
      <c r="EB12" s="94">
        <v>3.1313387585052974E-9</v>
      </c>
      <c r="EC12" s="94">
        <v>2.3897058946487742E-10</v>
      </c>
      <c r="ED12" s="94">
        <v>2.1448022422730466E-3</v>
      </c>
      <c r="EE12" s="94">
        <v>5.7534229504957804E-4</v>
      </c>
      <c r="EF12" s="94">
        <v>9.6137593462881097E-7</v>
      </c>
      <c r="EG12" s="94">
        <v>3.8729716223618106E-9</v>
      </c>
      <c r="EH12" s="94">
        <v>1.5931372630991839E-9</v>
      </c>
      <c r="EI12" s="94">
        <v>8.7897228308917935E-10</v>
      </c>
      <c r="EJ12" s="94">
        <v>5.9981062448760067E-8</v>
      </c>
      <c r="EK12" s="94">
        <v>2.4398852160310941E-7</v>
      </c>
      <c r="EL12" s="94">
        <v>3.7810057078695376E-4</v>
      </c>
      <c r="EM12" s="94">
        <v>8.444137150774816E-8</v>
      </c>
      <c r="EN12" s="94">
        <v>1.1733362093812861E-8</v>
      </c>
      <c r="EO12" s="94">
        <v>1.5474156907947477E-2</v>
      </c>
      <c r="EP12" s="94">
        <v>7.7882745071029139E-3</v>
      </c>
      <c r="EQ12" s="94">
        <v>3.6012694554938093E-4</v>
      </c>
      <c r="ER12" s="94">
        <v>5.8548216145777095E-8</v>
      </c>
      <c r="ES12" s="94">
        <v>1.2367153807280194E-8</v>
      </c>
      <c r="ET12" s="94">
        <v>2.4645949193934583E-7</v>
      </c>
      <c r="EU12" s="94">
        <v>2.0320163535769731E-6</v>
      </c>
      <c r="EV12" s="94">
        <v>8.6496535443071286E-6</v>
      </c>
      <c r="EW12" s="94">
        <v>1.5731627974121677E-2</v>
      </c>
      <c r="EX12" s="94">
        <v>3.6360693397965376E-6</v>
      </c>
      <c r="EY12" s="94">
        <v>5.1601800732427672E-7</v>
      </c>
      <c r="EZ12" s="94">
        <v>0.59476247132842741</v>
      </c>
      <c r="FA12" s="94">
        <v>0.32164318453042279</v>
      </c>
      <c r="FB12" s="94">
        <v>1.6126194672276412E-2</v>
      </c>
      <c r="FC12" s="94">
        <v>2.438109668368087E-6</v>
      </c>
      <c r="FD12" s="94">
        <v>4.8044108686657596E-7</v>
      </c>
      <c r="FE12" s="94">
        <v>1.0951066512018179E-5</v>
      </c>
      <c r="FF12" s="94">
        <v>6.4155542809435017E-7</v>
      </c>
      <c r="FG12" s="94">
        <v>2.2258704019934035E-6</v>
      </c>
      <c r="FH12" s="94">
        <v>1.1451271016325627E-3</v>
      </c>
      <c r="FI12" s="94">
        <v>1.4002902799745444E-7</v>
      </c>
      <c r="FJ12" s="94">
        <v>1.0728112692014031E-8</v>
      </c>
      <c r="FK12" s="94">
        <v>9.5702148687670574E-2</v>
      </c>
      <c r="FL12" s="94">
        <v>2.5655991562702873E-2</v>
      </c>
      <c r="FM12" s="94">
        <v>4.3164870986090592E-5</v>
      </c>
      <c r="FN12" s="94">
        <v>1.7270575815626401E-7</v>
      </c>
      <c r="FO12" s="94">
        <v>7.1042084915342682E-8</v>
      </c>
      <c r="FP12" s="94">
        <v>3.9195633056740323E-8</v>
      </c>
      <c r="FQ12" s="94">
        <v>2.6735717816713233E-6</v>
      </c>
      <c r="FR12" s="94">
        <v>1.0875523946300532E-5</v>
      </c>
      <c r="FS12" s="94">
        <v>1.687675507575424E-2</v>
      </c>
      <c r="FT12" s="94">
        <v>3.776098367793992E-6</v>
      </c>
      <c r="FU12" s="94">
        <v>5.2674612001629076E-7</v>
      </c>
      <c r="FV12" s="94">
        <v>0.69046462001609799</v>
      </c>
      <c r="FW12" s="94">
        <v>0.34729917609312566</v>
      </c>
      <c r="FX12" s="94">
        <v>1.6169359543262502E-2</v>
      </c>
      <c r="FY12" s="94">
        <v>2.610815426524351E-6</v>
      </c>
      <c r="FZ12" s="94">
        <v>5.5148317178191864E-7</v>
      </c>
      <c r="GA12" s="94">
        <v>1.0990262145074919E-5</v>
      </c>
      <c r="GB12" s="94">
        <v>8.1333897035575352E-6</v>
      </c>
      <c r="GC12" s="94">
        <v>1.7454741362805457E-4</v>
      </c>
      <c r="GD12" s="94">
        <v>0.62844707431021274</v>
      </c>
      <c r="GE12" s="94">
        <v>3.0469533853627026E-4</v>
      </c>
      <c r="GF12" s="94">
        <v>6.7749552235626265E-5</v>
      </c>
      <c r="GG12" s="94">
        <v>16.661319014311768</v>
      </c>
      <c r="GH12" s="94">
        <v>10.292195933152092</v>
      </c>
      <c r="GI12" s="94">
        <v>0.7097057644295488</v>
      </c>
      <c r="GJ12" s="94">
        <v>3.9113276830408297E-5</v>
      </c>
      <c r="GK12" s="94">
        <v>9.6851157819259326E-7</v>
      </c>
      <c r="GL12" s="94">
        <v>4.8198710018015369E-4</v>
      </c>
      <c r="GM12" s="94" t="s">
        <v>270</v>
      </c>
      <c r="GN12" s="94" t="s">
        <v>270</v>
      </c>
      <c r="GO12" s="94" t="s">
        <v>270</v>
      </c>
      <c r="GP12" s="94" t="s">
        <v>270</v>
      </c>
      <c r="GQ12" s="94" t="s">
        <v>270</v>
      </c>
      <c r="GR12" s="94" t="s">
        <v>270</v>
      </c>
      <c r="GS12" s="94" t="s">
        <v>270</v>
      </c>
      <c r="GT12" s="94" t="s">
        <v>270</v>
      </c>
      <c r="GU12" s="94" t="s">
        <v>270</v>
      </c>
      <c r="GV12" s="94" t="s">
        <v>270</v>
      </c>
      <c r="GW12" s="94" t="s">
        <v>270</v>
      </c>
      <c r="GX12" s="94" t="s">
        <v>270</v>
      </c>
      <c r="GY12" s="94" t="s">
        <v>270</v>
      </c>
      <c r="GZ12" s="94" t="s">
        <v>270</v>
      </c>
      <c r="HA12" s="94" t="s">
        <v>270</v>
      </c>
      <c r="HB12" s="94" t="s">
        <v>270</v>
      </c>
      <c r="HC12" s="94" t="s">
        <v>270</v>
      </c>
      <c r="HD12" s="94" t="s">
        <v>270</v>
      </c>
      <c r="HE12" s="94" t="s">
        <v>270</v>
      </c>
      <c r="HF12" s="94" t="s">
        <v>270</v>
      </c>
      <c r="HG12" s="94" t="s">
        <v>270</v>
      </c>
      <c r="HH12" s="94" t="s">
        <v>270</v>
      </c>
      <c r="HI12" s="94" t="s">
        <v>270</v>
      </c>
      <c r="HJ12" s="94" t="s">
        <v>270</v>
      </c>
      <c r="HK12" s="94" t="s">
        <v>270</v>
      </c>
      <c r="HL12" s="94" t="s">
        <v>270</v>
      </c>
      <c r="HM12" s="94" t="s">
        <v>270</v>
      </c>
      <c r="HN12" s="94" t="s">
        <v>270</v>
      </c>
      <c r="HO12" s="94" t="s">
        <v>270</v>
      </c>
      <c r="HP12" s="94" t="s">
        <v>270</v>
      </c>
      <c r="HQ12" s="94" t="s">
        <v>270</v>
      </c>
      <c r="HR12" s="94" t="s">
        <v>270</v>
      </c>
      <c r="HS12" s="94" t="s">
        <v>270</v>
      </c>
      <c r="HT12" s="94" t="s">
        <v>270</v>
      </c>
      <c r="HU12" s="94" t="s">
        <v>270</v>
      </c>
      <c r="HV12" s="94" t="s">
        <v>270</v>
      </c>
      <c r="HW12" s="94" t="s">
        <v>270</v>
      </c>
      <c r="HX12" s="94" t="s">
        <v>270</v>
      </c>
      <c r="HY12" s="94" t="s">
        <v>270</v>
      </c>
      <c r="HZ12" s="94" t="s">
        <v>270</v>
      </c>
      <c r="IA12" s="94" t="s">
        <v>270</v>
      </c>
      <c r="IB12" s="94" t="s">
        <v>270</v>
      </c>
      <c r="IC12" s="94" t="s">
        <v>270</v>
      </c>
      <c r="ID12" s="94" t="s">
        <v>270</v>
      </c>
      <c r="IE12" s="94" t="s">
        <v>270</v>
      </c>
      <c r="IF12" s="94" t="s">
        <v>270</v>
      </c>
      <c r="IG12" s="94" t="s">
        <v>270</v>
      </c>
      <c r="IH12" s="94" t="s">
        <v>270</v>
      </c>
      <c r="II12" s="94" t="s">
        <v>270</v>
      </c>
      <c r="IJ12" s="94" t="s">
        <v>270</v>
      </c>
      <c r="IK12" s="94" t="s">
        <v>270</v>
      </c>
      <c r="IL12" s="94" t="s">
        <v>270</v>
      </c>
      <c r="IM12" s="94" t="s">
        <v>270</v>
      </c>
      <c r="IN12" s="94" t="s">
        <v>270</v>
      </c>
      <c r="IO12" s="94" t="s">
        <v>270</v>
      </c>
      <c r="IP12" s="94" t="s">
        <v>270</v>
      </c>
      <c r="IQ12" s="94" t="s">
        <v>270</v>
      </c>
      <c r="IR12" s="94" t="s">
        <v>270</v>
      </c>
      <c r="IS12" s="94" t="s">
        <v>270</v>
      </c>
      <c r="IT12" s="94" t="s">
        <v>270</v>
      </c>
      <c r="IU12" s="94" t="s">
        <v>270</v>
      </c>
      <c r="IV12" s="94" t="s">
        <v>270</v>
      </c>
      <c r="IW12" s="94" t="s">
        <v>270</v>
      </c>
      <c r="IX12" s="94" t="s">
        <v>270</v>
      </c>
      <c r="IY12" s="94" t="s">
        <v>270</v>
      </c>
      <c r="IZ12" s="94" t="s">
        <v>270</v>
      </c>
      <c r="JA12" s="94" t="s">
        <v>270</v>
      </c>
      <c r="JB12" s="94" t="s">
        <v>270</v>
      </c>
      <c r="JC12" s="94" t="s">
        <v>270</v>
      </c>
      <c r="JD12" s="94" t="s">
        <v>270</v>
      </c>
      <c r="JE12" s="94" t="s">
        <v>270</v>
      </c>
      <c r="JF12" s="94" t="s">
        <v>270</v>
      </c>
      <c r="JG12" s="94" t="s">
        <v>270</v>
      </c>
      <c r="JH12" s="94" t="s">
        <v>270</v>
      </c>
      <c r="JI12" s="94" t="s">
        <v>270</v>
      </c>
      <c r="JJ12" s="94" t="s">
        <v>270</v>
      </c>
      <c r="JK12" s="94" t="s">
        <v>270</v>
      </c>
      <c r="JL12" s="94" t="s">
        <v>270</v>
      </c>
      <c r="JM12" s="94" t="s">
        <v>270</v>
      </c>
    </row>
    <row r="13" spans="1:287">
      <c r="A13" s="94" t="s">
        <v>626</v>
      </c>
      <c r="B13" s="94" t="s">
        <v>627</v>
      </c>
      <c r="C13" s="94" t="s">
        <v>656</v>
      </c>
      <c r="D13" s="95">
        <v>41540</v>
      </c>
      <c r="E13" s="94" t="s">
        <v>659</v>
      </c>
      <c r="F13" s="94">
        <v>0.31042765472</v>
      </c>
      <c r="G13" s="94">
        <v>7.9268292682926802</v>
      </c>
      <c r="H13" s="94">
        <v>20.010000228900001</v>
      </c>
      <c r="I13" s="94">
        <v>1</v>
      </c>
      <c r="J13" s="94">
        <v>0</v>
      </c>
      <c r="K13" s="94">
        <v>0</v>
      </c>
      <c r="L13" s="94" t="s">
        <v>630</v>
      </c>
      <c r="M13" s="94" t="s">
        <v>631</v>
      </c>
      <c r="N13" s="94">
        <v>6.1203895092076723E-4</v>
      </c>
      <c r="O13" s="96" t="s">
        <v>270</v>
      </c>
      <c r="P13" s="94">
        <v>13.276896865107274</v>
      </c>
      <c r="Q13" s="94">
        <v>5.4705851616099617</v>
      </c>
      <c r="R13" s="94">
        <v>2.6855112634098681</v>
      </c>
      <c r="S13" s="94">
        <v>0.52256035275304069</v>
      </c>
      <c r="T13" s="94" t="s">
        <v>270</v>
      </c>
      <c r="U13" s="94" t="s">
        <v>270</v>
      </c>
      <c r="V13" s="94" t="s">
        <v>632</v>
      </c>
      <c r="W13" s="94" t="s">
        <v>270</v>
      </c>
      <c r="X13" s="94">
        <v>0</v>
      </c>
      <c r="Y13" s="94">
        <v>2.3853417011995051</v>
      </c>
      <c r="Z13" s="94" t="s">
        <v>632</v>
      </c>
      <c r="AA13" s="94" t="s">
        <v>270</v>
      </c>
      <c r="AB13" s="94" t="s">
        <v>632</v>
      </c>
      <c r="AC13" s="94" t="s">
        <v>270</v>
      </c>
      <c r="AD13" s="94" t="s">
        <v>633</v>
      </c>
      <c r="AE13" s="94" t="s">
        <v>73</v>
      </c>
      <c r="AF13" s="94">
        <v>1.2781545613608249E-3</v>
      </c>
      <c r="AG13" s="94">
        <v>17</v>
      </c>
      <c r="AH13" s="97">
        <v>42880.574386574073</v>
      </c>
      <c r="AJ13" s="98" t="s">
        <v>660</v>
      </c>
      <c r="AK13" s="96">
        <v>19.016490801801321</v>
      </c>
      <c r="AL13" s="96">
        <v>0.25018867477156492</v>
      </c>
      <c r="AM13" s="96">
        <v>7.0192460526068201E-2</v>
      </c>
      <c r="AN13" s="96" t="s">
        <v>270</v>
      </c>
      <c r="AO13" s="96" t="s">
        <v>270</v>
      </c>
      <c r="AP13" s="96">
        <v>0.15384621442721302</v>
      </c>
      <c r="AQ13" s="96">
        <v>-0.97660159979923455</v>
      </c>
      <c r="AR13" s="96">
        <v>2.8792343830536868</v>
      </c>
      <c r="AS13" s="96">
        <v>43150.852550342803</v>
      </c>
      <c r="AT13" s="96" t="s">
        <v>270</v>
      </c>
      <c r="AU13" s="96" t="s">
        <v>270</v>
      </c>
      <c r="AV13" s="94">
        <v>9.1480000000000001E-7</v>
      </c>
      <c r="AW13" s="94">
        <v>3.3000000000000002E-9</v>
      </c>
      <c r="AX13" s="94">
        <v>2.4400000000000001E-7</v>
      </c>
      <c r="AY13" s="94">
        <v>3.1999999999999998E-10</v>
      </c>
      <c r="AZ13" s="94" t="s">
        <v>270</v>
      </c>
      <c r="BA13" s="94" t="s">
        <v>270</v>
      </c>
      <c r="BB13" s="94" t="s">
        <v>270</v>
      </c>
      <c r="BC13" s="94" t="s">
        <v>270</v>
      </c>
      <c r="BD13" s="94" t="s">
        <v>270</v>
      </c>
      <c r="BE13" s="94" t="s">
        <v>270</v>
      </c>
      <c r="BF13" s="94" t="s">
        <v>270</v>
      </c>
      <c r="BG13" s="94" t="s">
        <v>270</v>
      </c>
      <c r="BH13" s="94" t="s">
        <v>270</v>
      </c>
      <c r="BI13" s="94" t="s">
        <v>270</v>
      </c>
      <c r="BJ13" s="94" t="s">
        <v>270</v>
      </c>
      <c r="BK13" s="94" t="s">
        <v>270</v>
      </c>
      <c r="BL13" s="94" t="s">
        <v>270</v>
      </c>
      <c r="BM13" s="94" t="s">
        <v>270</v>
      </c>
      <c r="BN13" s="94" t="s">
        <v>270</v>
      </c>
      <c r="BO13" s="94" t="s">
        <v>270</v>
      </c>
      <c r="BP13" s="94" t="s">
        <v>270</v>
      </c>
      <c r="BQ13" s="94" t="s">
        <v>270</v>
      </c>
      <c r="BR13" s="94" t="s">
        <v>270</v>
      </c>
      <c r="BS13" s="94" t="s">
        <v>270</v>
      </c>
      <c r="BT13" s="94" t="s">
        <v>270</v>
      </c>
      <c r="BU13" s="94" t="s">
        <v>270</v>
      </c>
      <c r="BV13" s="94" t="s">
        <v>270</v>
      </c>
      <c r="BW13" s="94" t="s">
        <v>270</v>
      </c>
      <c r="BX13" s="94" t="s">
        <v>270</v>
      </c>
      <c r="BY13" s="94" t="s">
        <v>270</v>
      </c>
      <c r="BZ13" s="94" t="s">
        <v>270</v>
      </c>
      <c r="CA13" s="94" t="s">
        <v>270</v>
      </c>
      <c r="CB13" s="94" t="s">
        <v>270</v>
      </c>
      <c r="CC13" s="94" t="s">
        <v>270</v>
      </c>
      <c r="CD13" s="94" t="s">
        <v>270</v>
      </c>
      <c r="CE13" s="94" t="s">
        <v>270</v>
      </c>
      <c r="CF13" s="94" t="s">
        <v>270</v>
      </c>
      <c r="CG13" s="94" t="s">
        <v>270</v>
      </c>
      <c r="CH13" s="94" t="s">
        <v>270</v>
      </c>
      <c r="CI13" s="94" t="s">
        <v>270</v>
      </c>
      <c r="CJ13" s="94" t="s">
        <v>270</v>
      </c>
      <c r="CK13" s="94" t="s">
        <v>270</v>
      </c>
      <c r="CL13" s="94" t="s">
        <v>270</v>
      </c>
      <c r="CM13" s="94" t="s">
        <v>270</v>
      </c>
      <c r="CN13" s="94" t="s">
        <v>270</v>
      </c>
      <c r="CO13" s="94" t="s">
        <v>270</v>
      </c>
      <c r="CP13" s="94" t="s">
        <v>270</v>
      </c>
      <c r="CQ13" s="94" t="s">
        <v>270</v>
      </c>
      <c r="CR13" s="94">
        <v>0.68223279055933905</v>
      </c>
      <c r="CS13" s="94">
        <v>6.8223279055933908E-2</v>
      </c>
      <c r="CT13" s="94" t="s">
        <v>270</v>
      </c>
      <c r="CU13" s="94" t="s">
        <v>270</v>
      </c>
      <c r="CV13" s="94" t="s">
        <v>270</v>
      </c>
      <c r="CW13" s="94" t="s">
        <v>270</v>
      </c>
      <c r="CX13" s="94">
        <v>19.480198141090799</v>
      </c>
      <c r="CY13" s="94">
        <v>1.9480198141090801</v>
      </c>
      <c r="CZ13" s="94">
        <v>0.244311715275465</v>
      </c>
      <c r="DA13" s="94">
        <v>2.4431171527546501E-2</v>
      </c>
      <c r="DB13" s="94">
        <v>2.8133324084219602</v>
      </c>
      <c r="DC13" s="94">
        <v>0.28133324084219602</v>
      </c>
      <c r="DD13" s="94">
        <v>1.7143416136557299</v>
      </c>
      <c r="DE13" s="94">
        <v>0.17143416136557299</v>
      </c>
      <c r="DF13" s="94" t="s">
        <v>270</v>
      </c>
      <c r="DG13" s="94" t="s">
        <v>270</v>
      </c>
      <c r="DH13" s="94" t="s">
        <v>270</v>
      </c>
      <c r="DI13" s="94" t="s">
        <v>270</v>
      </c>
      <c r="DJ13" s="94">
        <v>0.99958563018941649</v>
      </c>
      <c r="DK13" s="94">
        <v>0.99904541623436038</v>
      </c>
      <c r="DL13" s="94">
        <v>1.5032955330878792E-2</v>
      </c>
      <c r="DM13" s="94">
        <v>0.99903084700061184</v>
      </c>
      <c r="DN13" s="94">
        <v>4.5702316607748022E-8</v>
      </c>
      <c r="DO13" s="94">
        <v>1.9517054099420939E-7</v>
      </c>
      <c r="DP13" s="94">
        <v>3.5748342681621661E-4</v>
      </c>
      <c r="DQ13" s="94">
        <v>8.2765969347545845E-8</v>
      </c>
      <c r="DR13" s="94">
        <v>1.1745305323217067E-8</v>
      </c>
      <c r="DS13" s="94">
        <v>1.3505387523736982E-2</v>
      </c>
      <c r="DT13" s="94">
        <v>7.3168440643664925E-3</v>
      </c>
      <c r="DU13" s="94">
        <v>3.6698917965915509E-4</v>
      </c>
      <c r="DV13" s="94">
        <v>5.5529826998775656E-8</v>
      </c>
      <c r="DW13" s="94">
        <v>1.0840344072145717E-8</v>
      </c>
      <c r="DX13" s="94">
        <v>2.5122830405488683E-7</v>
      </c>
      <c r="DY13" s="94">
        <v>1.4072079020267716E-8</v>
      </c>
      <c r="DZ13" s="94">
        <v>4.8822594768791425E-8</v>
      </c>
      <c r="EA13" s="94">
        <v>2.5082675200248144E-5</v>
      </c>
      <c r="EB13" s="94">
        <v>3.0614828402872479E-9</v>
      </c>
      <c r="EC13" s="94">
        <v>2.3363947991665844E-10</v>
      </c>
      <c r="ED13" s="94">
        <v>2.0969546149209612E-3</v>
      </c>
      <c r="EE13" s="94">
        <v>5.6250718923383028E-4</v>
      </c>
      <c r="EF13" s="94">
        <v>9.3992894219344396E-7</v>
      </c>
      <c r="EG13" s="94">
        <v>3.7865708814079146E-9</v>
      </c>
      <c r="EH13" s="94">
        <v>1.5575965327777235E-9</v>
      </c>
      <c r="EI13" s="94">
        <v>8.5936360429113315E-10</v>
      </c>
      <c r="EJ13" s="94">
        <v>5.9774395628015737E-8</v>
      </c>
      <c r="EK13" s="94">
        <v>2.4399313576300081E-7</v>
      </c>
      <c r="EL13" s="94">
        <v>3.8256610201646476E-4</v>
      </c>
      <c r="EM13" s="94">
        <v>8.5827452187833093E-8</v>
      </c>
      <c r="EN13" s="94">
        <v>1.1978944803133726E-8</v>
      </c>
      <c r="EO13" s="94">
        <v>1.5602342138657943E-2</v>
      </c>
      <c r="EP13" s="94">
        <v>7.8793512536003227E-3</v>
      </c>
      <c r="EQ13" s="94">
        <v>3.6792910860134853E-4</v>
      </c>
      <c r="ER13" s="94">
        <v>5.9316397880183571E-8</v>
      </c>
      <c r="ES13" s="94">
        <v>1.2397940604923441E-8</v>
      </c>
      <c r="ET13" s="94">
        <v>2.5208766765917796E-7</v>
      </c>
      <c r="EU13" s="94">
        <v>2.0372955807812702E-6</v>
      </c>
      <c r="EV13" s="94">
        <v>8.7002792716399624E-6</v>
      </c>
      <c r="EW13" s="94">
        <v>1.5957897127342427E-2</v>
      </c>
      <c r="EX13" s="94">
        <v>3.7015017613881418E-6</v>
      </c>
      <c r="EY13" s="94">
        <v>5.2732858859867617E-7</v>
      </c>
      <c r="EZ13" s="94">
        <v>0.60267006156110536</v>
      </c>
      <c r="FA13" s="94">
        <v>0.32630553159085712</v>
      </c>
      <c r="FB13" s="94">
        <v>1.6478914263613205E-2</v>
      </c>
      <c r="FC13" s="94">
        <v>2.4764351349549584E-6</v>
      </c>
      <c r="FD13" s="94">
        <v>4.8344124925608466E-7</v>
      </c>
      <c r="FE13" s="94">
        <v>1.1203899465964236E-5</v>
      </c>
      <c r="FF13" s="94">
        <v>6.2729827563130393E-7</v>
      </c>
      <c r="FG13" s="94">
        <v>2.1764053483214782E-6</v>
      </c>
      <c r="FH13" s="94">
        <v>1.1196791809033498E-3</v>
      </c>
      <c r="FI13" s="94">
        <v>1.3691719211549126E-7</v>
      </c>
      <c r="FJ13" s="94">
        <v>1.0489704081326884E-8</v>
      </c>
      <c r="FK13" s="94">
        <v>9.3575379798918279E-2</v>
      </c>
      <c r="FL13" s="94">
        <v>2.5085843813526187E-2</v>
      </c>
      <c r="FM13" s="94">
        <v>4.220562706148609E-5</v>
      </c>
      <c r="FN13" s="94">
        <v>1.6886775411568766E-7</v>
      </c>
      <c r="FO13" s="94">
        <v>6.946333148021199E-8</v>
      </c>
      <c r="FP13" s="94">
        <v>3.8324596678737649E-8</v>
      </c>
      <c r="FQ13" s="94">
        <v>2.6645938564125741E-6</v>
      </c>
      <c r="FR13" s="94">
        <v>1.0876684619961441E-5</v>
      </c>
      <c r="FS13" s="94">
        <v>1.7077576308245777E-2</v>
      </c>
      <c r="FT13" s="94">
        <v>3.8384189535036331E-6</v>
      </c>
      <c r="FU13" s="94">
        <v>5.3781829268000306E-7</v>
      </c>
      <c r="FV13" s="94">
        <v>0.69624544136002364</v>
      </c>
      <c r="FW13" s="94">
        <v>0.35139137540438331</v>
      </c>
      <c r="FX13" s="94">
        <v>1.6521119890674691E-2</v>
      </c>
      <c r="FY13" s="94">
        <v>2.645302889070646E-6</v>
      </c>
      <c r="FZ13" s="94">
        <v>5.5290458073629665E-7</v>
      </c>
      <c r="GA13" s="94">
        <v>1.1242224062642973E-5</v>
      </c>
      <c r="GB13" s="94">
        <v>8.1545204450058445E-6</v>
      </c>
      <c r="GC13" s="94">
        <v>1.7556902561791294E-4</v>
      </c>
      <c r="GD13" s="94">
        <v>0.63748607444307526</v>
      </c>
      <c r="GE13" s="94">
        <v>3.1017844460080353E-4</v>
      </c>
      <c r="GF13" s="94">
        <v>6.9234552382885995E-5</v>
      </c>
      <c r="GG13" s="94">
        <v>16.882837502535871</v>
      </c>
      <c r="GH13" s="94">
        <v>10.441385444269519</v>
      </c>
      <c r="GI13" s="94">
        <v>0.72522877728448543</v>
      </c>
      <c r="GJ13" s="94">
        <v>3.9728111595109519E-5</v>
      </c>
      <c r="GK13" s="94">
        <v>9.745595455503559E-7</v>
      </c>
      <c r="GL13" s="94">
        <v>4.9311498641559071E-4</v>
      </c>
      <c r="GM13" s="94" t="s">
        <v>270</v>
      </c>
      <c r="GN13" s="94" t="s">
        <v>270</v>
      </c>
      <c r="GO13" s="94" t="s">
        <v>270</v>
      </c>
      <c r="GP13" s="94" t="s">
        <v>270</v>
      </c>
      <c r="GQ13" s="94" t="s">
        <v>270</v>
      </c>
      <c r="GR13" s="94" t="s">
        <v>270</v>
      </c>
      <c r="GS13" s="94" t="s">
        <v>270</v>
      </c>
      <c r="GT13" s="94" t="s">
        <v>270</v>
      </c>
      <c r="GU13" s="94" t="s">
        <v>270</v>
      </c>
      <c r="GV13" s="94" t="s">
        <v>270</v>
      </c>
      <c r="GW13" s="94" t="s">
        <v>270</v>
      </c>
      <c r="GX13" s="94" t="s">
        <v>270</v>
      </c>
      <c r="GY13" s="94" t="s">
        <v>270</v>
      </c>
      <c r="GZ13" s="94" t="s">
        <v>270</v>
      </c>
      <c r="HA13" s="94" t="s">
        <v>270</v>
      </c>
      <c r="HB13" s="94" t="s">
        <v>270</v>
      </c>
      <c r="HC13" s="94" t="s">
        <v>270</v>
      </c>
      <c r="HD13" s="94" t="s">
        <v>270</v>
      </c>
      <c r="HE13" s="94" t="s">
        <v>270</v>
      </c>
      <c r="HF13" s="94" t="s">
        <v>270</v>
      </c>
      <c r="HG13" s="94" t="s">
        <v>270</v>
      </c>
      <c r="HH13" s="94" t="s">
        <v>270</v>
      </c>
      <c r="HI13" s="94" t="s">
        <v>270</v>
      </c>
      <c r="HJ13" s="94" t="s">
        <v>270</v>
      </c>
      <c r="HK13" s="94" t="s">
        <v>270</v>
      </c>
      <c r="HL13" s="94" t="s">
        <v>270</v>
      </c>
      <c r="HM13" s="94" t="s">
        <v>270</v>
      </c>
      <c r="HN13" s="94" t="s">
        <v>270</v>
      </c>
      <c r="HO13" s="94" t="s">
        <v>270</v>
      </c>
      <c r="HP13" s="94" t="s">
        <v>270</v>
      </c>
      <c r="HQ13" s="94" t="s">
        <v>270</v>
      </c>
      <c r="HR13" s="94" t="s">
        <v>270</v>
      </c>
      <c r="HS13" s="94" t="s">
        <v>270</v>
      </c>
      <c r="HT13" s="94" t="s">
        <v>270</v>
      </c>
      <c r="HU13" s="94" t="s">
        <v>270</v>
      </c>
      <c r="HV13" s="94" t="s">
        <v>270</v>
      </c>
      <c r="HW13" s="94" t="s">
        <v>270</v>
      </c>
      <c r="HX13" s="94" t="s">
        <v>270</v>
      </c>
      <c r="HY13" s="94" t="s">
        <v>270</v>
      </c>
      <c r="HZ13" s="94" t="s">
        <v>270</v>
      </c>
      <c r="IA13" s="94" t="s">
        <v>270</v>
      </c>
      <c r="IB13" s="94" t="s">
        <v>270</v>
      </c>
      <c r="IC13" s="94" t="s">
        <v>270</v>
      </c>
      <c r="ID13" s="94" t="s">
        <v>270</v>
      </c>
      <c r="IE13" s="94" t="s">
        <v>270</v>
      </c>
      <c r="IF13" s="94" t="s">
        <v>270</v>
      </c>
      <c r="IG13" s="94" t="s">
        <v>270</v>
      </c>
      <c r="IH13" s="94" t="s">
        <v>270</v>
      </c>
      <c r="II13" s="94" t="s">
        <v>270</v>
      </c>
      <c r="IJ13" s="94" t="s">
        <v>270</v>
      </c>
      <c r="IK13" s="94" t="s">
        <v>270</v>
      </c>
      <c r="IL13" s="94" t="s">
        <v>270</v>
      </c>
      <c r="IM13" s="94" t="s">
        <v>270</v>
      </c>
      <c r="IN13" s="94" t="s">
        <v>270</v>
      </c>
      <c r="IO13" s="94" t="s">
        <v>270</v>
      </c>
      <c r="IP13" s="94" t="s">
        <v>270</v>
      </c>
      <c r="IQ13" s="94" t="s">
        <v>270</v>
      </c>
      <c r="IR13" s="94" t="s">
        <v>270</v>
      </c>
      <c r="IS13" s="94" t="s">
        <v>270</v>
      </c>
      <c r="IT13" s="94" t="s">
        <v>270</v>
      </c>
      <c r="IU13" s="94" t="s">
        <v>270</v>
      </c>
      <c r="IV13" s="94" t="s">
        <v>270</v>
      </c>
      <c r="IW13" s="94" t="s">
        <v>270</v>
      </c>
      <c r="IX13" s="94" t="s">
        <v>270</v>
      </c>
      <c r="IY13" s="94" t="s">
        <v>270</v>
      </c>
      <c r="IZ13" s="94" t="s">
        <v>270</v>
      </c>
      <c r="JA13" s="94" t="s">
        <v>270</v>
      </c>
      <c r="JB13" s="94" t="s">
        <v>270</v>
      </c>
      <c r="JC13" s="94" t="s">
        <v>270</v>
      </c>
      <c r="JD13" s="94" t="s">
        <v>270</v>
      </c>
      <c r="JE13" s="94" t="s">
        <v>270</v>
      </c>
      <c r="JF13" s="94" t="s">
        <v>270</v>
      </c>
      <c r="JG13" s="94" t="s">
        <v>270</v>
      </c>
      <c r="JH13" s="94" t="s">
        <v>270</v>
      </c>
      <c r="JI13" s="94" t="s">
        <v>270</v>
      </c>
      <c r="JJ13" s="94" t="s">
        <v>270</v>
      </c>
      <c r="JK13" s="94" t="s">
        <v>270</v>
      </c>
      <c r="JL13" s="94" t="s">
        <v>270</v>
      </c>
      <c r="JM13" s="94" t="s">
        <v>270</v>
      </c>
    </row>
    <row r="14" spans="1:287">
      <c r="A14" s="94" t="s">
        <v>626</v>
      </c>
      <c r="B14" s="94" t="s">
        <v>627</v>
      </c>
      <c r="C14" s="94" t="s">
        <v>661</v>
      </c>
      <c r="D14" s="95">
        <v>41507</v>
      </c>
      <c r="E14" s="94" t="s">
        <v>662</v>
      </c>
      <c r="F14" s="94">
        <v>0.22376201802000001</v>
      </c>
      <c r="G14" s="94">
        <v>39.024390243902403</v>
      </c>
      <c r="H14" s="94">
        <v>20.090000152599998</v>
      </c>
      <c r="I14" s="94">
        <v>1</v>
      </c>
      <c r="J14" s="94">
        <v>0</v>
      </c>
      <c r="K14" s="94">
        <v>0</v>
      </c>
      <c r="L14" s="94" t="s">
        <v>630</v>
      </c>
      <c r="M14" s="94" t="s">
        <v>631</v>
      </c>
      <c r="N14" s="94">
        <v>1.793225485719617E-2</v>
      </c>
      <c r="O14" s="96" t="s">
        <v>270</v>
      </c>
      <c r="P14" s="94">
        <v>16.75958769321862</v>
      </c>
      <c r="Q14" s="94">
        <v>5.7890602445337596</v>
      </c>
      <c r="R14" s="94">
        <v>2.4074200675801829</v>
      </c>
      <c r="S14" s="94">
        <v>0.49669236242562165</v>
      </c>
      <c r="T14" s="94" t="s">
        <v>270</v>
      </c>
      <c r="U14" s="94" t="s">
        <v>270</v>
      </c>
      <c r="V14" s="94" t="s">
        <v>632</v>
      </c>
      <c r="W14" s="94" t="s">
        <v>270</v>
      </c>
      <c r="X14" s="94">
        <v>0</v>
      </c>
      <c r="Y14" s="94">
        <v>2.187983502428863</v>
      </c>
      <c r="Z14" s="94" t="s">
        <v>632</v>
      </c>
      <c r="AA14" s="94" t="s">
        <v>270</v>
      </c>
      <c r="AB14" s="94" t="s">
        <v>632</v>
      </c>
      <c r="AC14" s="94" t="s">
        <v>270</v>
      </c>
      <c r="AD14" s="94" t="s">
        <v>633</v>
      </c>
      <c r="AE14" s="94" t="s">
        <v>73</v>
      </c>
      <c r="AF14" s="94">
        <v>2.0125621276462197E-2</v>
      </c>
      <c r="AG14" s="94">
        <v>14</v>
      </c>
      <c r="AH14" s="97">
        <v>42880.574386574073</v>
      </c>
      <c r="AJ14" s="98" t="s">
        <v>663</v>
      </c>
      <c r="AK14" s="96">
        <v>0.46089990215215271</v>
      </c>
      <c r="AL14" s="96">
        <v>0.23193103851745533</v>
      </c>
      <c r="AM14" s="96">
        <v>6.8038819930406058E-2</v>
      </c>
      <c r="AN14" s="96" t="s">
        <v>270</v>
      </c>
      <c r="AO14" s="96" t="s">
        <v>270</v>
      </c>
      <c r="AP14" s="96">
        <v>0.13775049988054033</v>
      </c>
      <c r="AQ14" s="96">
        <v>-0.85219695083881086</v>
      </c>
      <c r="AR14" s="96">
        <v>22.926450010836191</v>
      </c>
      <c r="AS14" s="96" t="s">
        <v>270</v>
      </c>
      <c r="AT14" s="96" t="s">
        <v>270</v>
      </c>
      <c r="AU14" s="96" t="s">
        <v>270</v>
      </c>
      <c r="AV14" s="94">
        <v>6.5699999999999999E-8</v>
      </c>
      <c r="AW14" s="94">
        <v>6.5700000000000001E-10</v>
      </c>
      <c r="AX14" s="94">
        <v>2.326E-7</v>
      </c>
      <c r="AY14" s="94">
        <v>2.8000000000000002E-10</v>
      </c>
      <c r="AZ14" s="94" t="s">
        <v>270</v>
      </c>
      <c r="BA14" s="94" t="s">
        <v>270</v>
      </c>
      <c r="BB14" s="94" t="s">
        <v>270</v>
      </c>
      <c r="BC14" s="94" t="s">
        <v>270</v>
      </c>
      <c r="BD14" s="94" t="s">
        <v>270</v>
      </c>
      <c r="BE14" s="94" t="s">
        <v>270</v>
      </c>
      <c r="BF14" s="94" t="s">
        <v>270</v>
      </c>
      <c r="BG14" s="94" t="s">
        <v>270</v>
      </c>
      <c r="BH14" s="94" t="s">
        <v>270</v>
      </c>
      <c r="BI14" s="94" t="s">
        <v>270</v>
      </c>
      <c r="BJ14" s="94" t="s">
        <v>270</v>
      </c>
      <c r="BK14" s="94" t="s">
        <v>270</v>
      </c>
      <c r="BL14" s="94" t="s">
        <v>270</v>
      </c>
      <c r="BM14" s="94" t="s">
        <v>270</v>
      </c>
      <c r="BN14" s="94" t="s">
        <v>270</v>
      </c>
      <c r="BO14" s="94" t="s">
        <v>270</v>
      </c>
      <c r="BP14" s="94" t="s">
        <v>270</v>
      </c>
      <c r="BQ14" s="94" t="s">
        <v>270</v>
      </c>
      <c r="BR14" s="94" t="s">
        <v>270</v>
      </c>
      <c r="BS14" s="94" t="s">
        <v>270</v>
      </c>
      <c r="BT14" s="94" t="s">
        <v>270</v>
      </c>
      <c r="BU14" s="94" t="s">
        <v>270</v>
      </c>
      <c r="BV14" s="94" t="s">
        <v>270</v>
      </c>
      <c r="BW14" s="94" t="s">
        <v>270</v>
      </c>
      <c r="BX14" s="94" t="s">
        <v>270</v>
      </c>
      <c r="BY14" s="94" t="s">
        <v>270</v>
      </c>
      <c r="BZ14" s="94" t="s">
        <v>270</v>
      </c>
      <c r="CA14" s="94" t="s">
        <v>270</v>
      </c>
      <c r="CB14" s="94" t="s">
        <v>270</v>
      </c>
      <c r="CC14" s="94" t="s">
        <v>270</v>
      </c>
      <c r="CD14" s="94" t="s">
        <v>270</v>
      </c>
      <c r="CE14" s="94" t="s">
        <v>270</v>
      </c>
      <c r="CF14" s="94" t="s">
        <v>270</v>
      </c>
      <c r="CG14" s="94" t="s">
        <v>270</v>
      </c>
      <c r="CH14" s="94" t="s">
        <v>270</v>
      </c>
      <c r="CI14" s="94" t="s">
        <v>270</v>
      </c>
      <c r="CJ14" s="94" t="s">
        <v>270</v>
      </c>
      <c r="CK14" s="94" t="s">
        <v>270</v>
      </c>
      <c r="CL14" s="94" t="s">
        <v>270</v>
      </c>
      <c r="CM14" s="94" t="s">
        <v>270</v>
      </c>
      <c r="CN14" s="94" t="s">
        <v>270</v>
      </c>
      <c r="CO14" s="94" t="s">
        <v>270</v>
      </c>
      <c r="CP14" s="94" t="s">
        <v>270</v>
      </c>
      <c r="CQ14" s="94" t="s">
        <v>270</v>
      </c>
      <c r="CR14" s="94">
        <v>0.62979533697440104</v>
      </c>
      <c r="CS14" s="94">
        <v>6.297953369744011E-2</v>
      </c>
      <c r="CT14" s="94" t="s">
        <v>270</v>
      </c>
      <c r="CU14" s="94" t="s">
        <v>270</v>
      </c>
      <c r="CV14" s="94" t="s">
        <v>270</v>
      </c>
      <c r="CW14" s="94" t="s">
        <v>270</v>
      </c>
      <c r="CX14" s="94">
        <v>17.871653837796998</v>
      </c>
      <c r="CY14" s="94">
        <v>1.7871653837796999</v>
      </c>
      <c r="CZ14" s="94">
        <v>1.42687857026998</v>
      </c>
      <c r="DA14" s="94">
        <v>0.14268785702699802</v>
      </c>
      <c r="DB14" s="94">
        <v>15.4357918899496</v>
      </c>
      <c r="DC14" s="94">
        <v>1.5435791889949602</v>
      </c>
      <c r="DD14" s="94" t="s">
        <v>270</v>
      </c>
      <c r="DE14" s="94" t="s">
        <v>270</v>
      </c>
      <c r="DF14" s="94" t="s">
        <v>270</v>
      </c>
      <c r="DG14" s="94" t="s">
        <v>270</v>
      </c>
      <c r="DH14" s="94" t="s">
        <v>270</v>
      </c>
      <c r="DI14" s="94" t="s">
        <v>270</v>
      </c>
      <c r="DJ14" s="94">
        <v>0.99899106232764889</v>
      </c>
      <c r="DK14" s="94">
        <v>0.99530930208322277</v>
      </c>
      <c r="DL14" s="94">
        <v>1.8813693216746776E-2</v>
      </c>
      <c r="DM14" s="94">
        <v>0.99521936060017457</v>
      </c>
      <c r="DN14" s="94">
        <v>4.497228037541298E-8</v>
      </c>
      <c r="DO14" s="94">
        <v>1.8880926994088743E-7</v>
      </c>
      <c r="DP14" s="94">
        <v>3.3086895067243189E-4</v>
      </c>
      <c r="DQ14" s="94">
        <v>7.5174667872081928E-8</v>
      </c>
      <c r="DR14" s="94">
        <v>1.045467134234142E-8</v>
      </c>
      <c r="DS14" s="94">
        <v>1.2572965395737094E-2</v>
      </c>
      <c r="DT14" s="94">
        <v>6.769049575119198E-3</v>
      </c>
      <c r="DU14" s="94">
        <v>3.2665347325441514E-4</v>
      </c>
      <c r="DV14" s="94">
        <v>5.1056851912845998E-8</v>
      </c>
      <c r="DW14" s="94">
        <v>1.0467779234729657E-8</v>
      </c>
      <c r="DX14" s="94">
        <v>2.2224703512836524E-7</v>
      </c>
      <c r="DY14" s="94">
        <v>1.2614881154120162E-8</v>
      </c>
      <c r="DZ14" s="94">
        <v>4.3766896828607721E-8</v>
      </c>
      <c r="EA14" s="94">
        <v>2.2485303431198881E-5</v>
      </c>
      <c r="EB14" s="94">
        <v>2.7444588770414138E-9</v>
      </c>
      <c r="EC14" s="94">
        <v>2.0944554587947522E-10</v>
      </c>
      <c r="ED14" s="94">
        <v>1.8798098855693102E-3</v>
      </c>
      <c r="EE14" s="94">
        <v>5.0425820735534518E-4</v>
      </c>
      <c r="EF14" s="94">
        <v>8.4259702365303878E-7</v>
      </c>
      <c r="EG14" s="94">
        <v>3.3944622952880589E-9</v>
      </c>
      <c r="EH14" s="94">
        <v>1.3963036391965064E-9</v>
      </c>
      <c r="EI14" s="94">
        <v>7.703744216256642E-10</v>
      </c>
      <c r="EJ14" s="94">
        <v>5.7587161529533142E-8</v>
      </c>
      <c r="EK14" s="94">
        <v>2.3257616676949515E-7</v>
      </c>
      <c r="EL14" s="94">
        <v>3.5335425410363077E-4</v>
      </c>
      <c r="EM14" s="94">
        <v>7.7919126749123342E-8</v>
      </c>
      <c r="EN14" s="94">
        <v>1.0664116888220895E-8</v>
      </c>
      <c r="EO14" s="94">
        <v>1.4452775281306405E-2</v>
      </c>
      <c r="EP14" s="94">
        <v>7.2733077824745432E-3</v>
      </c>
      <c r="EQ14" s="94">
        <v>3.2749607027806818E-4</v>
      </c>
      <c r="ER14" s="94">
        <v>5.4451314208134057E-8</v>
      </c>
      <c r="ES14" s="94">
        <v>1.1864082873926163E-8</v>
      </c>
      <c r="ET14" s="94">
        <v>2.230174095499909E-7</v>
      </c>
      <c r="EU14" s="94">
        <v>2.0035599261994626E-6</v>
      </c>
      <c r="EV14" s="94">
        <v>8.4117012312842645E-6</v>
      </c>
      <c r="EW14" s="94">
        <v>1.4761053738972241E-2</v>
      </c>
      <c r="EX14" s="94">
        <v>3.359999951574943E-6</v>
      </c>
      <c r="EY14" s="94">
        <v>4.6910384125092054E-7</v>
      </c>
      <c r="EZ14" s="94">
        <v>0.56072753924653329</v>
      </c>
      <c r="FA14" s="94">
        <v>0.30169626242512931</v>
      </c>
      <c r="FB14" s="94">
        <v>1.4658995564415097E-2</v>
      </c>
      <c r="FC14" s="94">
        <v>2.2756017993896438E-6</v>
      </c>
      <c r="FD14" s="94">
        <v>4.6654849192084778E-7</v>
      </c>
      <c r="FE14" s="94">
        <v>9.9055412564493561E-6</v>
      </c>
      <c r="FF14" s="94">
        <v>5.6200553192277138E-7</v>
      </c>
      <c r="FG14" s="94">
        <v>1.9498728005142584E-6</v>
      </c>
      <c r="FH14" s="94">
        <v>1.0031366545893254E-3</v>
      </c>
      <c r="FI14" s="94">
        <v>1.2266607828118073E-7</v>
      </c>
      <c r="FJ14" s="94">
        <v>9.3978764982347216E-9</v>
      </c>
      <c r="FK14" s="94">
        <v>8.3835526322530884E-2</v>
      </c>
      <c r="FL14" s="94">
        <v>2.2474767656525008E-2</v>
      </c>
      <c r="FM14" s="94">
        <v>3.7812627275202182E-5</v>
      </c>
      <c r="FN14" s="94">
        <v>1.5129104552516144E-7</v>
      </c>
      <c r="FO14" s="94">
        <v>6.223319603162667E-8</v>
      </c>
      <c r="FP14" s="94">
        <v>3.4335556431241892E-8</v>
      </c>
      <c r="FQ14" s="94">
        <v>2.565565458122234E-6</v>
      </c>
      <c r="FR14" s="94">
        <v>1.0361574031798523E-5</v>
      </c>
      <c r="FS14" s="94">
        <v>1.5764190393561566E-2</v>
      </c>
      <c r="FT14" s="94">
        <v>3.4826660298561238E-6</v>
      </c>
      <c r="FU14" s="94">
        <v>4.7850171774915526E-7</v>
      </c>
      <c r="FV14" s="94">
        <v>0.64456306556906418</v>
      </c>
      <c r="FW14" s="94">
        <v>0.32417103008165432</v>
      </c>
      <c r="FX14" s="94">
        <v>1.4696808191690299E-2</v>
      </c>
      <c r="FY14" s="94">
        <v>2.4268928449148052E-6</v>
      </c>
      <c r="FZ14" s="94">
        <v>5.2878168795247445E-7</v>
      </c>
      <c r="GA14" s="94">
        <v>9.939876812880598E-6</v>
      </c>
      <c r="GB14" s="94">
        <v>8.0194894325164782E-6</v>
      </c>
      <c r="GC14" s="94">
        <v>1.6974560733694707E-4</v>
      </c>
      <c r="GD14" s="94">
        <v>0.58967457476446306</v>
      </c>
      <c r="GE14" s="94">
        <v>2.8156127594207707E-4</v>
      </c>
      <c r="GF14" s="94">
        <v>6.159005062935711E-5</v>
      </c>
      <c r="GG14" s="94">
        <v>15.707884847928836</v>
      </c>
      <c r="GH14" s="94">
        <v>9.653918362089227</v>
      </c>
      <c r="GI14" s="94">
        <v>0.64513506529212628</v>
      </c>
      <c r="GJ14" s="94">
        <v>3.6506250842636382E-5</v>
      </c>
      <c r="GK14" s="94">
        <v>9.405057738933987E-7</v>
      </c>
      <c r="GL14" s="94">
        <v>4.3597060621185419E-4</v>
      </c>
      <c r="GM14" s="94" t="s">
        <v>270</v>
      </c>
      <c r="GN14" s="94" t="s">
        <v>270</v>
      </c>
      <c r="GO14" s="94" t="s">
        <v>270</v>
      </c>
      <c r="GP14" s="94" t="s">
        <v>270</v>
      </c>
      <c r="GQ14" s="94" t="s">
        <v>270</v>
      </c>
      <c r="GR14" s="94" t="s">
        <v>270</v>
      </c>
      <c r="GS14" s="94" t="s">
        <v>270</v>
      </c>
      <c r="GT14" s="94" t="s">
        <v>270</v>
      </c>
      <c r="GU14" s="94" t="s">
        <v>270</v>
      </c>
      <c r="GV14" s="94" t="s">
        <v>270</v>
      </c>
      <c r="GW14" s="94" t="s">
        <v>270</v>
      </c>
      <c r="GX14" s="94" t="s">
        <v>270</v>
      </c>
      <c r="GY14" s="94" t="s">
        <v>270</v>
      </c>
      <c r="GZ14" s="94" t="s">
        <v>270</v>
      </c>
      <c r="HA14" s="94" t="s">
        <v>270</v>
      </c>
      <c r="HB14" s="94" t="s">
        <v>270</v>
      </c>
      <c r="HC14" s="94" t="s">
        <v>270</v>
      </c>
      <c r="HD14" s="94" t="s">
        <v>270</v>
      </c>
      <c r="HE14" s="94" t="s">
        <v>270</v>
      </c>
      <c r="HF14" s="94" t="s">
        <v>270</v>
      </c>
      <c r="HG14" s="94" t="s">
        <v>270</v>
      </c>
      <c r="HH14" s="94" t="s">
        <v>270</v>
      </c>
      <c r="HI14" s="94" t="s">
        <v>270</v>
      </c>
      <c r="HJ14" s="94" t="s">
        <v>270</v>
      </c>
      <c r="HK14" s="94" t="s">
        <v>270</v>
      </c>
      <c r="HL14" s="94" t="s">
        <v>270</v>
      </c>
      <c r="HM14" s="94" t="s">
        <v>270</v>
      </c>
      <c r="HN14" s="94" t="s">
        <v>270</v>
      </c>
      <c r="HO14" s="94" t="s">
        <v>270</v>
      </c>
      <c r="HP14" s="94" t="s">
        <v>270</v>
      </c>
      <c r="HQ14" s="94" t="s">
        <v>270</v>
      </c>
      <c r="HR14" s="94" t="s">
        <v>270</v>
      </c>
      <c r="HS14" s="94" t="s">
        <v>270</v>
      </c>
      <c r="HT14" s="94" t="s">
        <v>270</v>
      </c>
      <c r="HU14" s="94" t="s">
        <v>270</v>
      </c>
      <c r="HV14" s="94" t="s">
        <v>270</v>
      </c>
      <c r="HW14" s="94" t="s">
        <v>270</v>
      </c>
      <c r="HX14" s="94" t="s">
        <v>270</v>
      </c>
      <c r="HY14" s="94" t="s">
        <v>270</v>
      </c>
      <c r="HZ14" s="94" t="s">
        <v>270</v>
      </c>
      <c r="IA14" s="94" t="s">
        <v>270</v>
      </c>
      <c r="IB14" s="94" t="s">
        <v>270</v>
      </c>
      <c r="IC14" s="94" t="s">
        <v>270</v>
      </c>
      <c r="ID14" s="94" t="s">
        <v>270</v>
      </c>
      <c r="IE14" s="94" t="s">
        <v>270</v>
      </c>
      <c r="IF14" s="94" t="s">
        <v>270</v>
      </c>
      <c r="IG14" s="94" t="s">
        <v>270</v>
      </c>
      <c r="IH14" s="94" t="s">
        <v>270</v>
      </c>
      <c r="II14" s="94" t="s">
        <v>270</v>
      </c>
      <c r="IJ14" s="94" t="s">
        <v>270</v>
      </c>
      <c r="IK14" s="94" t="s">
        <v>270</v>
      </c>
      <c r="IL14" s="94" t="s">
        <v>270</v>
      </c>
      <c r="IM14" s="94" t="s">
        <v>270</v>
      </c>
      <c r="IN14" s="94" t="s">
        <v>270</v>
      </c>
      <c r="IO14" s="94" t="s">
        <v>270</v>
      </c>
      <c r="IP14" s="94" t="s">
        <v>270</v>
      </c>
      <c r="IQ14" s="94" t="s">
        <v>270</v>
      </c>
      <c r="IR14" s="94" t="s">
        <v>270</v>
      </c>
      <c r="IS14" s="94" t="s">
        <v>270</v>
      </c>
      <c r="IT14" s="94" t="s">
        <v>270</v>
      </c>
      <c r="IU14" s="94" t="s">
        <v>270</v>
      </c>
      <c r="IV14" s="94" t="s">
        <v>270</v>
      </c>
      <c r="IW14" s="94" t="s">
        <v>270</v>
      </c>
      <c r="IX14" s="94" t="s">
        <v>270</v>
      </c>
      <c r="IY14" s="94" t="s">
        <v>270</v>
      </c>
      <c r="IZ14" s="94" t="s">
        <v>270</v>
      </c>
      <c r="JA14" s="94" t="s">
        <v>270</v>
      </c>
      <c r="JB14" s="94" t="s">
        <v>270</v>
      </c>
      <c r="JC14" s="94" t="s">
        <v>270</v>
      </c>
      <c r="JD14" s="94" t="s">
        <v>270</v>
      </c>
      <c r="JE14" s="94" t="s">
        <v>270</v>
      </c>
      <c r="JF14" s="94" t="s">
        <v>270</v>
      </c>
      <c r="JG14" s="94" t="s">
        <v>270</v>
      </c>
      <c r="JH14" s="94" t="s">
        <v>270</v>
      </c>
      <c r="JI14" s="94" t="s">
        <v>270</v>
      </c>
      <c r="JJ14" s="94" t="s">
        <v>270</v>
      </c>
      <c r="JK14" s="94" t="s">
        <v>270</v>
      </c>
      <c r="JL14" s="94" t="s">
        <v>270</v>
      </c>
      <c r="JM14" s="94" t="s">
        <v>270</v>
      </c>
    </row>
    <row r="15" spans="1:287">
      <c r="A15" s="94" t="s">
        <v>626</v>
      </c>
      <c r="B15" s="94" t="s">
        <v>627</v>
      </c>
      <c r="C15" s="94" t="s">
        <v>661</v>
      </c>
      <c r="D15" s="95">
        <v>41507</v>
      </c>
      <c r="E15" s="94" t="s">
        <v>664</v>
      </c>
      <c r="F15" s="94">
        <v>0.22376201802000001</v>
      </c>
      <c r="G15" s="94">
        <v>39.024390243902403</v>
      </c>
      <c r="H15" s="94">
        <v>20.090000152599998</v>
      </c>
      <c r="I15" s="94">
        <v>1</v>
      </c>
      <c r="J15" s="94">
        <v>0</v>
      </c>
      <c r="K15" s="94">
        <v>0</v>
      </c>
      <c r="L15" s="94" t="s">
        <v>630</v>
      </c>
      <c r="M15" s="94" t="s">
        <v>631</v>
      </c>
      <c r="N15" s="94">
        <v>3.4406461269163469E-2</v>
      </c>
      <c r="O15" s="96" t="s">
        <v>270</v>
      </c>
      <c r="P15" s="94">
        <v>17.439438983254476</v>
      </c>
      <c r="Q15" s="94">
        <v>5.868579958363016</v>
      </c>
      <c r="R15" s="94">
        <v>2.4651471106276364</v>
      </c>
      <c r="S15" s="94">
        <v>0.4937707258151674</v>
      </c>
      <c r="T15" s="94" t="s">
        <v>270</v>
      </c>
      <c r="U15" s="94" t="s">
        <v>270</v>
      </c>
      <c r="V15" s="94" t="s">
        <v>632</v>
      </c>
      <c r="W15" s="94" t="s">
        <v>270</v>
      </c>
      <c r="X15" s="94">
        <v>0</v>
      </c>
      <c r="Y15" s="94">
        <v>2.1580057903971266</v>
      </c>
      <c r="Z15" s="94" t="s">
        <v>632</v>
      </c>
      <c r="AA15" s="94" t="s">
        <v>270</v>
      </c>
      <c r="AB15" s="94" t="s">
        <v>632</v>
      </c>
      <c r="AC15" s="94" t="s">
        <v>270</v>
      </c>
      <c r="AD15" s="94" t="s">
        <v>633</v>
      </c>
      <c r="AE15" s="94" t="s">
        <v>98</v>
      </c>
      <c r="AF15" s="94">
        <v>2.6923415727255835E-2</v>
      </c>
      <c r="AG15" s="94">
        <v>14</v>
      </c>
      <c r="AH15" s="97">
        <v>42880.574386574073</v>
      </c>
      <c r="AJ15" s="98" t="s">
        <v>665</v>
      </c>
      <c r="AK15" s="96">
        <v>0.46428646527242856</v>
      </c>
      <c r="AL15" s="96">
        <v>0.23881717672924996</v>
      </c>
      <c r="AM15" s="96">
        <v>7.0640601880188392E-2</v>
      </c>
      <c r="AN15" s="96" t="s">
        <v>270</v>
      </c>
      <c r="AO15" s="96" t="s">
        <v>270</v>
      </c>
      <c r="AP15" s="96">
        <v>0.13635789270674192</v>
      </c>
      <c r="AQ15" s="96">
        <v>-0.81506035776591723</v>
      </c>
      <c r="AR15" s="96">
        <v>27.186458845983275</v>
      </c>
      <c r="AS15" s="96" t="s">
        <v>270</v>
      </c>
      <c r="AT15" s="96" t="s">
        <v>270</v>
      </c>
      <c r="AU15" s="96" t="s">
        <v>270</v>
      </c>
      <c r="AV15" s="94">
        <v>6.5699999999999999E-8</v>
      </c>
      <c r="AW15" s="94">
        <v>6.5700000000000001E-10</v>
      </c>
      <c r="AX15" s="94">
        <v>2.326E-7</v>
      </c>
      <c r="AY15" s="94">
        <v>2.8000000000000002E-10</v>
      </c>
      <c r="AZ15" s="94" t="s">
        <v>270</v>
      </c>
      <c r="BA15" s="94" t="s">
        <v>270</v>
      </c>
      <c r="BB15" s="94" t="s">
        <v>270</v>
      </c>
      <c r="BC15" s="94" t="s">
        <v>270</v>
      </c>
      <c r="BD15" s="94" t="s">
        <v>270</v>
      </c>
      <c r="BE15" s="94" t="s">
        <v>270</v>
      </c>
      <c r="BF15" s="94" t="s">
        <v>270</v>
      </c>
      <c r="BG15" s="94" t="s">
        <v>270</v>
      </c>
      <c r="BH15" s="94" t="s">
        <v>270</v>
      </c>
      <c r="BI15" s="94" t="s">
        <v>270</v>
      </c>
      <c r="BJ15" s="94" t="s">
        <v>270</v>
      </c>
      <c r="BK15" s="94" t="s">
        <v>270</v>
      </c>
      <c r="BL15" s="94" t="s">
        <v>270</v>
      </c>
      <c r="BM15" s="94" t="s">
        <v>270</v>
      </c>
      <c r="BN15" s="94" t="s">
        <v>270</v>
      </c>
      <c r="BO15" s="94" t="s">
        <v>270</v>
      </c>
      <c r="BP15" s="94" t="s">
        <v>270</v>
      </c>
      <c r="BQ15" s="94" t="s">
        <v>270</v>
      </c>
      <c r="BR15" s="94" t="s">
        <v>270</v>
      </c>
      <c r="BS15" s="94" t="s">
        <v>270</v>
      </c>
      <c r="BT15" s="94" t="s">
        <v>270</v>
      </c>
      <c r="BU15" s="94" t="s">
        <v>270</v>
      </c>
      <c r="BV15" s="94" t="s">
        <v>270</v>
      </c>
      <c r="BW15" s="94" t="s">
        <v>270</v>
      </c>
      <c r="BX15" s="94" t="s">
        <v>270</v>
      </c>
      <c r="BY15" s="94" t="s">
        <v>270</v>
      </c>
      <c r="BZ15" s="94" t="s">
        <v>270</v>
      </c>
      <c r="CA15" s="94" t="s">
        <v>270</v>
      </c>
      <c r="CB15" s="94" t="s">
        <v>270</v>
      </c>
      <c r="CC15" s="94" t="s">
        <v>270</v>
      </c>
      <c r="CD15" s="94" t="s">
        <v>270</v>
      </c>
      <c r="CE15" s="94" t="s">
        <v>270</v>
      </c>
      <c r="CF15" s="94" t="s">
        <v>270</v>
      </c>
      <c r="CG15" s="94" t="s">
        <v>270</v>
      </c>
      <c r="CH15" s="94" t="s">
        <v>270</v>
      </c>
      <c r="CI15" s="94" t="s">
        <v>270</v>
      </c>
      <c r="CJ15" s="94" t="s">
        <v>270</v>
      </c>
      <c r="CK15" s="94" t="s">
        <v>270</v>
      </c>
      <c r="CL15" s="94" t="s">
        <v>270</v>
      </c>
      <c r="CM15" s="94" t="s">
        <v>270</v>
      </c>
      <c r="CN15" s="94" t="s">
        <v>270</v>
      </c>
      <c r="CO15" s="94" t="s">
        <v>270</v>
      </c>
      <c r="CP15" s="94" t="s">
        <v>270</v>
      </c>
      <c r="CQ15" s="94" t="s">
        <v>270</v>
      </c>
      <c r="CR15" s="94">
        <v>0.62248640074703598</v>
      </c>
      <c r="CS15" s="94">
        <v>6.2248640074703598E-2</v>
      </c>
      <c r="CT15" s="94" t="s">
        <v>270</v>
      </c>
      <c r="CU15" s="94" t="s">
        <v>270</v>
      </c>
      <c r="CV15" s="94" t="s">
        <v>270</v>
      </c>
      <c r="CW15" s="94" t="s">
        <v>270</v>
      </c>
      <c r="CX15" s="94">
        <v>17.619880809601302</v>
      </c>
      <c r="CY15" s="94">
        <v>1.7619880809601303</v>
      </c>
      <c r="CZ15" s="94">
        <v>1.7602966267139499</v>
      </c>
      <c r="DA15" s="94">
        <v>0.176029662671395</v>
      </c>
      <c r="DB15" s="94">
        <v>17.795517366134199</v>
      </c>
      <c r="DC15" s="94">
        <v>1.7795517366134199</v>
      </c>
      <c r="DD15" s="94" t="s">
        <v>270</v>
      </c>
      <c r="DE15" s="94" t="s">
        <v>270</v>
      </c>
      <c r="DF15" s="94" t="s">
        <v>270</v>
      </c>
      <c r="DG15" s="94" t="s">
        <v>270</v>
      </c>
      <c r="DH15" s="94" t="s">
        <v>270</v>
      </c>
      <c r="DI15" s="94" t="s">
        <v>270</v>
      </c>
      <c r="DJ15" s="94">
        <v>0.99887187788781528</v>
      </c>
      <c r="DK15" s="94">
        <v>0.99530930208322277</v>
      </c>
      <c r="DL15" s="94">
        <v>1.9641801209395994E-2</v>
      </c>
      <c r="DM15" s="94">
        <v>0.99521532239689148</v>
      </c>
      <c r="DN15" s="94">
        <v>4.4868269671383326E-8</v>
      </c>
      <c r="DO15" s="94">
        <v>1.8775974725674632E-7</v>
      </c>
      <c r="DP15" s="94">
        <v>3.262733386571026E-4</v>
      </c>
      <c r="DQ15" s="94">
        <v>7.3861568290836979E-8</v>
      </c>
      <c r="DR15" s="94">
        <v>1.0233224055094212E-8</v>
      </c>
      <c r="DS15" s="94">
        <v>1.2412511430804407E-2</v>
      </c>
      <c r="DT15" s="94">
        <v>6.6746997269021132E-3</v>
      </c>
      <c r="DU15" s="94">
        <v>3.1971171497146585E-4</v>
      </c>
      <c r="DV15" s="94">
        <v>5.0287379531047039E-8</v>
      </c>
      <c r="DW15" s="94">
        <v>1.0406629040773957E-8</v>
      </c>
      <c r="DX15" s="94">
        <v>2.1727186030687422E-7</v>
      </c>
      <c r="DY15" s="94">
        <v>1.2917370859688812E-8</v>
      </c>
      <c r="DZ15" s="94">
        <v>4.4816374471210413E-8</v>
      </c>
      <c r="EA15" s="94">
        <v>2.3024474013262142E-5</v>
      </c>
      <c r="EB15" s="94">
        <v>2.8102677061155028E-9</v>
      </c>
      <c r="EC15" s="94">
        <v>2.1446779862460513E-10</v>
      </c>
      <c r="ED15" s="94">
        <v>1.9248854698624834E-3</v>
      </c>
      <c r="EE15" s="94">
        <v>5.1634971379206467E-4</v>
      </c>
      <c r="EF15" s="94">
        <v>8.6280148871965097E-7</v>
      </c>
      <c r="EG15" s="94">
        <v>3.4758574259849674E-9</v>
      </c>
      <c r="EH15" s="94">
        <v>1.4297853241640282E-9</v>
      </c>
      <c r="EI15" s="94">
        <v>7.8884707540085681E-10</v>
      </c>
      <c r="EJ15" s="94">
        <v>5.7785640531072138E-8</v>
      </c>
      <c r="EK15" s="94">
        <v>2.3257612172795673E-7</v>
      </c>
      <c r="EL15" s="94">
        <v>3.4929781267036475E-4</v>
      </c>
      <c r="EM15" s="94">
        <v>7.6671835996952482E-8</v>
      </c>
      <c r="EN15" s="94">
        <v>1.0447691853718818E-8</v>
      </c>
      <c r="EO15" s="94">
        <v>1.4337396900666891E-2</v>
      </c>
      <c r="EP15" s="94">
        <v>7.1910494406941779E-3</v>
      </c>
      <c r="EQ15" s="94">
        <v>3.205745164601855E-4</v>
      </c>
      <c r="ER15" s="94">
        <v>5.3763236957032006E-8</v>
      </c>
      <c r="ES15" s="94">
        <v>1.1836414364937985E-8</v>
      </c>
      <c r="ET15" s="94">
        <v>2.1806070738227508E-7</v>
      </c>
      <c r="EU15" s="94">
        <v>1.998687664134725E-6</v>
      </c>
      <c r="EV15" s="94">
        <v>8.3639456377266839E-6</v>
      </c>
      <c r="EW15" s="94">
        <v>1.4554293134054853E-2</v>
      </c>
      <c r="EX15" s="94">
        <v>3.3009159128877233E-6</v>
      </c>
      <c r="EY15" s="94">
        <v>4.5911266258917289E-7</v>
      </c>
      <c r="EZ15" s="94">
        <v>0.55350558961425267</v>
      </c>
      <c r="FA15" s="94">
        <v>0.29745560143428218</v>
      </c>
      <c r="FB15" s="94">
        <v>1.4345763492937516E-2</v>
      </c>
      <c r="FC15" s="94">
        <v>2.2410390481946206E-6</v>
      </c>
      <c r="FD15" s="94">
        <v>4.6376769396090633E-7</v>
      </c>
      <c r="FE15" s="94">
        <v>9.6826425946688007E-6</v>
      </c>
      <c r="FF15" s="94">
        <v>5.7541309213401214E-7</v>
      </c>
      <c r="FG15" s="94">
        <v>1.9963902020204574E-6</v>
      </c>
      <c r="FH15" s="94">
        <v>1.0270681184852311E-3</v>
      </c>
      <c r="FI15" s="94">
        <v>1.2559247799971173E-7</v>
      </c>
      <c r="FJ15" s="94">
        <v>9.6220781970628208E-9</v>
      </c>
      <c r="FK15" s="94">
        <v>8.5835559779790294E-2</v>
      </c>
      <c r="FL15" s="94">
        <v>2.301093995994985E-2</v>
      </c>
      <c r="FM15" s="94">
        <v>3.871470927998763E-5</v>
      </c>
      <c r="FN15" s="94">
        <v>1.5490034060693802E-7</v>
      </c>
      <c r="FO15" s="94">
        <v>6.3717870604272451E-8</v>
      </c>
      <c r="FP15" s="94">
        <v>3.5154687229942925E-8</v>
      </c>
      <c r="FQ15" s="94">
        <v>2.5741007562687371E-6</v>
      </c>
      <c r="FR15" s="94">
        <v>1.0360335839747141E-5</v>
      </c>
      <c r="FS15" s="94">
        <v>1.5581361252540084E-2</v>
      </c>
      <c r="FT15" s="94">
        <v>3.426508390887435E-6</v>
      </c>
      <c r="FU15" s="94">
        <v>4.6873474078623571E-7</v>
      </c>
      <c r="FV15" s="94">
        <v>0.63934114939404296</v>
      </c>
      <c r="FW15" s="94">
        <v>0.32046654139423203</v>
      </c>
      <c r="FX15" s="94">
        <v>1.4384478202217504E-2</v>
      </c>
      <c r="FY15" s="94">
        <v>2.3959393888015587E-6</v>
      </c>
      <c r="FZ15" s="94">
        <v>5.2748556456517879E-7</v>
      </c>
      <c r="GA15" s="94">
        <v>9.7177972818987436E-6</v>
      </c>
      <c r="GB15" s="94">
        <v>7.9999876179564653E-6</v>
      </c>
      <c r="GC15" s="94">
        <v>1.6878191378563316E-4</v>
      </c>
      <c r="GD15" s="94">
        <v>0.58141490211922331</v>
      </c>
      <c r="GE15" s="94">
        <v>2.7661015166816544E-4</v>
      </c>
      <c r="GF15" s="94">
        <v>6.0278278809320277E-5</v>
      </c>
      <c r="GG15" s="94">
        <v>15.505573484099907</v>
      </c>
      <c r="GH15" s="94">
        <v>9.5182222991753083</v>
      </c>
      <c r="GI15" s="94">
        <v>0.63134987844243362</v>
      </c>
      <c r="GJ15" s="94">
        <v>3.5951779289100273E-5</v>
      </c>
      <c r="GK15" s="94">
        <v>9.3490001890191189E-7</v>
      </c>
      <c r="GL15" s="94">
        <v>4.2616021199063899E-4</v>
      </c>
      <c r="GM15" s="94" t="s">
        <v>270</v>
      </c>
      <c r="GN15" s="94" t="s">
        <v>270</v>
      </c>
      <c r="GO15" s="94" t="s">
        <v>270</v>
      </c>
      <c r="GP15" s="94" t="s">
        <v>270</v>
      </c>
      <c r="GQ15" s="94" t="s">
        <v>270</v>
      </c>
      <c r="GR15" s="94" t="s">
        <v>270</v>
      </c>
      <c r="GS15" s="94" t="s">
        <v>270</v>
      </c>
      <c r="GT15" s="94" t="s">
        <v>270</v>
      </c>
      <c r="GU15" s="94" t="s">
        <v>270</v>
      </c>
      <c r="GV15" s="94" t="s">
        <v>270</v>
      </c>
      <c r="GW15" s="94" t="s">
        <v>270</v>
      </c>
      <c r="GX15" s="94" t="s">
        <v>270</v>
      </c>
      <c r="GY15" s="94" t="s">
        <v>270</v>
      </c>
      <c r="GZ15" s="94" t="s">
        <v>270</v>
      </c>
      <c r="HA15" s="94" t="s">
        <v>270</v>
      </c>
      <c r="HB15" s="94" t="s">
        <v>270</v>
      </c>
      <c r="HC15" s="94" t="s">
        <v>270</v>
      </c>
      <c r="HD15" s="94" t="s">
        <v>270</v>
      </c>
      <c r="HE15" s="94" t="s">
        <v>270</v>
      </c>
      <c r="HF15" s="94" t="s">
        <v>270</v>
      </c>
      <c r="HG15" s="94" t="s">
        <v>270</v>
      </c>
      <c r="HH15" s="94" t="s">
        <v>270</v>
      </c>
      <c r="HI15" s="94" t="s">
        <v>270</v>
      </c>
      <c r="HJ15" s="94" t="s">
        <v>270</v>
      </c>
      <c r="HK15" s="94" t="s">
        <v>270</v>
      </c>
      <c r="HL15" s="94" t="s">
        <v>270</v>
      </c>
      <c r="HM15" s="94" t="s">
        <v>270</v>
      </c>
      <c r="HN15" s="94" t="s">
        <v>270</v>
      </c>
      <c r="HO15" s="94" t="s">
        <v>270</v>
      </c>
      <c r="HP15" s="94" t="s">
        <v>270</v>
      </c>
      <c r="HQ15" s="94" t="s">
        <v>270</v>
      </c>
      <c r="HR15" s="94" t="s">
        <v>270</v>
      </c>
      <c r="HS15" s="94" t="s">
        <v>270</v>
      </c>
      <c r="HT15" s="94" t="s">
        <v>270</v>
      </c>
      <c r="HU15" s="94" t="s">
        <v>270</v>
      </c>
      <c r="HV15" s="94" t="s">
        <v>270</v>
      </c>
      <c r="HW15" s="94" t="s">
        <v>270</v>
      </c>
      <c r="HX15" s="94" t="s">
        <v>270</v>
      </c>
      <c r="HY15" s="94" t="s">
        <v>270</v>
      </c>
      <c r="HZ15" s="94" t="s">
        <v>270</v>
      </c>
      <c r="IA15" s="94" t="s">
        <v>270</v>
      </c>
      <c r="IB15" s="94" t="s">
        <v>270</v>
      </c>
      <c r="IC15" s="94" t="s">
        <v>270</v>
      </c>
      <c r="ID15" s="94" t="s">
        <v>270</v>
      </c>
      <c r="IE15" s="94" t="s">
        <v>270</v>
      </c>
      <c r="IF15" s="94" t="s">
        <v>270</v>
      </c>
      <c r="IG15" s="94" t="s">
        <v>270</v>
      </c>
      <c r="IH15" s="94" t="s">
        <v>270</v>
      </c>
      <c r="II15" s="94" t="s">
        <v>270</v>
      </c>
      <c r="IJ15" s="94" t="s">
        <v>270</v>
      </c>
      <c r="IK15" s="94" t="s">
        <v>270</v>
      </c>
      <c r="IL15" s="94" t="s">
        <v>270</v>
      </c>
      <c r="IM15" s="94" t="s">
        <v>270</v>
      </c>
      <c r="IN15" s="94" t="s">
        <v>270</v>
      </c>
      <c r="IO15" s="94" t="s">
        <v>270</v>
      </c>
      <c r="IP15" s="94" t="s">
        <v>270</v>
      </c>
      <c r="IQ15" s="94" t="s">
        <v>270</v>
      </c>
      <c r="IR15" s="94" t="s">
        <v>270</v>
      </c>
      <c r="IS15" s="94" t="s">
        <v>270</v>
      </c>
      <c r="IT15" s="94" t="s">
        <v>270</v>
      </c>
      <c r="IU15" s="94" t="s">
        <v>270</v>
      </c>
      <c r="IV15" s="94" t="s">
        <v>270</v>
      </c>
      <c r="IW15" s="94" t="s">
        <v>270</v>
      </c>
      <c r="IX15" s="94" t="s">
        <v>270</v>
      </c>
      <c r="IY15" s="94" t="s">
        <v>270</v>
      </c>
      <c r="IZ15" s="94" t="s">
        <v>270</v>
      </c>
      <c r="JA15" s="94" t="s">
        <v>270</v>
      </c>
      <c r="JB15" s="94" t="s">
        <v>270</v>
      </c>
      <c r="JC15" s="94" t="s">
        <v>270</v>
      </c>
      <c r="JD15" s="94" t="s">
        <v>270</v>
      </c>
      <c r="JE15" s="94" t="s">
        <v>270</v>
      </c>
      <c r="JF15" s="94" t="s">
        <v>270</v>
      </c>
      <c r="JG15" s="94" t="s">
        <v>270</v>
      </c>
      <c r="JH15" s="94" t="s">
        <v>270</v>
      </c>
      <c r="JI15" s="94" t="s">
        <v>270</v>
      </c>
      <c r="JJ15" s="94" t="s">
        <v>270</v>
      </c>
      <c r="JK15" s="94" t="s">
        <v>270</v>
      </c>
      <c r="JL15" s="94" t="s">
        <v>270</v>
      </c>
      <c r="JM15" s="94" t="s">
        <v>270</v>
      </c>
    </row>
    <row r="16" spans="1:287">
      <c r="A16" s="94" t="s">
        <v>626</v>
      </c>
      <c r="B16" s="94" t="s">
        <v>627</v>
      </c>
      <c r="C16" s="94" t="s">
        <v>666</v>
      </c>
      <c r="D16" s="95">
        <v>41506</v>
      </c>
      <c r="E16" s="94" t="s">
        <v>667</v>
      </c>
      <c r="F16" s="94">
        <v>0.37143129450000001</v>
      </c>
      <c r="G16" s="94">
        <v>92.073170731707293</v>
      </c>
      <c r="H16" s="94">
        <v>20.090000152599998</v>
      </c>
      <c r="I16" s="94">
        <v>1</v>
      </c>
      <c r="J16" s="94">
        <v>0</v>
      </c>
      <c r="K16" s="94">
        <v>0</v>
      </c>
      <c r="L16" s="94" t="s">
        <v>630</v>
      </c>
      <c r="M16" s="94" t="s">
        <v>631</v>
      </c>
      <c r="N16" s="94">
        <v>5.8231200097761603E-26</v>
      </c>
      <c r="O16" s="96" t="s">
        <v>270</v>
      </c>
      <c r="P16" s="94">
        <v>15.736258067240243</v>
      </c>
      <c r="Q16" s="94">
        <v>0.46250502385526343</v>
      </c>
      <c r="R16" s="94">
        <v>2.1754402125339829</v>
      </c>
      <c r="S16" s="94">
        <v>0.35233286111620277</v>
      </c>
      <c r="T16" s="94" t="s">
        <v>270</v>
      </c>
      <c r="U16" s="94" t="s">
        <v>270</v>
      </c>
      <c r="V16" s="94" t="s">
        <v>632</v>
      </c>
      <c r="W16" s="94" t="s">
        <v>270</v>
      </c>
      <c r="X16" s="94">
        <v>0.3</v>
      </c>
      <c r="Y16" s="94">
        <v>0.2</v>
      </c>
      <c r="Z16" s="94" t="s">
        <v>632</v>
      </c>
      <c r="AA16" s="94" t="s">
        <v>270</v>
      </c>
      <c r="AB16" s="94" t="s">
        <v>632</v>
      </c>
      <c r="AC16" s="94" t="s">
        <v>270</v>
      </c>
      <c r="AD16" s="94" t="s">
        <v>644</v>
      </c>
      <c r="AE16" s="94" t="s">
        <v>82</v>
      </c>
      <c r="AF16" s="94">
        <v>1.699757512045065E-12</v>
      </c>
      <c r="AG16" s="94">
        <v>4</v>
      </c>
      <c r="AH16" s="97">
        <v>42880.56287037037</v>
      </c>
      <c r="AI16" s="94" t="s">
        <v>668</v>
      </c>
      <c r="AJ16" s="98" t="s">
        <v>669</v>
      </c>
      <c r="AK16" s="96" t="s">
        <v>270</v>
      </c>
      <c r="AL16" s="96" t="s">
        <v>270</v>
      </c>
      <c r="AM16" s="96">
        <v>6.0649876504451639E-2</v>
      </c>
      <c r="AN16" s="96" t="s">
        <v>270</v>
      </c>
      <c r="AO16" s="96" t="s">
        <v>270</v>
      </c>
      <c r="AP16" s="96">
        <v>0.15242827858739227</v>
      </c>
      <c r="AQ16" s="96">
        <v>-0.9755233164325513</v>
      </c>
      <c r="AR16" s="96">
        <v>45.164191178850047</v>
      </c>
      <c r="AS16" s="96" t="s">
        <v>270</v>
      </c>
      <c r="AT16" s="96" t="s">
        <v>270</v>
      </c>
      <c r="AU16" s="96" t="s">
        <v>270</v>
      </c>
      <c r="AV16" s="94" t="s">
        <v>270</v>
      </c>
      <c r="AW16" s="94" t="s">
        <v>270</v>
      </c>
      <c r="AX16" s="94" t="s">
        <v>270</v>
      </c>
      <c r="AY16" s="94" t="s">
        <v>270</v>
      </c>
      <c r="AZ16" s="94" t="s">
        <v>270</v>
      </c>
      <c r="BA16" s="94" t="s">
        <v>270</v>
      </c>
      <c r="BB16" s="94" t="s">
        <v>270</v>
      </c>
      <c r="BC16" s="94" t="s">
        <v>270</v>
      </c>
      <c r="BD16" s="94" t="s">
        <v>270</v>
      </c>
      <c r="BE16" s="94" t="s">
        <v>270</v>
      </c>
      <c r="BF16" s="94" t="s">
        <v>270</v>
      </c>
      <c r="BG16" s="94" t="s">
        <v>270</v>
      </c>
      <c r="BH16" s="94" t="s">
        <v>270</v>
      </c>
      <c r="BI16" s="94" t="s">
        <v>270</v>
      </c>
      <c r="BJ16" s="94" t="s">
        <v>270</v>
      </c>
      <c r="BK16" s="94" t="s">
        <v>270</v>
      </c>
      <c r="BL16" s="94" t="s">
        <v>270</v>
      </c>
      <c r="BM16" s="94" t="s">
        <v>270</v>
      </c>
      <c r="BN16" s="94" t="s">
        <v>270</v>
      </c>
      <c r="BO16" s="94" t="s">
        <v>270</v>
      </c>
      <c r="BP16" s="94" t="s">
        <v>270</v>
      </c>
      <c r="BQ16" s="94" t="s">
        <v>270</v>
      </c>
      <c r="BR16" s="94" t="s">
        <v>270</v>
      </c>
      <c r="BS16" s="94" t="s">
        <v>270</v>
      </c>
      <c r="BT16" s="94" t="s">
        <v>270</v>
      </c>
      <c r="BU16" s="94" t="s">
        <v>270</v>
      </c>
      <c r="BV16" s="94" t="s">
        <v>270</v>
      </c>
      <c r="BW16" s="94" t="s">
        <v>270</v>
      </c>
      <c r="BX16" s="94" t="s">
        <v>270</v>
      </c>
      <c r="BY16" s="94" t="s">
        <v>270</v>
      </c>
      <c r="BZ16" s="94" t="s">
        <v>270</v>
      </c>
      <c r="CA16" s="94" t="s">
        <v>270</v>
      </c>
      <c r="CB16" s="94" t="s">
        <v>270</v>
      </c>
      <c r="CC16" s="94" t="s">
        <v>270</v>
      </c>
      <c r="CD16" s="94" t="s">
        <v>270</v>
      </c>
      <c r="CE16" s="94" t="s">
        <v>270</v>
      </c>
      <c r="CF16" s="94" t="s">
        <v>270</v>
      </c>
      <c r="CG16" s="94" t="s">
        <v>270</v>
      </c>
      <c r="CH16" s="94" t="s">
        <v>270</v>
      </c>
      <c r="CI16" s="94" t="s">
        <v>270</v>
      </c>
      <c r="CJ16" s="94" t="s">
        <v>270</v>
      </c>
      <c r="CK16" s="94" t="s">
        <v>270</v>
      </c>
      <c r="CL16" s="94" t="s">
        <v>270</v>
      </c>
      <c r="CM16" s="94" t="s">
        <v>270</v>
      </c>
      <c r="CN16" s="94" t="s">
        <v>270</v>
      </c>
      <c r="CO16" s="94" t="s">
        <v>270</v>
      </c>
      <c r="CP16" s="94" t="s">
        <v>270</v>
      </c>
      <c r="CQ16" s="94" t="s">
        <v>270</v>
      </c>
      <c r="CR16" s="94">
        <v>0.63432553069565001</v>
      </c>
      <c r="CS16" s="94">
        <v>6.3432553069565009E-2</v>
      </c>
      <c r="CT16" s="94" t="s">
        <v>270</v>
      </c>
      <c r="CU16" s="94" t="s">
        <v>270</v>
      </c>
      <c r="CV16" s="94" t="s">
        <v>270</v>
      </c>
      <c r="CW16" s="94" t="s">
        <v>270</v>
      </c>
      <c r="CX16" s="94">
        <v>18.326753672812099</v>
      </c>
      <c r="CY16" s="94">
        <v>1.8326753672812099</v>
      </c>
      <c r="CZ16" s="94">
        <v>0.23967773892000799</v>
      </c>
      <c r="DA16" s="94">
        <v>2.3967773892000801E-2</v>
      </c>
      <c r="DB16" s="94">
        <v>30.555954762211801</v>
      </c>
      <c r="DC16" s="94">
        <v>3.0555954762211801</v>
      </c>
      <c r="DD16" s="94" t="s">
        <v>270</v>
      </c>
      <c r="DE16" s="94" t="s">
        <v>270</v>
      </c>
      <c r="DF16" s="94" t="s">
        <v>270</v>
      </c>
      <c r="DG16" s="94" t="s">
        <v>270</v>
      </c>
      <c r="DH16" s="94" t="s">
        <v>270</v>
      </c>
      <c r="DI16" s="94" t="s">
        <v>270</v>
      </c>
      <c r="DJ16" s="94">
        <v>0.99927473856120286</v>
      </c>
      <c r="DK16" s="94">
        <v>0.98896814903526253</v>
      </c>
      <c r="DL16" s="94">
        <v>1.7623517607846386E-2</v>
      </c>
      <c r="DM16" s="94">
        <v>0.98877024118301959</v>
      </c>
      <c r="DN16" s="94">
        <v>4.4805723365918622E-8</v>
      </c>
      <c r="DO16" s="94">
        <v>1.8903078601935786E-7</v>
      </c>
      <c r="DP16" s="94">
        <v>3.3547522387380476E-4</v>
      </c>
      <c r="DQ16" s="94">
        <v>7.6638281086326463E-8</v>
      </c>
      <c r="DR16" s="94">
        <v>1.0722072077305282E-8</v>
      </c>
      <c r="DS16" s="94">
        <v>1.2725309136800917E-2</v>
      </c>
      <c r="DT16" s="94">
        <v>6.8639781531204128E-3</v>
      </c>
      <c r="DU16" s="94">
        <v>3.3504562703578117E-4</v>
      </c>
      <c r="DV16" s="94">
        <v>5.1861519218806782E-8</v>
      </c>
      <c r="DW16" s="94">
        <v>1.048549244672339E-8</v>
      </c>
      <c r="DX16" s="94">
        <v>2.2834366474536143E-7</v>
      </c>
      <c r="DY16" s="94">
        <v>1.1399306713678072E-8</v>
      </c>
      <c r="DZ16" s="94">
        <v>3.9549503063867823E-8</v>
      </c>
      <c r="EA16" s="94">
        <v>2.0318611585067384E-5</v>
      </c>
      <c r="EB16" s="94">
        <v>2.4800018422887389E-9</v>
      </c>
      <c r="EC16" s="94">
        <v>1.8926329849045705E-10</v>
      </c>
      <c r="ED16" s="94">
        <v>1.9385556120784138E-3</v>
      </c>
      <c r="EE16" s="94">
        <v>4.5566770691736827E-4</v>
      </c>
      <c r="EF16" s="94">
        <v>7.6140407438690791E-7</v>
      </c>
      <c r="EG16" s="94">
        <v>3.0673706996729139E-9</v>
      </c>
      <c r="EH16" s="94">
        <v>1.2617553232697104E-9</v>
      </c>
      <c r="EI16" s="94">
        <v>6.961408680108829E-10</v>
      </c>
      <c r="EJ16" s="94">
        <v>5.6205030079596694E-8</v>
      </c>
      <c r="EK16" s="94">
        <v>2.2858028908322569E-7</v>
      </c>
      <c r="EL16" s="94">
        <v>3.5579383545887214E-4</v>
      </c>
      <c r="EM16" s="94">
        <v>7.9118282928615202E-8</v>
      </c>
      <c r="EN16" s="94">
        <v>1.0911335375795739E-8</v>
      </c>
      <c r="EO16" s="94">
        <v>1.466386474887933E-2</v>
      </c>
      <c r="EP16" s="94">
        <v>7.3196458600377811E-3</v>
      </c>
      <c r="EQ16" s="94">
        <v>3.3580703111016808E-4</v>
      </c>
      <c r="ER16" s="94">
        <v>5.4928889918479696E-8</v>
      </c>
      <c r="ES16" s="94">
        <v>1.1747247769993101E-8</v>
      </c>
      <c r="ET16" s="94">
        <v>2.2903980561337232E-7</v>
      </c>
      <c r="EU16" s="94">
        <v>1.9967064746477992E-6</v>
      </c>
      <c r="EV16" s="94">
        <v>8.4239614759020505E-6</v>
      </c>
      <c r="EW16" s="94">
        <v>1.4970803310334018E-2</v>
      </c>
      <c r="EX16" s="94">
        <v>3.4263901623526834E-6</v>
      </c>
      <c r="EY16" s="94">
        <v>4.8123879735319724E-7</v>
      </c>
      <c r="EZ16" s="94">
        <v>0.5676829013961725</v>
      </c>
      <c r="FA16" s="94">
        <v>0.30601409719145212</v>
      </c>
      <c r="FB16" s="94">
        <v>1.5039873831465546E-2</v>
      </c>
      <c r="FC16" s="94">
        <v>2.3121221584170582E-6</v>
      </c>
      <c r="FD16" s="94">
        <v>4.6747067562170885E-7</v>
      </c>
      <c r="FE16" s="94">
        <v>1.0180157753659678E-5</v>
      </c>
      <c r="FF16" s="94">
        <v>5.079946893349407E-7</v>
      </c>
      <c r="FG16" s="94">
        <v>1.762482700394498E-6</v>
      </c>
      <c r="FH16" s="94">
        <v>9.0673145416408744E-4</v>
      </c>
      <c r="FI16" s="94">
        <v>1.1087740740770275E-7</v>
      </c>
      <c r="FJ16" s="94">
        <v>8.494705267038002E-9</v>
      </c>
      <c r="FK16" s="94">
        <v>8.6487777961162582E-2</v>
      </c>
      <c r="FL16" s="94">
        <v>2.031485806641542E-2</v>
      </c>
      <c r="FM16" s="94">
        <v>3.4178691764629246E-5</v>
      </c>
      <c r="FN16" s="94">
        <v>1.367514077802242E-7</v>
      </c>
      <c r="FO16" s="94">
        <v>5.6252352136546105E-8</v>
      </c>
      <c r="FP16" s="94">
        <v>3.1035780489128476E-8</v>
      </c>
      <c r="FQ16" s="94">
        <v>2.5047011639827399E-6</v>
      </c>
      <c r="FR16" s="94">
        <v>1.0186444176296549E-5</v>
      </c>
      <c r="FS16" s="94">
        <v>1.5877534764498106E-2</v>
      </c>
      <c r="FT16" s="94">
        <v>3.5372675697603861E-6</v>
      </c>
      <c r="FU16" s="94">
        <v>4.8973350262023525E-7</v>
      </c>
      <c r="FV16" s="94">
        <v>0.65417067935733508</v>
      </c>
      <c r="FW16" s="94">
        <v>0.32632895525786754</v>
      </c>
      <c r="FX16" s="94">
        <v>1.5074052523230175E-2</v>
      </c>
      <c r="FY16" s="94">
        <v>2.4488735661972824E-6</v>
      </c>
      <c r="FZ16" s="94">
        <v>5.2372302775825495E-7</v>
      </c>
      <c r="GA16" s="94">
        <v>1.0211193534148806E-5</v>
      </c>
      <c r="GB16" s="94">
        <v>7.9920576688960688E-6</v>
      </c>
      <c r="GC16" s="94">
        <v>1.6999301539526062E-4</v>
      </c>
      <c r="GD16" s="94">
        <v>0.5980536506412234</v>
      </c>
      <c r="GE16" s="94">
        <v>2.8712464282483019E-4</v>
      </c>
      <c r="GF16" s="94">
        <v>6.3183285420893336E-5</v>
      </c>
      <c r="GG16" s="94">
        <v>15.902728189971539</v>
      </c>
      <c r="GH16" s="94">
        <v>9.7920838932098384</v>
      </c>
      <c r="GI16" s="94">
        <v>0.66189732738588303</v>
      </c>
      <c r="GJ16" s="94">
        <v>3.7092127241519319E-5</v>
      </c>
      <c r="GK16" s="94">
        <v>9.4236478557229053E-7</v>
      </c>
      <c r="GL16" s="94">
        <v>4.4805724718027264E-4</v>
      </c>
      <c r="GM16" s="94" t="s">
        <v>270</v>
      </c>
      <c r="GN16" s="94" t="s">
        <v>270</v>
      </c>
      <c r="GO16" s="94" t="s">
        <v>270</v>
      </c>
      <c r="GP16" s="94" t="s">
        <v>270</v>
      </c>
      <c r="GQ16" s="94" t="s">
        <v>270</v>
      </c>
      <c r="GR16" s="94" t="s">
        <v>270</v>
      </c>
      <c r="GS16" s="94" t="s">
        <v>270</v>
      </c>
      <c r="GT16" s="94" t="s">
        <v>270</v>
      </c>
      <c r="GU16" s="94" t="s">
        <v>270</v>
      </c>
      <c r="GV16" s="94" t="s">
        <v>270</v>
      </c>
      <c r="GW16" s="94" t="s">
        <v>270</v>
      </c>
      <c r="GX16" s="94" t="s">
        <v>270</v>
      </c>
      <c r="GY16" s="94" t="s">
        <v>270</v>
      </c>
      <c r="GZ16" s="94" t="s">
        <v>270</v>
      </c>
      <c r="HA16" s="94" t="s">
        <v>270</v>
      </c>
      <c r="HB16" s="94" t="s">
        <v>270</v>
      </c>
      <c r="HC16" s="94" t="s">
        <v>270</v>
      </c>
      <c r="HD16" s="94" t="s">
        <v>270</v>
      </c>
      <c r="HE16" s="94" t="s">
        <v>270</v>
      </c>
      <c r="HF16" s="94" t="s">
        <v>270</v>
      </c>
      <c r="HG16" s="94" t="s">
        <v>270</v>
      </c>
      <c r="HH16" s="94" t="s">
        <v>270</v>
      </c>
      <c r="HI16" s="94" t="s">
        <v>270</v>
      </c>
      <c r="HJ16" s="94" t="s">
        <v>270</v>
      </c>
      <c r="HK16" s="94" t="s">
        <v>270</v>
      </c>
      <c r="HL16" s="94" t="s">
        <v>270</v>
      </c>
      <c r="HM16" s="94" t="s">
        <v>270</v>
      </c>
      <c r="HN16" s="94" t="s">
        <v>270</v>
      </c>
      <c r="HO16" s="94" t="s">
        <v>270</v>
      </c>
      <c r="HP16" s="94" t="s">
        <v>270</v>
      </c>
      <c r="HQ16" s="94" t="s">
        <v>270</v>
      </c>
      <c r="HR16" s="94" t="s">
        <v>270</v>
      </c>
      <c r="HS16" s="94" t="s">
        <v>270</v>
      </c>
      <c r="HT16" s="94" t="s">
        <v>270</v>
      </c>
      <c r="HU16" s="94" t="s">
        <v>270</v>
      </c>
      <c r="HV16" s="94" t="s">
        <v>270</v>
      </c>
      <c r="HW16" s="94" t="s">
        <v>270</v>
      </c>
      <c r="HX16" s="94" t="s">
        <v>270</v>
      </c>
      <c r="HY16" s="94" t="s">
        <v>270</v>
      </c>
      <c r="HZ16" s="94" t="s">
        <v>270</v>
      </c>
      <c r="IA16" s="94" t="s">
        <v>270</v>
      </c>
      <c r="IB16" s="94" t="s">
        <v>270</v>
      </c>
      <c r="IC16" s="94" t="s">
        <v>270</v>
      </c>
      <c r="ID16" s="94" t="s">
        <v>270</v>
      </c>
      <c r="IE16" s="94" t="s">
        <v>270</v>
      </c>
      <c r="IF16" s="94" t="s">
        <v>270</v>
      </c>
      <c r="IG16" s="94" t="s">
        <v>270</v>
      </c>
      <c r="IH16" s="94" t="s">
        <v>270</v>
      </c>
      <c r="II16" s="94" t="s">
        <v>270</v>
      </c>
      <c r="IJ16" s="94" t="s">
        <v>270</v>
      </c>
      <c r="IK16" s="94" t="s">
        <v>270</v>
      </c>
      <c r="IL16" s="94" t="s">
        <v>270</v>
      </c>
      <c r="IM16" s="94" t="s">
        <v>270</v>
      </c>
      <c r="IN16" s="94" t="s">
        <v>270</v>
      </c>
      <c r="IO16" s="94" t="s">
        <v>270</v>
      </c>
      <c r="IP16" s="94" t="s">
        <v>270</v>
      </c>
      <c r="IQ16" s="94" t="s">
        <v>270</v>
      </c>
      <c r="IR16" s="94" t="s">
        <v>270</v>
      </c>
      <c r="IS16" s="94" t="s">
        <v>270</v>
      </c>
      <c r="IT16" s="94" t="s">
        <v>270</v>
      </c>
      <c r="IU16" s="94" t="s">
        <v>270</v>
      </c>
      <c r="IV16" s="94" t="s">
        <v>270</v>
      </c>
      <c r="IW16" s="94" t="s">
        <v>270</v>
      </c>
      <c r="IX16" s="94" t="s">
        <v>270</v>
      </c>
      <c r="IY16" s="94" t="s">
        <v>270</v>
      </c>
      <c r="IZ16" s="94" t="s">
        <v>270</v>
      </c>
      <c r="JA16" s="94" t="s">
        <v>270</v>
      </c>
      <c r="JB16" s="94" t="s">
        <v>270</v>
      </c>
      <c r="JC16" s="94" t="s">
        <v>270</v>
      </c>
      <c r="JD16" s="94" t="s">
        <v>270</v>
      </c>
      <c r="JE16" s="94" t="s">
        <v>270</v>
      </c>
      <c r="JF16" s="94" t="s">
        <v>270</v>
      </c>
      <c r="JG16" s="94" t="s">
        <v>270</v>
      </c>
      <c r="JH16" s="94" t="s">
        <v>270</v>
      </c>
      <c r="JI16" s="94" t="s">
        <v>270</v>
      </c>
      <c r="JJ16" s="94" t="s">
        <v>270</v>
      </c>
      <c r="JK16" s="94" t="s">
        <v>270</v>
      </c>
      <c r="JL16" s="94" t="s">
        <v>270</v>
      </c>
      <c r="JM16" s="94" t="s">
        <v>270</v>
      </c>
    </row>
    <row r="17" spans="1:273">
      <c r="A17" s="94" t="s">
        <v>626</v>
      </c>
      <c r="B17" s="94" t="s">
        <v>627</v>
      </c>
      <c r="C17" s="94" t="s">
        <v>666</v>
      </c>
      <c r="D17" s="95">
        <v>41506</v>
      </c>
      <c r="E17" s="94" t="s">
        <v>670</v>
      </c>
      <c r="F17" s="94">
        <v>0.37143129450000001</v>
      </c>
      <c r="G17" s="94">
        <v>92.073170731707293</v>
      </c>
      <c r="H17" s="94">
        <v>20.090000152599998</v>
      </c>
      <c r="I17" s="94">
        <v>1</v>
      </c>
      <c r="J17" s="94">
        <v>0</v>
      </c>
      <c r="K17" s="94">
        <v>0</v>
      </c>
      <c r="L17" s="94" t="s">
        <v>630</v>
      </c>
      <c r="M17" s="94" t="s">
        <v>631</v>
      </c>
      <c r="N17" s="94">
        <v>5.1735921856994736E-26</v>
      </c>
      <c r="O17" s="96" t="s">
        <v>270</v>
      </c>
      <c r="P17" s="94">
        <v>15.466006541588428</v>
      </c>
      <c r="Q17" s="94">
        <v>0.45790256850846561</v>
      </c>
      <c r="R17" s="94">
        <v>2.1894303529963581</v>
      </c>
      <c r="S17" s="94">
        <v>0.35232590602605801</v>
      </c>
      <c r="T17" s="94" t="s">
        <v>270</v>
      </c>
      <c r="U17" s="94" t="s">
        <v>270</v>
      </c>
      <c r="V17" s="94" t="s">
        <v>632</v>
      </c>
      <c r="W17" s="94" t="s">
        <v>270</v>
      </c>
      <c r="X17" s="94">
        <v>0.3</v>
      </c>
      <c r="Y17" s="94">
        <v>0.2</v>
      </c>
      <c r="Z17" s="94" t="s">
        <v>632</v>
      </c>
      <c r="AA17" s="94" t="s">
        <v>270</v>
      </c>
      <c r="AB17" s="94" t="s">
        <v>632</v>
      </c>
      <c r="AC17" s="94" t="s">
        <v>270</v>
      </c>
      <c r="AD17" s="94" t="s">
        <v>644</v>
      </c>
      <c r="AE17" s="94" t="s">
        <v>82</v>
      </c>
      <c r="AF17" s="94">
        <v>3.1350431467533805E-12</v>
      </c>
      <c r="AG17" s="94">
        <v>4</v>
      </c>
      <c r="AH17" s="97">
        <v>42880.56287037037</v>
      </c>
      <c r="AI17" s="94" t="s">
        <v>668</v>
      </c>
      <c r="AJ17" s="98" t="s">
        <v>671</v>
      </c>
      <c r="AK17" s="96" t="s">
        <v>270</v>
      </c>
      <c r="AL17" s="96" t="s">
        <v>270</v>
      </c>
      <c r="AM17" s="96">
        <v>6.0692031365323196E-2</v>
      </c>
      <c r="AN17" s="96" t="s">
        <v>270</v>
      </c>
      <c r="AO17" s="96" t="s">
        <v>270</v>
      </c>
      <c r="AP17" s="96">
        <v>0.15248313610352149</v>
      </c>
      <c r="AQ17" s="96">
        <v>-0.97552001795357002</v>
      </c>
      <c r="AR17" s="96">
        <v>44.945039086667499</v>
      </c>
      <c r="AS17" s="96" t="s">
        <v>270</v>
      </c>
      <c r="AT17" s="96" t="s">
        <v>270</v>
      </c>
      <c r="AU17" s="96" t="s">
        <v>270</v>
      </c>
      <c r="AV17" s="94" t="s">
        <v>270</v>
      </c>
      <c r="AW17" s="94" t="s">
        <v>270</v>
      </c>
      <c r="AX17" s="94" t="s">
        <v>270</v>
      </c>
      <c r="AY17" s="94" t="s">
        <v>270</v>
      </c>
      <c r="AZ17" s="94" t="s">
        <v>270</v>
      </c>
      <c r="BA17" s="94" t="s">
        <v>270</v>
      </c>
      <c r="BB17" s="94" t="s">
        <v>270</v>
      </c>
      <c r="BC17" s="94" t="s">
        <v>270</v>
      </c>
      <c r="BD17" s="94" t="s">
        <v>270</v>
      </c>
      <c r="BE17" s="94" t="s">
        <v>270</v>
      </c>
      <c r="BF17" s="94" t="s">
        <v>270</v>
      </c>
      <c r="BG17" s="94" t="s">
        <v>270</v>
      </c>
      <c r="BH17" s="94" t="s">
        <v>270</v>
      </c>
      <c r="BI17" s="94" t="s">
        <v>270</v>
      </c>
      <c r="BJ17" s="94" t="s">
        <v>270</v>
      </c>
      <c r="BK17" s="94" t="s">
        <v>270</v>
      </c>
      <c r="BL17" s="94" t="s">
        <v>270</v>
      </c>
      <c r="BM17" s="94" t="s">
        <v>270</v>
      </c>
      <c r="BN17" s="94" t="s">
        <v>270</v>
      </c>
      <c r="BO17" s="94" t="s">
        <v>270</v>
      </c>
      <c r="BP17" s="94" t="s">
        <v>270</v>
      </c>
      <c r="BQ17" s="94" t="s">
        <v>270</v>
      </c>
      <c r="BR17" s="94" t="s">
        <v>270</v>
      </c>
      <c r="BS17" s="94" t="s">
        <v>270</v>
      </c>
      <c r="BT17" s="94" t="s">
        <v>270</v>
      </c>
      <c r="BU17" s="94" t="s">
        <v>270</v>
      </c>
      <c r="BV17" s="94" t="s">
        <v>270</v>
      </c>
      <c r="BW17" s="94" t="s">
        <v>270</v>
      </c>
      <c r="BX17" s="94" t="s">
        <v>270</v>
      </c>
      <c r="BY17" s="94" t="s">
        <v>270</v>
      </c>
      <c r="BZ17" s="94" t="s">
        <v>270</v>
      </c>
      <c r="CA17" s="94" t="s">
        <v>270</v>
      </c>
      <c r="CB17" s="94" t="s">
        <v>270</v>
      </c>
      <c r="CC17" s="94" t="s">
        <v>270</v>
      </c>
      <c r="CD17" s="94" t="s">
        <v>270</v>
      </c>
      <c r="CE17" s="94" t="s">
        <v>270</v>
      </c>
      <c r="CF17" s="94" t="s">
        <v>270</v>
      </c>
      <c r="CG17" s="94" t="s">
        <v>270</v>
      </c>
      <c r="CH17" s="94" t="s">
        <v>270</v>
      </c>
      <c r="CI17" s="94" t="s">
        <v>270</v>
      </c>
      <c r="CJ17" s="94" t="s">
        <v>270</v>
      </c>
      <c r="CK17" s="94" t="s">
        <v>270</v>
      </c>
      <c r="CL17" s="94" t="s">
        <v>270</v>
      </c>
      <c r="CM17" s="94" t="s">
        <v>270</v>
      </c>
      <c r="CN17" s="94" t="s">
        <v>270</v>
      </c>
      <c r="CO17" s="94" t="s">
        <v>270</v>
      </c>
      <c r="CP17" s="94" t="s">
        <v>270</v>
      </c>
      <c r="CQ17" s="94" t="s">
        <v>270</v>
      </c>
      <c r="CR17" s="94">
        <v>0.63800339267051098</v>
      </c>
      <c r="CS17" s="94">
        <v>6.3800339267051101E-2</v>
      </c>
      <c r="CT17" s="94" t="s">
        <v>270</v>
      </c>
      <c r="CU17" s="94" t="s">
        <v>270</v>
      </c>
      <c r="CV17" s="94" t="s">
        <v>270</v>
      </c>
      <c r="CW17" s="94" t="s">
        <v>270</v>
      </c>
      <c r="CX17" s="94">
        <v>18.424854836301702</v>
      </c>
      <c r="CY17" s="94">
        <v>1.8424854836301703</v>
      </c>
      <c r="CZ17" s="94">
        <v>0.24109759478874701</v>
      </c>
      <c r="DA17" s="94">
        <v>2.4109759478874702E-2</v>
      </c>
      <c r="DB17" s="94">
        <v>30.6782180131869</v>
      </c>
      <c r="DC17" s="94">
        <v>3.06782180131869</v>
      </c>
      <c r="DD17" s="94" t="s">
        <v>270</v>
      </c>
      <c r="DE17" s="94" t="s">
        <v>270</v>
      </c>
      <c r="DF17" s="94" t="s">
        <v>270</v>
      </c>
      <c r="DG17" s="94" t="s">
        <v>270</v>
      </c>
      <c r="DH17" s="94" t="s">
        <v>270</v>
      </c>
      <c r="DI17" s="94" t="s">
        <v>270</v>
      </c>
      <c r="DJ17" s="94">
        <v>0.99931760139831627</v>
      </c>
      <c r="DK17" s="94">
        <v>0.98896814903526253</v>
      </c>
      <c r="DL17" s="94">
        <v>1.7320825060967073E-2</v>
      </c>
      <c r="DM17" s="94">
        <v>0.98877370026140843</v>
      </c>
      <c r="DN17" s="94">
        <v>4.4849218935191366E-8</v>
      </c>
      <c r="DO17" s="94">
        <v>1.8946350279555566E-7</v>
      </c>
      <c r="DP17" s="94">
        <v>3.3739244960497575E-4</v>
      </c>
      <c r="DQ17" s="94">
        <v>7.7188807283317531E-8</v>
      </c>
      <c r="DR17" s="94">
        <v>1.0815769072325203E-8</v>
      </c>
      <c r="DS17" s="94">
        <v>1.279226869294159E-2</v>
      </c>
      <c r="DT17" s="94">
        <v>6.9034140423054838E-3</v>
      </c>
      <c r="DU17" s="94">
        <v>3.3797626509601635E-4</v>
      </c>
      <c r="DV17" s="94">
        <v>5.2184108630448986E-8</v>
      </c>
      <c r="DW17" s="94">
        <v>1.0510872826035715E-8</v>
      </c>
      <c r="DX17" s="94">
        <v>2.304503356095702E-7</v>
      </c>
      <c r="DY17" s="94">
        <v>1.1472615049700915E-8</v>
      </c>
      <c r="DZ17" s="94">
        <v>3.980384381747379E-8</v>
      </c>
      <c r="EA17" s="94">
        <v>2.044927949698596E-5</v>
      </c>
      <c r="EB17" s="94">
        <v>2.4959506024158426E-9</v>
      </c>
      <c r="EC17" s="94">
        <v>1.9048044071068281E-10</v>
      </c>
      <c r="ED17" s="94">
        <v>1.9494796733570546E-3</v>
      </c>
      <c r="EE17" s="94">
        <v>4.5859808173861691E-4</v>
      </c>
      <c r="EF17" s="94">
        <v>7.6630062354870456E-7</v>
      </c>
      <c r="EG17" s="94">
        <v>3.0870967977248671E-9</v>
      </c>
      <c r="EH17" s="94">
        <v>1.2698696047378876E-9</v>
      </c>
      <c r="EI17" s="94">
        <v>7.0061771295884277E-10</v>
      </c>
      <c r="EJ17" s="94">
        <v>5.632183398489228E-8</v>
      </c>
      <c r="EK17" s="94">
        <v>2.2926734661302945E-7</v>
      </c>
      <c r="EL17" s="94">
        <v>3.5784172910196171E-4</v>
      </c>
      <c r="EM17" s="94">
        <v>7.9684757885733374E-8</v>
      </c>
      <c r="EN17" s="94">
        <v>1.1006249513035886E-8</v>
      </c>
      <c r="EO17" s="94">
        <v>1.4741748366298645E-2</v>
      </c>
      <c r="EP17" s="94">
        <v>7.3620121240441008E-3</v>
      </c>
      <c r="EQ17" s="94">
        <v>3.3874256571956506E-4</v>
      </c>
      <c r="ER17" s="94">
        <v>5.5271205428173853E-8</v>
      </c>
      <c r="ES17" s="94">
        <v>1.1780742430773602E-8</v>
      </c>
      <c r="ET17" s="94">
        <v>2.3115095332252904E-7</v>
      </c>
      <c r="EU17" s="94">
        <v>1.9987305256397243E-6</v>
      </c>
      <c r="EV17" s="94">
        <v>8.4436072156016563E-6</v>
      </c>
      <c r="EW17" s="94">
        <v>1.5057006600868093E-2</v>
      </c>
      <c r="EX17" s="94">
        <v>3.4511514443824821E-6</v>
      </c>
      <c r="EY17" s="94">
        <v>4.8546502251546625E-7</v>
      </c>
      <c r="EZ17" s="94">
        <v>0.57069448158516123</v>
      </c>
      <c r="FA17" s="94">
        <v>0.30778545383314759</v>
      </c>
      <c r="FB17" s="94">
        <v>1.5172078099156038E-2</v>
      </c>
      <c r="FC17" s="94">
        <v>2.326603830984628E-6</v>
      </c>
      <c r="FD17" s="94">
        <v>4.6862229950552117E-7</v>
      </c>
      <c r="FE17" s="94">
        <v>1.0274519346069093E-5</v>
      </c>
      <c r="FF17" s="94">
        <v>5.1128350622753356E-7</v>
      </c>
      <c r="FG17" s="94">
        <v>1.7738932190468648E-6</v>
      </c>
      <c r="FH17" s="94">
        <v>9.1260173939759076E-4</v>
      </c>
      <c r="FI17" s="94">
        <v>1.1159524068065832E-7</v>
      </c>
      <c r="FJ17" s="94">
        <v>8.5497009801160946E-9</v>
      </c>
      <c r="FK17" s="94">
        <v>8.6978377571856114E-2</v>
      </c>
      <c r="FL17" s="94">
        <v>2.0446378827915779E-2</v>
      </c>
      <c r="FM17" s="94">
        <v>3.439996860315174E-5</v>
      </c>
      <c r="FN17" s="94">
        <v>1.3763675235062175E-7</v>
      </c>
      <c r="FO17" s="94">
        <v>5.6616536427915295E-8</v>
      </c>
      <c r="FP17" s="94">
        <v>3.1236709753332343E-8</v>
      </c>
      <c r="FQ17" s="94">
        <v>2.5100140318672578E-6</v>
      </c>
      <c r="FR17" s="94">
        <v>1.0217500434648521E-5</v>
      </c>
      <c r="FS17" s="94">
        <v>1.5969608340265683E-2</v>
      </c>
      <c r="FT17" s="94">
        <v>3.5627466850631404E-6</v>
      </c>
      <c r="FU17" s="94">
        <v>4.9401472349558235E-7</v>
      </c>
      <c r="FV17" s="94">
        <v>0.65767285915701734</v>
      </c>
      <c r="FW17" s="94">
        <v>0.32823183266106337</v>
      </c>
      <c r="FX17" s="94">
        <v>1.520647806775919E-2</v>
      </c>
      <c r="FY17" s="94">
        <v>2.4642405833352497E-6</v>
      </c>
      <c r="FZ17" s="94">
        <v>5.2523883593343647E-7</v>
      </c>
      <c r="GA17" s="94">
        <v>1.0305756055822426E-5</v>
      </c>
      <c r="GB17" s="94">
        <v>8.0001591762821791E-6</v>
      </c>
      <c r="GC17" s="94">
        <v>1.7038946052867676E-4</v>
      </c>
      <c r="GD17" s="94">
        <v>0.60149729969147858</v>
      </c>
      <c r="GE17" s="94">
        <v>2.8919958873636323E-4</v>
      </c>
      <c r="GF17" s="94">
        <v>6.3738159201123115E-5</v>
      </c>
      <c r="GG17" s="94">
        <v>15.987092790437757</v>
      </c>
      <c r="GH17" s="94">
        <v>9.8487651801161231</v>
      </c>
      <c r="GI17" s="94">
        <v>0.66771557110480773</v>
      </c>
      <c r="GJ17" s="94">
        <v>3.7324448894417653E-5</v>
      </c>
      <c r="GK17" s="94">
        <v>9.4468632112719012E-7</v>
      </c>
      <c r="GL17" s="94">
        <v>4.522103650746698E-4</v>
      </c>
      <c r="GM17" s="94" t="s">
        <v>270</v>
      </c>
      <c r="GN17" s="94" t="s">
        <v>270</v>
      </c>
      <c r="GO17" s="94" t="s">
        <v>270</v>
      </c>
      <c r="GP17" s="94" t="s">
        <v>270</v>
      </c>
      <c r="GQ17" s="94" t="s">
        <v>270</v>
      </c>
      <c r="GR17" s="94" t="s">
        <v>270</v>
      </c>
      <c r="GS17" s="94" t="s">
        <v>270</v>
      </c>
      <c r="GT17" s="94" t="s">
        <v>270</v>
      </c>
      <c r="GU17" s="94" t="s">
        <v>270</v>
      </c>
      <c r="GV17" s="94" t="s">
        <v>270</v>
      </c>
      <c r="GW17" s="94" t="s">
        <v>270</v>
      </c>
      <c r="GX17" s="94" t="s">
        <v>270</v>
      </c>
      <c r="GY17" s="94" t="s">
        <v>270</v>
      </c>
      <c r="GZ17" s="94" t="s">
        <v>270</v>
      </c>
      <c r="HA17" s="94" t="s">
        <v>270</v>
      </c>
      <c r="HB17" s="94" t="s">
        <v>270</v>
      </c>
      <c r="HC17" s="94" t="s">
        <v>270</v>
      </c>
      <c r="HD17" s="94" t="s">
        <v>270</v>
      </c>
      <c r="HE17" s="94" t="s">
        <v>270</v>
      </c>
      <c r="HF17" s="94" t="s">
        <v>270</v>
      </c>
      <c r="HG17" s="94" t="s">
        <v>270</v>
      </c>
      <c r="HH17" s="94" t="s">
        <v>270</v>
      </c>
      <c r="HI17" s="94" t="s">
        <v>270</v>
      </c>
      <c r="HJ17" s="94" t="s">
        <v>270</v>
      </c>
      <c r="HK17" s="94" t="s">
        <v>270</v>
      </c>
      <c r="HL17" s="94" t="s">
        <v>270</v>
      </c>
      <c r="HM17" s="94" t="s">
        <v>270</v>
      </c>
      <c r="HN17" s="94" t="s">
        <v>270</v>
      </c>
      <c r="HO17" s="94" t="s">
        <v>270</v>
      </c>
      <c r="HP17" s="94" t="s">
        <v>270</v>
      </c>
      <c r="HQ17" s="94" t="s">
        <v>270</v>
      </c>
      <c r="HR17" s="94" t="s">
        <v>270</v>
      </c>
      <c r="HS17" s="94" t="s">
        <v>270</v>
      </c>
      <c r="HT17" s="94" t="s">
        <v>270</v>
      </c>
      <c r="HU17" s="94" t="s">
        <v>270</v>
      </c>
      <c r="HV17" s="94" t="s">
        <v>270</v>
      </c>
      <c r="HW17" s="94" t="s">
        <v>270</v>
      </c>
      <c r="HX17" s="94" t="s">
        <v>270</v>
      </c>
      <c r="HY17" s="94" t="s">
        <v>270</v>
      </c>
      <c r="HZ17" s="94" t="s">
        <v>270</v>
      </c>
      <c r="IA17" s="94" t="s">
        <v>270</v>
      </c>
      <c r="IB17" s="94" t="s">
        <v>270</v>
      </c>
      <c r="IC17" s="94" t="s">
        <v>270</v>
      </c>
      <c r="ID17" s="94" t="s">
        <v>270</v>
      </c>
      <c r="IE17" s="94" t="s">
        <v>270</v>
      </c>
      <c r="IF17" s="94" t="s">
        <v>270</v>
      </c>
      <c r="IG17" s="94" t="s">
        <v>270</v>
      </c>
      <c r="IH17" s="94" t="s">
        <v>270</v>
      </c>
      <c r="II17" s="94" t="s">
        <v>270</v>
      </c>
      <c r="IJ17" s="94" t="s">
        <v>270</v>
      </c>
      <c r="IK17" s="94" t="s">
        <v>270</v>
      </c>
      <c r="IL17" s="94" t="s">
        <v>270</v>
      </c>
      <c r="IM17" s="94" t="s">
        <v>270</v>
      </c>
      <c r="IN17" s="94" t="s">
        <v>270</v>
      </c>
      <c r="IO17" s="94" t="s">
        <v>270</v>
      </c>
      <c r="IP17" s="94" t="s">
        <v>270</v>
      </c>
      <c r="IQ17" s="94" t="s">
        <v>270</v>
      </c>
      <c r="IR17" s="94" t="s">
        <v>270</v>
      </c>
      <c r="IS17" s="94" t="s">
        <v>270</v>
      </c>
      <c r="IT17" s="94" t="s">
        <v>270</v>
      </c>
      <c r="IU17" s="94" t="s">
        <v>270</v>
      </c>
      <c r="IV17" s="94" t="s">
        <v>270</v>
      </c>
      <c r="IW17" s="94" t="s">
        <v>270</v>
      </c>
      <c r="IX17" s="94" t="s">
        <v>270</v>
      </c>
      <c r="IY17" s="94" t="s">
        <v>270</v>
      </c>
      <c r="IZ17" s="94" t="s">
        <v>270</v>
      </c>
      <c r="JA17" s="94" t="s">
        <v>270</v>
      </c>
      <c r="JB17" s="94" t="s">
        <v>270</v>
      </c>
      <c r="JC17" s="94" t="s">
        <v>270</v>
      </c>
      <c r="JD17" s="94" t="s">
        <v>270</v>
      </c>
      <c r="JE17" s="94" t="s">
        <v>270</v>
      </c>
      <c r="JF17" s="94" t="s">
        <v>270</v>
      </c>
      <c r="JG17" s="94" t="s">
        <v>270</v>
      </c>
      <c r="JH17" s="94" t="s">
        <v>270</v>
      </c>
      <c r="JI17" s="94" t="s">
        <v>270</v>
      </c>
      <c r="JJ17" s="94" t="s">
        <v>270</v>
      </c>
      <c r="JK17" s="94" t="s">
        <v>270</v>
      </c>
      <c r="JL17" s="94" t="s">
        <v>270</v>
      </c>
      <c r="JM17" s="94" t="s">
        <v>270</v>
      </c>
    </row>
    <row r="18" spans="1:273">
      <c r="A18" s="94" t="s">
        <v>626</v>
      </c>
      <c r="B18" s="94" t="s">
        <v>627</v>
      </c>
      <c r="C18" s="94" t="s">
        <v>672</v>
      </c>
      <c r="D18" s="95">
        <v>41507</v>
      </c>
      <c r="E18" s="94" t="s">
        <v>673</v>
      </c>
      <c r="F18" s="94">
        <v>0.31770079722</v>
      </c>
      <c r="G18" s="94">
        <v>50.304878048780402</v>
      </c>
      <c r="H18" s="94">
        <v>19.7000007629</v>
      </c>
      <c r="I18" s="94">
        <v>1</v>
      </c>
      <c r="J18" s="94">
        <v>0</v>
      </c>
      <c r="K18" s="94">
        <v>0</v>
      </c>
      <c r="L18" s="94" t="s">
        <v>630</v>
      </c>
      <c r="M18" s="94" t="s">
        <v>631</v>
      </c>
      <c r="N18" s="94">
        <v>5.5991997709386712E-26</v>
      </c>
      <c r="O18" s="96" t="s">
        <v>270</v>
      </c>
      <c r="P18" s="94">
        <v>13.001063030108252</v>
      </c>
      <c r="Q18" s="94">
        <v>0.29345512718208178</v>
      </c>
      <c r="R18" s="94">
        <v>1.9093869861557107</v>
      </c>
      <c r="S18" s="94">
        <v>0.24909101609909948</v>
      </c>
      <c r="T18" s="94" t="s">
        <v>270</v>
      </c>
      <c r="U18" s="94" t="s">
        <v>270</v>
      </c>
      <c r="V18" s="94" t="s">
        <v>632</v>
      </c>
      <c r="W18" s="94" t="s">
        <v>270</v>
      </c>
      <c r="X18" s="94">
        <v>0.2</v>
      </c>
      <c r="Y18" s="94">
        <v>0.14142135623730953</v>
      </c>
      <c r="Z18" s="94" t="s">
        <v>632</v>
      </c>
      <c r="AA18" s="94" t="s">
        <v>270</v>
      </c>
      <c r="AB18" s="94" t="s">
        <v>632</v>
      </c>
      <c r="AC18" s="94" t="s">
        <v>270</v>
      </c>
      <c r="AD18" s="94" t="s">
        <v>644</v>
      </c>
      <c r="AE18" s="94" t="s">
        <v>98</v>
      </c>
      <c r="AF18" s="94">
        <v>2.8029078305408312E-5</v>
      </c>
      <c r="AG18" s="94">
        <v>16</v>
      </c>
      <c r="AH18" s="97">
        <v>42880.56287037037</v>
      </c>
      <c r="AI18" s="94" t="s">
        <v>674</v>
      </c>
      <c r="AJ18" s="98" t="s">
        <v>675</v>
      </c>
      <c r="AK18" s="96" t="s">
        <v>270</v>
      </c>
      <c r="AL18" s="96" t="s">
        <v>270</v>
      </c>
      <c r="AM18" s="96">
        <v>4.9882007564345798E-2</v>
      </c>
      <c r="AN18" s="96" t="s">
        <v>270</v>
      </c>
      <c r="AO18" s="96" t="s">
        <v>270</v>
      </c>
      <c r="AP18" s="96">
        <v>0.12222916933972194</v>
      </c>
      <c r="AQ18" s="96">
        <v>-0.9772121759359037</v>
      </c>
      <c r="AR18" s="96">
        <v>10.632387956099008</v>
      </c>
      <c r="AS18" s="96" t="s">
        <v>270</v>
      </c>
      <c r="AT18" s="96" t="s">
        <v>270</v>
      </c>
      <c r="AU18" s="96" t="s">
        <v>270</v>
      </c>
      <c r="AV18" s="94" t="s">
        <v>270</v>
      </c>
      <c r="AW18" s="94" t="s">
        <v>270</v>
      </c>
      <c r="AX18" s="94" t="s">
        <v>270</v>
      </c>
      <c r="AY18" s="94" t="s">
        <v>270</v>
      </c>
      <c r="AZ18" s="94" t="s">
        <v>270</v>
      </c>
      <c r="BA18" s="94" t="s">
        <v>270</v>
      </c>
      <c r="BB18" s="94" t="s">
        <v>270</v>
      </c>
      <c r="BC18" s="94" t="s">
        <v>270</v>
      </c>
      <c r="BD18" s="94" t="s">
        <v>270</v>
      </c>
      <c r="BE18" s="94" t="s">
        <v>270</v>
      </c>
      <c r="BF18" s="94" t="s">
        <v>270</v>
      </c>
      <c r="BG18" s="94" t="s">
        <v>270</v>
      </c>
      <c r="BH18" s="94" t="s">
        <v>270</v>
      </c>
      <c r="BI18" s="94" t="s">
        <v>270</v>
      </c>
      <c r="BJ18" s="94" t="s">
        <v>270</v>
      </c>
      <c r="BK18" s="94" t="s">
        <v>270</v>
      </c>
      <c r="BL18" s="94" t="s">
        <v>270</v>
      </c>
      <c r="BM18" s="94" t="s">
        <v>270</v>
      </c>
      <c r="BN18" s="94" t="s">
        <v>270</v>
      </c>
      <c r="BO18" s="94" t="s">
        <v>270</v>
      </c>
      <c r="BP18" s="94" t="s">
        <v>270</v>
      </c>
      <c r="BQ18" s="94" t="s">
        <v>270</v>
      </c>
      <c r="BR18" s="94" t="s">
        <v>270</v>
      </c>
      <c r="BS18" s="94" t="s">
        <v>270</v>
      </c>
      <c r="BT18" s="94" t="s">
        <v>270</v>
      </c>
      <c r="BU18" s="94" t="s">
        <v>270</v>
      </c>
      <c r="BV18" s="94" t="s">
        <v>270</v>
      </c>
      <c r="BW18" s="94" t="s">
        <v>270</v>
      </c>
      <c r="BX18" s="94" t="s">
        <v>270</v>
      </c>
      <c r="BY18" s="94" t="s">
        <v>270</v>
      </c>
      <c r="BZ18" s="94" t="s">
        <v>270</v>
      </c>
      <c r="CA18" s="94" t="s">
        <v>270</v>
      </c>
      <c r="CB18" s="94" t="s">
        <v>270</v>
      </c>
      <c r="CC18" s="94" t="s">
        <v>270</v>
      </c>
      <c r="CD18" s="94" t="s">
        <v>270</v>
      </c>
      <c r="CE18" s="94" t="s">
        <v>270</v>
      </c>
      <c r="CF18" s="94" t="s">
        <v>270</v>
      </c>
      <c r="CG18" s="94" t="s">
        <v>270</v>
      </c>
      <c r="CH18" s="94" t="s">
        <v>270</v>
      </c>
      <c r="CI18" s="94" t="s">
        <v>270</v>
      </c>
      <c r="CJ18" s="94" t="s">
        <v>270</v>
      </c>
      <c r="CK18" s="94" t="s">
        <v>270</v>
      </c>
      <c r="CL18" s="94" t="s">
        <v>270</v>
      </c>
      <c r="CM18" s="94" t="s">
        <v>270</v>
      </c>
      <c r="CN18" s="94" t="s">
        <v>270</v>
      </c>
      <c r="CO18" s="94" t="s">
        <v>270</v>
      </c>
      <c r="CP18" s="94" t="s">
        <v>270</v>
      </c>
      <c r="CQ18" s="94" t="s">
        <v>270</v>
      </c>
      <c r="CR18" s="94">
        <v>0.66986595230105905</v>
      </c>
      <c r="CS18" s="94">
        <v>6.6986595230105903E-2</v>
      </c>
      <c r="CT18" s="94" t="s">
        <v>270</v>
      </c>
      <c r="CU18" s="94" t="s">
        <v>270</v>
      </c>
      <c r="CV18" s="94" t="s">
        <v>270</v>
      </c>
      <c r="CW18" s="94" t="s">
        <v>270</v>
      </c>
      <c r="CX18" s="94">
        <v>18.954196028004802</v>
      </c>
      <c r="CY18" s="94">
        <v>1.8954196028004802</v>
      </c>
      <c r="CZ18" s="94">
        <v>0.23815506878568601</v>
      </c>
      <c r="DA18" s="94">
        <v>2.3815506878568603E-2</v>
      </c>
      <c r="DB18" s="94">
        <v>8.4699874820986008</v>
      </c>
      <c r="DC18" s="94">
        <v>0.8469987482098601</v>
      </c>
      <c r="DD18" s="94" t="s">
        <v>270</v>
      </c>
      <c r="DE18" s="94" t="s">
        <v>270</v>
      </c>
      <c r="DF18" s="94" t="s">
        <v>270</v>
      </c>
      <c r="DG18" s="94" t="s">
        <v>270</v>
      </c>
      <c r="DH18" s="94" t="s">
        <v>270</v>
      </c>
      <c r="DI18" s="94" t="s">
        <v>270</v>
      </c>
      <c r="DJ18" s="94">
        <v>0.99962691400111658</v>
      </c>
      <c r="DK18" s="94">
        <v>0.9939575010916728</v>
      </c>
      <c r="DL18" s="94">
        <v>1.476430824891573E-2</v>
      </c>
      <c r="DM18" s="94">
        <v>0.99386695086371901</v>
      </c>
      <c r="DN18" s="94">
        <v>4.5513402597119795E-8</v>
      </c>
      <c r="DO18" s="94">
        <v>1.9463148745223392E-7</v>
      </c>
      <c r="DP18" s="94">
        <v>3.5777886739675094E-4</v>
      </c>
      <c r="DQ18" s="94">
        <v>8.2959306270607327E-8</v>
      </c>
      <c r="DR18" s="94">
        <v>1.1792202898761002E-8</v>
      </c>
      <c r="DS18" s="94">
        <v>1.3510377642130094E-2</v>
      </c>
      <c r="DT18" s="94">
        <v>7.3232642702657745E-3</v>
      </c>
      <c r="DU18" s="94">
        <v>3.6844628758243912E-4</v>
      </c>
      <c r="DV18" s="94">
        <v>5.56072727951481E-8</v>
      </c>
      <c r="DW18" s="94">
        <v>1.081230594158447E-8</v>
      </c>
      <c r="DX18" s="94">
        <v>2.5235290155409359E-7</v>
      </c>
      <c r="DY18" s="94">
        <v>1.0005187807455928E-8</v>
      </c>
      <c r="DZ18" s="94">
        <v>3.4712655408310823E-8</v>
      </c>
      <c r="EA18" s="94">
        <v>1.7833674450694326E-5</v>
      </c>
      <c r="EB18" s="94">
        <v>2.1767011642175143E-9</v>
      </c>
      <c r="EC18" s="94">
        <v>1.6611666779554639E-10</v>
      </c>
      <c r="ED18" s="94">
        <v>1.6508489852854105E-3</v>
      </c>
      <c r="EE18" s="94">
        <v>3.9994019812017532E-4</v>
      </c>
      <c r="EF18" s="94">
        <v>6.6828544515449336E-7</v>
      </c>
      <c r="EG18" s="94">
        <v>2.6922356504795547E-9</v>
      </c>
      <c r="EH18" s="94">
        <v>1.1074444519703126E-9</v>
      </c>
      <c r="EI18" s="94">
        <v>6.1100383556982764E-10</v>
      </c>
      <c r="EJ18" s="94">
        <v>5.5518590404575722E-8</v>
      </c>
      <c r="EK18" s="94">
        <v>2.2934414286054474E-7</v>
      </c>
      <c r="EL18" s="94">
        <v>3.7561254184744527E-4</v>
      </c>
      <c r="EM18" s="94">
        <v>8.5136007434824841E-8</v>
      </c>
      <c r="EN18" s="94">
        <v>1.1958319566556548E-8</v>
      </c>
      <c r="EO18" s="94">
        <v>1.5161226627415505E-2</v>
      </c>
      <c r="EP18" s="94">
        <v>7.7232044683859498E-3</v>
      </c>
      <c r="EQ18" s="94">
        <v>3.6911457302759361E-4</v>
      </c>
      <c r="ER18" s="94">
        <v>5.8299508445627655E-8</v>
      </c>
      <c r="ES18" s="94">
        <v>1.1919750393554782E-8</v>
      </c>
      <c r="ET18" s="94">
        <v>2.5296390538966341E-7</v>
      </c>
      <c r="EU18" s="94">
        <v>2.028958058533544E-6</v>
      </c>
      <c r="EV18" s="94">
        <v>8.6766077714119651E-6</v>
      </c>
      <c r="EW18" s="94">
        <v>1.597174508072071E-2</v>
      </c>
      <c r="EX18" s="94">
        <v>3.7103015061161316E-6</v>
      </c>
      <c r="EY18" s="94">
        <v>5.2945601363293284E-7</v>
      </c>
      <c r="EZ18" s="94">
        <v>0.60291764271970849</v>
      </c>
      <c r="FA18" s="94">
        <v>0.32660533875704534</v>
      </c>
      <c r="FB18" s="94">
        <v>1.6545026073905105E-2</v>
      </c>
      <c r="FC18" s="94">
        <v>2.4799913670131228E-6</v>
      </c>
      <c r="FD18" s="94">
        <v>4.8221076209610149E-7</v>
      </c>
      <c r="FE18" s="94">
        <v>1.125451736502838E-5</v>
      </c>
      <c r="FF18" s="94">
        <v>4.4602480304041017E-7</v>
      </c>
      <c r="FG18" s="94">
        <v>1.5474787745020562E-6</v>
      </c>
      <c r="FH18" s="94">
        <v>7.9611997279646629E-4</v>
      </c>
      <c r="FI18" s="94">
        <v>9.7351556697170519E-8</v>
      </c>
      <c r="FJ18" s="94">
        <v>7.458442623833891E-9</v>
      </c>
      <c r="FK18" s="94">
        <v>7.367388178504608E-2</v>
      </c>
      <c r="FL18" s="94">
        <v>1.7836663961446675E-2</v>
      </c>
      <c r="FM18" s="94">
        <v>3.0009259117363962E-5</v>
      </c>
      <c r="FN18" s="94">
        <v>1.2006920741735783E-7</v>
      </c>
      <c r="FO18" s="94">
        <v>4.9390170426998337E-8</v>
      </c>
      <c r="FP18" s="94">
        <v>2.7249749201102005E-8</v>
      </c>
      <c r="FQ18" s="94">
        <v>2.4749828615739542E-6</v>
      </c>
      <c r="FR18" s="94">
        <v>1.0224086545914021E-5</v>
      </c>
      <c r="FS18" s="94">
        <v>1.6767865053517177E-2</v>
      </c>
      <c r="FT18" s="94">
        <v>3.8076530628133022E-6</v>
      </c>
      <c r="FU18" s="94">
        <v>5.3691445625676673E-7</v>
      </c>
      <c r="FV18" s="94">
        <v>0.67659152450475457</v>
      </c>
      <c r="FW18" s="94">
        <v>0.34444200271849201</v>
      </c>
      <c r="FX18" s="94">
        <v>1.6575035333022469E-2</v>
      </c>
      <c r="FY18" s="94">
        <v>2.6000605744304806E-6</v>
      </c>
      <c r="FZ18" s="94">
        <v>5.3160093252309982E-7</v>
      </c>
      <c r="GA18" s="94">
        <v>1.1281767114229482E-5</v>
      </c>
      <c r="GB18" s="94">
        <v>8.1211485100391448E-6</v>
      </c>
      <c r="GC18" s="94">
        <v>1.7509134184476205E-4</v>
      </c>
      <c r="GD18" s="94">
        <v>0.63803927248463099</v>
      </c>
      <c r="GE18" s="94">
        <v>3.1091584560951962E-4</v>
      </c>
      <c r="GF18" s="94">
        <v>6.951386839790866E-5</v>
      </c>
      <c r="GG18" s="94">
        <v>16.889773092564283</v>
      </c>
      <c r="GH18" s="94">
        <v>10.450978913818942</v>
      </c>
      <c r="GI18" s="94">
        <v>0.7281383249995268</v>
      </c>
      <c r="GJ18" s="94">
        <v>3.9785162305653339E-5</v>
      </c>
      <c r="GK18" s="94">
        <v>9.720790310942892E-7</v>
      </c>
      <c r="GL18" s="94">
        <v>4.9534282188352105E-4</v>
      </c>
      <c r="GM18" s="94" t="s">
        <v>270</v>
      </c>
      <c r="GN18" s="94" t="s">
        <v>270</v>
      </c>
      <c r="GO18" s="94" t="s">
        <v>270</v>
      </c>
      <c r="GP18" s="94" t="s">
        <v>270</v>
      </c>
      <c r="GQ18" s="94" t="s">
        <v>270</v>
      </c>
      <c r="GR18" s="94" t="s">
        <v>270</v>
      </c>
      <c r="GS18" s="94" t="s">
        <v>270</v>
      </c>
      <c r="GT18" s="94" t="s">
        <v>270</v>
      </c>
      <c r="GU18" s="94" t="s">
        <v>270</v>
      </c>
      <c r="GV18" s="94" t="s">
        <v>270</v>
      </c>
      <c r="GW18" s="94" t="s">
        <v>270</v>
      </c>
      <c r="GX18" s="94" t="s">
        <v>270</v>
      </c>
      <c r="GY18" s="94" t="s">
        <v>270</v>
      </c>
      <c r="GZ18" s="94" t="s">
        <v>270</v>
      </c>
      <c r="HA18" s="94" t="s">
        <v>270</v>
      </c>
      <c r="HB18" s="94" t="s">
        <v>270</v>
      </c>
      <c r="HC18" s="94" t="s">
        <v>270</v>
      </c>
      <c r="HD18" s="94" t="s">
        <v>270</v>
      </c>
      <c r="HE18" s="94" t="s">
        <v>270</v>
      </c>
      <c r="HF18" s="94" t="s">
        <v>270</v>
      </c>
      <c r="HG18" s="94" t="s">
        <v>270</v>
      </c>
      <c r="HH18" s="94" t="s">
        <v>270</v>
      </c>
      <c r="HI18" s="94" t="s">
        <v>270</v>
      </c>
      <c r="HJ18" s="94" t="s">
        <v>270</v>
      </c>
      <c r="HK18" s="94" t="s">
        <v>270</v>
      </c>
      <c r="HL18" s="94" t="s">
        <v>270</v>
      </c>
      <c r="HM18" s="94" t="s">
        <v>270</v>
      </c>
      <c r="HN18" s="94" t="s">
        <v>270</v>
      </c>
      <c r="HO18" s="94" t="s">
        <v>270</v>
      </c>
      <c r="HP18" s="94" t="s">
        <v>270</v>
      </c>
      <c r="HQ18" s="94" t="s">
        <v>270</v>
      </c>
      <c r="HR18" s="94" t="s">
        <v>270</v>
      </c>
      <c r="HS18" s="94" t="s">
        <v>270</v>
      </c>
      <c r="HT18" s="94" t="s">
        <v>270</v>
      </c>
      <c r="HU18" s="94" t="s">
        <v>270</v>
      </c>
      <c r="HV18" s="94" t="s">
        <v>270</v>
      </c>
      <c r="HW18" s="94" t="s">
        <v>270</v>
      </c>
      <c r="HX18" s="94" t="s">
        <v>270</v>
      </c>
      <c r="HY18" s="94" t="s">
        <v>270</v>
      </c>
      <c r="HZ18" s="94" t="s">
        <v>270</v>
      </c>
      <c r="IA18" s="94" t="s">
        <v>270</v>
      </c>
      <c r="IB18" s="94" t="s">
        <v>270</v>
      </c>
      <c r="IC18" s="94" t="s">
        <v>270</v>
      </c>
      <c r="ID18" s="94" t="s">
        <v>270</v>
      </c>
      <c r="IE18" s="94" t="s">
        <v>270</v>
      </c>
      <c r="IF18" s="94" t="s">
        <v>270</v>
      </c>
      <c r="IG18" s="94" t="s">
        <v>270</v>
      </c>
      <c r="IH18" s="94" t="s">
        <v>270</v>
      </c>
      <c r="II18" s="94" t="s">
        <v>270</v>
      </c>
      <c r="IJ18" s="94" t="s">
        <v>270</v>
      </c>
      <c r="IK18" s="94" t="s">
        <v>270</v>
      </c>
      <c r="IL18" s="94" t="s">
        <v>270</v>
      </c>
      <c r="IM18" s="94" t="s">
        <v>270</v>
      </c>
      <c r="IN18" s="94" t="s">
        <v>270</v>
      </c>
      <c r="IO18" s="94" t="s">
        <v>270</v>
      </c>
      <c r="IP18" s="94" t="s">
        <v>270</v>
      </c>
      <c r="IQ18" s="94" t="s">
        <v>270</v>
      </c>
      <c r="IR18" s="94" t="s">
        <v>270</v>
      </c>
      <c r="IS18" s="94" t="s">
        <v>270</v>
      </c>
      <c r="IT18" s="94" t="s">
        <v>270</v>
      </c>
      <c r="IU18" s="94" t="s">
        <v>270</v>
      </c>
      <c r="IV18" s="94" t="s">
        <v>270</v>
      </c>
      <c r="IW18" s="94" t="s">
        <v>270</v>
      </c>
      <c r="IX18" s="94" t="s">
        <v>270</v>
      </c>
      <c r="IY18" s="94" t="s">
        <v>270</v>
      </c>
      <c r="IZ18" s="94" t="s">
        <v>270</v>
      </c>
      <c r="JA18" s="94" t="s">
        <v>270</v>
      </c>
      <c r="JB18" s="94" t="s">
        <v>270</v>
      </c>
      <c r="JC18" s="94" t="s">
        <v>270</v>
      </c>
      <c r="JD18" s="94" t="s">
        <v>270</v>
      </c>
      <c r="JE18" s="94" t="s">
        <v>270</v>
      </c>
      <c r="JF18" s="94" t="s">
        <v>270</v>
      </c>
      <c r="JG18" s="94" t="s">
        <v>270</v>
      </c>
      <c r="JH18" s="94" t="s">
        <v>270</v>
      </c>
      <c r="JI18" s="94" t="s">
        <v>270</v>
      </c>
      <c r="JJ18" s="94" t="s">
        <v>270</v>
      </c>
      <c r="JK18" s="94" t="s">
        <v>270</v>
      </c>
      <c r="JL18" s="94" t="s">
        <v>270</v>
      </c>
      <c r="JM18" s="94" t="s">
        <v>270</v>
      </c>
    </row>
    <row r="19" spans="1:273">
      <c r="A19" s="94" t="s">
        <v>626</v>
      </c>
      <c r="B19" s="94" t="s">
        <v>627</v>
      </c>
      <c r="C19" s="94" t="s">
        <v>672</v>
      </c>
      <c r="D19" s="95">
        <v>41507</v>
      </c>
      <c r="E19" s="94" t="s">
        <v>676</v>
      </c>
      <c r="F19" s="94">
        <v>0.31770079722</v>
      </c>
      <c r="G19" s="94">
        <v>50.304878048780402</v>
      </c>
      <c r="H19" s="94">
        <v>19.7000007629</v>
      </c>
      <c r="I19" s="94">
        <v>1</v>
      </c>
      <c r="J19" s="94">
        <v>0</v>
      </c>
      <c r="K19" s="94">
        <v>0</v>
      </c>
      <c r="L19" s="94" t="s">
        <v>630</v>
      </c>
      <c r="M19" s="94" t="s">
        <v>631</v>
      </c>
      <c r="N19" s="94">
        <v>5.3254645871308829E-26</v>
      </c>
      <c r="O19" s="96" t="s">
        <v>270</v>
      </c>
      <c r="P19" s="94">
        <v>13.303027496490397</v>
      </c>
      <c r="Q19" s="94">
        <v>0.29687232102456335</v>
      </c>
      <c r="R19" s="94">
        <v>1.9121145612720589</v>
      </c>
      <c r="S19" s="94">
        <v>0.24909530906046981</v>
      </c>
      <c r="T19" s="94" t="s">
        <v>270</v>
      </c>
      <c r="U19" s="94" t="s">
        <v>270</v>
      </c>
      <c r="V19" s="94" t="s">
        <v>632</v>
      </c>
      <c r="W19" s="94" t="s">
        <v>270</v>
      </c>
      <c r="X19" s="94">
        <v>0.2</v>
      </c>
      <c r="Y19" s="94">
        <v>0.14142135623730953</v>
      </c>
      <c r="Z19" s="94" t="s">
        <v>632</v>
      </c>
      <c r="AA19" s="94" t="s">
        <v>270</v>
      </c>
      <c r="AB19" s="94" t="s">
        <v>632</v>
      </c>
      <c r="AC19" s="94" t="s">
        <v>270</v>
      </c>
      <c r="AD19" s="94" t="s">
        <v>644</v>
      </c>
      <c r="AE19" s="94" t="s">
        <v>98</v>
      </c>
      <c r="AF19" s="94">
        <v>1.9811901811012897E-5</v>
      </c>
      <c r="AG19" s="94">
        <v>14</v>
      </c>
      <c r="AH19" s="97">
        <v>42880.56287037037</v>
      </c>
      <c r="AI19" s="94" t="s">
        <v>674</v>
      </c>
      <c r="AJ19" s="98" t="s">
        <v>677</v>
      </c>
      <c r="AK19" s="96" t="s">
        <v>270</v>
      </c>
      <c r="AL19" s="96" t="s">
        <v>270</v>
      </c>
      <c r="AM19" s="96">
        <v>5.0285954148781009E-2</v>
      </c>
      <c r="AN19" s="96" t="s">
        <v>270</v>
      </c>
      <c r="AO19" s="96" t="s">
        <v>270</v>
      </c>
      <c r="AP19" s="96">
        <v>0.12314097679402769</v>
      </c>
      <c r="AQ19" s="96">
        <v>-0.97548036539988636</v>
      </c>
      <c r="AR19" s="96">
        <v>10.714626824803078</v>
      </c>
      <c r="AS19" s="96" t="s">
        <v>270</v>
      </c>
      <c r="AT19" s="96" t="s">
        <v>270</v>
      </c>
      <c r="AU19" s="96" t="s">
        <v>270</v>
      </c>
      <c r="AV19" s="94" t="s">
        <v>270</v>
      </c>
      <c r="AW19" s="94" t="s">
        <v>270</v>
      </c>
      <c r="AX19" s="94" t="s">
        <v>270</v>
      </c>
      <c r="AY19" s="94" t="s">
        <v>270</v>
      </c>
      <c r="AZ19" s="94" t="s">
        <v>270</v>
      </c>
      <c r="BA19" s="94" t="s">
        <v>270</v>
      </c>
      <c r="BB19" s="94" t="s">
        <v>270</v>
      </c>
      <c r="BC19" s="94" t="s">
        <v>270</v>
      </c>
      <c r="BD19" s="94" t="s">
        <v>270</v>
      </c>
      <c r="BE19" s="94" t="s">
        <v>270</v>
      </c>
      <c r="BF19" s="94" t="s">
        <v>270</v>
      </c>
      <c r="BG19" s="94" t="s">
        <v>270</v>
      </c>
      <c r="BH19" s="94" t="s">
        <v>270</v>
      </c>
      <c r="BI19" s="94" t="s">
        <v>270</v>
      </c>
      <c r="BJ19" s="94" t="s">
        <v>270</v>
      </c>
      <c r="BK19" s="94" t="s">
        <v>270</v>
      </c>
      <c r="BL19" s="94" t="s">
        <v>270</v>
      </c>
      <c r="BM19" s="94" t="s">
        <v>270</v>
      </c>
      <c r="BN19" s="94" t="s">
        <v>270</v>
      </c>
      <c r="BO19" s="94" t="s">
        <v>270</v>
      </c>
      <c r="BP19" s="94" t="s">
        <v>270</v>
      </c>
      <c r="BQ19" s="94" t="s">
        <v>270</v>
      </c>
      <c r="BR19" s="94" t="s">
        <v>270</v>
      </c>
      <c r="BS19" s="94" t="s">
        <v>270</v>
      </c>
      <c r="BT19" s="94" t="s">
        <v>270</v>
      </c>
      <c r="BU19" s="94" t="s">
        <v>270</v>
      </c>
      <c r="BV19" s="94" t="s">
        <v>270</v>
      </c>
      <c r="BW19" s="94" t="s">
        <v>270</v>
      </c>
      <c r="BX19" s="94" t="s">
        <v>270</v>
      </c>
      <c r="BY19" s="94" t="s">
        <v>270</v>
      </c>
      <c r="BZ19" s="94" t="s">
        <v>270</v>
      </c>
      <c r="CA19" s="94" t="s">
        <v>270</v>
      </c>
      <c r="CB19" s="94" t="s">
        <v>270</v>
      </c>
      <c r="CC19" s="94" t="s">
        <v>270</v>
      </c>
      <c r="CD19" s="94" t="s">
        <v>270</v>
      </c>
      <c r="CE19" s="94" t="s">
        <v>270</v>
      </c>
      <c r="CF19" s="94" t="s">
        <v>270</v>
      </c>
      <c r="CG19" s="94" t="s">
        <v>270</v>
      </c>
      <c r="CH19" s="94" t="s">
        <v>270</v>
      </c>
      <c r="CI19" s="94" t="s">
        <v>270</v>
      </c>
      <c r="CJ19" s="94" t="s">
        <v>270</v>
      </c>
      <c r="CK19" s="94" t="s">
        <v>270</v>
      </c>
      <c r="CL19" s="94" t="s">
        <v>270</v>
      </c>
      <c r="CM19" s="94" t="s">
        <v>270</v>
      </c>
      <c r="CN19" s="94" t="s">
        <v>270</v>
      </c>
      <c r="CO19" s="94" t="s">
        <v>270</v>
      </c>
      <c r="CP19" s="94" t="s">
        <v>270</v>
      </c>
      <c r="CQ19" s="94" t="s">
        <v>270</v>
      </c>
      <c r="CR19" s="94">
        <v>0.66566695574964596</v>
      </c>
      <c r="CS19" s="94">
        <v>6.6566695574964599E-2</v>
      </c>
      <c r="CT19" s="94" t="s">
        <v>270</v>
      </c>
      <c r="CU19" s="94" t="s">
        <v>270</v>
      </c>
      <c r="CV19" s="94" t="s">
        <v>270</v>
      </c>
      <c r="CW19" s="94" t="s">
        <v>270</v>
      </c>
      <c r="CX19" s="94">
        <v>18.852789007330699</v>
      </c>
      <c r="CY19" s="94">
        <v>1.8852789007330699</v>
      </c>
      <c r="CZ19" s="94">
        <v>0.25453580689320998</v>
      </c>
      <c r="DA19" s="94">
        <v>2.5453580689321E-2</v>
      </c>
      <c r="DB19" s="94">
        <v>8.4441906470059305</v>
      </c>
      <c r="DC19" s="94">
        <v>0.84441906470059314</v>
      </c>
      <c r="DD19" s="94" t="s">
        <v>270</v>
      </c>
      <c r="DE19" s="94" t="s">
        <v>270</v>
      </c>
      <c r="DF19" s="94" t="s">
        <v>270</v>
      </c>
      <c r="DG19" s="94" t="s">
        <v>270</v>
      </c>
      <c r="DH19" s="94" t="s">
        <v>270</v>
      </c>
      <c r="DI19" s="94" t="s">
        <v>270</v>
      </c>
      <c r="DJ19" s="94">
        <v>0.99958786770190333</v>
      </c>
      <c r="DK19" s="94">
        <v>0.9939575010916728</v>
      </c>
      <c r="DL19" s="94">
        <v>1.505856138332329E-2</v>
      </c>
      <c r="DM19" s="94">
        <v>0.99386511860358551</v>
      </c>
      <c r="DN19" s="94">
        <v>4.5459569699348435E-8</v>
      </c>
      <c r="DO19" s="94">
        <v>1.9410787444226224E-7</v>
      </c>
      <c r="DP19" s="94">
        <v>3.5541330294517189E-4</v>
      </c>
      <c r="DQ19" s="94">
        <v>8.2274750792776775E-8</v>
      </c>
      <c r="DR19" s="94">
        <v>1.1673891196349593E-8</v>
      </c>
      <c r="DS19" s="94">
        <v>1.3427710599094979E-2</v>
      </c>
      <c r="DT19" s="94">
        <v>7.2744404142521812E-3</v>
      </c>
      <c r="DU19" s="94">
        <v>3.6475968356784548E-4</v>
      </c>
      <c r="DV19" s="94">
        <v>5.5205184399897565E-8</v>
      </c>
      <c r="DW19" s="94">
        <v>1.0781175337091007E-8</v>
      </c>
      <c r="DX19" s="94">
        <v>2.4968908684765501E-7</v>
      </c>
      <c r="DY19" s="94">
        <v>1.0019480301065592E-8</v>
      </c>
      <c r="DZ19" s="94">
        <v>3.4762242723926034E-8</v>
      </c>
      <c r="EA19" s="94">
        <v>1.7859150002281002E-5</v>
      </c>
      <c r="EB19" s="94">
        <v>2.1798105998501475E-9</v>
      </c>
      <c r="EC19" s="94">
        <v>1.6635396683066953E-10</v>
      </c>
      <c r="ED19" s="94">
        <v>1.6529787850392604E-3</v>
      </c>
      <c r="EE19" s="94">
        <v>4.0051151600404514E-4</v>
      </c>
      <c r="EF19" s="94">
        <v>6.6924009644523785E-7</v>
      </c>
      <c r="EG19" s="94">
        <v>2.6960815313935996E-9</v>
      </c>
      <c r="EH19" s="94">
        <v>1.1090264455377936E-9</v>
      </c>
      <c r="EI19" s="94">
        <v>6.1187665960703479E-10</v>
      </c>
      <c r="EJ19" s="94">
        <v>5.5479050000414026E-8</v>
      </c>
      <c r="EK19" s="94">
        <v>2.2887011716618827E-7</v>
      </c>
      <c r="EL19" s="94">
        <v>3.7327245294745289E-4</v>
      </c>
      <c r="EM19" s="94">
        <v>8.4454561392626922E-8</v>
      </c>
      <c r="EN19" s="94">
        <v>1.1840245163180263E-8</v>
      </c>
      <c r="EO19" s="94">
        <v>1.508068938413424E-2</v>
      </c>
      <c r="EP19" s="94">
        <v>7.6749519302562264E-3</v>
      </c>
      <c r="EQ19" s="94">
        <v>3.6542892366429072E-4</v>
      </c>
      <c r="ER19" s="94">
        <v>5.7901265931291164E-8</v>
      </c>
      <c r="ES19" s="94">
        <v>1.1890201782628801E-8</v>
      </c>
      <c r="ET19" s="94">
        <v>2.5030096350726205E-7</v>
      </c>
      <c r="EU19" s="94">
        <v>2.0264790636276768E-6</v>
      </c>
      <c r="EV19" s="94">
        <v>8.6529272713520296E-6</v>
      </c>
      <c r="EW19" s="94">
        <v>1.5865523255851097E-2</v>
      </c>
      <c r="EX19" s="94">
        <v>3.6795414718488078E-6</v>
      </c>
      <c r="EY19" s="94">
        <v>5.2412348409890195E-7</v>
      </c>
      <c r="EZ19" s="94">
        <v>0.59920511526879705</v>
      </c>
      <c r="FA19" s="94">
        <v>0.32441520399780882</v>
      </c>
      <c r="FB19" s="94">
        <v>1.6378839868882961E-2</v>
      </c>
      <c r="FC19" s="94">
        <v>2.4619627268842677E-6</v>
      </c>
      <c r="FD19" s="94">
        <v>4.8080360785772936E-7</v>
      </c>
      <c r="FE19" s="94">
        <v>1.1135280713414955E-5</v>
      </c>
      <c r="FF19" s="94">
        <v>4.466445061584108E-7</v>
      </c>
      <c r="FG19" s="94">
        <v>1.5496288285238538E-6</v>
      </c>
      <c r="FH19" s="94">
        <v>7.9722609520508844E-4</v>
      </c>
      <c r="FI19" s="94">
        <v>9.7486816133004871E-8</v>
      </c>
      <c r="FJ19" s="94">
        <v>7.4688053214190989E-9</v>
      </c>
      <c r="FK19" s="94">
        <v>7.3766324179489362E-2</v>
      </c>
      <c r="FL19" s="94">
        <v>1.7861446072657272E-2</v>
      </c>
      <c r="FM19" s="94">
        <v>3.005095373012287E-5</v>
      </c>
      <c r="FN19" s="94">
        <v>1.2023603056644118E-7</v>
      </c>
      <c r="FO19" s="94">
        <v>4.9458792715273723E-8</v>
      </c>
      <c r="FP19" s="94">
        <v>2.7287609773943305E-8</v>
      </c>
      <c r="FQ19" s="94">
        <v>2.4731235697860876E-6</v>
      </c>
      <c r="FR19" s="94">
        <v>1.0202556099875883E-5</v>
      </c>
      <c r="FS19" s="94">
        <v>1.6662749351056185E-2</v>
      </c>
      <c r="FT19" s="94">
        <v>3.7770282879818126E-6</v>
      </c>
      <c r="FU19" s="94">
        <v>5.3159228942032104E-7</v>
      </c>
      <c r="FV19" s="94">
        <v>0.67297143944828641</v>
      </c>
      <c r="FW19" s="94">
        <v>0.34227665007046609</v>
      </c>
      <c r="FX19" s="94">
        <v>1.6408890822613084E-2</v>
      </c>
      <c r="FY19" s="94">
        <v>2.5821987574507088E-6</v>
      </c>
      <c r="FZ19" s="94">
        <v>5.3026240057300308E-7</v>
      </c>
      <c r="GA19" s="94">
        <v>1.1162568323188899E-5</v>
      </c>
      <c r="GB19" s="94">
        <v>8.1112260349532235E-6</v>
      </c>
      <c r="GC19" s="94">
        <v>1.7461347645770256E-4</v>
      </c>
      <c r="GD19" s="94">
        <v>0.63379592302473964</v>
      </c>
      <c r="GE19" s="94">
        <v>3.0833821625798641E-4</v>
      </c>
      <c r="GF19" s="94">
        <v>6.8813744597797136E-5</v>
      </c>
      <c r="GG19" s="94">
        <v>16.785772576070919</v>
      </c>
      <c r="GH19" s="94">
        <v>10.380897229685084</v>
      </c>
      <c r="GI19" s="94">
        <v>0.7208245532096047</v>
      </c>
      <c r="GJ19" s="94">
        <v>3.9495938567531787E-5</v>
      </c>
      <c r="GK19" s="94">
        <v>9.6924237700823957E-7</v>
      </c>
      <c r="GL19" s="94">
        <v>4.9009488298338969E-4</v>
      </c>
      <c r="GM19" s="94" t="s">
        <v>270</v>
      </c>
      <c r="GN19" s="94" t="s">
        <v>270</v>
      </c>
      <c r="GO19" s="94" t="s">
        <v>270</v>
      </c>
      <c r="GP19" s="94" t="s">
        <v>270</v>
      </c>
      <c r="GQ19" s="94" t="s">
        <v>270</v>
      </c>
      <c r="GR19" s="94" t="s">
        <v>270</v>
      </c>
      <c r="GS19" s="94" t="s">
        <v>270</v>
      </c>
      <c r="GT19" s="94" t="s">
        <v>270</v>
      </c>
      <c r="GU19" s="94" t="s">
        <v>270</v>
      </c>
      <c r="GV19" s="94" t="s">
        <v>270</v>
      </c>
      <c r="GW19" s="94" t="s">
        <v>270</v>
      </c>
      <c r="GX19" s="94" t="s">
        <v>270</v>
      </c>
      <c r="GY19" s="94" t="s">
        <v>270</v>
      </c>
      <c r="GZ19" s="94" t="s">
        <v>270</v>
      </c>
      <c r="HA19" s="94" t="s">
        <v>270</v>
      </c>
      <c r="HB19" s="94" t="s">
        <v>270</v>
      </c>
      <c r="HC19" s="94" t="s">
        <v>270</v>
      </c>
      <c r="HD19" s="94" t="s">
        <v>270</v>
      </c>
      <c r="HE19" s="94" t="s">
        <v>270</v>
      </c>
      <c r="HF19" s="94" t="s">
        <v>270</v>
      </c>
      <c r="HG19" s="94" t="s">
        <v>270</v>
      </c>
      <c r="HH19" s="94" t="s">
        <v>270</v>
      </c>
      <c r="HI19" s="94" t="s">
        <v>270</v>
      </c>
      <c r="HJ19" s="94" t="s">
        <v>270</v>
      </c>
      <c r="HK19" s="94" t="s">
        <v>270</v>
      </c>
      <c r="HL19" s="94" t="s">
        <v>270</v>
      </c>
      <c r="HM19" s="94" t="s">
        <v>270</v>
      </c>
      <c r="HN19" s="94" t="s">
        <v>270</v>
      </c>
      <c r="HO19" s="94" t="s">
        <v>270</v>
      </c>
      <c r="HP19" s="94" t="s">
        <v>270</v>
      </c>
      <c r="HQ19" s="94" t="s">
        <v>270</v>
      </c>
      <c r="HR19" s="94" t="s">
        <v>270</v>
      </c>
      <c r="HS19" s="94" t="s">
        <v>270</v>
      </c>
      <c r="HT19" s="94" t="s">
        <v>270</v>
      </c>
      <c r="HU19" s="94" t="s">
        <v>270</v>
      </c>
      <c r="HV19" s="94" t="s">
        <v>270</v>
      </c>
      <c r="HW19" s="94" t="s">
        <v>270</v>
      </c>
      <c r="HX19" s="94" t="s">
        <v>270</v>
      </c>
      <c r="HY19" s="94" t="s">
        <v>270</v>
      </c>
      <c r="HZ19" s="94" t="s">
        <v>270</v>
      </c>
      <c r="IA19" s="94" t="s">
        <v>270</v>
      </c>
      <c r="IB19" s="94" t="s">
        <v>270</v>
      </c>
      <c r="IC19" s="94" t="s">
        <v>270</v>
      </c>
      <c r="ID19" s="94" t="s">
        <v>270</v>
      </c>
      <c r="IE19" s="94" t="s">
        <v>270</v>
      </c>
      <c r="IF19" s="94" t="s">
        <v>270</v>
      </c>
      <c r="IG19" s="94" t="s">
        <v>270</v>
      </c>
      <c r="IH19" s="94" t="s">
        <v>270</v>
      </c>
      <c r="II19" s="94" t="s">
        <v>270</v>
      </c>
      <c r="IJ19" s="94" t="s">
        <v>270</v>
      </c>
      <c r="IK19" s="94" t="s">
        <v>270</v>
      </c>
      <c r="IL19" s="94" t="s">
        <v>270</v>
      </c>
      <c r="IM19" s="94" t="s">
        <v>270</v>
      </c>
      <c r="IN19" s="94" t="s">
        <v>270</v>
      </c>
      <c r="IO19" s="94" t="s">
        <v>270</v>
      </c>
      <c r="IP19" s="94" t="s">
        <v>270</v>
      </c>
      <c r="IQ19" s="94" t="s">
        <v>270</v>
      </c>
      <c r="IR19" s="94" t="s">
        <v>270</v>
      </c>
      <c r="IS19" s="94" t="s">
        <v>270</v>
      </c>
      <c r="IT19" s="94" t="s">
        <v>270</v>
      </c>
      <c r="IU19" s="94" t="s">
        <v>270</v>
      </c>
      <c r="IV19" s="94" t="s">
        <v>270</v>
      </c>
      <c r="IW19" s="94" t="s">
        <v>270</v>
      </c>
      <c r="IX19" s="94" t="s">
        <v>270</v>
      </c>
      <c r="IY19" s="94" t="s">
        <v>270</v>
      </c>
      <c r="IZ19" s="94" t="s">
        <v>270</v>
      </c>
      <c r="JA19" s="94" t="s">
        <v>270</v>
      </c>
      <c r="JB19" s="94" t="s">
        <v>270</v>
      </c>
      <c r="JC19" s="94" t="s">
        <v>270</v>
      </c>
      <c r="JD19" s="94" t="s">
        <v>270</v>
      </c>
      <c r="JE19" s="94" t="s">
        <v>270</v>
      </c>
      <c r="JF19" s="94" t="s">
        <v>270</v>
      </c>
      <c r="JG19" s="94" t="s">
        <v>270</v>
      </c>
      <c r="JH19" s="94" t="s">
        <v>270</v>
      </c>
      <c r="JI19" s="94" t="s">
        <v>270</v>
      </c>
      <c r="JJ19" s="94" t="s">
        <v>270</v>
      </c>
      <c r="JK19" s="94" t="s">
        <v>270</v>
      </c>
      <c r="JL19" s="94" t="s">
        <v>270</v>
      </c>
      <c r="JM19" s="94" t="s">
        <v>270</v>
      </c>
    </row>
    <row r="20" spans="1:273">
      <c r="A20" s="94" t="s">
        <v>626</v>
      </c>
      <c r="B20" s="94" t="s">
        <v>627</v>
      </c>
      <c r="C20" s="94" t="s">
        <v>678</v>
      </c>
      <c r="D20" s="95">
        <v>41520</v>
      </c>
      <c r="E20" s="94" t="s">
        <v>679</v>
      </c>
      <c r="F20" s="94">
        <v>0.14891640378000001</v>
      </c>
      <c r="G20" s="94">
        <v>61.585365853658502</v>
      </c>
      <c r="H20" s="94">
        <v>19.219999313399999</v>
      </c>
      <c r="I20" s="94">
        <v>1</v>
      </c>
      <c r="J20" s="94">
        <v>0</v>
      </c>
      <c r="K20" s="94">
        <v>0</v>
      </c>
      <c r="L20" s="94" t="s">
        <v>630</v>
      </c>
      <c r="M20" s="94" t="s">
        <v>631</v>
      </c>
      <c r="N20" s="94">
        <v>3.1073918030991153E-21</v>
      </c>
      <c r="O20" s="96" t="s">
        <v>270</v>
      </c>
      <c r="P20" s="94">
        <v>11.390486763298842</v>
      </c>
      <c r="Q20" s="94">
        <v>5.2562761533241567</v>
      </c>
      <c r="R20" s="94">
        <v>2.5005424904948477</v>
      </c>
      <c r="S20" s="94">
        <v>0.53095681206265988</v>
      </c>
      <c r="T20" s="94" t="s">
        <v>270</v>
      </c>
      <c r="U20" s="94" t="s">
        <v>270</v>
      </c>
      <c r="V20" s="94" t="s">
        <v>632</v>
      </c>
      <c r="W20" s="94" t="s">
        <v>270</v>
      </c>
      <c r="X20" s="94">
        <v>8.9035162279756885E-2</v>
      </c>
      <c r="Y20" s="94">
        <v>2.4539856089887269</v>
      </c>
      <c r="Z20" s="94" t="s">
        <v>632</v>
      </c>
      <c r="AA20" s="94" t="s">
        <v>270</v>
      </c>
      <c r="AB20" s="94" t="s">
        <v>632</v>
      </c>
      <c r="AC20" s="94" t="s">
        <v>270</v>
      </c>
      <c r="AD20" s="94" t="s">
        <v>633</v>
      </c>
      <c r="AE20" s="94" t="s">
        <v>73</v>
      </c>
      <c r="AF20" s="94">
        <v>1.1934887004573062E-8</v>
      </c>
      <c r="AG20" s="94">
        <v>4</v>
      </c>
      <c r="AH20" s="97">
        <v>42880.574386574073</v>
      </c>
      <c r="AJ20" s="98" t="s">
        <v>680</v>
      </c>
      <c r="AK20" s="96">
        <v>1.5725084546514774</v>
      </c>
      <c r="AL20" s="96">
        <v>0.2302463067922349</v>
      </c>
      <c r="AM20" s="96">
        <v>6.2983083137099882E-2</v>
      </c>
      <c r="AN20" s="96" t="s">
        <v>270</v>
      </c>
      <c r="AO20" s="96" t="s">
        <v>270</v>
      </c>
      <c r="AP20" s="96">
        <v>0.14489451950724708</v>
      </c>
      <c r="AQ20" s="96">
        <v>-0.97562050678687018</v>
      </c>
      <c r="AR20" s="96">
        <v>1.3800620786253708</v>
      </c>
      <c r="AS20" s="96" t="s">
        <v>270</v>
      </c>
      <c r="AT20" s="96" t="s">
        <v>270</v>
      </c>
      <c r="AU20" s="96" t="s">
        <v>270</v>
      </c>
      <c r="AV20" s="94">
        <v>1.178E-7</v>
      </c>
      <c r="AW20" s="94">
        <v>1E-10</v>
      </c>
      <c r="AX20" s="94">
        <v>2.4289999999999998E-7</v>
      </c>
      <c r="AY20" s="94">
        <v>2.8999999999999998E-10</v>
      </c>
      <c r="AZ20" s="94" t="s">
        <v>270</v>
      </c>
      <c r="BA20" s="94" t="s">
        <v>270</v>
      </c>
      <c r="BB20" s="94" t="s">
        <v>270</v>
      </c>
      <c r="BC20" s="94" t="s">
        <v>270</v>
      </c>
      <c r="BD20" s="94" t="s">
        <v>270</v>
      </c>
      <c r="BE20" s="94" t="s">
        <v>270</v>
      </c>
      <c r="BF20" s="94" t="s">
        <v>270</v>
      </c>
      <c r="BG20" s="94" t="s">
        <v>270</v>
      </c>
      <c r="BH20" s="94" t="s">
        <v>270</v>
      </c>
      <c r="BI20" s="94" t="s">
        <v>270</v>
      </c>
      <c r="BJ20" s="94" t="s">
        <v>270</v>
      </c>
      <c r="BK20" s="94" t="s">
        <v>270</v>
      </c>
      <c r="BL20" s="94" t="s">
        <v>270</v>
      </c>
      <c r="BM20" s="94" t="s">
        <v>270</v>
      </c>
      <c r="BN20" s="94" t="s">
        <v>270</v>
      </c>
      <c r="BO20" s="94" t="s">
        <v>270</v>
      </c>
      <c r="BP20" s="94" t="s">
        <v>270</v>
      </c>
      <c r="BQ20" s="94" t="s">
        <v>270</v>
      </c>
      <c r="BR20" s="94" t="s">
        <v>270</v>
      </c>
      <c r="BS20" s="94" t="s">
        <v>270</v>
      </c>
      <c r="BT20" s="94" t="s">
        <v>270</v>
      </c>
      <c r="BU20" s="94" t="s">
        <v>270</v>
      </c>
      <c r="BV20" s="94" t="s">
        <v>270</v>
      </c>
      <c r="BW20" s="94" t="s">
        <v>270</v>
      </c>
      <c r="BX20" s="94" t="s">
        <v>270</v>
      </c>
      <c r="BY20" s="94" t="s">
        <v>270</v>
      </c>
      <c r="BZ20" s="94" t="s">
        <v>270</v>
      </c>
      <c r="CA20" s="94" t="s">
        <v>270</v>
      </c>
      <c r="CB20" s="94" t="s">
        <v>270</v>
      </c>
      <c r="CC20" s="94" t="s">
        <v>270</v>
      </c>
      <c r="CD20" s="94" t="s">
        <v>270</v>
      </c>
      <c r="CE20" s="94" t="s">
        <v>270</v>
      </c>
      <c r="CF20" s="94" t="s">
        <v>270</v>
      </c>
      <c r="CG20" s="94" t="s">
        <v>270</v>
      </c>
      <c r="CH20" s="94" t="s">
        <v>270</v>
      </c>
      <c r="CI20" s="94" t="s">
        <v>270</v>
      </c>
      <c r="CJ20" s="94" t="s">
        <v>270</v>
      </c>
      <c r="CK20" s="94" t="s">
        <v>270</v>
      </c>
      <c r="CL20" s="94" t="s">
        <v>270</v>
      </c>
      <c r="CM20" s="94" t="s">
        <v>270</v>
      </c>
      <c r="CN20" s="94" t="s">
        <v>270</v>
      </c>
      <c r="CO20" s="94" t="s">
        <v>270</v>
      </c>
      <c r="CP20" s="94" t="s">
        <v>270</v>
      </c>
      <c r="CQ20" s="94" t="s">
        <v>270</v>
      </c>
      <c r="CR20" s="94">
        <v>0.70297674666724597</v>
      </c>
      <c r="CS20" s="94">
        <v>7.0297674666724597E-2</v>
      </c>
      <c r="CT20" s="94" t="s">
        <v>270</v>
      </c>
      <c r="CU20" s="94" t="s">
        <v>270</v>
      </c>
      <c r="CV20" s="94" t="s">
        <v>270</v>
      </c>
      <c r="CW20" s="94" t="s">
        <v>270</v>
      </c>
      <c r="CX20" s="94">
        <v>19.9916785275908</v>
      </c>
      <c r="CY20" s="94">
        <v>1.9991678527590802</v>
      </c>
      <c r="CZ20" s="94">
        <v>0.26417856631084802</v>
      </c>
      <c r="DA20" s="94">
        <v>2.6417856631084802E-2</v>
      </c>
      <c r="DB20" s="94">
        <v>1.8291543343152501</v>
      </c>
      <c r="DC20" s="94">
        <v>0.18291543343152503</v>
      </c>
      <c r="DD20" s="94" t="s">
        <v>270</v>
      </c>
      <c r="DE20" s="94" t="s">
        <v>270</v>
      </c>
      <c r="DF20" s="94" t="s">
        <v>270</v>
      </c>
      <c r="DG20" s="94" t="s">
        <v>270</v>
      </c>
      <c r="DH20" s="94" t="s">
        <v>270</v>
      </c>
      <c r="DI20" s="94" t="s">
        <v>270</v>
      </c>
      <c r="DJ20" s="94">
        <v>0.9996837260162259</v>
      </c>
      <c r="DK20" s="94">
        <v>0.99260753607806151</v>
      </c>
      <c r="DL20" s="94">
        <v>1.3279885488107579E-2</v>
      </c>
      <c r="DM20" s="94">
        <v>0.99250804375707358</v>
      </c>
      <c r="DN20" s="94">
        <v>4.5791880600819831E-8</v>
      </c>
      <c r="DO20" s="94">
        <v>1.9744013752281978E-7</v>
      </c>
      <c r="DP20" s="94">
        <v>3.7081491882990844E-4</v>
      </c>
      <c r="DQ20" s="94">
        <v>8.675061312727793E-8</v>
      </c>
      <c r="DR20" s="94">
        <v>1.2449363347359868E-8</v>
      </c>
      <c r="DS20" s="94">
        <v>1.396698848315215E-2</v>
      </c>
      <c r="DT20" s="94">
        <v>7.5926950750901242E-3</v>
      </c>
      <c r="DU20" s="94">
        <v>3.8886394575857403E-4</v>
      </c>
      <c r="DV20" s="94">
        <v>5.783748386010511E-8</v>
      </c>
      <c r="DW20" s="94">
        <v>1.0979921331474582E-8</v>
      </c>
      <c r="DX20" s="94">
        <v>2.671680813749646E-7</v>
      </c>
      <c r="DY20" s="94">
        <v>1.3102842650193003E-8</v>
      </c>
      <c r="DZ20" s="94">
        <v>4.5459862477196353E-8</v>
      </c>
      <c r="EA20" s="94">
        <v>2.3355066861221877E-5</v>
      </c>
      <c r="EB20" s="94">
        <v>2.850618439164131E-9</v>
      </c>
      <c r="EC20" s="94">
        <v>2.1754719667305174E-10</v>
      </c>
      <c r="ED20" s="94">
        <v>2.0237175613103918E-3</v>
      </c>
      <c r="EE20" s="94">
        <v>5.2376363005905095E-4</v>
      </c>
      <c r="EF20" s="94">
        <v>8.751898716731878E-7</v>
      </c>
      <c r="EG20" s="94">
        <v>3.5257649115977347E-9</v>
      </c>
      <c r="EH20" s="94">
        <v>1.4503146444870116E-9</v>
      </c>
      <c r="EI20" s="94">
        <v>8.0017359695832748E-10</v>
      </c>
      <c r="EJ20" s="94">
        <v>5.8894723251012834E-8</v>
      </c>
      <c r="EK20" s="94">
        <v>2.4290000000001613E-7</v>
      </c>
      <c r="EL20" s="94">
        <v>3.9416998569113032E-4</v>
      </c>
      <c r="EM20" s="94">
        <v>8.9601231566442061E-8</v>
      </c>
      <c r="EN20" s="94">
        <v>1.266691054403292E-8</v>
      </c>
      <c r="EO20" s="94">
        <v>1.5990706044462542E-2</v>
      </c>
      <c r="EP20" s="94">
        <v>8.1164587051491752E-3</v>
      </c>
      <c r="EQ20" s="94">
        <v>3.8973913563024722E-4</v>
      </c>
      <c r="ER20" s="94">
        <v>6.1363248771702844E-8</v>
      </c>
      <c r="ES20" s="94">
        <v>1.2430235975961594E-8</v>
      </c>
      <c r="ET20" s="94">
        <v>2.6796825497192293E-7</v>
      </c>
      <c r="EU20" s="94">
        <v>2.0414884456387219E-6</v>
      </c>
      <c r="EV20" s="94">
        <v>8.8023167044383362E-6</v>
      </c>
      <c r="EW20" s="94">
        <v>1.6554633304645922E-2</v>
      </c>
      <c r="EX20" s="94">
        <v>3.8800857670346759E-6</v>
      </c>
      <c r="EY20" s="94">
        <v>5.5899351093934866E-7</v>
      </c>
      <c r="EZ20" s="94">
        <v>0.6233299012482274</v>
      </c>
      <c r="FA20" s="94">
        <v>0.3386407469961249</v>
      </c>
      <c r="FB20" s="94">
        <v>1.7462870410552216E-2</v>
      </c>
      <c r="FC20" s="94">
        <v>2.5796016493563487E-6</v>
      </c>
      <c r="FD20" s="94">
        <v>4.8971395859790972E-7</v>
      </c>
      <c r="FE20" s="94">
        <v>1.1915926789574857E-5</v>
      </c>
      <c r="FF20" s="94">
        <v>5.8414945017375744E-7</v>
      </c>
      <c r="FG20" s="94">
        <v>2.0267009124132423E-6</v>
      </c>
      <c r="FH20" s="94">
        <v>1.0426618457343231E-3</v>
      </c>
      <c r="FI20" s="94">
        <v>1.2749931826786603E-7</v>
      </c>
      <c r="FJ20" s="94">
        <v>9.7681678870005497E-9</v>
      </c>
      <c r="FK20" s="94">
        <v>9.0317086535988689E-2</v>
      </c>
      <c r="FL20" s="94">
        <v>2.3360309505184973E-2</v>
      </c>
      <c r="FM20" s="94">
        <v>3.930250536300639E-5</v>
      </c>
      <c r="FN20" s="94">
        <v>1.5725215507643831E-7</v>
      </c>
      <c r="FO20" s="94">
        <v>6.468528364846404E-8</v>
      </c>
      <c r="FP20" s="94">
        <v>3.5688432357773906E-8</v>
      </c>
      <c r="FQ20" s="94">
        <v>2.6256378958124793E-6</v>
      </c>
      <c r="FR20" s="94">
        <v>1.0829017616851578E-5</v>
      </c>
      <c r="FS20" s="94">
        <v>1.7597295150380245E-2</v>
      </c>
      <c r="FT20" s="94">
        <v>4.0075850853025419E-6</v>
      </c>
      <c r="FU20" s="94">
        <v>5.6876167882634921E-7</v>
      </c>
      <c r="FV20" s="94">
        <v>0.71364698778421609</v>
      </c>
      <c r="FW20" s="94">
        <v>0.36200105650130987</v>
      </c>
      <c r="FX20" s="94">
        <v>1.7502172915915222E-2</v>
      </c>
      <c r="FY20" s="94">
        <v>2.736853804432787E-6</v>
      </c>
      <c r="FZ20" s="94">
        <v>5.5439924224637376E-7</v>
      </c>
      <c r="GA20" s="94">
        <v>1.1951615221932631E-5</v>
      </c>
      <c r="GB20" s="94">
        <v>8.1713028905801508E-6</v>
      </c>
      <c r="GC20" s="94">
        <v>1.776281104005543E-4</v>
      </c>
      <c r="GD20" s="94">
        <v>0.66132449125399528</v>
      </c>
      <c r="GE20" s="94">
        <v>3.2514342710597175E-4</v>
      </c>
      <c r="GF20" s="94">
        <v>7.3391935031759907E-5</v>
      </c>
      <c r="GG20" s="94">
        <v>17.461589855627093</v>
      </c>
      <c r="GH20" s="94">
        <v>10.836097534979601</v>
      </c>
      <c r="GI20" s="94">
        <v>0.76853219533319783</v>
      </c>
      <c r="GJ20" s="94">
        <v>4.1383156275733246E-5</v>
      </c>
      <c r="GK20" s="94">
        <v>9.872045748583543E-7</v>
      </c>
      <c r="GL20" s="94">
        <v>5.244533026042003E-4</v>
      </c>
      <c r="GM20" s="94" t="s">
        <v>270</v>
      </c>
      <c r="GN20" s="94" t="s">
        <v>270</v>
      </c>
      <c r="GO20" s="94" t="s">
        <v>270</v>
      </c>
      <c r="GP20" s="94" t="s">
        <v>270</v>
      </c>
      <c r="GQ20" s="94" t="s">
        <v>270</v>
      </c>
      <c r="GR20" s="94" t="s">
        <v>270</v>
      </c>
      <c r="GS20" s="94" t="s">
        <v>270</v>
      </c>
      <c r="GT20" s="94" t="s">
        <v>270</v>
      </c>
      <c r="GU20" s="94" t="s">
        <v>270</v>
      </c>
      <c r="GV20" s="94" t="s">
        <v>270</v>
      </c>
      <c r="GW20" s="94" t="s">
        <v>270</v>
      </c>
      <c r="GX20" s="94" t="s">
        <v>270</v>
      </c>
      <c r="GY20" s="94" t="s">
        <v>270</v>
      </c>
      <c r="GZ20" s="94" t="s">
        <v>270</v>
      </c>
      <c r="HA20" s="94" t="s">
        <v>270</v>
      </c>
      <c r="HB20" s="94" t="s">
        <v>270</v>
      </c>
      <c r="HC20" s="94" t="s">
        <v>270</v>
      </c>
      <c r="HD20" s="94" t="s">
        <v>270</v>
      </c>
      <c r="HE20" s="94" t="s">
        <v>270</v>
      </c>
      <c r="HF20" s="94" t="s">
        <v>270</v>
      </c>
      <c r="HG20" s="94" t="s">
        <v>270</v>
      </c>
      <c r="HH20" s="94" t="s">
        <v>270</v>
      </c>
      <c r="HI20" s="94" t="s">
        <v>270</v>
      </c>
      <c r="HJ20" s="94" t="s">
        <v>270</v>
      </c>
      <c r="HK20" s="94" t="s">
        <v>270</v>
      </c>
      <c r="HL20" s="94" t="s">
        <v>270</v>
      </c>
      <c r="HM20" s="94" t="s">
        <v>270</v>
      </c>
      <c r="HN20" s="94" t="s">
        <v>270</v>
      </c>
      <c r="HO20" s="94" t="s">
        <v>270</v>
      </c>
      <c r="HP20" s="94" t="s">
        <v>270</v>
      </c>
      <c r="HQ20" s="94" t="s">
        <v>270</v>
      </c>
      <c r="HR20" s="94" t="s">
        <v>270</v>
      </c>
      <c r="HS20" s="94" t="s">
        <v>270</v>
      </c>
      <c r="HT20" s="94" t="s">
        <v>270</v>
      </c>
      <c r="HU20" s="94" t="s">
        <v>270</v>
      </c>
      <c r="HV20" s="94" t="s">
        <v>270</v>
      </c>
      <c r="HW20" s="94" t="s">
        <v>270</v>
      </c>
      <c r="HX20" s="94" t="s">
        <v>270</v>
      </c>
      <c r="HY20" s="94" t="s">
        <v>270</v>
      </c>
      <c r="HZ20" s="94" t="s">
        <v>270</v>
      </c>
      <c r="IA20" s="94" t="s">
        <v>270</v>
      </c>
      <c r="IB20" s="94" t="s">
        <v>270</v>
      </c>
      <c r="IC20" s="94" t="s">
        <v>270</v>
      </c>
      <c r="ID20" s="94" t="s">
        <v>270</v>
      </c>
      <c r="IE20" s="94" t="s">
        <v>270</v>
      </c>
      <c r="IF20" s="94" t="s">
        <v>270</v>
      </c>
      <c r="IG20" s="94" t="s">
        <v>270</v>
      </c>
      <c r="IH20" s="94" t="s">
        <v>270</v>
      </c>
      <c r="II20" s="94" t="s">
        <v>270</v>
      </c>
      <c r="IJ20" s="94" t="s">
        <v>270</v>
      </c>
      <c r="IK20" s="94" t="s">
        <v>270</v>
      </c>
      <c r="IL20" s="94" t="s">
        <v>270</v>
      </c>
      <c r="IM20" s="94" t="s">
        <v>270</v>
      </c>
      <c r="IN20" s="94" t="s">
        <v>270</v>
      </c>
      <c r="IO20" s="94" t="s">
        <v>270</v>
      </c>
      <c r="IP20" s="94" t="s">
        <v>270</v>
      </c>
      <c r="IQ20" s="94" t="s">
        <v>270</v>
      </c>
      <c r="IR20" s="94" t="s">
        <v>270</v>
      </c>
      <c r="IS20" s="94" t="s">
        <v>270</v>
      </c>
      <c r="IT20" s="94" t="s">
        <v>270</v>
      </c>
      <c r="IU20" s="94" t="s">
        <v>270</v>
      </c>
      <c r="IV20" s="94" t="s">
        <v>270</v>
      </c>
      <c r="IW20" s="94" t="s">
        <v>270</v>
      </c>
      <c r="IX20" s="94" t="s">
        <v>270</v>
      </c>
      <c r="IY20" s="94" t="s">
        <v>270</v>
      </c>
      <c r="IZ20" s="94" t="s">
        <v>270</v>
      </c>
      <c r="JA20" s="94" t="s">
        <v>270</v>
      </c>
      <c r="JB20" s="94" t="s">
        <v>270</v>
      </c>
      <c r="JC20" s="94" t="s">
        <v>270</v>
      </c>
      <c r="JD20" s="94" t="s">
        <v>270</v>
      </c>
      <c r="JE20" s="94" t="s">
        <v>270</v>
      </c>
      <c r="JF20" s="94" t="s">
        <v>270</v>
      </c>
      <c r="JG20" s="94" t="s">
        <v>270</v>
      </c>
      <c r="JH20" s="94" t="s">
        <v>270</v>
      </c>
      <c r="JI20" s="94" t="s">
        <v>270</v>
      </c>
      <c r="JJ20" s="94" t="s">
        <v>270</v>
      </c>
      <c r="JK20" s="94" t="s">
        <v>270</v>
      </c>
      <c r="JL20" s="94" t="s">
        <v>270</v>
      </c>
      <c r="JM20" s="94" t="s">
        <v>270</v>
      </c>
    </row>
    <row r="21" spans="1:273">
      <c r="A21" s="94" t="s">
        <v>626</v>
      </c>
      <c r="B21" s="94" t="s">
        <v>627</v>
      </c>
      <c r="C21" s="94" t="s">
        <v>678</v>
      </c>
      <c r="D21" s="95">
        <v>41520</v>
      </c>
      <c r="E21" s="94" t="s">
        <v>681</v>
      </c>
      <c r="F21" s="94">
        <v>0.14891640378000001</v>
      </c>
      <c r="G21" s="94">
        <v>61.585365853658502</v>
      </c>
      <c r="H21" s="94">
        <v>19.219999313399999</v>
      </c>
      <c r="I21" s="94">
        <v>1</v>
      </c>
      <c r="J21" s="94">
        <v>0</v>
      </c>
      <c r="K21" s="94">
        <v>0</v>
      </c>
      <c r="L21" s="94" t="s">
        <v>630</v>
      </c>
      <c r="M21" s="94" t="s">
        <v>631</v>
      </c>
      <c r="N21" s="94">
        <v>2.887957890342621E-21</v>
      </c>
      <c r="O21" s="96" t="s">
        <v>270</v>
      </c>
      <c r="P21" s="94">
        <v>11.378677188701138</v>
      </c>
      <c r="Q21" s="94">
        <v>5.254960530443169</v>
      </c>
      <c r="R21" s="94">
        <v>2.4993500067441197</v>
      </c>
      <c r="S21" s="94">
        <v>0.53102656877266308</v>
      </c>
      <c r="T21" s="94" t="s">
        <v>270</v>
      </c>
      <c r="U21" s="94" t="s">
        <v>270</v>
      </c>
      <c r="V21" s="94" t="s">
        <v>632</v>
      </c>
      <c r="W21" s="94" t="s">
        <v>270</v>
      </c>
      <c r="X21" s="94">
        <v>8.1130982830050824E-2</v>
      </c>
      <c r="Y21" s="94">
        <v>2.4538046107305083</v>
      </c>
      <c r="Z21" s="94" t="s">
        <v>632</v>
      </c>
      <c r="AA21" s="94" t="s">
        <v>270</v>
      </c>
      <c r="AB21" s="94" t="s">
        <v>632</v>
      </c>
      <c r="AC21" s="94" t="s">
        <v>270</v>
      </c>
      <c r="AD21" s="94" t="s">
        <v>633</v>
      </c>
      <c r="AE21" s="94" t="s">
        <v>73</v>
      </c>
      <c r="AF21" s="94">
        <v>1.2268024983679736E-8</v>
      </c>
      <c r="AG21" s="94">
        <v>4</v>
      </c>
      <c r="AH21" s="97">
        <v>42880.574386574073</v>
      </c>
      <c r="AJ21" s="98" t="s">
        <v>682</v>
      </c>
      <c r="AK21" s="96">
        <v>1.5723810036861119</v>
      </c>
      <c r="AL21" s="96">
        <v>0.23011123791493571</v>
      </c>
      <c r="AM21" s="96">
        <v>6.2936206595454403E-2</v>
      </c>
      <c r="AN21" s="96" t="s">
        <v>270</v>
      </c>
      <c r="AO21" s="96" t="s">
        <v>270</v>
      </c>
      <c r="AP21" s="96">
        <v>0.1443393334392038</v>
      </c>
      <c r="AQ21" s="96">
        <v>-0.97563089530844549</v>
      </c>
      <c r="AR21" s="96">
        <v>1.5247992652193232</v>
      </c>
      <c r="AS21" s="96" t="s">
        <v>270</v>
      </c>
      <c r="AT21" s="96" t="s">
        <v>270</v>
      </c>
      <c r="AU21" s="96" t="s">
        <v>270</v>
      </c>
      <c r="AV21" s="94">
        <v>1.178E-7</v>
      </c>
      <c r="AW21" s="94">
        <v>1E-10</v>
      </c>
      <c r="AX21" s="94">
        <v>2.4289999999999998E-7</v>
      </c>
      <c r="AY21" s="94">
        <v>2.8999999999999998E-10</v>
      </c>
      <c r="AZ21" s="94" t="s">
        <v>270</v>
      </c>
      <c r="BA21" s="94" t="s">
        <v>270</v>
      </c>
      <c r="BB21" s="94" t="s">
        <v>270</v>
      </c>
      <c r="BC21" s="94" t="s">
        <v>270</v>
      </c>
      <c r="BD21" s="94" t="s">
        <v>270</v>
      </c>
      <c r="BE21" s="94" t="s">
        <v>270</v>
      </c>
      <c r="BF21" s="94" t="s">
        <v>270</v>
      </c>
      <c r="BG21" s="94" t="s">
        <v>270</v>
      </c>
      <c r="BH21" s="94" t="s">
        <v>270</v>
      </c>
      <c r="BI21" s="94" t="s">
        <v>270</v>
      </c>
      <c r="BJ21" s="94" t="s">
        <v>270</v>
      </c>
      <c r="BK21" s="94" t="s">
        <v>270</v>
      </c>
      <c r="BL21" s="94" t="s">
        <v>270</v>
      </c>
      <c r="BM21" s="94" t="s">
        <v>270</v>
      </c>
      <c r="BN21" s="94" t="s">
        <v>270</v>
      </c>
      <c r="BO21" s="94" t="s">
        <v>270</v>
      </c>
      <c r="BP21" s="94" t="s">
        <v>270</v>
      </c>
      <c r="BQ21" s="94" t="s">
        <v>270</v>
      </c>
      <c r="BR21" s="94" t="s">
        <v>270</v>
      </c>
      <c r="BS21" s="94" t="s">
        <v>270</v>
      </c>
      <c r="BT21" s="94" t="s">
        <v>270</v>
      </c>
      <c r="BU21" s="94" t="s">
        <v>270</v>
      </c>
      <c r="BV21" s="94" t="s">
        <v>270</v>
      </c>
      <c r="BW21" s="94" t="s">
        <v>270</v>
      </c>
      <c r="BX21" s="94" t="s">
        <v>270</v>
      </c>
      <c r="BY21" s="94" t="s">
        <v>270</v>
      </c>
      <c r="BZ21" s="94" t="s">
        <v>270</v>
      </c>
      <c r="CA21" s="94" t="s">
        <v>270</v>
      </c>
      <c r="CB21" s="94" t="s">
        <v>270</v>
      </c>
      <c r="CC21" s="94" t="s">
        <v>270</v>
      </c>
      <c r="CD21" s="94" t="s">
        <v>270</v>
      </c>
      <c r="CE21" s="94" t="s">
        <v>270</v>
      </c>
      <c r="CF21" s="94" t="s">
        <v>270</v>
      </c>
      <c r="CG21" s="94" t="s">
        <v>270</v>
      </c>
      <c r="CH21" s="94" t="s">
        <v>270</v>
      </c>
      <c r="CI21" s="94" t="s">
        <v>270</v>
      </c>
      <c r="CJ21" s="94" t="s">
        <v>270</v>
      </c>
      <c r="CK21" s="94" t="s">
        <v>270</v>
      </c>
      <c r="CL21" s="94" t="s">
        <v>270</v>
      </c>
      <c r="CM21" s="94" t="s">
        <v>270</v>
      </c>
      <c r="CN21" s="94" t="s">
        <v>270</v>
      </c>
      <c r="CO21" s="94" t="s">
        <v>270</v>
      </c>
      <c r="CP21" s="94" t="s">
        <v>270</v>
      </c>
      <c r="CQ21" s="94" t="s">
        <v>270</v>
      </c>
      <c r="CR21" s="94">
        <v>0.703134726960703</v>
      </c>
      <c r="CS21" s="94">
        <v>7.03134726960703E-2</v>
      </c>
      <c r="CT21" s="94" t="s">
        <v>270</v>
      </c>
      <c r="CU21" s="94" t="s">
        <v>270</v>
      </c>
      <c r="CV21" s="94" t="s">
        <v>270</v>
      </c>
      <c r="CW21" s="94" t="s">
        <v>270</v>
      </c>
      <c r="CX21" s="94">
        <v>19.986972563976199</v>
      </c>
      <c r="CY21" s="94">
        <v>1.99869725639762</v>
      </c>
      <c r="CZ21" s="94">
        <v>0.26413773772239202</v>
      </c>
      <c r="DA21" s="94">
        <v>2.6413773772239205E-2</v>
      </c>
      <c r="DB21" s="94">
        <v>1.9411742917774799</v>
      </c>
      <c r="DC21" s="94">
        <v>0.19411742917774799</v>
      </c>
      <c r="DD21" s="94" t="s">
        <v>270</v>
      </c>
      <c r="DE21" s="94" t="s">
        <v>270</v>
      </c>
      <c r="DF21" s="94" t="s">
        <v>270</v>
      </c>
      <c r="DG21" s="94" t="s">
        <v>270</v>
      </c>
      <c r="DH21" s="94" t="s">
        <v>270</v>
      </c>
      <c r="DI21" s="94" t="s">
        <v>270</v>
      </c>
      <c r="DJ21" s="94">
        <v>0.99968498557336105</v>
      </c>
      <c r="DK21" s="94">
        <v>0.99260753607806151</v>
      </c>
      <c r="DL21" s="94">
        <v>1.3269496064216837E-2</v>
      </c>
      <c r="DM21" s="94">
        <v>0.9925081226409318</v>
      </c>
      <c r="DN21" s="94">
        <v>4.5794149401351366E-8</v>
      </c>
      <c r="DO21" s="94">
        <v>1.9746181687740744E-7</v>
      </c>
      <c r="DP21" s="94">
        <v>3.7091414188592631E-4</v>
      </c>
      <c r="DQ21" s="94">
        <v>8.6779475421477971E-8</v>
      </c>
      <c r="DR21" s="94">
        <v>1.2454408773563294E-8</v>
      </c>
      <c r="DS21" s="94">
        <v>1.3970457715534084E-2</v>
      </c>
      <c r="DT21" s="94">
        <v>7.5947483180509555E-3</v>
      </c>
      <c r="DU21" s="94">
        <v>3.89020727456265E-4</v>
      </c>
      <c r="DV21" s="94">
        <v>5.7854499987258352E-8</v>
      </c>
      <c r="DW21" s="94">
        <v>1.0981225037120426E-8</v>
      </c>
      <c r="DX21" s="94">
        <v>2.672818114488408E-7</v>
      </c>
      <c r="DY21" s="94">
        <v>1.3096594035339185E-8</v>
      </c>
      <c r="DZ21" s="94">
        <v>4.5438183122608113E-8</v>
      </c>
      <c r="EA21" s="94">
        <v>2.3343929062990057E-5</v>
      </c>
      <c r="EB21" s="94">
        <v>2.8492590076882941E-9</v>
      </c>
      <c r="EC21" s="94">
        <v>2.1744345058673853E-10</v>
      </c>
      <c r="ED21" s="94">
        <v>2.0164661119274358E-3</v>
      </c>
      <c r="EE21" s="94">
        <v>5.2351385241262288E-4</v>
      </c>
      <c r="EF21" s="94">
        <v>8.7477250236046595E-7</v>
      </c>
      <c r="EG21" s="94">
        <v>3.5240835095092063E-9</v>
      </c>
      <c r="EH21" s="94">
        <v>1.4496230039115886E-9</v>
      </c>
      <c r="EI21" s="94">
        <v>7.9979200215812787E-10</v>
      </c>
      <c r="EJ21" s="94">
        <v>5.8890743436690551E-8</v>
      </c>
      <c r="EK21" s="94">
        <v>2.4290000000001555E-7</v>
      </c>
      <c r="EL21" s="94">
        <v>3.9425807094891637E-4</v>
      </c>
      <c r="EM21" s="94">
        <v>8.9628734429166265E-8</v>
      </c>
      <c r="EN21" s="94">
        <v>1.2671852224150033E-8</v>
      </c>
      <c r="EO21" s="94">
        <v>1.598692382746152E-2</v>
      </c>
      <c r="EP21" s="94">
        <v>8.1182621704635784E-3</v>
      </c>
      <c r="EQ21" s="94">
        <v>3.8989549995862546E-4</v>
      </c>
      <c r="ER21" s="94">
        <v>6.1378583496767558E-8</v>
      </c>
      <c r="ES21" s="94">
        <v>1.2430848041032015E-8</v>
      </c>
      <c r="ET21" s="94">
        <v>2.6808160345099893E-7</v>
      </c>
      <c r="EU21" s="94">
        <v>2.0415921653598974E-6</v>
      </c>
      <c r="EV21" s="94">
        <v>8.803294309617047E-6</v>
      </c>
      <c r="EW21" s="94">
        <v>1.6559083874969426E-2</v>
      </c>
      <c r="EX21" s="94">
        <v>3.8813815782665906E-6</v>
      </c>
      <c r="EY21" s="94">
        <v>5.5922076209719651E-7</v>
      </c>
      <c r="EZ21" s="94">
        <v>0.62348551448090961</v>
      </c>
      <c r="FA21" s="94">
        <v>0.33873275019024168</v>
      </c>
      <c r="FB21" s="94">
        <v>1.7469933080942218E-2</v>
      </c>
      <c r="FC21" s="94">
        <v>2.5803638344390284E-6</v>
      </c>
      <c r="FD21" s="94">
        <v>4.8977272208492744E-7</v>
      </c>
      <c r="FE21" s="94">
        <v>1.1921014268861256E-5</v>
      </c>
      <c r="FF21" s="94">
        <v>5.8387161078394484E-7</v>
      </c>
      <c r="FG21" s="94">
        <v>2.0257369513161811E-6</v>
      </c>
      <c r="FH21" s="94">
        <v>1.0421659237901809E-3</v>
      </c>
      <c r="FI21" s="94">
        <v>1.2743867568268785E-7</v>
      </c>
      <c r="FJ21" s="94">
        <v>9.7635218468399463E-9</v>
      </c>
      <c r="FK21" s="94">
        <v>8.999348356930148E-2</v>
      </c>
      <c r="FL21" s="94">
        <v>2.3349198625705725E-2</v>
      </c>
      <c r="FM21" s="94">
        <v>3.9283811886354353E-5</v>
      </c>
      <c r="FN21" s="94">
        <v>1.5717736112978651E-7</v>
      </c>
      <c r="FO21" s="94">
        <v>6.4654517344167447E-8</v>
      </c>
      <c r="FP21" s="94">
        <v>3.5671457845058135E-8</v>
      </c>
      <c r="FQ21" s="94">
        <v>2.6254637761438423E-6</v>
      </c>
      <c r="FR21" s="94">
        <v>1.0829031260933228E-5</v>
      </c>
      <c r="FS21" s="94">
        <v>1.7601249798759606E-2</v>
      </c>
      <c r="FT21" s="94">
        <v>4.0088202539492784E-6</v>
      </c>
      <c r="FU21" s="94">
        <v>5.6898428394403646E-7</v>
      </c>
      <c r="FV21" s="94">
        <v>0.71347899805021109</v>
      </c>
      <c r="FW21" s="94">
        <v>0.36208194881594741</v>
      </c>
      <c r="FX21" s="94">
        <v>1.7509216892828573E-2</v>
      </c>
      <c r="FY21" s="94">
        <v>2.7375411955688149E-6</v>
      </c>
      <c r="FZ21" s="94">
        <v>5.5442723942909489E-7</v>
      </c>
      <c r="GA21" s="94">
        <v>1.1956685726706314E-5</v>
      </c>
      <c r="GB21" s="94">
        <v>8.171718041231266E-6</v>
      </c>
      <c r="GC21" s="94">
        <v>1.7764783817977913E-4</v>
      </c>
      <c r="GD21" s="94">
        <v>0.66150228263727862</v>
      </c>
      <c r="GE21" s="94">
        <v>3.2525201349558377E-4</v>
      </c>
      <c r="GF21" s="94">
        <v>7.3421771518027227E-5</v>
      </c>
      <c r="GG21" s="94">
        <v>17.465949111359514</v>
      </c>
      <c r="GH21" s="94">
        <v>10.839041526787506</v>
      </c>
      <c r="GI21" s="94">
        <v>0.76884301992572657</v>
      </c>
      <c r="GJ21" s="94">
        <v>4.1395383599434734E-5</v>
      </c>
      <c r="GK21" s="94">
        <v>9.8732303499656367E-7</v>
      </c>
      <c r="GL21" s="94">
        <v>5.2467721681253665E-4</v>
      </c>
      <c r="GM21" s="94" t="s">
        <v>270</v>
      </c>
      <c r="GN21" s="94" t="s">
        <v>270</v>
      </c>
      <c r="GO21" s="94" t="s">
        <v>270</v>
      </c>
      <c r="GP21" s="94" t="s">
        <v>270</v>
      </c>
      <c r="GQ21" s="94" t="s">
        <v>270</v>
      </c>
      <c r="GR21" s="94" t="s">
        <v>270</v>
      </c>
      <c r="GS21" s="94" t="s">
        <v>270</v>
      </c>
      <c r="GT21" s="94" t="s">
        <v>270</v>
      </c>
      <c r="GU21" s="94" t="s">
        <v>270</v>
      </c>
      <c r="GV21" s="94" t="s">
        <v>270</v>
      </c>
      <c r="GW21" s="94" t="s">
        <v>270</v>
      </c>
      <c r="GX21" s="94" t="s">
        <v>270</v>
      </c>
      <c r="GY21" s="94" t="s">
        <v>270</v>
      </c>
      <c r="GZ21" s="94" t="s">
        <v>270</v>
      </c>
      <c r="HA21" s="94" t="s">
        <v>270</v>
      </c>
      <c r="HB21" s="94" t="s">
        <v>270</v>
      </c>
      <c r="HC21" s="94" t="s">
        <v>270</v>
      </c>
      <c r="HD21" s="94" t="s">
        <v>270</v>
      </c>
      <c r="HE21" s="94" t="s">
        <v>270</v>
      </c>
      <c r="HF21" s="94" t="s">
        <v>270</v>
      </c>
      <c r="HG21" s="94" t="s">
        <v>270</v>
      </c>
      <c r="HH21" s="94" t="s">
        <v>270</v>
      </c>
      <c r="HI21" s="94" t="s">
        <v>270</v>
      </c>
      <c r="HJ21" s="94" t="s">
        <v>270</v>
      </c>
      <c r="HK21" s="94" t="s">
        <v>270</v>
      </c>
      <c r="HL21" s="94" t="s">
        <v>270</v>
      </c>
      <c r="HM21" s="94" t="s">
        <v>270</v>
      </c>
      <c r="HN21" s="94" t="s">
        <v>270</v>
      </c>
      <c r="HO21" s="94" t="s">
        <v>270</v>
      </c>
      <c r="HP21" s="94" t="s">
        <v>270</v>
      </c>
      <c r="HQ21" s="94" t="s">
        <v>270</v>
      </c>
      <c r="HR21" s="94" t="s">
        <v>270</v>
      </c>
      <c r="HS21" s="94" t="s">
        <v>270</v>
      </c>
      <c r="HT21" s="94" t="s">
        <v>270</v>
      </c>
      <c r="HU21" s="94" t="s">
        <v>270</v>
      </c>
      <c r="HV21" s="94" t="s">
        <v>270</v>
      </c>
      <c r="HW21" s="94" t="s">
        <v>270</v>
      </c>
      <c r="HX21" s="94" t="s">
        <v>270</v>
      </c>
      <c r="HY21" s="94" t="s">
        <v>270</v>
      </c>
      <c r="HZ21" s="94" t="s">
        <v>270</v>
      </c>
      <c r="IA21" s="94" t="s">
        <v>270</v>
      </c>
      <c r="IB21" s="94" t="s">
        <v>270</v>
      </c>
      <c r="IC21" s="94" t="s">
        <v>270</v>
      </c>
      <c r="ID21" s="94" t="s">
        <v>270</v>
      </c>
      <c r="IE21" s="94" t="s">
        <v>270</v>
      </c>
      <c r="IF21" s="94" t="s">
        <v>270</v>
      </c>
      <c r="IG21" s="94" t="s">
        <v>270</v>
      </c>
      <c r="IH21" s="94" t="s">
        <v>270</v>
      </c>
      <c r="II21" s="94" t="s">
        <v>270</v>
      </c>
      <c r="IJ21" s="94" t="s">
        <v>270</v>
      </c>
      <c r="IK21" s="94" t="s">
        <v>270</v>
      </c>
      <c r="IL21" s="94" t="s">
        <v>270</v>
      </c>
      <c r="IM21" s="94" t="s">
        <v>270</v>
      </c>
      <c r="IN21" s="94" t="s">
        <v>270</v>
      </c>
      <c r="IO21" s="94" t="s">
        <v>270</v>
      </c>
      <c r="IP21" s="94" t="s">
        <v>270</v>
      </c>
      <c r="IQ21" s="94" t="s">
        <v>270</v>
      </c>
      <c r="IR21" s="94" t="s">
        <v>270</v>
      </c>
      <c r="IS21" s="94" t="s">
        <v>270</v>
      </c>
      <c r="IT21" s="94" t="s">
        <v>270</v>
      </c>
      <c r="IU21" s="94" t="s">
        <v>270</v>
      </c>
      <c r="IV21" s="94" t="s">
        <v>270</v>
      </c>
      <c r="IW21" s="94" t="s">
        <v>270</v>
      </c>
      <c r="IX21" s="94" t="s">
        <v>270</v>
      </c>
      <c r="IY21" s="94" t="s">
        <v>270</v>
      </c>
      <c r="IZ21" s="94" t="s">
        <v>270</v>
      </c>
      <c r="JA21" s="94" t="s">
        <v>270</v>
      </c>
      <c r="JB21" s="94" t="s">
        <v>270</v>
      </c>
      <c r="JC21" s="94" t="s">
        <v>270</v>
      </c>
      <c r="JD21" s="94" t="s">
        <v>270</v>
      </c>
      <c r="JE21" s="94" t="s">
        <v>270</v>
      </c>
      <c r="JF21" s="94" t="s">
        <v>270</v>
      </c>
      <c r="JG21" s="94" t="s">
        <v>270</v>
      </c>
      <c r="JH21" s="94" t="s">
        <v>270</v>
      </c>
      <c r="JI21" s="94" t="s">
        <v>270</v>
      </c>
      <c r="JJ21" s="94" t="s">
        <v>270</v>
      </c>
      <c r="JK21" s="94" t="s">
        <v>270</v>
      </c>
      <c r="JL21" s="94" t="s">
        <v>270</v>
      </c>
      <c r="JM21" s="94" t="s">
        <v>270</v>
      </c>
    </row>
    <row r="22" spans="1:273">
      <c r="A22" s="94" t="s">
        <v>626</v>
      </c>
      <c r="B22" s="94" t="s">
        <v>627</v>
      </c>
      <c r="C22" s="94" t="s">
        <v>683</v>
      </c>
      <c r="D22" s="95">
        <v>41521</v>
      </c>
      <c r="E22" s="94" t="s">
        <v>684</v>
      </c>
      <c r="F22" s="94">
        <v>0.12044944512</v>
      </c>
      <c r="G22" s="94">
        <v>61.585365853658502</v>
      </c>
      <c r="H22" s="94">
        <v>18.9500007629</v>
      </c>
      <c r="I22" s="94">
        <v>1</v>
      </c>
      <c r="J22" s="94">
        <v>0</v>
      </c>
      <c r="K22" s="94">
        <v>0</v>
      </c>
      <c r="L22" s="94" t="s">
        <v>630</v>
      </c>
      <c r="M22" s="94" t="s">
        <v>631</v>
      </c>
      <c r="N22" s="94">
        <v>1.3636754606405331E-3</v>
      </c>
      <c r="O22" s="96" t="s">
        <v>270</v>
      </c>
      <c r="P22" s="94">
        <v>12.277311284333342</v>
      </c>
      <c r="Q22" s="94">
        <v>5.4498415110904999</v>
      </c>
      <c r="R22" s="94">
        <v>3.3235533027479658</v>
      </c>
      <c r="S22" s="94">
        <v>0.53524404960508221</v>
      </c>
      <c r="T22" s="94" t="s">
        <v>270</v>
      </c>
      <c r="U22" s="94" t="s">
        <v>270</v>
      </c>
      <c r="V22" s="94" t="s">
        <v>632</v>
      </c>
      <c r="W22" s="94" t="s">
        <v>270</v>
      </c>
      <c r="X22" s="94">
        <v>0</v>
      </c>
      <c r="Y22" s="94">
        <v>2.4826198874521475</v>
      </c>
      <c r="Z22" s="94" t="s">
        <v>632</v>
      </c>
      <c r="AA22" s="94" t="s">
        <v>270</v>
      </c>
      <c r="AB22" s="94" t="s">
        <v>632</v>
      </c>
      <c r="AC22" s="94" t="s">
        <v>270</v>
      </c>
      <c r="AD22" s="94" t="s">
        <v>633</v>
      </c>
      <c r="AE22" s="94" t="s">
        <v>73</v>
      </c>
      <c r="AF22" s="94">
        <v>2.5907309566536342E-3</v>
      </c>
      <c r="AG22" s="94">
        <v>17</v>
      </c>
      <c r="AH22" s="97">
        <v>42880.574386574073</v>
      </c>
      <c r="AJ22" s="98" t="s">
        <v>685</v>
      </c>
      <c r="AK22" s="96">
        <v>3.8431120243033297</v>
      </c>
      <c r="AL22" s="96">
        <v>0.30852800913453327</v>
      </c>
      <c r="AM22" s="96">
        <v>8.5412058196710827E-2</v>
      </c>
      <c r="AN22" s="96" t="s">
        <v>270</v>
      </c>
      <c r="AO22" s="96" t="s">
        <v>270</v>
      </c>
      <c r="AP22" s="96">
        <v>0.18677045383102708</v>
      </c>
      <c r="AQ22" s="96">
        <v>-0.9752383962707496</v>
      </c>
      <c r="AR22" s="96">
        <v>14.542358518495822</v>
      </c>
      <c r="AS22" s="96" t="s">
        <v>270</v>
      </c>
      <c r="AT22" s="96" t="s">
        <v>270</v>
      </c>
      <c r="AU22" s="96" t="s">
        <v>270</v>
      </c>
      <c r="AV22" s="94">
        <v>2.2100000000000001E-7</v>
      </c>
      <c r="AW22" s="94">
        <v>4.0000000000000001E-10</v>
      </c>
      <c r="AX22" s="94">
        <v>2.5629999999999999E-7</v>
      </c>
      <c r="AY22" s="94">
        <v>2.8999999999999998E-10</v>
      </c>
      <c r="AZ22" s="94" t="s">
        <v>270</v>
      </c>
      <c r="BA22" s="94" t="s">
        <v>270</v>
      </c>
      <c r="BB22" s="94" t="s">
        <v>270</v>
      </c>
      <c r="BC22" s="94" t="s">
        <v>270</v>
      </c>
      <c r="BD22" s="94" t="s">
        <v>270</v>
      </c>
      <c r="BE22" s="94" t="s">
        <v>270</v>
      </c>
      <c r="BF22" s="94" t="s">
        <v>270</v>
      </c>
      <c r="BG22" s="94" t="s">
        <v>270</v>
      </c>
      <c r="BH22" s="94" t="s">
        <v>270</v>
      </c>
      <c r="BI22" s="94" t="s">
        <v>270</v>
      </c>
      <c r="BJ22" s="94" t="s">
        <v>270</v>
      </c>
      <c r="BK22" s="94" t="s">
        <v>270</v>
      </c>
      <c r="BL22" s="94" t="s">
        <v>270</v>
      </c>
      <c r="BM22" s="94" t="s">
        <v>270</v>
      </c>
      <c r="BN22" s="94" t="s">
        <v>270</v>
      </c>
      <c r="BO22" s="94" t="s">
        <v>270</v>
      </c>
      <c r="BP22" s="94" t="s">
        <v>270</v>
      </c>
      <c r="BQ22" s="94" t="s">
        <v>270</v>
      </c>
      <c r="BR22" s="94" t="s">
        <v>270</v>
      </c>
      <c r="BS22" s="94" t="s">
        <v>270</v>
      </c>
      <c r="BT22" s="94" t="s">
        <v>270</v>
      </c>
      <c r="BU22" s="94" t="s">
        <v>270</v>
      </c>
      <c r="BV22" s="94" t="s">
        <v>270</v>
      </c>
      <c r="BW22" s="94" t="s">
        <v>270</v>
      </c>
      <c r="BX22" s="94" t="s">
        <v>270</v>
      </c>
      <c r="BY22" s="94" t="s">
        <v>270</v>
      </c>
      <c r="BZ22" s="94" t="s">
        <v>270</v>
      </c>
      <c r="CA22" s="94" t="s">
        <v>270</v>
      </c>
      <c r="CB22" s="94" t="s">
        <v>270</v>
      </c>
      <c r="CC22" s="94" t="s">
        <v>270</v>
      </c>
      <c r="CD22" s="94" t="s">
        <v>270</v>
      </c>
      <c r="CE22" s="94" t="s">
        <v>270</v>
      </c>
      <c r="CF22" s="94" t="s">
        <v>270</v>
      </c>
      <c r="CG22" s="94" t="s">
        <v>270</v>
      </c>
      <c r="CH22" s="94" t="s">
        <v>270</v>
      </c>
      <c r="CI22" s="94" t="s">
        <v>270</v>
      </c>
      <c r="CJ22" s="94" t="s">
        <v>270</v>
      </c>
      <c r="CK22" s="94" t="s">
        <v>270</v>
      </c>
      <c r="CL22" s="94" t="s">
        <v>270</v>
      </c>
      <c r="CM22" s="94" t="s">
        <v>270</v>
      </c>
      <c r="CN22" s="94" t="s">
        <v>270</v>
      </c>
      <c r="CO22" s="94" t="s">
        <v>270</v>
      </c>
      <c r="CP22" s="94" t="s">
        <v>270</v>
      </c>
      <c r="CQ22" s="94" t="s">
        <v>270</v>
      </c>
      <c r="CR22" s="94">
        <v>0.70369649888100405</v>
      </c>
      <c r="CS22" s="94">
        <v>7.0369649888100405E-2</v>
      </c>
      <c r="CT22" s="94" t="s">
        <v>270</v>
      </c>
      <c r="CU22" s="94" t="s">
        <v>270</v>
      </c>
      <c r="CV22" s="94" t="s">
        <v>270</v>
      </c>
      <c r="CW22" s="94" t="s">
        <v>270</v>
      </c>
      <c r="CX22" s="94">
        <v>20.3451143857685</v>
      </c>
      <c r="CY22" s="94">
        <v>2.0345114385768501</v>
      </c>
      <c r="CZ22" s="94">
        <v>0.262990775540555</v>
      </c>
      <c r="DA22" s="94">
        <v>2.62990775540555E-2</v>
      </c>
      <c r="DB22" s="94">
        <v>11.591294122828</v>
      </c>
      <c r="DC22" s="94">
        <v>1.1591294122828</v>
      </c>
      <c r="DD22" s="94" t="s">
        <v>270</v>
      </c>
      <c r="DE22" s="94" t="s">
        <v>270</v>
      </c>
      <c r="DF22" s="94" t="s">
        <v>270</v>
      </c>
      <c r="DG22" s="94" t="s">
        <v>270</v>
      </c>
      <c r="DH22" s="94" t="s">
        <v>270</v>
      </c>
      <c r="DI22" s="94" t="s">
        <v>270</v>
      </c>
      <c r="DJ22" s="94">
        <v>0.99956178941617246</v>
      </c>
      <c r="DK22" s="94">
        <v>0.99260753607806151</v>
      </c>
      <c r="DL22" s="94">
        <v>1.4081039987837709E-2</v>
      </c>
      <c r="DM22" s="94">
        <v>0.99250195581810574</v>
      </c>
      <c r="DN22" s="94">
        <v>4.5631816668909359E-8</v>
      </c>
      <c r="DO22" s="94">
        <v>1.9586894450162977E-7</v>
      </c>
      <c r="DP22" s="94">
        <v>3.6356855722508117E-4</v>
      </c>
      <c r="DQ22" s="94">
        <v>8.4642005779884175E-8</v>
      </c>
      <c r="DR22" s="94">
        <v>1.208085880849725E-8</v>
      </c>
      <c r="DS22" s="94">
        <v>1.3714038954535244E-2</v>
      </c>
      <c r="DT22" s="94">
        <v>7.442824463855682E-3</v>
      </c>
      <c r="DU22" s="94">
        <v>3.7740147446160615E-4</v>
      </c>
      <c r="DV22" s="94">
        <v>5.659705883219731E-8</v>
      </c>
      <c r="DW22" s="94">
        <v>1.0885463162649356E-8</v>
      </c>
      <c r="DX22" s="94">
        <v>2.5886294560946712E-7</v>
      </c>
      <c r="DY22" s="94">
        <v>1.7415419306399344E-8</v>
      </c>
      <c r="DZ22" s="94">
        <v>6.042219904395801E-8</v>
      </c>
      <c r="EA22" s="94">
        <v>3.1041987847666016E-5</v>
      </c>
      <c r="EB22" s="94">
        <v>3.7888507651326767E-9</v>
      </c>
      <c r="EC22" s="94">
        <v>2.8914913733907316E-10</v>
      </c>
      <c r="ED22" s="94">
        <v>2.5951633609177203E-3</v>
      </c>
      <c r="EE22" s="94">
        <v>6.9615147479358888E-4</v>
      </c>
      <c r="EF22" s="94">
        <v>1.1632436559617693E-6</v>
      </c>
      <c r="EG22" s="94">
        <v>4.6862101568746316E-9</v>
      </c>
      <c r="EH22" s="94">
        <v>1.9276609155938205E-9</v>
      </c>
      <c r="EI22" s="94">
        <v>1.0635370568793246E-9</v>
      </c>
      <c r="EJ22" s="94">
        <v>6.3047235975308703E-8</v>
      </c>
      <c r="EK22" s="94">
        <v>2.5629114354558778E-7</v>
      </c>
      <c r="EL22" s="94">
        <v>3.9461054507274718E-4</v>
      </c>
      <c r="EM22" s="94">
        <v>8.8430856545016852E-8</v>
      </c>
      <c r="EN22" s="94">
        <v>1.2370007945836323E-8</v>
      </c>
      <c r="EO22" s="94">
        <v>1.6309202315452964E-2</v>
      </c>
      <c r="EP22" s="94">
        <v>8.1389759386492708E-3</v>
      </c>
      <c r="EQ22" s="94">
        <v>3.7856471811756792E-4</v>
      </c>
      <c r="ER22" s="94">
        <v>6.1283268989071942E-8</v>
      </c>
      <c r="ES22" s="94">
        <v>1.2813124078243176E-8</v>
      </c>
      <c r="ET22" s="94">
        <v>2.5992648266634644E-7</v>
      </c>
      <c r="EU22" s="94">
        <v>2.0341043530096394E-6</v>
      </c>
      <c r="EV22" s="94">
        <v>8.7312043348106311E-6</v>
      </c>
      <c r="EW22" s="94">
        <v>1.6229147488358013E-2</v>
      </c>
      <c r="EX22" s="94">
        <v>3.7853125321963309E-6</v>
      </c>
      <c r="EY22" s="94">
        <v>5.4238098599153342E-7</v>
      </c>
      <c r="EZ22" s="94">
        <v>0.61196641412994501</v>
      </c>
      <c r="FA22" s="94">
        <v>0.33191589807272459</v>
      </c>
      <c r="FB22" s="94">
        <v>1.6946053328293652E-2</v>
      </c>
      <c r="FC22" s="94">
        <v>2.5239697243688555E-6</v>
      </c>
      <c r="FD22" s="94">
        <v>4.8544182374772991E-7</v>
      </c>
      <c r="FE22" s="94">
        <v>1.1544102307796032E-5</v>
      </c>
      <c r="FF22" s="94">
        <v>7.7631755223918624E-7</v>
      </c>
      <c r="FG22" s="94">
        <v>2.6934262986596496E-6</v>
      </c>
      <c r="FH22" s="94">
        <v>1.3856671296239229E-3</v>
      </c>
      <c r="FI22" s="94">
        <v>1.6944286884192543E-7</v>
      </c>
      <c r="FJ22" s="94">
        <v>1.2981609726144631E-8</v>
      </c>
      <c r="FK22" s="94">
        <v>0.11580489317022324</v>
      </c>
      <c r="FL22" s="94">
        <v>3.1045168816337454E-2</v>
      </c>
      <c r="FM22" s="94">
        <v>5.223188132968612E-5</v>
      </c>
      <c r="FN22" s="94">
        <v>2.089835196745716E-7</v>
      </c>
      <c r="FO22" s="94">
        <v>8.5964852064717428E-8</v>
      </c>
      <c r="FP22" s="94">
        <v>4.7428883897774899E-8</v>
      </c>
      <c r="FQ22" s="94">
        <v>2.8104219052488256E-6</v>
      </c>
      <c r="FR22" s="94">
        <v>1.1424630633470281E-5</v>
      </c>
      <c r="FS22" s="94">
        <v>1.7614814617981936E-2</v>
      </c>
      <c r="FT22" s="94">
        <v>3.9547554010382564E-6</v>
      </c>
      <c r="FU22" s="94">
        <v>5.5536259571767805E-7</v>
      </c>
      <c r="FV22" s="94">
        <v>0.72777130730016826</v>
      </c>
      <c r="FW22" s="94">
        <v>0.36296106688906205</v>
      </c>
      <c r="FX22" s="94">
        <v>1.6998285209623338E-2</v>
      </c>
      <c r="FY22" s="94">
        <v>2.7329532440434271E-6</v>
      </c>
      <c r="FZ22" s="94">
        <v>5.7140667581244734E-7</v>
      </c>
      <c r="GA22" s="94">
        <v>1.1591531191693807E-5</v>
      </c>
      <c r="GB22" s="94">
        <v>8.1417471722643132E-6</v>
      </c>
      <c r="GC22" s="94">
        <v>1.7619308411517809E-4</v>
      </c>
      <c r="GD22" s="94">
        <v>0.6483219838649259</v>
      </c>
      <c r="GE22" s="94">
        <v>3.1720161957298816E-4</v>
      </c>
      <c r="GF22" s="94">
        <v>7.1210826793786407E-5</v>
      </c>
      <c r="GG22" s="94">
        <v>17.143259945587801</v>
      </c>
      <c r="GH22" s="94">
        <v>10.620910439249499</v>
      </c>
      <c r="GI22" s="94">
        <v>0.74578733395153951</v>
      </c>
      <c r="GJ22" s="94">
        <v>4.0490683344398387E-5</v>
      </c>
      <c r="GK22" s="94">
        <v>9.785924636565739E-7</v>
      </c>
      <c r="GL22" s="94">
        <v>5.0808826605256525E-4</v>
      </c>
      <c r="GM22" s="94" t="s">
        <v>270</v>
      </c>
      <c r="GN22" s="94" t="s">
        <v>270</v>
      </c>
      <c r="GO22" s="94" t="s">
        <v>270</v>
      </c>
      <c r="GP22" s="94" t="s">
        <v>270</v>
      </c>
      <c r="GQ22" s="94" t="s">
        <v>270</v>
      </c>
      <c r="GR22" s="94" t="s">
        <v>270</v>
      </c>
      <c r="GS22" s="94" t="s">
        <v>270</v>
      </c>
      <c r="GT22" s="94" t="s">
        <v>270</v>
      </c>
      <c r="GU22" s="94" t="s">
        <v>270</v>
      </c>
      <c r="GV22" s="94" t="s">
        <v>270</v>
      </c>
      <c r="GW22" s="94" t="s">
        <v>270</v>
      </c>
      <c r="GX22" s="94" t="s">
        <v>270</v>
      </c>
      <c r="GY22" s="94" t="s">
        <v>270</v>
      </c>
      <c r="GZ22" s="94" t="s">
        <v>270</v>
      </c>
      <c r="HA22" s="94" t="s">
        <v>270</v>
      </c>
      <c r="HB22" s="94" t="s">
        <v>270</v>
      </c>
      <c r="HC22" s="94" t="s">
        <v>270</v>
      </c>
      <c r="HD22" s="94" t="s">
        <v>270</v>
      </c>
      <c r="HE22" s="94" t="s">
        <v>270</v>
      </c>
      <c r="HF22" s="94" t="s">
        <v>270</v>
      </c>
      <c r="HG22" s="94" t="s">
        <v>270</v>
      </c>
      <c r="HH22" s="94" t="s">
        <v>270</v>
      </c>
      <c r="HI22" s="94" t="s">
        <v>270</v>
      </c>
      <c r="HJ22" s="94" t="s">
        <v>270</v>
      </c>
      <c r="HK22" s="94" t="s">
        <v>270</v>
      </c>
      <c r="HL22" s="94" t="s">
        <v>270</v>
      </c>
      <c r="HM22" s="94" t="s">
        <v>270</v>
      </c>
      <c r="HN22" s="94" t="s">
        <v>270</v>
      </c>
      <c r="HO22" s="94" t="s">
        <v>270</v>
      </c>
      <c r="HP22" s="94" t="s">
        <v>270</v>
      </c>
      <c r="HQ22" s="94" t="s">
        <v>270</v>
      </c>
      <c r="HR22" s="94" t="s">
        <v>270</v>
      </c>
      <c r="HS22" s="94" t="s">
        <v>270</v>
      </c>
      <c r="HT22" s="94" t="s">
        <v>270</v>
      </c>
      <c r="HU22" s="94" t="s">
        <v>270</v>
      </c>
      <c r="HV22" s="94" t="s">
        <v>270</v>
      </c>
      <c r="HW22" s="94" t="s">
        <v>270</v>
      </c>
      <c r="HX22" s="94" t="s">
        <v>270</v>
      </c>
      <c r="HY22" s="94" t="s">
        <v>270</v>
      </c>
      <c r="HZ22" s="94" t="s">
        <v>270</v>
      </c>
      <c r="IA22" s="94" t="s">
        <v>270</v>
      </c>
      <c r="IB22" s="94" t="s">
        <v>270</v>
      </c>
      <c r="IC22" s="94" t="s">
        <v>270</v>
      </c>
      <c r="ID22" s="94" t="s">
        <v>270</v>
      </c>
      <c r="IE22" s="94" t="s">
        <v>270</v>
      </c>
      <c r="IF22" s="94" t="s">
        <v>270</v>
      </c>
      <c r="IG22" s="94" t="s">
        <v>270</v>
      </c>
      <c r="IH22" s="94" t="s">
        <v>270</v>
      </c>
      <c r="II22" s="94" t="s">
        <v>270</v>
      </c>
      <c r="IJ22" s="94" t="s">
        <v>270</v>
      </c>
      <c r="IK22" s="94" t="s">
        <v>270</v>
      </c>
      <c r="IL22" s="94" t="s">
        <v>270</v>
      </c>
      <c r="IM22" s="94" t="s">
        <v>270</v>
      </c>
      <c r="IN22" s="94" t="s">
        <v>270</v>
      </c>
      <c r="IO22" s="94" t="s">
        <v>270</v>
      </c>
      <c r="IP22" s="94" t="s">
        <v>270</v>
      </c>
      <c r="IQ22" s="94" t="s">
        <v>270</v>
      </c>
      <c r="IR22" s="94" t="s">
        <v>270</v>
      </c>
      <c r="IS22" s="94" t="s">
        <v>270</v>
      </c>
      <c r="IT22" s="94" t="s">
        <v>270</v>
      </c>
      <c r="IU22" s="94" t="s">
        <v>270</v>
      </c>
      <c r="IV22" s="94" t="s">
        <v>270</v>
      </c>
      <c r="IW22" s="94" t="s">
        <v>270</v>
      </c>
      <c r="IX22" s="94" t="s">
        <v>270</v>
      </c>
      <c r="IY22" s="94" t="s">
        <v>270</v>
      </c>
      <c r="IZ22" s="94" t="s">
        <v>270</v>
      </c>
      <c r="JA22" s="94" t="s">
        <v>270</v>
      </c>
      <c r="JB22" s="94" t="s">
        <v>270</v>
      </c>
      <c r="JC22" s="94" t="s">
        <v>270</v>
      </c>
      <c r="JD22" s="94" t="s">
        <v>270</v>
      </c>
      <c r="JE22" s="94" t="s">
        <v>270</v>
      </c>
      <c r="JF22" s="94" t="s">
        <v>270</v>
      </c>
      <c r="JG22" s="94" t="s">
        <v>270</v>
      </c>
      <c r="JH22" s="94" t="s">
        <v>270</v>
      </c>
      <c r="JI22" s="94" t="s">
        <v>270</v>
      </c>
      <c r="JJ22" s="94" t="s">
        <v>270</v>
      </c>
      <c r="JK22" s="94" t="s">
        <v>270</v>
      </c>
      <c r="JL22" s="94" t="s">
        <v>270</v>
      </c>
      <c r="JM22" s="94" t="s">
        <v>270</v>
      </c>
    </row>
    <row r="23" spans="1:273">
      <c r="A23" s="94" t="s">
        <v>626</v>
      </c>
      <c r="B23" s="94" t="s">
        <v>627</v>
      </c>
      <c r="C23" s="94" t="s">
        <v>683</v>
      </c>
      <c r="D23" s="95">
        <v>41521</v>
      </c>
      <c r="E23" s="94" t="s">
        <v>686</v>
      </c>
      <c r="F23" s="94">
        <v>0.12044944512</v>
      </c>
      <c r="G23" s="94">
        <v>61.585365853658502</v>
      </c>
      <c r="H23" s="94">
        <v>18.9500007629</v>
      </c>
      <c r="I23" s="94">
        <v>1</v>
      </c>
      <c r="J23" s="94">
        <v>0</v>
      </c>
      <c r="K23" s="94">
        <v>0</v>
      </c>
      <c r="L23" s="94" t="s">
        <v>630</v>
      </c>
      <c r="M23" s="94" t="s">
        <v>631</v>
      </c>
      <c r="N23" s="94">
        <v>1.5441014070374186E-22</v>
      </c>
      <c r="O23" s="96" t="s">
        <v>270</v>
      </c>
      <c r="P23" s="94">
        <v>11.814013175131587</v>
      </c>
      <c r="Q23" s="94">
        <v>5.395829705815979</v>
      </c>
      <c r="R23" s="94">
        <v>3.2782253706641002</v>
      </c>
      <c r="S23" s="94">
        <v>0.53784909702471495</v>
      </c>
      <c r="T23" s="94" t="s">
        <v>270</v>
      </c>
      <c r="U23" s="94" t="s">
        <v>270</v>
      </c>
      <c r="V23" s="94" t="s">
        <v>632</v>
      </c>
      <c r="W23" s="94" t="s">
        <v>270</v>
      </c>
      <c r="X23" s="94">
        <v>2.2646171836390814E-4</v>
      </c>
      <c r="Y23" s="94">
        <v>2.5037827759532849</v>
      </c>
      <c r="Z23" s="94" t="s">
        <v>632</v>
      </c>
      <c r="AA23" s="94" t="s">
        <v>270</v>
      </c>
      <c r="AB23" s="94" t="s">
        <v>632</v>
      </c>
      <c r="AC23" s="94" t="s">
        <v>270</v>
      </c>
      <c r="AD23" s="94" t="s">
        <v>633</v>
      </c>
      <c r="AE23" s="94" t="s">
        <v>73</v>
      </c>
      <c r="AF23" s="94">
        <v>2.4034183081221388E-9</v>
      </c>
      <c r="AG23" s="94">
        <v>4</v>
      </c>
      <c r="AH23" s="97">
        <v>42880.574386574073</v>
      </c>
      <c r="AJ23" s="98" t="s">
        <v>687</v>
      </c>
      <c r="AK23" s="96">
        <v>3.8339357846885331</v>
      </c>
      <c r="AL23" s="96">
        <v>0.30298715224158101</v>
      </c>
      <c r="AM23" s="96">
        <v>8.3347461818263913E-2</v>
      </c>
      <c r="AN23" s="96" t="s">
        <v>270</v>
      </c>
      <c r="AO23" s="96" t="s">
        <v>270</v>
      </c>
      <c r="AP23" s="96">
        <v>0.18487896039540375</v>
      </c>
      <c r="AQ23" s="96">
        <v>-0.97586723948307119</v>
      </c>
      <c r="AR23" s="96">
        <v>13.709085752849274</v>
      </c>
      <c r="AS23" s="96" t="s">
        <v>270</v>
      </c>
      <c r="AT23" s="96" t="s">
        <v>270</v>
      </c>
      <c r="AU23" s="96" t="s">
        <v>270</v>
      </c>
      <c r="AV23" s="94">
        <v>2.2100000000000001E-7</v>
      </c>
      <c r="AW23" s="94">
        <v>4.0000000000000001E-10</v>
      </c>
      <c r="AX23" s="94">
        <v>2.5629999999999999E-7</v>
      </c>
      <c r="AY23" s="94">
        <v>2.8999999999999998E-10</v>
      </c>
      <c r="AZ23" s="94" t="s">
        <v>270</v>
      </c>
      <c r="BA23" s="94" t="s">
        <v>270</v>
      </c>
      <c r="BB23" s="94" t="s">
        <v>270</v>
      </c>
      <c r="BC23" s="94" t="s">
        <v>270</v>
      </c>
      <c r="BD23" s="94" t="s">
        <v>270</v>
      </c>
      <c r="BE23" s="94" t="s">
        <v>270</v>
      </c>
      <c r="BF23" s="94" t="s">
        <v>270</v>
      </c>
      <c r="BG23" s="94" t="s">
        <v>270</v>
      </c>
      <c r="BH23" s="94" t="s">
        <v>270</v>
      </c>
      <c r="BI23" s="94" t="s">
        <v>270</v>
      </c>
      <c r="BJ23" s="94" t="s">
        <v>270</v>
      </c>
      <c r="BK23" s="94" t="s">
        <v>270</v>
      </c>
      <c r="BL23" s="94" t="s">
        <v>270</v>
      </c>
      <c r="BM23" s="94" t="s">
        <v>270</v>
      </c>
      <c r="BN23" s="94" t="s">
        <v>270</v>
      </c>
      <c r="BO23" s="94" t="s">
        <v>270</v>
      </c>
      <c r="BP23" s="94" t="s">
        <v>270</v>
      </c>
      <c r="BQ23" s="94" t="s">
        <v>270</v>
      </c>
      <c r="BR23" s="94" t="s">
        <v>270</v>
      </c>
      <c r="BS23" s="94" t="s">
        <v>270</v>
      </c>
      <c r="BT23" s="94" t="s">
        <v>270</v>
      </c>
      <c r="BU23" s="94" t="s">
        <v>270</v>
      </c>
      <c r="BV23" s="94" t="s">
        <v>270</v>
      </c>
      <c r="BW23" s="94" t="s">
        <v>270</v>
      </c>
      <c r="BX23" s="94" t="s">
        <v>270</v>
      </c>
      <c r="BY23" s="94" t="s">
        <v>270</v>
      </c>
      <c r="BZ23" s="94" t="s">
        <v>270</v>
      </c>
      <c r="CA23" s="94" t="s">
        <v>270</v>
      </c>
      <c r="CB23" s="94" t="s">
        <v>270</v>
      </c>
      <c r="CC23" s="94" t="s">
        <v>270</v>
      </c>
      <c r="CD23" s="94" t="s">
        <v>270</v>
      </c>
      <c r="CE23" s="94" t="s">
        <v>270</v>
      </c>
      <c r="CF23" s="94" t="s">
        <v>270</v>
      </c>
      <c r="CG23" s="94" t="s">
        <v>270</v>
      </c>
      <c r="CH23" s="94" t="s">
        <v>270</v>
      </c>
      <c r="CI23" s="94" t="s">
        <v>270</v>
      </c>
      <c r="CJ23" s="94" t="s">
        <v>270</v>
      </c>
      <c r="CK23" s="94" t="s">
        <v>270</v>
      </c>
      <c r="CL23" s="94" t="s">
        <v>270</v>
      </c>
      <c r="CM23" s="94" t="s">
        <v>270</v>
      </c>
      <c r="CN23" s="94" t="s">
        <v>270</v>
      </c>
      <c r="CO23" s="94" t="s">
        <v>270</v>
      </c>
      <c r="CP23" s="94" t="s">
        <v>270</v>
      </c>
      <c r="CQ23" s="94" t="s">
        <v>270</v>
      </c>
      <c r="CR23" s="94">
        <v>0.70972263942342995</v>
      </c>
      <c r="CS23" s="94">
        <v>7.0972263942343003E-2</v>
      </c>
      <c r="CT23" s="94" t="s">
        <v>270</v>
      </c>
      <c r="CU23" s="94" t="s">
        <v>270</v>
      </c>
      <c r="CV23" s="94" t="s">
        <v>270</v>
      </c>
      <c r="CW23" s="94" t="s">
        <v>270</v>
      </c>
      <c r="CX23" s="94">
        <v>20.510170722542</v>
      </c>
      <c r="CY23" s="94">
        <v>2.0510170722542003</v>
      </c>
      <c r="CZ23" s="94">
        <v>0.25902581498662702</v>
      </c>
      <c r="DA23" s="94">
        <v>2.5902581498662702E-2</v>
      </c>
      <c r="DB23" s="94">
        <v>11.143690281924201</v>
      </c>
      <c r="DC23" s="94">
        <v>1.1143690281924201</v>
      </c>
      <c r="DD23" s="94" t="s">
        <v>270</v>
      </c>
      <c r="DE23" s="94" t="s">
        <v>270</v>
      </c>
      <c r="DF23" s="94" t="s">
        <v>270</v>
      </c>
      <c r="DG23" s="94" t="s">
        <v>270</v>
      </c>
      <c r="DH23" s="94" t="s">
        <v>270</v>
      </c>
      <c r="DI23" s="94" t="s">
        <v>270</v>
      </c>
      <c r="DJ23" s="94">
        <v>0.99961507885349354</v>
      </c>
      <c r="DK23" s="94">
        <v>0.99260753607806151</v>
      </c>
      <c r="DL23" s="94">
        <v>1.3657457879570343E-2</v>
      </c>
      <c r="DM23" s="94">
        <v>0.99250517583268161</v>
      </c>
      <c r="DN23" s="94">
        <v>4.5718439351225226E-8</v>
      </c>
      <c r="DO23" s="94">
        <v>1.9670186276133025E-7</v>
      </c>
      <c r="DP23" s="94">
        <v>3.673612164548977E-4</v>
      </c>
      <c r="DQ23" s="94">
        <v>8.5743095232956549E-8</v>
      </c>
      <c r="DR23" s="94">
        <v>1.2272497256909654E-8</v>
      </c>
      <c r="DS23" s="94">
        <v>1.3846630493563021E-2</v>
      </c>
      <c r="DT23" s="94">
        <v>7.5212309168731159E-3</v>
      </c>
      <c r="DU23" s="94">
        <v>3.8336175961058844E-4</v>
      </c>
      <c r="DV23" s="94">
        <v>5.7245221823596507E-8</v>
      </c>
      <c r="DW23" s="94">
        <v>1.0935322894950064E-8</v>
      </c>
      <c r="DX23" s="94">
        <v>2.6318048260065664E-7</v>
      </c>
      <c r="DY23" s="94">
        <v>1.7177900942279881E-8</v>
      </c>
      <c r="DZ23" s="94">
        <v>5.959813723867334E-8</v>
      </c>
      <c r="EA23" s="94">
        <v>3.0618624962002665E-5</v>
      </c>
      <c r="EB23" s="94">
        <v>3.7371769225570705E-9</v>
      </c>
      <c r="EC23" s="94">
        <v>2.8520560724777631E-10</v>
      </c>
      <c r="ED23" s="94">
        <v>2.5599505809005118E-3</v>
      </c>
      <c r="EE23" s="94">
        <v>6.8665708613930253E-4</v>
      </c>
      <c r="EF23" s="94">
        <v>1.1473788797324459E-6</v>
      </c>
      <c r="EG23" s="94">
        <v>4.6222977726363746E-9</v>
      </c>
      <c r="EH23" s="94">
        <v>1.9013707149851782E-9</v>
      </c>
      <c r="EI23" s="94">
        <v>1.0490321186125203E-9</v>
      </c>
      <c r="EJ23" s="94">
        <v>6.2896340293505107E-8</v>
      </c>
      <c r="EK23" s="94">
        <v>2.5630000000000359E-7</v>
      </c>
      <c r="EL23" s="94">
        <v>3.9797984141690037E-4</v>
      </c>
      <c r="EM23" s="94">
        <v>8.948027215551362E-8</v>
      </c>
      <c r="EN23" s="94">
        <v>1.2557702864157431E-8</v>
      </c>
      <c r="EO23" s="94">
        <v>1.6406581074463533E-2</v>
      </c>
      <c r="EP23" s="94">
        <v>8.2078880030124184E-3</v>
      </c>
      <c r="EQ23" s="94">
        <v>3.8450913849032088E-4</v>
      </c>
      <c r="ER23" s="94">
        <v>6.1867519596232881E-8</v>
      </c>
      <c r="ES23" s="94">
        <v>1.2836693609935243E-8</v>
      </c>
      <c r="ET23" s="94">
        <v>2.6422951471926916E-7</v>
      </c>
      <c r="EU23" s="94">
        <v>2.0380743342547014E-6</v>
      </c>
      <c r="EV23" s="94">
        <v>8.7688006025316505E-6</v>
      </c>
      <c r="EW23" s="94">
        <v>1.639932027565975E-2</v>
      </c>
      <c r="EX23" s="94">
        <v>3.8347592709014277E-6</v>
      </c>
      <c r="EY23" s="94">
        <v>5.510141404660633E-7</v>
      </c>
      <c r="EZ23" s="94">
        <v>0.61791603438210796</v>
      </c>
      <c r="FA23" s="94">
        <v>0.33543034871265515</v>
      </c>
      <c r="FB23" s="94">
        <v>1.7214599324493617E-2</v>
      </c>
      <c r="FC23" s="94">
        <v>2.5530109274194764E-6</v>
      </c>
      <c r="FD23" s="94">
        <v>4.8769133835655929E-7</v>
      </c>
      <c r="FE23" s="94">
        <v>1.1737270405441056E-5</v>
      </c>
      <c r="FF23" s="94">
        <v>7.6577065017185577E-7</v>
      </c>
      <c r="FG23" s="94">
        <v>2.6568339231354847E-6</v>
      </c>
      <c r="FH23" s="94">
        <v>1.3668417205217956E-3</v>
      </c>
      <c r="FI23" s="94">
        <v>1.6714085037212636E-7</v>
      </c>
      <c r="FJ23" s="94">
        <v>1.2805244054567212E-8</v>
      </c>
      <c r="FK23" s="94">
        <v>0.11423967404824131</v>
      </c>
      <c r="FL23" s="94">
        <v>3.062339507925621E-2</v>
      </c>
      <c r="FM23" s="94">
        <v>5.1522268960900452E-5</v>
      </c>
      <c r="FN23" s="94">
        <v>2.0614430947078783E-7</v>
      </c>
      <c r="FO23" s="94">
        <v>8.4796949995075951E-8</v>
      </c>
      <c r="FP23" s="94">
        <v>4.6784524135214727E-8</v>
      </c>
      <c r="FQ23" s="94">
        <v>2.8038449844265572E-6</v>
      </c>
      <c r="FR23" s="94">
        <v>1.1425634525667135E-5</v>
      </c>
      <c r="FS23" s="94">
        <v>1.7766161996181546E-2</v>
      </c>
      <c r="FT23" s="94">
        <v>4.001900121273554E-6</v>
      </c>
      <c r="FU23" s="94">
        <v>5.6381938452063051E-7</v>
      </c>
      <c r="FV23" s="94">
        <v>0.73215570843034927</v>
      </c>
      <c r="FW23" s="94">
        <v>0.36605374379191136</v>
      </c>
      <c r="FX23" s="94">
        <v>1.7266121593454517E-2</v>
      </c>
      <c r="FY23" s="94">
        <v>2.7591552368902643E-6</v>
      </c>
      <c r="FZ23" s="94">
        <v>5.7248828835163524E-7</v>
      </c>
      <c r="GA23" s="94">
        <v>1.1784054929576271E-5</v>
      </c>
      <c r="GB23" s="94">
        <v>8.1576374993894202E-6</v>
      </c>
      <c r="GC23" s="94">
        <v>1.7695176551890796E-4</v>
      </c>
      <c r="GD23" s="94">
        <v>0.65512004637205568</v>
      </c>
      <c r="GE23" s="94">
        <v>3.2134515738299786E-4</v>
      </c>
      <c r="GF23" s="94">
        <v>7.2344299544210857E-5</v>
      </c>
      <c r="GG23" s="94">
        <v>17.309929037559744</v>
      </c>
      <c r="GH23" s="94">
        <v>10.733368642386509</v>
      </c>
      <c r="GI23" s="94">
        <v>0.75760590897130187</v>
      </c>
      <c r="GJ23" s="94">
        <v>4.0956575682689851E-5</v>
      </c>
      <c r="GK23" s="94">
        <v>9.8312721516622079E-7</v>
      </c>
      <c r="GL23" s="94">
        <v>5.1659013490059616E-4</v>
      </c>
      <c r="GM23" s="94" t="s">
        <v>270</v>
      </c>
      <c r="GN23" s="94" t="s">
        <v>270</v>
      </c>
      <c r="GO23" s="94" t="s">
        <v>270</v>
      </c>
      <c r="GP23" s="94" t="s">
        <v>270</v>
      </c>
      <c r="GQ23" s="94" t="s">
        <v>270</v>
      </c>
      <c r="GR23" s="94" t="s">
        <v>270</v>
      </c>
      <c r="GS23" s="94" t="s">
        <v>270</v>
      </c>
      <c r="GT23" s="94" t="s">
        <v>270</v>
      </c>
      <c r="GU23" s="94" t="s">
        <v>270</v>
      </c>
      <c r="GV23" s="94" t="s">
        <v>270</v>
      </c>
      <c r="GW23" s="94" t="s">
        <v>270</v>
      </c>
      <c r="GX23" s="94" t="s">
        <v>270</v>
      </c>
      <c r="GY23" s="94" t="s">
        <v>270</v>
      </c>
      <c r="GZ23" s="94" t="s">
        <v>270</v>
      </c>
      <c r="HA23" s="94" t="s">
        <v>270</v>
      </c>
      <c r="HB23" s="94" t="s">
        <v>270</v>
      </c>
      <c r="HC23" s="94" t="s">
        <v>270</v>
      </c>
      <c r="HD23" s="94" t="s">
        <v>270</v>
      </c>
      <c r="HE23" s="94" t="s">
        <v>270</v>
      </c>
      <c r="HF23" s="94" t="s">
        <v>270</v>
      </c>
      <c r="HG23" s="94" t="s">
        <v>270</v>
      </c>
      <c r="HH23" s="94" t="s">
        <v>270</v>
      </c>
      <c r="HI23" s="94" t="s">
        <v>270</v>
      </c>
      <c r="HJ23" s="94" t="s">
        <v>270</v>
      </c>
      <c r="HK23" s="94" t="s">
        <v>270</v>
      </c>
      <c r="HL23" s="94" t="s">
        <v>270</v>
      </c>
      <c r="HM23" s="94" t="s">
        <v>270</v>
      </c>
      <c r="HN23" s="94" t="s">
        <v>270</v>
      </c>
      <c r="HO23" s="94" t="s">
        <v>270</v>
      </c>
      <c r="HP23" s="94" t="s">
        <v>270</v>
      </c>
      <c r="HQ23" s="94" t="s">
        <v>270</v>
      </c>
      <c r="HR23" s="94" t="s">
        <v>270</v>
      </c>
      <c r="HS23" s="94" t="s">
        <v>270</v>
      </c>
      <c r="HT23" s="94" t="s">
        <v>270</v>
      </c>
      <c r="HU23" s="94" t="s">
        <v>270</v>
      </c>
      <c r="HV23" s="94" t="s">
        <v>270</v>
      </c>
      <c r="HW23" s="94" t="s">
        <v>270</v>
      </c>
      <c r="HX23" s="94" t="s">
        <v>270</v>
      </c>
      <c r="HY23" s="94" t="s">
        <v>270</v>
      </c>
      <c r="HZ23" s="94" t="s">
        <v>270</v>
      </c>
      <c r="IA23" s="94" t="s">
        <v>270</v>
      </c>
      <c r="IB23" s="94" t="s">
        <v>270</v>
      </c>
      <c r="IC23" s="94" t="s">
        <v>270</v>
      </c>
      <c r="ID23" s="94" t="s">
        <v>270</v>
      </c>
      <c r="IE23" s="94" t="s">
        <v>270</v>
      </c>
      <c r="IF23" s="94" t="s">
        <v>270</v>
      </c>
      <c r="IG23" s="94" t="s">
        <v>270</v>
      </c>
      <c r="IH23" s="94" t="s">
        <v>270</v>
      </c>
      <c r="II23" s="94" t="s">
        <v>270</v>
      </c>
      <c r="IJ23" s="94" t="s">
        <v>270</v>
      </c>
      <c r="IK23" s="94" t="s">
        <v>270</v>
      </c>
      <c r="IL23" s="94" t="s">
        <v>270</v>
      </c>
      <c r="IM23" s="94" t="s">
        <v>270</v>
      </c>
      <c r="IN23" s="94" t="s">
        <v>270</v>
      </c>
      <c r="IO23" s="94" t="s">
        <v>270</v>
      </c>
      <c r="IP23" s="94" t="s">
        <v>270</v>
      </c>
      <c r="IQ23" s="94" t="s">
        <v>270</v>
      </c>
      <c r="IR23" s="94" t="s">
        <v>270</v>
      </c>
      <c r="IS23" s="94" t="s">
        <v>270</v>
      </c>
      <c r="IT23" s="94" t="s">
        <v>270</v>
      </c>
      <c r="IU23" s="94" t="s">
        <v>270</v>
      </c>
      <c r="IV23" s="94" t="s">
        <v>270</v>
      </c>
      <c r="IW23" s="94" t="s">
        <v>270</v>
      </c>
      <c r="IX23" s="94" t="s">
        <v>270</v>
      </c>
      <c r="IY23" s="94" t="s">
        <v>270</v>
      </c>
      <c r="IZ23" s="94" t="s">
        <v>270</v>
      </c>
      <c r="JA23" s="94" t="s">
        <v>270</v>
      </c>
      <c r="JB23" s="94" t="s">
        <v>270</v>
      </c>
      <c r="JC23" s="94" t="s">
        <v>270</v>
      </c>
      <c r="JD23" s="94" t="s">
        <v>270</v>
      </c>
      <c r="JE23" s="94" t="s">
        <v>270</v>
      </c>
      <c r="JF23" s="94" t="s">
        <v>270</v>
      </c>
      <c r="JG23" s="94" t="s">
        <v>270</v>
      </c>
      <c r="JH23" s="94" t="s">
        <v>270</v>
      </c>
      <c r="JI23" s="94" t="s">
        <v>270</v>
      </c>
      <c r="JJ23" s="94" t="s">
        <v>270</v>
      </c>
      <c r="JK23" s="94" t="s">
        <v>270</v>
      </c>
      <c r="JL23" s="94" t="s">
        <v>270</v>
      </c>
      <c r="JM23" s="94" t="s">
        <v>270</v>
      </c>
    </row>
    <row r="24" spans="1:273">
      <c r="A24" s="94" t="s">
        <v>626</v>
      </c>
      <c r="B24" s="94" t="s">
        <v>688</v>
      </c>
      <c r="C24" s="94" t="s">
        <v>689</v>
      </c>
      <c r="D24" s="95">
        <v>41527</v>
      </c>
      <c r="E24" s="94" t="s">
        <v>690</v>
      </c>
      <c r="F24" s="94">
        <v>1.04112156672</v>
      </c>
      <c r="G24" s="94">
        <v>10.670731707317</v>
      </c>
      <c r="H24" s="94">
        <v>22.4300003052</v>
      </c>
      <c r="I24" s="94">
        <v>1</v>
      </c>
      <c r="J24" s="94">
        <v>0</v>
      </c>
      <c r="K24" s="94">
        <v>0</v>
      </c>
      <c r="L24" s="94" t="s">
        <v>630</v>
      </c>
      <c r="M24" s="94" t="s">
        <v>631</v>
      </c>
      <c r="N24" s="94">
        <v>1.0126517195346371E-22</v>
      </c>
      <c r="O24" s="96" t="s">
        <v>270</v>
      </c>
      <c r="P24" s="94">
        <v>20.122090708398989</v>
      </c>
      <c r="Q24" s="94">
        <v>0.85197957043944406</v>
      </c>
      <c r="R24" s="94">
        <v>2.5244038689840882</v>
      </c>
      <c r="S24" s="94">
        <v>0.55690964099975226</v>
      </c>
      <c r="T24" s="94" t="s">
        <v>270</v>
      </c>
      <c r="U24" s="94" t="s">
        <v>270</v>
      </c>
      <c r="V24" s="94" t="s">
        <v>632</v>
      </c>
      <c r="W24" s="94" t="s">
        <v>270</v>
      </c>
      <c r="X24" s="94">
        <v>3.9000000000000012</v>
      </c>
      <c r="Y24" s="94">
        <v>0.3162277660168375</v>
      </c>
      <c r="Z24" s="94" t="s">
        <v>632</v>
      </c>
      <c r="AA24" s="94" t="s">
        <v>270</v>
      </c>
      <c r="AB24" s="94" t="s">
        <v>632</v>
      </c>
      <c r="AC24" s="94" t="s">
        <v>270</v>
      </c>
      <c r="AD24" s="94" t="s">
        <v>644</v>
      </c>
      <c r="AE24" s="94" t="s">
        <v>82</v>
      </c>
      <c r="AF24" s="94">
        <v>4.2094833999118774E-14</v>
      </c>
      <c r="AG24" s="94">
        <v>4</v>
      </c>
      <c r="AH24" s="97">
        <v>42880.562835648147</v>
      </c>
      <c r="AI24" s="94" t="s">
        <v>645</v>
      </c>
      <c r="AJ24" s="98" t="s">
        <v>691</v>
      </c>
      <c r="AK24" s="96">
        <v>17.875880447671062</v>
      </c>
      <c r="AL24" s="96">
        <v>1.3600037052334812E-2</v>
      </c>
      <c r="AM24" s="96">
        <v>7.6648415879155163E-2</v>
      </c>
      <c r="AN24" s="96" t="s">
        <v>270</v>
      </c>
      <c r="AO24" s="96" t="s">
        <v>270</v>
      </c>
      <c r="AP24" s="96">
        <v>0.43221037892622949</v>
      </c>
      <c r="AQ24" s="96">
        <v>-0.97498169725343953</v>
      </c>
      <c r="AR24" s="96">
        <v>7.2469819953856582</v>
      </c>
      <c r="AS24" s="96" t="s">
        <v>270</v>
      </c>
      <c r="AT24" s="96" t="s">
        <v>270</v>
      </c>
      <c r="AU24" s="96" t="s">
        <v>270</v>
      </c>
      <c r="AV24" s="94">
        <v>8.3900000000000004E-7</v>
      </c>
      <c r="AW24" s="94">
        <v>1.6000000000000001E-9</v>
      </c>
      <c r="AX24" s="94">
        <v>1.8610000000000001E-7</v>
      </c>
      <c r="AY24" s="94">
        <v>4.3999999999999998E-10</v>
      </c>
      <c r="AZ24" s="94" t="s">
        <v>270</v>
      </c>
      <c r="BA24" s="94" t="s">
        <v>270</v>
      </c>
      <c r="BB24" s="94" t="s">
        <v>270</v>
      </c>
      <c r="BC24" s="94" t="s">
        <v>270</v>
      </c>
      <c r="BD24" s="94" t="s">
        <v>270</v>
      </c>
      <c r="BE24" s="94" t="s">
        <v>270</v>
      </c>
      <c r="BF24" s="94" t="s">
        <v>270</v>
      </c>
      <c r="BG24" s="94" t="s">
        <v>270</v>
      </c>
      <c r="BH24" s="94" t="s">
        <v>270</v>
      </c>
      <c r="BI24" s="94" t="s">
        <v>270</v>
      </c>
      <c r="BJ24" s="94" t="s">
        <v>270</v>
      </c>
      <c r="BK24" s="94" t="s">
        <v>270</v>
      </c>
      <c r="BL24" s="94" t="s">
        <v>270</v>
      </c>
      <c r="BM24" s="94" t="s">
        <v>270</v>
      </c>
      <c r="BN24" s="94" t="s">
        <v>270</v>
      </c>
      <c r="BO24" s="94" t="s">
        <v>270</v>
      </c>
      <c r="BP24" s="94" t="s">
        <v>270</v>
      </c>
      <c r="BQ24" s="94" t="s">
        <v>270</v>
      </c>
      <c r="BR24" s="94" t="s">
        <v>270</v>
      </c>
      <c r="BS24" s="94" t="s">
        <v>270</v>
      </c>
      <c r="BT24" s="94" t="s">
        <v>270</v>
      </c>
      <c r="BU24" s="94" t="s">
        <v>270</v>
      </c>
      <c r="BV24" s="94" t="s">
        <v>270</v>
      </c>
      <c r="BW24" s="94" t="s">
        <v>270</v>
      </c>
      <c r="BX24" s="94" t="s">
        <v>270</v>
      </c>
      <c r="BY24" s="94" t="s">
        <v>270</v>
      </c>
      <c r="BZ24" s="94" t="s">
        <v>270</v>
      </c>
      <c r="CA24" s="94" t="s">
        <v>270</v>
      </c>
      <c r="CB24" s="94" t="s">
        <v>270</v>
      </c>
      <c r="CC24" s="94" t="s">
        <v>270</v>
      </c>
      <c r="CD24" s="94" t="s">
        <v>270</v>
      </c>
      <c r="CE24" s="94" t="s">
        <v>270</v>
      </c>
      <c r="CF24" s="94" t="s">
        <v>270</v>
      </c>
      <c r="CG24" s="94" t="s">
        <v>270</v>
      </c>
      <c r="CH24" s="94" t="s">
        <v>270</v>
      </c>
      <c r="CI24" s="94" t="s">
        <v>270</v>
      </c>
      <c r="CJ24" s="94" t="s">
        <v>270</v>
      </c>
      <c r="CK24" s="94" t="s">
        <v>270</v>
      </c>
      <c r="CL24" s="94" t="s">
        <v>270</v>
      </c>
      <c r="CM24" s="94" t="s">
        <v>270</v>
      </c>
      <c r="CN24" s="94" t="s">
        <v>270</v>
      </c>
      <c r="CO24" s="94" t="s">
        <v>270</v>
      </c>
      <c r="CP24" s="94" t="s">
        <v>270</v>
      </c>
      <c r="CQ24" s="94" t="s">
        <v>270</v>
      </c>
      <c r="CR24" s="94">
        <v>0.59213936518923105</v>
      </c>
      <c r="CS24" s="94">
        <v>5.9213936518923108E-2</v>
      </c>
      <c r="CT24" s="94" t="s">
        <v>270</v>
      </c>
      <c r="CU24" s="94" t="s">
        <v>270</v>
      </c>
      <c r="CV24" s="94" t="s">
        <v>270</v>
      </c>
      <c r="CW24" s="94" t="s">
        <v>270</v>
      </c>
      <c r="CX24" s="94">
        <v>21.094516715225801</v>
      </c>
      <c r="CY24" s="94">
        <v>2.1094516715225802</v>
      </c>
      <c r="CZ24" s="94">
        <v>0.22524041093274999</v>
      </c>
      <c r="DA24" s="94">
        <v>2.2524041093275E-2</v>
      </c>
      <c r="DB24" s="94">
        <v>4.7883658219171297</v>
      </c>
      <c r="DC24" s="94">
        <v>0.47883658219171299</v>
      </c>
      <c r="DD24" s="94" t="s">
        <v>270</v>
      </c>
      <c r="DE24" s="94" t="s">
        <v>270</v>
      </c>
      <c r="DF24" s="94" t="s">
        <v>270</v>
      </c>
      <c r="DG24" s="94" t="s">
        <v>270</v>
      </c>
      <c r="DH24" s="94" t="s">
        <v>270</v>
      </c>
      <c r="DI24" s="94" t="s">
        <v>270</v>
      </c>
      <c r="DJ24" s="94">
        <v>0.9989758352228082</v>
      </c>
      <c r="DK24" s="94">
        <v>0.99871519574244083</v>
      </c>
      <c r="DL24" s="94">
        <v>2.3219258018566807E-2</v>
      </c>
      <c r="DM24" s="94">
        <v>0.99868465439341803</v>
      </c>
      <c r="DN24" s="94">
        <v>4.4448257781984272E-8</v>
      </c>
      <c r="DO24" s="94">
        <v>1.8360299249909281E-7</v>
      </c>
      <c r="DP24" s="94">
        <v>3.0860308225681287E-4</v>
      </c>
      <c r="DQ24" s="94">
        <v>6.8861119658620558E-8</v>
      </c>
      <c r="DR24" s="94">
        <v>9.4128868257046755E-9</v>
      </c>
      <c r="DS24" s="94">
        <v>1.1789337331961537E-2</v>
      </c>
      <c r="DT24" s="94">
        <v>6.3127582778226693E-3</v>
      </c>
      <c r="DU24" s="94">
        <v>2.9399201036709274E-4</v>
      </c>
      <c r="DV24" s="94">
        <v>4.7336469968493563E-8</v>
      </c>
      <c r="DW24" s="94">
        <v>1.0169261073522761E-8</v>
      </c>
      <c r="DX24" s="94">
        <v>1.9882069588043726E-7</v>
      </c>
      <c r="DY24" s="94">
        <v>1.3227876273476622E-8</v>
      </c>
      <c r="DZ24" s="94">
        <v>4.5893662338130727E-8</v>
      </c>
      <c r="EA24" s="94">
        <v>2.3577932136311383E-5</v>
      </c>
      <c r="EB24" s="94">
        <v>2.877820410641854E-9</v>
      </c>
      <c r="EC24" s="94">
        <v>2.1962313660161576E-10</v>
      </c>
      <c r="ED24" s="94">
        <v>5.089658911861453E-3</v>
      </c>
      <c r="EE24" s="94">
        <v>5.2876163439740699E-4</v>
      </c>
      <c r="EF24" s="94">
        <v>8.8354135414442586E-7</v>
      </c>
      <c r="EG24" s="94">
        <v>3.5594094552675635E-9</v>
      </c>
      <c r="EH24" s="94">
        <v>1.4641542440107718E-9</v>
      </c>
      <c r="EI24" s="94">
        <v>8.0780923807490034E-10</v>
      </c>
      <c r="EJ24" s="94">
        <v>5.7676134055460895E-8</v>
      </c>
      <c r="EK24" s="94">
        <v>2.2949665483722353E-7</v>
      </c>
      <c r="EL24" s="94">
        <v>3.3218101439312425E-4</v>
      </c>
      <c r="EM24" s="94">
        <v>7.1738940069262412E-8</v>
      </c>
      <c r="EN24" s="94">
        <v>9.6325099623062913E-9</v>
      </c>
      <c r="EO24" s="94">
        <v>1.687899624382299E-2</v>
      </c>
      <c r="EP24" s="94">
        <v>6.8415199122200763E-3</v>
      </c>
      <c r="EQ24" s="94">
        <v>2.9487555172123716E-4</v>
      </c>
      <c r="ER24" s="94">
        <v>5.0895879423761126E-8</v>
      </c>
      <c r="ES24" s="94">
        <v>1.1633415317533533E-8</v>
      </c>
      <c r="ET24" s="94">
        <v>1.9962850511851216E-7</v>
      </c>
      <c r="EU24" s="94">
        <v>1.9801840138513558E-6</v>
      </c>
      <c r="EV24" s="94">
        <v>8.1796300460139459E-6</v>
      </c>
      <c r="EW24" s="94">
        <v>1.3767496882860714E-2</v>
      </c>
      <c r="EX24" s="94">
        <v>3.0777632753555661E-6</v>
      </c>
      <c r="EY24" s="94">
        <v>4.2235225934641976E-7</v>
      </c>
      <c r="EZ24" s="94">
        <v>0.52577137861879775</v>
      </c>
      <c r="FA24" s="94">
        <v>0.28135508937037551</v>
      </c>
      <c r="FB24" s="94">
        <v>1.3193069228933964E-2</v>
      </c>
      <c r="FC24" s="94">
        <v>2.1097523700934789E-6</v>
      </c>
      <c r="FD24" s="94">
        <v>4.5323664114041185E-7</v>
      </c>
      <c r="FE24" s="94">
        <v>8.861295205083418E-6</v>
      </c>
      <c r="FF24" s="94">
        <v>5.8930609299514183E-7</v>
      </c>
      <c r="FG24" s="94">
        <v>2.0445918352035979E-6</v>
      </c>
      <c r="FH24" s="94">
        <v>1.0518660566093616E-3</v>
      </c>
      <c r="FI24" s="94">
        <v>1.2862483237060423E-7</v>
      </c>
      <c r="FJ24" s="94">
        <v>9.8543974517079677E-9</v>
      </c>
      <c r="FK24" s="94">
        <v>0.22712709542961507</v>
      </c>
      <c r="FL24" s="94">
        <v>2.3566525178724318E-2</v>
      </c>
      <c r="FM24" s="94">
        <v>3.9649452504843599E-5</v>
      </c>
      <c r="FN24" s="94">
        <v>1.5864031558293387E-7</v>
      </c>
      <c r="FO24" s="94">
        <v>6.5256300027022325E-8</v>
      </c>
      <c r="FP24" s="94">
        <v>3.6003475876978273E-8</v>
      </c>
      <c r="FQ24" s="94">
        <v>2.5694901068464977E-6</v>
      </c>
      <c r="FR24" s="94">
        <v>1.0224221881217544E-5</v>
      </c>
      <c r="FS24" s="94">
        <v>1.4819362939470076E-2</v>
      </c>
      <c r="FT24" s="94">
        <v>3.2063881077261703E-6</v>
      </c>
      <c r="FU24" s="94">
        <v>4.3220665679812772E-7</v>
      </c>
      <c r="FV24" s="94">
        <v>0.75289847404841281</v>
      </c>
      <c r="FW24" s="94">
        <v>0.30492161454909983</v>
      </c>
      <c r="FX24" s="94">
        <v>1.3232718681438807E-2</v>
      </c>
      <c r="FY24" s="94">
        <v>2.2683926856764128E-6</v>
      </c>
      <c r="FZ24" s="94">
        <v>5.1849294116743417E-7</v>
      </c>
      <c r="GA24" s="94">
        <v>8.8972986809603962E-6</v>
      </c>
      <c r="GB24" s="94">
        <v>7.9259245335585172E-6</v>
      </c>
      <c r="GC24" s="94">
        <v>1.6506248043954763E-4</v>
      </c>
      <c r="GD24" s="94">
        <v>0.54998396547651984</v>
      </c>
      <c r="GE24" s="94">
        <v>2.5791040694824575E-4</v>
      </c>
      <c r="GF24" s="94">
        <v>5.5451895186369491E-5</v>
      </c>
      <c r="GG24" s="94">
        <v>14.728643937799829</v>
      </c>
      <c r="GH24" s="94">
        <v>9.003025233744772</v>
      </c>
      <c r="GI24" s="94">
        <v>0.58062038023076934</v>
      </c>
      <c r="GJ24" s="94">
        <v>3.3845618007129831E-5</v>
      </c>
      <c r="GK24" s="94">
        <v>9.1367068014213349E-7</v>
      </c>
      <c r="GL24" s="94">
        <v>3.9001041360229547E-4</v>
      </c>
      <c r="GM24" s="94" t="s">
        <v>270</v>
      </c>
      <c r="GN24" s="94" t="s">
        <v>270</v>
      </c>
      <c r="GO24" s="94" t="s">
        <v>270</v>
      </c>
      <c r="GP24" s="94" t="s">
        <v>270</v>
      </c>
      <c r="GQ24" s="94" t="s">
        <v>270</v>
      </c>
      <c r="GR24" s="94" t="s">
        <v>270</v>
      </c>
      <c r="GS24" s="94" t="s">
        <v>270</v>
      </c>
      <c r="GT24" s="94" t="s">
        <v>270</v>
      </c>
      <c r="GU24" s="94" t="s">
        <v>270</v>
      </c>
      <c r="GV24" s="94" t="s">
        <v>270</v>
      </c>
      <c r="GW24" s="94" t="s">
        <v>270</v>
      </c>
      <c r="GX24" s="94" t="s">
        <v>270</v>
      </c>
      <c r="GY24" s="94" t="s">
        <v>270</v>
      </c>
      <c r="GZ24" s="94" t="s">
        <v>270</v>
      </c>
      <c r="HA24" s="94" t="s">
        <v>270</v>
      </c>
      <c r="HB24" s="94" t="s">
        <v>270</v>
      </c>
      <c r="HC24" s="94" t="s">
        <v>270</v>
      </c>
      <c r="HD24" s="94" t="s">
        <v>270</v>
      </c>
      <c r="HE24" s="94" t="s">
        <v>270</v>
      </c>
      <c r="HF24" s="94" t="s">
        <v>270</v>
      </c>
      <c r="HG24" s="94" t="s">
        <v>270</v>
      </c>
      <c r="HH24" s="94" t="s">
        <v>270</v>
      </c>
      <c r="HI24" s="94" t="s">
        <v>270</v>
      </c>
      <c r="HJ24" s="94" t="s">
        <v>270</v>
      </c>
      <c r="HK24" s="94" t="s">
        <v>270</v>
      </c>
      <c r="HL24" s="94" t="s">
        <v>270</v>
      </c>
      <c r="HM24" s="94" t="s">
        <v>270</v>
      </c>
      <c r="HN24" s="94" t="s">
        <v>270</v>
      </c>
      <c r="HO24" s="94" t="s">
        <v>270</v>
      </c>
      <c r="HP24" s="94" t="s">
        <v>270</v>
      </c>
      <c r="HQ24" s="94" t="s">
        <v>270</v>
      </c>
      <c r="HR24" s="94" t="s">
        <v>270</v>
      </c>
      <c r="HS24" s="94" t="s">
        <v>270</v>
      </c>
      <c r="HT24" s="94" t="s">
        <v>270</v>
      </c>
      <c r="HU24" s="94" t="s">
        <v>270</v>
      </c>
      <c r="HV24" s="94" t="s">
        <v>270</v>
      </c>
      <c r="HW24" s="94" t="s">
        <v>270</v>
      </c>
      <c r="HX24" s="94" t="s">
        <v>270</v>
      </c>
      <c r="HY24" s="94" t="s">
        <v>270</v>
      </c>
      <c r="HZ24" s="94" t="s">
        <v>270</v>
      </c>
      <c r="IA24" s="94" t="s">
        <v>270</v>
      </c>
      <c r="IB24" s="94" t="s">
        <v>270</v>
      </c>
      <c r="IC24" s="94" t="s">
        <v>270</v>
      </c>
      <c r="ID24" s="94" t="s">
        <v>270</v>
      </c>
      <c r="IE24" s="94" t="s">
        <v>270</v>
      </c>
      <c r="IF24" s="94" t="s">
        <v>270</v>
      </c>
      <c r="IG24" s="94" t="s">
        <v>270</v>
      </c>
      <c r="IH24" s="94" t="s">
        <v>270</v>
      </c>
      <c r="II24" s="94" t="s">
        <v>270</v>
      </c>
      <c r="IJ24" s="94" t="s">
        <v>270</v>
      </c>
      <c r="IK24" s="94" t="s">
        <v>270</v>
      </c>
      <c r="IL24" s="94" t="s">
        <v>270</v>
      </c>
      <c r="IM24" s="94" t="s">
        <v>270</v>
      </c>
      <c r="IN24" s="94" t="s">
        <v>270</v>
      </c>
      <c r="IO24" s="94" t="s">
        <v>270</v>
      </c>
      <c r="IP24" s="94" t="s">
        <v>270</v>
      </c>
      <c r="IQ24" s="94" t="s">
        <v>270</v>
      </c>
      <c r="IR24" s="94" t="s">
        <v>270</v>
      </c>
      <c r="IS24" s="94" t="s">
        <v>270</v>
      </c>
      <c r="IT24" s="94" t="s">
        <v>270</v>
      </c>
      <c r="IU24" s="94" t="s">
        <v>270</v>
      </c>
      <c r="IV24" s="94" t="s">
        <v>270</v>
      </c>
      <c r="IW24" s="94" t="s">
        <v>270</v>
      </c>
      <c r="IX24" s="94" t="s">
        <v>270</v>
      </c>
      <c r="IY24" s="94" t="s">
        <v>270</v>
      </c>
      <c r="IZ24" s="94" t="s">
        <v>270</v>
      </c>
      <c r="JA24" s="94" t="s">
        <v>270</v>
      </c>
      <c r="JB24" s="94" t="s">
        <v>270</v>
      </c>
      <c r="JC24" s="94" t="s">
        <v>270</v>
      </c>
      <c r="JD24" s="94" t="s">
        <v>270</v>
      </c>
      <c r="JE24" s="94" t="s">
        <v>270</v>
      </c>
      <c r="JF24" s="94" t="s">
        <v>270</v>
      </c>
      <c r="JG24" s="94" t="s">
        <v>270</v>
      </c>
      <c r="JH24" s="94" t="s">
        <v>270</v>
      </c>
      <c r="JI24" s="94" t="s">
        <v>270</v>
      </c>
      <c r="JJ24" s="94" t="s">
        <v>270</v>
      </c>
      <c r="JK24" s="94" t="s">
        <v>270</v>
      </c>
      <c r="JL24" s="94" t="s">
        <v>270</v>
      </c>
      <c r="JM24" s="94" t="s">
        <v>270</v>
      </c>
    </row>
    <row r="25" spans="1:273">
      <c r="A25" s="94" t="s">
        <v>626</v>
      </c>
      <c r="B25" s="94" t="s">
        <v>688</v>
      </c>
      <c r="C25" s="94" t="s">
        <v>689</v>
      </c>
      <c r="D25" s="95">
        <v>41527</v>
      </c>
      <c r="E25" s="94" t="s">
        <v>692</v>
      </c>
      <c r="F25" s="94">
        <v>1.04112156672</v>
      </c>
      <c r="G25" s="94">
        <v>10.670731707317</v>
      </c>
      <c r="H25" s="94">
        <v>22.4300003052</v>
      </c>
      <c r="I25" s="94">
        <v>1</v>
      </c>
      <c r="J25" s="94">
        <v>0</v>
      </c>
      <c r="K25" s="94">
        <v>0</v>
      </c>
      <c r="L25" s="94" t="s">
        <v>630</v>
      </c>
      <c r="M25" s="94" t="s">
        <v>631</v>
      </c>
      <c r="N25" s="94">
        <v>7.1232118071570005E-23</v>
      </c>
      <c r="O25" s="96" t="s">
        <v>270</v>
      </c>
      <c r="P25" s="94">
        <v>19.753810396669465</v>
      </c>
      <c r="Q25" s="94">
        <v>0.91823508608412507</v>
      </c>
      <c r="R25" s="94">
        <v>2.5176014803199585</v>
      </c>
      <c r="S25" s="94">
        <v>0.60791091243343176</v>
      </c>
      <c r="T25" s="94" t="s">
        <v>270</v>
      </c>
      <c r="U25" s="94" t="s">
        <v>270</v>
      </c>
      <c r="V25" s="94" t="s">
        <v>632</v>
      </c>
      <c r="W25" s="94" t="s">
        <v>270</v>
      </c>
      <c r="X25" s="94">
        <v>3.9500000000000011</v>
      </c>
      <c r="Y25" s="94">
        <v>0.34520525295346577</v>
      </c>
      <c r="Z25" s="94" t="s">
        <v>632</v>
      </c>
      <c r="AA25" s="94" t="s">
        <v>270</v>
      </c>
      <c r="AB25" s="94" t="s">
        <v>632</v>
      </c>
      <c r="AC25" s="94" t="s">
        <v>270</v>
      </c>
      <c r="AD25" s="94" t="s">
        <v>644</v>
      </c>
      <c r="AE25" s="94" t="s">
        <v>98</v>
      </c>
      <c r="AF25" s="94">
        <v>5.1752016698208376E-5</v>
      </c>
      <c r="AG25" s="94">
        <v>15</v>
      </c>
      <c r="AH25" s="97">
        <v>42880.562835648147</v>
      </c>
      <c r="AI25" s="94" t="s">
        <v>693</v>
      </c>
      <c r="AJ25" s="98" t="s">
        <v>694</v>
      </c>
      <c r="AK25" s="96">
        <v>17.854560903982026</v>
      </c>
      <c r="AL25" s="96">
        <v>1.0724029089517861E-2</v>
      </c>
      <c r="AM25" s="96">
        <v>7.5937104820328338E-2</v>
      </c>
      <c r="AN25" s="96" t="s">
        <v>270</v>
      </c>
      <c r="AO25" s="96" t="s">
        <v>270</v>
      </c>
      <c r="AP25" s="96">
        <v>0.43231427245729792</v>
      </c>
      <c r="AQ25" s="96">
        <v>-0.97603716571209531</v>
      </c>
      <c r="AR25" s="96">
        <v>7.2701733752632638</v>
      </c>
      <c r="AS25" s="96" t="s">
        <v>270</v>
      </c>
      <c r="AT25" s="96" t="s">
        <v>270</v>
      </c>
      <c r="AU25" s="96" t="s">
        <v>270</v>
      </c>
      <c r="AV25" s="94">
        <v>8.3900000000000004E-7</v>
      </c>
      <c r="AW25" s="94">
        <v>1.6000000000000001E-9</v>
      </c>
      <c r="AX25" s="94">
        <v>1.8610000000000001E-7</v>
      </c>
      <c r="AY25" s="94">
        <v>4.3999999999999998E-10</v>
      </c>
      <c r="AZ25" s="94" t="s">
        <v>270</v>
      </c>
      <c r="BA25" s="94" t="s">
        <v>270</v>
      </c>
      <c r="BB25" s="94" t="s">
        <v>270</v>
      </c>
      <c r="BC25" s="94" t="s">
        <v>270</v>
      </c>
      <c r="BD25" s="94" t="s">
        <v>270</v>
      </c>
      <c r="BE25" s="94" t="s">
        <v>270</v>
      </c>
      <c r="BF25" s="94" t="s">
        <v>270</v>
      </c>
      <c r="BG25" s="94" t="s">
        <v>270</v>
      </c>
      <c r="BH25" s="94" t="s">
        <v>270</v>
      </c>
      <c r="BI25" s="94" t="s">
        <v>270</v>
      </c>
      <c r="BJ25" s="94" t="s">
        <v>270</v>
      </c>
      <c r="BK25" s="94" t="s">
        <v>270</v>
      </c>
      <c r="BL25" s="94" t="s">
        <v>270</v>
      </c>
      <c r="BM25" s="94" t="s">
        <v>270</v>
      </c>
      <c r="BN25" s="94" t="s">
        <v>270</v>
      </c>
      <c r="BO25" s="94" t="s">
        <v>270</v>
      </c>
      <c r="BP25" s="94" t="s">
        <v>270</v>
      </c>
      <c r="BQ25" s="94" t="s">
        <v>270</v>
      </c>
      <c r="BR25" s="94" t="s">
        <v>270</v>
      </c>
      <c r="BS25" s="94" t="s">
        <v>270</v>
      </c>
      <c r="BT25" s="94" t="s">
        <v>270</v>
      </c>
      <c r="BU25" s="94" t="s">
        <v>270</v>
      </c>
      <c r="BV25" s="94" t="s">
        <v>270</v>
      </c>
      <c r="BW25" s="94" t="s">
        <v>270</v>
      </c>
      <c r="BX25" s="94" t="s">
        <v>270</v>
      </c>
      <c r="BY25" s="94" t="s">
        <v>270</v>
      </c>
      <c r="BZ25" s="94" t="s">
        <v>270</v>
      </c>
      <c r="CA25" s="94" t="s">
        <v>270</v>
      </c>
      <c r="CB25" s="94" t="s">
        <v>270</v>
      </c>
      <c r="CC25" s="94" t="s">
        <v>270</v>
      </c>
      <c r="CD25" s="94" t="s">
        <v>270</v>
      </c>
      <c r="CE25" s="94" t="s">
        <v>270</v>
      </c>
      <c r="CF25" s="94" t="s">
        <v>270</v>
      </c>
      <c r="CG25" s="94" t="s">
        <v>270</v>
      </c>
      <c r="CH25" s="94" t="s">
        <v>270</v>
      </c>
      <c r="CI25" s="94" t="s">
        <v>270</v>
      </c>
      <c r="CJ25" s="94" t="s">
        <v>270</v>
      </c>
      <c r="CK25" s="94" t="s">
        <v>270</v>
      </c>
      <c r="CL25" s="94" t="s">
        <v>270</v>
      </c>
      <c r="CM25" s="94" t="s">
        <v>270</v>
      </c>
      <c r="CN25" s="94" t="s">
        <v>270</v>
      </c>
      <c r="CO25" s="94" t="s">
        <v>270</v>
      </c>
      <c r="CP25" s="94" t="s">
        <v>270</v>
      </c>
      <c r="CQ25" s="94" t="s">
        <v>270</v>
      </c>
      <c r="CR25" s="94">
        <v>0.59608402808070504</v>
      </c>
      <c r="CS25" s="94">
        <v>5.9608402808070504E-2</v>
      </c>
      <c r="CT25" s="94" t="s">
        <v>270</v>
      </c>
      <c r="CU25" s="94" t="s">
        <v>270</v>
      </c>
      <c r="CV25" s="94" t="s">
        <v>270</v>
      </c>
      <c r="CW25" s="94" t="s">
        <v>270</v>
      </c>
      <c r="CX25" s="94">
        <v>21.237262731869301</v>
      </c>
      <c r="CY25" s="94">
        <v>2.12372627318693</v>
      </c>
      <c r="CZ25" s="94">
        <v>0.21731980244643501</v>
      </c>
      <c r="DA25" s="94">
        <v>2.1731980244643501E-2</v>
      </c>
      <c r="DB25" s="94">
        <v>4.8563281214912699</v>
      </c>
      <c r="DC25" s="94">
        <v>0.48563281214912701</v>
      </c>
      <c r="DD25" s="94" t="s">
        <v>270</v>
      </c>
      <c r="DE25" s="94" t="s">
        <v>270</v>
      </c>
      <c r="DF25" s="94" t="s">
        <v>270</v>
      </c>
      <c r="DG25" s="94" t="s">
        <v>270</v>
      </c>
      <c r="DH25" s="94" t="s">
        <v>270</v>
      </c>
      <c r="DI25" s="94" t="s">
        <v>270</v>
      </c>
      <c r="DJ25" s="94">
        <v>0.99905226166674954</v>
      </c>
      <c r="DK25" s="94">
        <v>0.99871519574244083</v>
      </c>
      <c r="DL25" s="94">
        <v>2.269527536096547E-2</v>
      </c>
      <c r="DM25" s="94">
        <v>0.99868535961694682</v>
      </c>
      <c r="DN25" s="94">
        <v>4.4498517057631707E-8</v>
      </c>
      <c r="DO25" s="94">
        <v>1.8412543349507871E-7</v>
      </c>
      <c r="DP25" s="94">
        <v>3.1084050604583696E-4</v>
      </c>
      <c r="DQ25" s="94">
        <v>6.9494156367958521E-8</v>
      </c>
      <c r="DR25" s="94">
        <v>9.5180502550495339E-9</v>
      </c>
      <c r="DS25" s="94">
        <v>1.1867346614333451E-2</v>
      </c>
      <c r="DT25" s="94">
        <v>6.3585572437944334E-3</v>
      </c>
      <c r="DU25" s="94">
        <v>2.973058372706907E-4</v>
      </c>
      <c r="DV25" s="94">
        <v>4.7708660068401925E-8</v>
      </c>
      <c r="DW25" s="94">
        <v>1.0199451828641194E-8</v>
      </c>
      <c r="DX25" s="94">
        <v>2.0118166742824659E-7</v>
      </c>
      <c r="DY25" s="94">
        <v>1.3192231756876581E-8</v>
      </c>
      <c r="DZ25" s="94">
        <v>4.5769994912216841E-8</v>
      </c>
      <c r="EA25" s="94">
        <v>2.351439782618842E-5</v>
      </c>
      <c r="EB25" s="94">
        <v>2.8700656875647503E-9</v>
      </c>
      <c r="EC25" s="94">
        <v>2.1903132878783603E-10</v>
      </c>
      <c r="ED25" s="94">
        <v>5.1243281474508493E-3</v>
      </c>
      <c r="EE25" s="94">
        <v>5.2733680606781817E-4</v>
      </c>
      <c r="EF25" s="94">
        <v>8.8116051811197972E-7</v>
      </c>
      <c r="EG25" s="94">
        <v>3.5498180872511403E-9</v>
      </c>
      <c r="EH25" s="94">
        <v>1.4602088585855763E-9</v>
      </c>
      <c r="EI25" s="94">
        <v>8.056324737023842E-10</v>
      </c>
      <c r="EJ25" s="94">
        <v>5.7690748814508288E-8</v>
      </c>
      <c r="EK25" s="94">
        <v>2.2989542840729555E-7</v>
      </c>
      <c r="EL25" s="94">
        <v>3.3435490387202538E-4</v>
      </c>
      <c r="EM25" s="94">
        <v>7.2364222055523271E-8</v>
      </c>
      <c r="EN25" s="94">
        <v>9.7370815838373699E-9</v>
      </c>
      <c r="EO25" s="94">
        <v>1.6991674761784301E-2</v>
      </c>
      <c r="EP25" s="94">
        <v>6.8858940498622515E-3</v>
      </c>
      <c r="EQ25" s="94">
        <v>2.9818699778880268E-4</v>
      </c>
      <c r="ER25" s="94">
        <v>5.1258478155653066E-8</v>
      </c>
      <c r="ES25" s="94">
        <v>1.1659660687226771E-8</v>
      </c>
      <c r="ET25" s="94">
        <v>2.0198729990194897E-7</v>
      </c>
      <c r="EU25" s="94">
        <v>1.9825747454346368E-6</v>
      </c>
      <c r="EV25" s="94">
        <v>8.2035326861351438E-6</v>
      </c>
      <c r="EW25" s="94">
        <v>1.3868374446250482E-2</v>
      </c>
      <c r="EX25" s="94">
        <v>3.1062946221274772E-6</v>
      </c>
      <c r="EY25" s="94">
        <v>4.2710357101153113E-7</v>
      </c>
      <c r="EZ25" s="94">
        <v>0.52929086400709813</v>
      </c>
      <c r="FA25" s="94">
        <v>0.28341799747257612</v>
      </c>
      <c r="FB25" s="94">
        <v>1.334279992507121E-2</v>
      </c>
      <c r="FC25" s="94">
        <v>2.1265032900163776E-6</v>
      </c>
      <c r="FD25" s="94">
        <v>4.5461699907044926E-7</v>
      </c>
      <c r="FE25" s="94">
        <v>8.9672079883143382E-6</v>
      </c>
      <c r="FF25" s="94">
        <v>5.8776308170518407E-7</v>
      </c>
      <c r="FG25" s="94">
        <v>2.0392383723384191E-6</v>
      </c>
      <c r="FH25" s="94">
        <v>1.0491119001189344E-3</v>
      </c>
      <c r="FI25" s="94">
        <v>1.2828804717378411E-7</v>
      </c>
      <c r="FJ25" s="94">
        <v>9.8285951620245003E-9</v>
      </c>
      <c r="FK25" s="94">
        <v>0.22868178135023498</v>
      </c>
      <c r="FL25" s="94">
        <v>2.3504819700284396E-2</v>
      </c>
      <c r="FM25" s="94">
        <v>3.9545636247752605E-5</v>
      </c>
      <c r="FN25" s="94">
        <v>1.5822493926000647E-7</v>
      </c>
      <c r="FO25" s="94">
        <v>6.5085436007662336E-8</v>
      </c>
      <c r="FP25" s="94">
        <v>3.5909206073192633E-8</v>
      </c>
      <c r="FQ25" s="94">
        <v>2.5703378271398209E-6</v>
      </c>
      <c r="FR25" s="94">
        <v>1.0242771058473563E-5</v>
      </c>
      <c r="FS25" s="94">
        <v>1.4917486346369416E-2</v>
      </c>
      <c r="FT25" s="94">
        <v>3.2345826693012613E-6</v>
      </c>
      <c r="FU25" s="94">
        <v>4.3693216617355563E-7</v>
      </c>
      <c r="FV25" s="94">
        <v>0.75797264535733311</v>
      </c>
      <c r="FW25" s="94">
        <v>0.30692281717286052</v>
      </c>
      <c r="FX25" s="94">
        <v>1.3382345561318962E-2</v>
      </c>
      <c r="FY25" s="94">
        <v>2.284728229276384E-6</v>
      </c>
      <c r="FZ25" s="94">
        <v>5.197024350781116E-7</v>
      </c>
      <c r="GA25" s="94">
        <v>9.0031171943875309E-6</v>
      </c>
      <c r="GB25" s="94">
        <v>7.9354937240865348E-6</v>
      </c>
      <c r="GC25" s="94">
        <v>1.6554482854640135E-4</v>
      </c>
      <c r="GD25" s="94">
        <v>0.55401382237881425</v>
      </c>
      <c r="GE25" s="94">
        <v>2.6030127674503834E-4</v>
      </c>
      <c r="GF25" s="94">
        <v>5.607570914881696E-5</v>
      </c>
      <c r="GG25" s="94">
        <v>14.827236689776443</v>
      </c>
      <c r="GH25" s="94">
        <v>9.0690358175254691</v>
      </c>
      <c r="GI25" s="94">
        <v>0.58720995330242143</v>
      </c>
      <c r="GJ25" s="94">
        <v>3.4114343969956134E-5</v>
      </c>
      <c r="GK25" s="94">
        <v>9.1645331608613731E-7</v>
      </c>
      <c r="GL25" s="94">
        <v>3.9467193174808128E-4</v>
      </c>
      <c r="GM25" s="94" t="s">
        <v>270</v>
      </c>
      <c r="GN25" s="94" t="s">
        <v>270</v>
      </c>
      <c r="GO25" s="94" t="s">
        <v>270</v>
      </c>
      <c r="GP25" s="94" t="s">
        <v>270</v>
      </c>
      <c r="GQ25" s="94" t="s">
        <v>270</v>
      </c>
      <c r="GR25" s="94" t="s">
        <v>270</v>
      </c>
      <c r="GS25" s="94" t="s">
        <v>270</v>
      </c>
      <c r="GT25" s="94" t="s">
        <v>270</v>
      </c>
      <c r="GU25" s="94" t="s">
        <v>270</v>
      </c>
      <c r="GV25" s="94" t="s">
        <v>270</v>
      </c>
      <c r="GW25" s="94" t="s">
        <v>270</v>
      </c>
      <c r="GX25" s="94" t="s">
        <v>270</v>
      </c>
      <c r="GY25" s="94" t="s">
        <v>270</v>
      </c>
      <c r="GZ25" s="94" t="s">
        <v>270</v>
      </c>
      <c r="HA25" s="94" t="s">
        <v>270</v>
      </c>
      <c r="HB25" s="94" t="s">
        <v>270</v>
      </c>
      <c r="HC25" s="94" t="s">
        <v>270</v>
      </c>
      <c r="HD25" s="94" t="s">
        <v>270</v>
      </c>
      <c r="HE25" s="94" t="s">
        <v>270</v>
      </c>
      <c r="HF25" s="94" t="s">
        <v>270</v>
      </c>
      <c r="HG25" s="94" t="s">
        <v>270</v>
      </c>
      <c r="HH25" s="94" t="s">
        <v>270</v>
      </c>
      <c r="HI25" s="94" t="s">
        <v>270</v>
      </c>
      <c r="HJ25" s="94" t="s">
        <v>270</v>
      </c>
      <c r="HK25" s="94" t="s">
        <v>270</v>
      </c>
      <c r="HL25" s="94" t="s">
        <v>270</v>
      </c>
      <c r="HM25" s="94" t="s">
        <v>270</v>
      </c>
      <c r="HN25" s="94" t="s">
        <v>270</v>
      </c>
      <c r="HO25" s="94" t="s">
        <v>270</v>
      </c>
      <c r="HP25" s="94" t="s">
        <v>270</v>
      </c>
      <c r="HQ25" s="94" t="s">
        <v>270</v>
      </c>
      <c r="HR25" s="94" t="s">
        <v>270</v>
      </c>
      <c r="HS25" s="94" t="s">
        <v>270</v>
      </c>
      <c r="HT25" s="94" t="s">
        <v>270</v>
      </c>
      <c r="HU25" s="94" t="s">
        <v>270</v>
      </c>
      <c r="HV25" s="94" t="s">
        <v>270</v>
      </c>
      <c r="HW25" s="94" t="s">
        <v>270</v>
      </c>
      <c r="HX25" s="94" t="s">
        <v>270</v>
      </c>
      <c r="HY25" s="94" t="s">
        <v>270</v>
      </c>
      <c r="HZ25" s="94" t="s">
        <v>270</v>
      </c>
      <c r="IA25" s="94" t="s">
        <v>270</v>
      </c>
      <c r="IB25" s="94" t="s">
        <v>270</v>
      </c>
      <c r="IC25" s="94" t="s">
        <v>270</v>
      </c>
      <c r="ID25" s="94" t="s">
        <v>270</v>
      </c>
      <c r="IE25" s="94" t="s">
        <v>270</v>
      </c>
      <c r="IF25" s="94" t="s">
        <v>270</v>
      </c>
      <c r="IG25" s="94" t="s">
        <v>270</v>
      </c>
      <c r="IH25" s="94" t="s">
        <v>270</v>
      </c>
      <c r="II25" s="94" t="s">
        <v>270</v>
      </c>
      <c r="IJ25" s="94" t="s">
        <v>270</v>
      </c>
      <c r="IK25" s="94" t="s">
        <v>270</v>
      </c>
      <c r="IL25" s="94" t="s">
        <v>270</v>
      </c>
      <c r="IM25" s="94" t="s">
        <v>270</v>
      </c>
      <c r="IN25" s="94" t="s">
        <v>270</v>
      </c>
      <c r="IO25" s="94" t="s">
        <v>270</v>
      </c>
      <c r="IP25" s="94" t="s">
        <v>270</v>
      </c>
      <c r="IQ25" s="94" t="s">
        <v>270</v>
      </c>
      <c r="IR25" s="94" t="s">
        <v>270</v>
      </c>
      <c r="IS25" s="94" t="s">
        <v>270</v>
      </c>
      <c r="IT25" s="94" t="s">
        <v>270</v>
      </c>
      <c r="IU25" s="94" t="s">
        <v>270</v>
      </c>
      <c r="IV25" s="94" t="s">
        <v>270</v>
      </c>
      <c r="IW25" s="94" t="s">
        <v>270</v>
      </c>
      <c r="IX25" s="94" t="s">
        <v>270</v>
      </c>
      <c r="IY25" s="94" t="s">
        <v>270</v>
      </c>
      <c r="IZ25" s="94" t="s">
        <v>270</v>
      </c>
      <c r="JA25" s="94" t="s">
        <v>270</v>
      </c>
      <c r="JB25" s="94" t="s">
        <v>270</v>
      </c>
      <c r="JC25" s="94" t="s">
        <v>270</v>
      </c>
      <c r="JD25" s="94" t="s">
        <v>270</v>
      </c>
      <c r="JE25" s="94" t="s">
        <v>270</v>
      </c>
      <c r="JF25" s="94" t="s">
        <v>270</v>
      </c>
      <c r="JG25" s="94" t="s">
        <v>270</v>
      </c>
      <c r="JH25" s="94" t="s">
        <v>270</v>
      </c>
      <c r="JI25" s="94" t="s">
        <v>270</v>
      </c>
      <c r="JJ25" s="94" t="s">
        <v>270</v>
      </c>
      <c r="JK25" s="94" t="s">
        <v>270</v>
      </c>
      <c r="JL25" s="94" t="s">
        <v>270</v>
      </c>
      <c r="JM25" s="94" t="s">
        <v>270</v>
      </c>
    </row>
    <row r="26" spans="1:273">
      <c r="A26" s="94" t="s">
        <v>626</v>
      </c>
      <c r="B26" s="94" t="s">
        <v>688</v>
      </c>
      <c r="C26" s="94" t="s">
        <v>695</v>
      </c>
      <c r="D26" s="95">
        <v>41536</v>
      </c>
      <c r="E26" s="94" t="s">
        <v>696</v>
      </c>
      <c r="F26" s="94">
        <v>0.68166631848000003</v>
      </c>
      <c r="G26" s="94">
        <v>37.804878048780402</v>
      </c>
      <c r="H26" s="94">
        <v>22.649999618500001</v>
      </c>
      <c r="I26" s="94">
        <v>1</v>
      </c>
      <c r="J26" s="94">
        <v>0</v>
      </c>
      <c r="K26" s="94">
        <v>0</v>
      </c>
      <c r="L26" s="94" t="s">
        <v>630</v>
      </c>
      <c r="M26" s="94" t="s">
        <v>631</v>
      </c>
      <c r="N26" s="94">
        <v>2.4421665562676195E-23</v>
      </c>
      <c r="O26" s="96" t="s">
        <v>270</v>
      </c>
      <c r="P26" s="94">
        <v>23.011384853492498</v>
      </c>
      <c r="Q26" s="94">
        <v>1.0261616247463243</v>
      </c>
      <c r="R26" s="94">
        <v>2.5041423026050196</v>
      </c>
      <c r="S26" s="94">
        <v>0.60849588093988305</v>
      </c>
      <c r="T26" s="94" t="s">
        <v>270</v>
      </c>
      <c r="U26" s="94" t="s">
        <v>270</v>
      </c>
      <c r="V26" s="94" t="s">
        <v>632</v>
      </c>
      <c r="W26" s="94" t="s">
        <v>270</v>
      </c>
      <c r="X26" s="94">
        <v>2.4500000000000011</v>
      </c>
      <c r="Y26" s="94">
        <v>0.34520525295346716</v>
      </c>
      <c r="Z26" s="94" t="s">
        <v>632</v>
      </c>
      <c r="AA26" s="94" t="s">
        <v>270</v>
      </c>
      <c r="AB26" s="94" t="s">
        <v>632</v>
      </c>
      <c r="AC26" s="94" t="s">
        <v>270</v>
      </c>
      <c r="AD26" s="94" t="s">
        <v>644</v>
      </c>
      <c r="AE26" s="94" t="s">
        <v>98</v>
      </c>
      <c r="AF26" s="94">
        <v>2.8851008859260527E-4</v>
      </c>
      <c r="AG26" s="94">
        <v>13</v>
      </c>
      <c r="AH26" s="97">
        <v>42880.56287037037</v>
      </c>
      <c r="AI26" s="94" t="s">
        <v>693</v>
      </c>
      <c r="AJ26" s="98" t="s">
        <v>697</v>
      </c>
      <c r="AK26" s="96">
        <v>20.905289676218647</v>
      </c>
      <c r="AL26" s="96">
        <v>1.0303459436867337</v>
      </c>
      <c r="AM26" s="96">
        <v>8.0503671621598105E-2</v>
      </c>
      <c r="AN26" s="96" t="s">
        <v>270</v>
      </c>
      <c r="AO26" s="96" t="s">
        <v>270</v>
      </c>
      <c r="AP26" s="96">
        <v>0.35008071240179972</v>
      </c>
      <c r="AQ26" s="96">
        <v>-0.97567405255275108</v>
      </c>
      <c r="AR26" s="96">
        <v>25.545809092266961</v>
      </c>
      <c r="AS26" s="96" t="s">
        <v>270</v>
      </c>
      <c r="AT26" s="96" t="s">
        <v>270</v>
      </c>
      <c r="AU26" s="96" t="s">
        <v>270</v>
      </c>
      <c r="AV26" s="94">
        <v>9.64E-7</v>
      </c>
      <c r="AW26" s="94">
        <v>4.0000000000000002E-9</v>
      </c>
      <c r="AX26" s="94">
        <v>3.643E-7</v>
      </c>
      <c r="AY26" s="94">
        <v>4.6000000000000001E-10</v>
      </c>
      <c r="AZ26" s="94" t="s">
        <v>270</v>
      </c>
      <c r="BA26" s="94" t="s">
        <v>270</v>
      </c>
      <c r="BB26" s="94" t="s">
        <v>270</v>
      </c>
      <c r="BC26" s="94" t="s">
        <v>270</v>
      </c>
      <c r="BD26" s="94" t="s">
        <v>270</v>
      </c>
      <c r="BE26" s="94" t="s">
        <v>270</v>
      </c>
      <c r="BF26" s="94" t="s">
        <v>270</v>
      </c>
      <c r="BG26" s="94" t="s">
        <v>270</v>
      </c>
      <c r="BH26" s="94" t="s">
        <v>270</v>
      </c>
      <c r="BI26" s="94" t="s">
        <v>270</v>
      </c>
      <c r="BJ26" s="94" t="s">
        <v>270</v>
      </c>
      <c r="BK26" s="94" t="s">
        <v>270</v>
      </c>
      <c r="BL26" s="94" t="s">
        <v>270</v>
      </c>
      <c r="BM26" s="94" t="s">
        <v>270</v>
      </c>
      <c r="BN26" s="94" t="s">
        <v>270</v>
      </c>
      <c r="BO26" s="94" t="s">
        <v>270</v>
      </c>
      <c r="BP26" s="94" t="s">
        <v>270</v>
      </c>
      <c r="BQ26" s="94" t="s">
        <v>270</v>
      </c>
      <c r="BR26" s="94" t="s">
        <v>270</v>
      </c>
      <c r="BS26" s="94" t="s">
        <v>270</v>
      </c>
      <c r="BT26" s="94" t="s">
        <v>270</v>
      </c>
      <c r="BU26" s="94" t="s">
        <v>270</v>
      </c>
      <c r="BV26" s="94" t="s">
        <v>270</v>
      </c>
      <c r="BW26" s="94" t="s">
        <v>270</v>
      </c>
      <c r="BX26" s="94" t="s">
        <v>270</v>
      </c>
      <c r="BY26" s="94" t="s">
        <v>270</v>
      </c>
      <c r="BZ26" s="94" t="s">
        <v>270</v>
      </c>
      <c r="CA26" s="94" t="s">
        <v>270</v>
      </c>
      <c r="CB26" s="94" t="s">
        <v>270</v>
      </c>
      <c r="CC26" s="94" t="s">
        <v>270</v>
      </c>
      <c r="CD26" s="94" t="s">
        <v>270</v>
      </c>
      <c r="CE26" s="94" t="s">
        <v>270</v>
      </c>
      <c r="CF26" s="94" t="s">
        <v>270</v>
      </c>
      <c r="CG26" s="94" t="s">
        <v>270</v>
      </c>
      <c r="CH26" s="94" t="s">
        <v>270</v>
      </c>
      <c r="CI26" s="94" t="s">
        <v>270</v>
      </c>
      <c r="CJ26" s="94" t="s">
        <v>270</v>
      </c>
      <c r="CK26" s="94" t="s">
        <v>270</v>
      </c>
      <c r="CL26" s="94" t="s">
        <v>270</v>
      </c>
      <c r="CM26" s="94" t="s">
        <v>270</v>
      </c>
      <c r="CN26" s="94" t="s">
        <v>270</v>
      </c>
      <c r="CO26" s="94" t="s">
        <v>270</v>
      </c>
      <c r="CP26" s="94" t="s">
        <v>270</v>
      </c>
      <c r="CQ26" s="94" t="s">
        <v>270</v>
      </c>
      <c r="CR26" s="94">
        <v>0.56122445643352303</v>
      </c>
      <c r="CS26" s="94">
        <v>5.6122445643352309E-2</v>
      </c>
      <c r="CT26" s="94" t="s">
        <v>270</v>
      </c>
      <c r="CU26" s="94" t="s">
        <v>270</v>
      </c>
      <c r="CV26" s="94" t="s">
        <v>270</v>
      </c>
      <c r="CW26" s="94" t="s">
        <v>270</v>
      </c>
      <c r="CX26" s="94">
        <v>18.876259987860401</v>
      </c>
      <c r="CY26" s="94">
        <v>1.8876259987860402</v>
      </c>
      <c r="CZ26" s="94">
        <v>0.206836738486292</v>
      </c>
      <c r="DA26" s="94">
        <v>2.0683673848629201E-2</v>
      </c>
      <c r="DB26" s="94">
        <v>14.1064469747038</v>
      </c>
      <c r="DC26" s="94">
        <v>1.4106446974703801</v>
      </c>
      <c r="DD26" s="94" t="s">
        <v>270</v>
      </c>
      <c r="DE26" s="94" t="s">
        <v>270</v>
      </c>
      <c r="DF26" s="94" t="s">
        <v>270</v>
      </c>
      <c r="DG26" s="94" t="s">
        <v>270</v>
      </c>
      <c r="DH26" s="94" t="s">
        <v>270</v>
      </c>
      <c r="DI26" s="94" t="s">
        <v>270</v>
      </c>
      <c r="DJ26" s="94">
        <v>0.99805595202106723</v>
      </c>
      <c r="DK26" s="94">
        <v>0.99545555280694509</v>
      </c>
      <c r="DL26" s="94">
        <v>2.771623637555266E-2</v>
      </c>
      <c r="DM26" s="94">
        <v>0.99532600732103738</v>
      </c>
      <c r="DN26" s="94">
        <v>4.4007635335978284E-8</v>
      </c>
      <c r="DO26" s="94">
        <v>1.794275508234318E-7</v>
      </c>
      <c r="DP26" s="94">
        <v>2.9171627974028635E-4</v>
      </c>
      <c r="DQ26" s="94">
        <v>6.4137532635756432E-8</v>
      </c>
      <c r="DR26" s="94">
        <v>8.6323875330963949E-9</v>
      </c>
      <c r="DS26" s="94">
        <v>1.1201674344199743E-2</v>
      </c>
      <c r="DT26" s="94">
        <v>5.9674488269094725E-3</v>
      </c>
      <c r="DU26" s="94">
        <v>2.6931777642232529E-4</v>
      </c>
      <c r="DV26" s="94">
        <v>4.4542542519680214E-8</v>
      </c>
      <c r="DW26" s="94">
        <v>9.9277515131743152E-9</v>
      </c>
      <c r="DX26" s="94">
        <v>1.8134737697535222E-7</v>
      </c>
      <c r="DY26" s="94">
        <v>1.3121705665650303E-8</v>
      </c>
      <c r="DZ26" s="94">
        <v>4.552530706135926E-8</v>
      </c>
      <c r="EA26" s="94">
        <v>2.3388689106330863E-5</v>
      </c>
      <c r="EB26" s="94">
        <v>2.8547222249697195E-9</v>
      </c>
      <c r="EC26" s="94">
        <v>2.1786038032663661E-10</v>
      </c>
      <c r="ED26" s="94">
        <v>3.9143943005070254E-3</v>
      </c>
      <c r="EE26" s="94">
        <v>5.2451764670364762E-4</v>
      </c>
      <c r="EF26" s="94">
        <v>8.7644980591177922E-7</v>
      </c>
      <c r="EG26" s="94">
        <v>3.5308406466730762E-9</v>
      </c>
      <c r="EH26" s="94">
        <v>1.4524025355109113E-9</v>
      </c>
      <c r="EI26" s="94">
        <v>8.0132553683359619E-10</v>
      </c>
      <c r="EJ26" s="94">
        <v>5.7129341001628587E-8</v>
      </c>
      <c r="EK26" s="94">
        <v>2.2495285788479106E-7</v>
      </c>
      <c r="EL26" s="94">
        <v>3.1510496884661722E-4</v>
      </c>
      <c r="EM26" s="94">
        <v>6.6992254860726152E-8</v>
      </c>
      <c r="EN26" s="94">
        <v>8.8502479134230315E-9</v>
      </c>
      <c r="EO26" s="94">
        <v>1.5116068644706769E-2</v>
      </c>
      <c r="EP26" s="94">
        <v>6.4919664736131201E-3</v>
      </c>
      <c r="EQ26" s="94">
        <v>2.7019422622823707E-4</v>
      </c>
      <c r="ER26" s="94">
        <v>4.807338316635329E-8</v>
      </c>
      <c r="ES26" s="94">
        <v>1.1380154048685226E-8</v>
      </c>
      <c r="ET26" s="94">
        <v>1.8214870251218582E-7</v>
      </c>
      <c r="EU26" s="94">
        <v>1.9587488140340806E-6</v>
      </c>
      <c r="EV26" s="94">
        <v>7.98625073721663E-6</v>
      </c>
      <c r="EW26" s="94">
        <v>1.3002153826267484E-2</v>
      </c>
      <c r="EX26" s="94">
        <v>2.8640018091070469E-6</v>
      </c>
      <c r="EY26" s="94">
        <v>3.8697492037857162E-7</v>
      </c>
      <c r="EZ26" s="94">
        <v>0.49910324664855532</v>
      </c>
      <c r="FA26" s="94">
        <v>0.26571998840359301</v>
      </c>
      <c r="FB26" s="94">
        <v>1.2074669140801438E-2</v>
      </c>
      <c r="FC26" s="94">
        <v>1.9834009850949541E-6</v>
      </c>
      <c r="FD26" s="94">
        <v>4.4206529347326591E-7</v>
      </c>
      <c r="FE26" s="94">
        <v>8.0750793688613602E-6</v>
      </c>
      <c r="FF26" s="94">
        <v>5.840378655765701E-7</v>
      </c>
      <c r="FG26" s="94">
        <v>2.0263137707239643E-6</v>
      </c>
      <c r="FH26" s="94">
        <v>1.0424626758095308E-3</v>
      </c>
      <c r="FI26" s="94">
        <v>1.2747496326750398E-7</v>
      </c>
      <c r="FJ26" s="94">
        <v>9.7663019653967386E-9</v>
      </c>
      <c r="FK26" s="94">
        <v>0.17458028008393156</v>
      </c>
      <c r="FL26" s="94">
        <v>2.3355847204098279E-2</v>
      </c>
      <c r="FM26" s="94">
        <v>3.9294997773591661E-5</v>
      </c>
      <c r="FN26" s="94">
        <v>1.5722211667038351E-7</v>
      </c>
      <c r="FO26" s="94">
        <v>6.46729274246968E-8</v>
      </c>
      <c r="FP26" s="94">
        <v>3.5681615130867697E-8</v>
      </c>
      <c r="FQ26" s="94">
        <v>2.5427866796106507E-6</v>
      </c>
      <c r="FR26" s="94">
        <v>1.0012564507940594E-5</v>
      </c>
      <c r="FS26" s="94">
        <v>1.4044616502077015E-2</v>
      </c>
      <c r="FT26" s="94">
        <v>2.9914767723745509E-6</v>
      </c>
      <c r="FU26" s="94">
        <v>3.9674122234396836E-7</v>
      </c>
      <c r="FV26" s="94">
        <v>0.67368352673248688</v>
      </c>
      <c r="FW26" s="94">
        <v>0.28907583560769129</v>
      </c>
      <c r="FX26" s="94">
        <v>1.211396413857503E-2</v>
      </c>
      <c r="FY26" s="94">
        <v>2.1406231017653376E-6</v>
      </c>
      <c r="FZ26" s="94">
        <v>5.0673822089796271E-7</v>
      </c>
      <c r="GA26" s="94">
        <v>8.1107609839922279E-6</v>
      </c>
      <c r="GB26" s="94">
        <v>7.8401275697788536E-6</v>
      </c>
      <c r="GC26" s="94">
        <v>1.6116014400181043E-4</v>
      </c>
      <c r="GD26" s="94">
        <v>0.5194100410517335</v>
      </c>
      <c r="GE26" s="94">
        <v>2.3999762359955233E-4</v>
      </c>
      <c r="GF26" s="94">
        <v>5.0807098221263808E-5</v>
      </c>
      <c r="GG26" s="94">
        <v>13.98157888966464</v>
      </c>
      <c r="GH26" s="94">
        <v>8.5027207649288918</v>
      </c>
      <c r="GI26" s="94">
        <v>0.53140015155210096</v>
      </c>
      <c r="GJ26" s="94">
        <v>3.1818630967346397E-5</v>
      </c>
      <c r="GK26" s="94">
        <v>8.9115058380688732E-7</v>
      </c>
      <c r="GL26" s="94">
        <v>3.5540685324582128E-4</v>
      </c>
      <c r="GM26" s="94" t="s">
        <v>270</v>
      </c>
      <c r="GN26" s="94" t="s">
        <v>270</v>
      </c>
      <c r="GO26" s="94" t="s">
        <v>270</v>
      </c>
      <c r="GP26" s="94" t="s">
        <v>270</v>
      </c>
      <c r="GQ26" s="94" t="s">
        <v>270</v>
      </c>
      <c r="GR26" s="94" t="s">
        <v>270</v>
      </c>
      <c r="GS26" s="94" t="s">
        <v>270</v>
      </c>
      <c r="GT26" s="94" t="s">
        <v>270</v>
      </c>
      <c r="GU26" s="94" t="s">
        <v>270</v>
      </c>
      <c r="GV26" s="94" t="s">
        <v>270</v>
      </c>
      <c r="GW26" s="94" t="s">
        <v>270</v>
      </c>
      <c r="GX26" s="94" t="s">
        <v>270</v>
      </c>
      <c r="GY26" s="94" t="s">
        <v>270</v>
      </c>
      <c r="GZ26" s="94" t="s">
        <v>270</v>
      </c>
      <c r="HA26" s="94" t="s">
        <v>270</v>
      </c>
      <c r="HB26" s="94" t="s">
        <v>270</v>
      </c>
      <c r="HC26" s="94" t="s">
        <v>270</v>
      </c>
      <c r="HD26" s="94" t="s">
        <v>270</v>
      </c>
      <c r="HE26" s="94" t="s">
        <v>270</v>
      </c>
      <c r="HF26" s="94" t="s">
        <v>270</v>
      </c>
      <c r="HG26" s="94" t="s">
        <v>270</v>
      </c>
      <c r="HH26" s="94" t="s">
        <v>270</v>
      </c>
      <c r="HI26" s="94" t="s">
        <v>270</v>
      </c>
      <c r="HJ26" s="94" t="s">
        <v>270</v>
      </c>
      <c r="HK26" s="94" t="s">
        <v>270</v>
      </c>
      <c r="HL26" s="94" t="s">
        <v>270</v>
      </c>
      <c r="HM26" s="94" t="s">
        <v>270</v>
      </c>
      <c r="HN26" s="94" t="s">
        <v>270</v>
      </c>
      <c r="HO26" s="94" t="s">
        <v>270</v>
      </c>
      <c r="HP26" s="94" t="s">
        <v>270</v>
      </c>
      <c r="HQ26" s="94" t="s">
        <v>270</v>
      </c>
      <c r="HR26" s="94" t="s">
        <v>270</v>
      </c>
      <c r="HS26" s="94" t="s">
        <v>270</v>
      </c>
      <c r="HT26" s="94" t="s">
        <v>270</v>
      </c>
      <c r="HU26" s="94" t="s">
        <v>270</v>
      </c>
      <c r="HV26" s="94" t="s">
        <v>270</v>
      </c>
      <c r="HW26" s="94" t="s">
        <v>270</v>
      </c>
      <c r="HX26" s="94" t="s">
        <v>270</v>
      </c>
      <c r="HY26" s="94" t="s">
        <v>270</v>
      </c>
      <c r="HZ26" s="94" t="s">
        <v>270</v>
      </c>
      <c r="IA26" s="94" t="s">
        <v>270</v>
      </c>
      <c r="IB26" s="94" t="s">
        <v>270</v>
      </c>
      <c r="IC26" s="94" t="s">
        <v>270</v>
      </c>
      <c r="ID26" s="94" t="s">
        <v>270</v>
      </c>
      <c r="IE26" s="94" t="s">
        <v>270</v>
      </c>
      <c r="IF26" s="94" t="s">
        <v>270</v>
      </c>
      <c r="IG26" s="94" t="s">
        <v>270</v>
      </c>
      <c r="IH26" s="94" t="s">
        <v>270</v>
      </c>
      <c r="II26" s="94" t="s">
        <v>270</v>
      </c>
      <c r="IJ26" s="94" t="s">
        <v>270</v>
      </c>
      <c r="IK26" s="94" t="s">
        <v>270</v>
      </c>
      <c r="IL26" s="94" t="s">
        <v>270</v>
      </c>
      <c r="IM26" s="94" t="s">
        <v>270</v>
      </c>
      <c r="IN26" s="94" t="s">
        <v>270</v>
      </c>
      <c r="IO26" s="94" t="s">
        <v>270</v>
      </c>
      <c r="IP26" s="94" t="s">
        <v>270</v>
      </c>
      <c r="IQ26" s="94" t="s">
        <v>270</v>
      </c>
      <c r="IR26" s="94" t="s">
        <v>270</v>
      </c>
      <c r="IS26" s="94" t="s">
        <v>270</v>
      </c>
      <c r="IT26" s="94" t="s">
        <v>270</v>
      </c>
      <c r="IU26" s="94" t="s">
        <v>270</v>
      </c>
      <c r="IV26" s="94" t="s">
        <v>270</v>
      </c>
      <c r="IW26" s="94" t="s">
        <v>270</v>
      </c>
      <c r="IX26" s="94" t="s">
        <v>270</v>
      </c>
      <c r="IY26" s="94" t="s">
        <v>270</v>
      </c>
      <c r="IZ26" s="94" t="s">
        <v>270</v>
      </c>
      <c r="JA26" s="94" t="s">
        <v>270</v>
      </c>
      <c r="JB26" s="94" t="s">
        <v>270</v>
      </c>
      <c r="JC26" s="94" t="s">
        <v>270</v>
      </c>
      <c r="JD26" s="94" t="s">
        <v>270</v>
      </c>
      <c r="JE26" s="94" t="s">
        <v>270</v>
      </c>
      <c r="JF26" s="94" t="s">
        <v>270</v>
      </c>
      <c r="JG26" s="94" t="s">
        <v>270</v>
      </c>
      <c r="JH26" s="94" t="s">
        <v>270</v>
      </c>
      <c r="JI26" s="94" t="s">
        <v>270</v>
      </c>
      <c r="JJ26" s="94" t="s">
        <v>270</v>
      </c>
      <c r="JK26" s="94" t="s">
        <v>270</v>
      </c>
      <c r="JL26" s="94" t="s">
        <v>270</v>
      </c>
      <c r="JM26" s="94" t="s">
        <v>270</v>
      </c>
    </row>
    <row r="27" spans="1:273">
      <c r="A27" s="94" t="s">
        <v>626</v>
      </c>
      <c r="B27" s="94" t="s">
        <v>688</v>
      </c>
      <c r="C27" s="94" t="s">
        <v>698</v>
      </c>
      <c r="D27" s="95">
        <v>41535</v>
      </c>
      <c r="E27" s="94" t="s">
        <v>699</v>
      </c>
      <c r="F27" s="94">
        <v>1.25373368448</v>
      </c>
      <c r="G27" s="94">
        <v>168.292682926829</v>
      </c>
      <c r="H27" s="94">
        <v>22.4300003052</v>
      </c>
      <c r="I27" s="94">
        <v>1</v>
      </c>
      <c r="J27" s="94">
        <v>0</v>
      </c>
      <c r="K27" s="94">
        <v>0</v>
      </c>
      <c r="L27" s="94" t="s">
        <v>630</v>
      </c>
      <c r="M27" s="94" t="s">
        <v>631</v>
      </c>
      <c r="N27" s="94">
        <v>1.4178875626907445E-24</v>
      </c>
      <c r="O27" s="96" t="s">
        <v>270</v>
      </c>
      <c r="P27" s="94">
        <v>25.957534162278051</v>
      </c>
      <c r="Q27" s="94">
        <v>7.0806415650609633</v>
      </c>
      <c r="R27" s="94">
        <v>3.708099751258159</v>
      </c>
      <c r="S27" s="94">
        <v>0.52040208557367151</v>
      </c>
      <c r="T27" s="94" t="s">
        <v>270</v>
      </c>
      <c r="U27" s="94" t="s">
        <v>270</v>
      </c>
      <c r="V27" s="94" t="s">
        <v>632</v>
      </c>
      <c r="W27" s="94" t="s">
        <v>270</v>
      </c>
      <c r="X27" s="94">
        <v>7.7670868847350096</v>
      </c>
      <c r="Y27" s="94">
        <v>2.6684367380649183</v>
      </c>
      <c r="Z27" s="94" t="s">
        <v>632</v>
      </c>
      <c r="AA27" s="94" t="s">
        <v>270</v>
      </c>
      <c r="AB27" s="94" t="s">
        <v>632</v>
      </c>
      <c r="AC27" s="94" t="s">
        <v>270</v>
      </c>
      <c r="AD27" s="94" t="s">
        <v>633</v>
      </c>
      <c r="AE27" s="94" t="s">
        <v>73</v>
      </c>
      <c r="AF27" s="94">
        <v>2.4949504753205187E-18</v>
      </c>
      <c r="AG27" s="94">
        <v>4</v>
      </c>
      <c r="AH27" s="97">
        <v>42880.574386574073</v>
      </c>
      <c r="AJ27" s="98" t="s">
        <v>700</v>
      </c>
      <c r="AK27" s="96">
        <v>101.44764440601597</v>
      </c>
      <c r="AL27" s="96">
        <v>0.39121832168523718</v>
      </c>
      <c r="AM27" s="96">
        <v>0.12783249595809432</v>
      </c>
      <c r="AN27" s="96" t="s">
        <v>270</v>
      </c>
      <c r="AO27" s="96" t="s">
        <v>270</v>
      </c>
      <c r="AP27" s="96">
        <v>0.87238113096567438</v>
      </c>
      <c r="AQ27" s="96">
        <v>-0.97651141930986474</v>
      </c>
      <c r="AR27" s="96">
        <v>4.1932567007830279</v>
      </c>
      <c r="AS27" s="96">
        <v>190.20547024578573</v>
      </c>
      <c r="AT27" s="96" t="s">
        <v>270</v>
      </c>
      <c r="AU27" s="96" t="s">
        <v>270</v>
      </c>
      <c r="AV27" s="94">
        <v>4.3878127256654503E-6</v>
      </c>
      <c r="AW27" s="94">
        <v>4.3878127256654499E-8</v>
      </c>
      <c r="AX27" s="94">
        <v>2.3972945070369301E-7</v>
      </c>
      <c r="AY27" s="94">
        <v>3.59594176055539E-9</v>
      </c>
      <c r="AZ27" s="94" t="s">
        <v>270</v>
      </c>
      <c r="BA27" s="94" t="s">
        <v>270</v>
      </c>
      <c r="BB27" s="94" t="s">
        <v>270</v>
      </c>
      <c r="BC27" s="94" t="s">
        <v>270</v>
      </c>
      <c r="BD27" s="94" t="s">
        <v>270</v>
      </c>
      <c r="BE27" s="94" t="s">
        <v>270</v>
      </c>
      <c r="BF27" s="94" t="s">
        <v>270</v>
      </c>
      <c r="BG27" s="94" t="s">
        <v>270</v>
      </c>
      <c r="BH27" s="94" t="s">
        <v>270</v>
      </c>
      <c r="BI27" s="94" t="s">
        <v>270</v>
      </c>
      <c r="BJ27" s="94" t="s">
        <v>270</v>
      </c>
      <c r="BK27" s="94" t="s">
        <v>270</v>
      </c>
      <c r="BL27" s="94" t="s">
        <v>270</v>
      </c>
      <c r="BM27" s="94" t="s">
        <v>270</v>
      </c>
      <c r="BN27" s="94" t="s">
        <v>270</v>
      </c>
      <c r="BO27" s="94" t="s">
        <v>270</v>
      </c>
      <c r="BP27" s="94" t="s">
        <v>270</v>
      </c>
      <c r="BQ27" s="94" t="s">
        <v>270</v>
      </c>
      <c r="BR27" s="94" t="s">
        <v>270</v>
      </c>
      <c r="BS27" s="94" t="s">
        <v>270</v>
      </c>
      <c r="BT27" s="94" t="s">
        <v>270</v>
      </c>
      <c r="BU27" s="94" t="s">
        <v>270</v>
      </c>
      <c r="BV27" s="94" t="s">
        <v>270</v>
      </c>
      <c r="BW27" s="94" t="s">
        <v>270</v>
      </c>
      <c r="BX27" s="94" t="s">
        <v>270</v>
      </c>
      <c r="BY27" s="94" t="s">
        <v>270</v>
      </c>
      <c r="BZ27" s="94" t="s">
        <v>270</v>
      </c>
      <c r="CA27" s="94" t="s">
        <v>270</v>
      </c>
      <c r="CB27" s="94" t="s">
        <v>270</v>
      </c>
      <c r="CC27" s="94" t="s">
        <v>270</v>
      </c>
      <c r="CD27" s="94" t="s">
        <v>270</v>
      </c>
      <c r="CE27" s="94" t="s">
        <v>270</v>
      </c>
      <c r="CF27" s="94" t="s">
        <v>270</v>
      </c>
      <c r="CG27" s="94" t="s">
        <v>270</v>
      </c>
      <c r="CH27" s="94" t="s">
        <v>270</v>
      </c>
      <c r="CI27" s="94" t="s">
        <v>270</v>
      </c>
      <c r="CJ27" s="94" t="s">
        <v>270</v>
      </c>
      <c r="CK27" s="94" t="s">
        <v>270</v>
      </c>
      <c r="CL27" s="94" t="s">
        <v>270</v>
      </c>
      <c r="CM27" s="94" t="s">
        <v>270</v>
      </c>
      <c r="CN27" s="94" t="s">
        <v>270</v>
      </c>
      <c r="CO27" s="94" t="s">
        <v>270</v>
      </c>
      <c r="CP27" s="94" t="s">
        <v>270</v>
      </c>
      <c r="CQ27" s="94" t="s">
        <v>270</v>
      </c>
      <c r="CR27" s="94">
        <v>0.54389519053902802</v>
      </c>
      <c r="CS27" s="94">
        <v>5.4389519053902803E-2</v>
      </c>
      <c r="CT27" s="94" t="s">
        <v>270</v>
      </c>
      <c r="CU27" s="94" t="s">
        <v>270</v>
      </c>
      <c r="CV27" s="94" t="s">
        <v>270</v>
      </c>
      <c r="CW27" s="94" t="s">
        <v>270</v>
      </c>
      <c r="CX27" s="94">
        <v>24.424634718474401</v>
      </c>
      <c r="CY27" s="94">
        <v>2.4424634718474403</v>
      </c>
      <c r="CZ27" s="94">
        <v>0.18544833854037601</v>
      </c>
      <c r="DA27" s="94">
        <v>1.8544833854037601E-2</v>
      </c>
      <c r="DB27" s="94">
        <v>2.48593849787044</v>
      </c>
      <c r="DC27" s="94">
        <v>0.24859384978704402</v>
      </c>
      <c r="DD27" s="94">
        <v>5.6204400905179403E-3</v>
      </c>
      <c r="DE27" s="94">
        <v>5.6204400905179408E-4</v>
      </c>
      <c r="DF27" s="94" t="s">
        <v>270</v>
      </c>
      <c r="DG27" s="94" t="s">
        <v>270</v>
      </c>
      <c r="DH27" s="94" t="s">
        <v>270</v>
      </c>
      <c r="DI27" s="94" t="s">
        <v>270</v>
      </c>
      <c r="DJ27" s="94">
        <v>0.99774328393740852</v>
      </c>
      <c r="DK27" s="94">
        <v>0.97992795349813333</v>
      </c>
      <c r="DL27" s="94">
        <v>3.3050589101780416E-2</v>
      </c>
      <c r="DM27" s="94">
        <v>0.97924188558818059</v>
      </c>
      <c r="DN27" s="94">
        <v>4.2829805908234116E-8</v>
      </c>
      <c r="DO27" s="94">
        <v>1.7231619722582387E-7</v>
      </c>
      <c r="DP27" s="94">
        <v>2.7092994951845469E-4</v>
      </c>
      <c r="DQ27" s="94">
        <v>5.8684858990937148E-8</v>
      </c>
      <c r="DR27" s="94">
        <v>7.7889582918231586E-9</v>
      </c>
      <c r="DS27" s="94">
        <v>1.0454340054226758E-2</v>
      </c>
      <c r="DT27" s="94">
        <v>5.5428488291242401E-3</v>
      </c>
      <c r="DU27" s="94">
        <v>2.4267777915497912E-4</v>
      </c>
      <c r="DV27" s="94">
        <v>4.1162296757022763E-8</v>
      </c>
      <c r="DW27" s="94">
        <v>9.5277481222599399E-9</v>
      </c>
      <c r="DX27" s="94">
        <v>1.6264011567299462E-7</v>
      </c>
      <c r="DY27" s="94">
        <v>1.9430442696592754E-8</v>
      </c>
      <c r="DZ27" s="94">
        <v>6.7413253477873318E-8</v>
      </c>
      <c r="EA27" s="94">
        <v>3.4633651676751196E-5</v>
      </c>
      <c r="EB27" s="94">
        <v>4.2272337164342975E-9</v>
      </c>
      <c r="EC27" s="94">
        <v>3.2260467835946E-10</v>
      </c>
      <c r="ED27" s="94">
        <v>9.106121537409112E-3</v>
      </c>
      <c r="EE27" s="94">
        <v>7.7669857389853388E-4</v>
      </c>
      <c r="EF27" s="94">
        <v>1.2978349129403634E-6</v>
      </c>
      <c r="EG27" s="94">
        <v>5.2284206492740016E-9</v>
      </c>
      <c r="EH27" s="94">
        <v>2.1506978557297322E-9</v>
      </c>
      <c r="EI27" s="94">
        <v>1.1865919204026182E-9</v>
      </c>
      <c r="EJ27" s="94">
        <v>6.226024860482687E-8</v>
      </c>
      <c r="EK27" s="94">
        <v>2.3972945070369719E-7</v>
      </c>
      <c r="EL27" s="94">
        <v>3.0556360119520588E-4</v>
      </c>
      <c r="EM27" s="94">
        <v>6.2912092707371446E-8</v>
      </c>
      <c r="EN27" s="94">
        <v>8.1115629701826186E-9</v>
      </c>
      <c r="EO27" s="94">
        <v>1.956046159163587E-2</v>
      </c>
      <c r="EP27" s="94">
        <v>6.319547403022774E-3</v>
      </c>
      <c r="EQ27" s="94">
        <v>2.4397561406791949E-4</v>
      </c>
      <c r="ER27" s="94">
        <v>4.6390717406296764E-8</v>
      </c>
      <c r="ES27" s="94">
        <v>1.1678445977989672E-8</v>
      </c>
      <c r="ET27" s="94">
        <v>1.6382670759339724E-7</v>
      </c>
      <c r="EU27" s="94">
        <v>1.9057272490107864E-6</v>
      </c>
      <c r="EV27" s="94">
        <v>7.6673243951491548E-6</v>
      </c>
      <c r="EW27" s="94">
        <v>1.207189845606136E-2</v>
      </c>
      <c r="EX27" s="94">
        <v>2.6196967956023747E-6</v>
      </c>
      <c r="EY27" s="94">
        <v>3.4905606877002485E-7</v>
      </c>
      <c r="EZ27" s="94">
        <v>0.46565899762823743</v>
      </c>
      <c r="FA27" s="94">
        <v>0.2467359772079521</v>
      </c>
      <c r="FB27" s="94">
        <v>1.0876875446418672E-2</v>
      </c>
      <c r="FC27" s="94">
        <v>1.8323103926455797E-6</v>
      </c>
      <c r="FD27" s="94">
        <v>4.2412093780816051E-7</v>
      </c>
      <c r="FE27" s="94">
        <v>7.2398091867374682E-6</v>
      </c>
      <c r="FF27" s="94">
        <v>8.6456436871502379E-7</v>
      </c>
      <c r="FG27" s="94">
        <v>2.9995977816867145E-6</v>
      </c>
      <c r="FH27" s="94">
        <v>1.5431809105912846E-3</v>
      </c>
      <c r="FI27" s="94">
        <v>1.8870405095316752E-7</v>
      </c>
      <c r="FJ27" s="94">
        <v>1.4457276130645889E-8</v>
      </c>
      <c r="FK27" s="94">
        <v>0.40623212299527572</v>
      </c>
      <c r="FL27" s="94">
        <v>3.4574185141029057E-2</v>
      </c>
      <c r="FM27" s="94">
        <v>5.8169267689938201E-5</v>
      </c>
      <c r="FN27" s="94">
        <v>2.3273943019598458E-7</v>
      </c>
      <c r="FO27" s="94">
        <v>9.5736786889128496E-8</v>
      </c>
      <c r="FP27" s="94">
        <v>5.2820296214691175E-8</v>
      </c>
      <c r="FQ27" s="94">
        <v>2.7702916177258102E-6</v>
      </c>
      <c r="FR27" s="94">
        <v>1.0666922176835869E-5</v>
      </c>
      <c r="FS27" s="94">
        <v>1.3615079366652644E-2</v>
      </c>
      <c r="FT27" s="94">
        <v>2.8084008465555422E-6</v>
      </c>
      <c r="FU27" s="94">
        <v>3.6351334490067074E-7</v>
      </c>
      <c r="FV27" s="94">
        <v>0.87189112062351315</v>
      </c>
      <c r="FW27" s="94">
        <v>0.28131016234898115</v>
      </c>
      <c r="FX27" s="94">
        <v>1.093504471410861E-2</v>
      </c>
      <c r="FY27" s="94">
        <v>2.0650498228415643E-6</v>
      </c>
      <c r="FZ27" s="94">
        <v>5.1985772469728901E-7</v>
      </c>
      <c r="GA27" s="94">
        <v>7.2926294829521593E-6</v>
      </c>
      <c r="GB27" s="94">
        <v>7.6279023825810034E-6</v>
      </c>
      <c r="GC27" s="94">
        <v>1.5472430609679141E-4</v>
      </c>
      <c r="GD27" s="94">
        <v>0.48224819952273923</v>
      </c>
      <c r="GE27" s="94">
        <v>2.195253520778878E-4</v>
      </c>
      <c r="GF27" s="94">
        <v>4.5828618437022874E-5</v>
      </c>
      <c r="GG27" s="94">
        <v>13.044691764158866</v>
      </c>
      <c r="GH27" s="94">
        <v>7.8952551874818173</v>
      </c>
      <c r="GI27" s="94">
        <v>0.47868584995916258</v>
      </c>
      <c r="GJ27" s="94">
        <v>2.9394766181601003E-5</v>
      </c>
      <c r="GK27" s="94">
        <v>8.5497691610871465E-7</v>
      </c>
      <c r="GL27" s="94">
        <v>3.1864427377403885E-4</v>
      </c>
      <c r="GM27" s="94" t="s">
        <v>270</v>
      </c>
      <c r="GN27" s="94" t="s">
        <v>270</v>
      </c>
      <c r="GO27" s="94" t="s">
        <v>270</v>
      </c>
      <c r="GP27" s="94" t="s">
        <v>270</v>
      </c>
      <c r="GQ27" s="94" t="s">
        <v>270</v>
      </c>
      <c r="GR27" s="94" t="s">
        <v>270</v>
      </c>
      <c r="GS27" s="94" t="s">
        <v>270</v>
      </c>
      <c r="GT27" s="94" t="s">
        <v>270</v>
      </c>
      <c r="GU27" s="94" t="s">
        <v>270</v>
      </c>
      <c r="GV27" s="94" t="s">
        <v>270</v>
      </c>
      <c r="GW27" s="94" t="s">
        <v>270</v>
      </c>
      <c r="GX27" s="94" t="s">
        <v>270</v>
      </c>
      <c r="GY27" s="94" t="s">
        <v>270</v>
      </c>
      <c r="GZ27" s="94" t="s">
        <v>270</v>
      </c>
      <c r="HA27" s="94" t="s">
        <v>270</v>
      </c>
      <c r="HB27" s="94" t="s">
        <v>270</v>
      </c>
      <c r="HC27" s="94" t="s">
        <v>270</v>
      </c>
      <c r="HD27" s="94" t="s">
        <v>270</v>
      </c>
      <c r="HE27" s="94" t="s">
        <v>270</v>
      </c>
      <c r="HF27" s="94" t="s">
        <v>270</v>
      </c>
      <c r="HG27" s="94" t="s">
        <v>270</v>
      </c>
      <c r="HH27" s="94" t="s">
        <v>270</v>
      </c>
      <c r="HI27" s="94" t="s">
        <v>270</v>
      </c>
      <c r="HJ27" s="94" t="s">
        <v>270</v>
      </c>
      <c r="HK27" s="94" t="s">
        <v>270</v>
      </c>
      <c r="HL27" s="94" t="s">
        <v>270</v>
      </c>
      <c r="HM27" s="94" t="s">
        <v>270</v>
      </c>
      <c r="HN27" s="94" t="s">
        <v>270</v>
      </c>
      <c r="HO27" s="94" t="s">
        <v>270</v>
      </c>
      <c r="HP27" s="94" t="s">
        <v>270</v>
      </c>
      <c r="HQ27" s="94" t="s">
        <v>270</v>
      </c>
      <c r="HR27" s="94" t="s">
        <v>270</v>
      </c>
      <c r="HS27" s="94" t="s">
        <v>270</v>
      </c>
      <c r="HT27" s="94" t="s">
        <v>270</v>
      </c>
      <c r="HU27" s="94" t="s">
        <v>270</v>
      </c>
      <c r="HV27" s="94" t="s">
        <v>270</v>
      </c>
      <c r="HW27" s="94" t="s">
        <v>270</v>
      </c>
      <c r="HX27" s="94" t="s">
        <v>270</v>
      </c>
      <c r="HY27" s="94" t="s">
        <v>270</v>
      </c>
      <c r="HZ27" s="94" t="s">
        <v>270</v>
      </c>
      <c r="IA27" s="94" t="s">
        <v>270</v>
      </c>
      <c r="IB27" s="94" t="s">
        <v>270</v>
      </c>
      <c r="IC27" s="94" t="s">
        <v>270</v>
      </c>
      <c r="ID27" s="94" t="s">
        <v>270</v>
      </c>
      <c r="IE27" s="94" t="s">
        <v>270</v>
      </c>
      <c r="IF27" s="94" t="s">
        <v>270</v>
      </c>
      <c r="IG27" s="94" t="s">
        <v>270</v>
      </c>
      <c r="IH27" s="94" t="s">
        <v>270</v>
      </c>
      <c r="II27" s="94" t="s">
        <v>270</v>
      </c>
      <c r="IJ27" s="94" t="s">
        <v>270</v>
      </c>
      <c r="IK27" s="94" t="s">
        <v>270</v>
      </c>
      <c r="IL27" s="94" t="s">
        <v>270</v>
      </c>
      <c r="IM27" s="94" t="s">
        <v>270</v>
      </c>
      <c r="IN27" s="94" t="s">
        <v>270</v>
      </c>
      <c r="IO27" s="94" t="s">
        <v>270</v>
      </c>
      <c r="IP27" s="94" t="s">
        <v>270</v>
      </c>
      <c r="IQ27" s="94" t="s">
        <v>270</v>
      </c>
      <c r="IR27" s="94" t="s">
        <v>270</v>
      </c>
      <c r="IS27" s="94" t="s">
        <v>270</v>
      </c>
      <c r="IT27" s="94" t="s">
        <v>270</v>
      </c>
      <c r="IU27" s="94" t="s">
        <v>270</v>
      </c>
      <c r="IV27" s="94" t="s">
        <v>270</v>
      </c>
      <c r="IW27" s="94" t="s">
        <v>270</v>
      </c>
      <c r="IX27" s="94" t="s">
        <v>270</v>
      </c>
      <c r="IY27" s="94" t="s">
        <v>270</v>
      </c>
      <c r="IZ27" s="94" t="s">
        <v>270</v>
      </c>
      <c r="JA27" s="94" t="s">
        <v>270</v>
      </c>
      <c r="JB27" s="94" t="s">
        <v>270</v>
      </c>
      <c r="JC27" s="94" t="s">
        <v>270</v>
      </c>
      <c r="JD27" s="94" t="s">
        <v>270</v>
      </c>
      <c r="JE27" s="94" t="s">
        <v>270</v>
      </c>
      <c r="JF27" s="94" t="s">
        <v>270</v>
      </c>
      <c r="JG27" s="94" t="s">
        <v>270</v>
      </c>
      <c r="JH27" s="94" t="s">
        <v>270</v>
      </c>
      <c r="JI27" s="94" t="s">
        <v>270</v>
      </c>
      <c r="JJ27" s="94" t="s">
        <v>270</v>
      </c>
      <c r="JK27" s="94" t="s">
        <v>270</v>
      </c>
      <c r="JL27" s="94" t="s">
        <v>270</v>
      </c>
      <c r="JM27" s="94" t="s">
        <v>270</v>
      </c>
    </row>
    <row r="28" spans="1:273">
      <c r="A28" s="94" t="s">
        <v>626</v>
      </c>
      <c r="B28" s="94" t="s">
        <v>688</v>
      </c>
      <c r="C28" s="94" t="s">
        <v>698</v>
      </c>
      <c r="D28" s="95">
        <v>41535</v>
      </c>
      <c r="E28" s="94" t="s">
        <v>701</v>
      </c>
      <c r="F28" s="94">
        <v>1.25373368448</v>
      </c>
      <c r="G28" s="94">
        <v>168.292682926829</v>
      </c>
      <c r="H28" s="94">
        <v>22.4300003052</v>
      </c>
      <c r="I28" s="94">
        <v>1</v>
      </c>
      <c r="J28" s="94">
        <v>0</v>
      </c>
      <c r="K28" s="94">
        <v>0</v>
      </c>
      <c r="L28" s="94" t="s">
        <v>630</v>
      </c>
      <c r="M28" s="94" t="s">
        <v>631</v>
      </c>
      <c r="N28" s="94">
        <v>6.6005405468588421E-26</v>
      </c>
      <c r="O28" s="96" t="s">
        <v>270</v>
      </c>
      <c r="P28" s="94">
        <v>27.112154982223398</v>
      </c>
      <c r="Q28" s="94">
        <v>7.2356629507173347</v>
      </c>
      <c r="R28" s="94">
        <v>3.7837327141248274</v>
      </c>
      <c r="S28" s="94">
        <v>0.51934812485561166</v>
      </c>
      <c r="T28" s="94" t="s">
        <v>270</v>
      </c>
      <c r="U28" s="94" t="s">
        <v>270</v>
      </c>
      <c r="V28" s="94" t="s">
        <v>632</v>
      </c>
      <c r="W28" s="94" t="s">
        <v>270</v>
      </c>
      <c r="X28" s="94">
        <v>7.3409212416624134</v>
      </c>
      <c r="Y28" s="94">
        <v>2.6056537568571052</v>
      </c>
      <c r="Z28" s="94" t="s">
        <v>632</v>
      </c>
      <c r="AA28" s="94" t="s">
        <v>270</v>
      </c>
      <c r="AB28" s="94" t="s">
        <v>632</v>
      </c>
      <c r="AC28" s="94" t="s">
        <v>270</v>
      </c>
      <c r="AD28" s="94" t="s">
        <v>633</v>
      </c>
      <c r="AE28" s="94" t="s">
        <v>73</v>
      </c>
      <c r="AF28" s="94">
        <v>1.707166898342407E-16</v>
      </c>
      <c r="AG28" s="94">
        <v>4</v>
      </c>
      <c r="AH28" s="97">
        <v>42880.574386574073</v>
      </c>
      <c r="AJ28" s="98" t="s">
        <v>702</v>
      </c>
      <c r="AK28" s="96">
        <v>101.75549198575823</v>
      </c>
      <c r="AL28" s="96">
        <v>0.40240892647653137</v>
      </c>
      <c r="AM28" s="96">
        <v>0.13314780160856499</v>
      </c>
      <c r="AN28" s="96" t="s">
        <v>270</v>
      </c>
      <c r="AO28" s="96" t="s">
        <v>270</v>
      </c>
      <c r="AP28" s="96">
        <v>0.86133751727004881</v>
      </c>
      <c r="AQ28" s="96">
        <v>-0.97440819444007309</v>
      </c>
      <c r="AR28" s="96">
        <v>4.1312795823600013</v>
      </c>
      <c r="AS28" s="96">
        <v>180.6469400063817</v>
      </c>
      <c r="AT28" s="96" t="s">
        <v>270</v>
      </c>
      <c r="AU28" s="96" t="s">
        <v>270</v>
      </c>
      <c r="AV28" s="94">
        <v>4.3878127256654503E-6</v>
      </c>
      <c r="AW28" s="94">
        <v>4.3878127256654499E-8</v>
      </c>
      <c r="AX28" s="94">
        <v>2.3972945070369301E-7</v>
      </c>
      <c r="AY28" s="94">
        <v>3.59594176055539E-9</v>
      </c>
      <c r="AZ28" s="94" t="s">
        <v>270</v>
      </c>
      <c r="BA28" s="94" t="s">
        <v>270</v>
      </c>
      <c r="BB28" s="94" t="s">
        <v>270</v>
      </c>
      <c r="BC28" s="94" t="s">
        <v>270</v>
      </c>
      <c r="BD28" s="94" t="s">
        <v>270</v>
      </c>
      <c r="BE28" s="94" t="s">
        <v>270</v>
      </c>
      <c r="BF28" s="94" t="s">
        <v>270</v>
      </c>
      <c r="BG28" s="94" t="s">
        <v>270</v>
      </c>
      <c r="BH28" s="94" t="s">
        <v>270</v>
      </c>
      <c r="BI28" s="94" t="s">
        <v>270</v>
      </c>
      <c r="BJ28" s="94" t="s">
        <v>270</v>
      </c>
      <c r="BK28" s="94" t="s">
        <v>270</v>
      </c>
      <c r="BL28" s="94" t="s">
        <v>270</v>
      </c>
      <c r="BM28" s="94" t="s">
        <v>270</v>
      </c>
      <c r="BN28" s="94" t="s">
        <v>270</v>
      </c>
      <c r="BO28" s="94" t="s">
        <v>270</v>
      </c>
      <c r="BP28" s="94" t="s">
        <v>270</v>
      </c>
      <c r="BQ28" s="94" t="s">
        <v>270</v>
      </c>
      <c r="BR28" s="94" t="s">
        <v>270</v>
      </c>
      <c r="BS28" s="94" t="s">
        <v>270</v>
      </c>
      <c r="BT28" s="94" t="s">
        <v>270</v>
      </c>
      <c r="BU28" s="94" t="s">
        <v>270</v>
      </c>
      <c r="BV28" s="94" t="s">
        <v>270</v>
      </c>
      <c r="BW28" s="94" t="s">
        <v>270</v>
      </c>
      <c r="BX28" s="94" t="s">
        <v>270</v>
      </c>
      <c r="BY28" s="94" t="s">
        <v>270</v>
      </c>
      <c r="BZ28" s="94" t="s">
        <v>270</v>
      </c>
      <c r="CA28" s="94" t="s">
        <v>270</v>
      </c>
      <c r="CB28" s="94" t="s">
        <v>270</v>
      </c>
      <c r="CC28" s="94" t="s">
        <v>270</v>
      </c>
      <c r="CD28" s="94" t="s">
        <v>270</v>
      </c>
      <c r="CE28" s="94" t="s">
        <v>270</v>
      </c>
      <c r="CF28" s="94" t="s">
        <v>270</v>
      </c>
      <c r="CG28" s="94" t="s">
        <v>270</v>
      </c>
      <c r="CH28" s="94" t="s">
        <v>270</v>
      </c>
      <c r="CI28" s="94" t="s">
        <v>270</v>
      </c>
      <c r="CJ28" s="94" t="s">
        <v>270</v>
      </c>
      <c r="CK28" s="94" t="s">
        <v>270</v>
      </c>
      <c r="CL28" s="94" t="s">
        <v>270</v>
      </c>
      <c r="CM28" s="94" t="s">
        <v>270</v>
      </c>
      <c r="CN28" s="94" t="s">
        <v>270</v>
      </c>
      <c r="CO28" s="94" t="s">
        <v>270</v>
      </c>
      <c r="CP28" s="94" t="s">
        <v>270</v>
      </c>
      <c r="CQ28" s="94" t="s">
        <v>270</v>
      </c>
      <c r="CR28" s="94">
        <v>0.53517594338781205</v>
      </c>
      <c r="CS28" s="94">
        <v>5.3517594338781206E-2</v>
      </c>
      <c r="CT28" s="94" t="s">
        <v>270</v>
      </c>
      <c r="CU28" s="94" t="s">
        <v>270</v>
      </c>
      <c r="CV28" s="94" t="s">
        <v>270</v>
      </c>
      <c r="CW28" s="94" t="s">
        <v>270</v>
      </c>
      <c r="CX28" s="94">
        <v>23.827682017208399</v>
      </c>
      <c r="CY28" s="94">
        <v>2.38276820172084</v>
      </c>
      <c r="CZ28" s="94">
        <v>0.19788963100798301</v>
      </c>
      <c r="DA28" s="94">
        <v>1.9788963100798303E-2</v>
      </c>
      <c r="DB28" s="94">
        <v>2.3769034449321</v>
      </c>
      <c r="DC28" s="94">
        <v>0.23769034449321003</v>
      </c>
      <c r="DD28" s="94">
        <v>5.2191203385142E-3</v>
      </c>
      <c r="DE28" s="94">
        <v>5.2191203385142007E-4</v>
      </c>
      <c r="DF28" s="94" t="s">
        <v>270</v>
      </c>
      <c r="DG28" s="94" t="s">
        <v>270</v>
      </c>
      <c r="DH28" s="94" t="s">
        <v>270</v>
      </c>
      <c r="DI28" s="94" t="s">
        <v>270</v>
      </c>
      <c r="DJ28" s="94">
        <v>0.9974288164612829</v>
      </c>
      <c r="DK28" s="94">
        <v>0.97992795349813333</v>
      </c>
      <c r="DL28" s="94">
        <v>3.5377414042688536E-2</v>
      </c>
      <c r="DM28" s="94">
        <v>0.97919181367503771</v>
      </c>
      <c r="DN28" s="94">
        <v>4.2701491091820139E-8</v>
      </c>
      <c r="DO28" s="94">
        <v>1.7094118996090458E-7</v>
      </c>
      <c r="DP28" s="94">
        <v>2.6541980508111584E-4</v>
      </c>
      <c r="DQ28" s="94">
        <v>5.7167578463847634E-8</v>
      </c>
      <c r="DR28" s="94">
        <v>7.5448983273259063E-9</v>
      </c>
      <c r="DS28" s="94">
        <v>1.0262575558224763E-2</v>
      </c>
      <c r="DT28" s="94">
        <v>5.4303256658373685E-3</v>
      </c>
      <c r="DU28" s="94">
        <v>2.3491036834946225E-4</v>
      </c>
      <c r="DV28" s="94">
        <v>4.0247204065762409E-8</v>
      </c>
      <c r="DW28" s="94">
        <v>9.4481223059753813E-9</v>
      </c>
      <c r="DX28" s="94">
        <v>1.5717435321275714E-7</v>
      </c>
      <c r="DY28" s="94">
        <v>1.9826759422014091E-8</v>
      </c>
      <c r="DZ28" s="94">
        <v>6.8788260742789327E-8</v>
      </c>
      <c r="EA28" s="94">
        <v>3.5340063549925871E-5</v>
      </c>
      <c r="EB28" s="94">
        <v>4.3134552941023096E-9</v>
      </c>
      <c r="EC28" s="94">
        <v>3.2918474612886024E-10</v>
      </c>
      <c r="ED28" s="94">
        <v>8.8244098045773354E-3</v>
      </c>
      <c r="EE28" s="94">
        <v>7.9254065430058637E-4</v>
      </c>
      <c r="EF28" s="94">
        <v>1.3243064499436847E-6</v>
      </c>
      <c r="EG28" s="94">
        <v>5.3350631269160069E-9</v>
      </c>
      <c r="EH28" s="94">
        <v>2.1945649741923994E-9</v>
      </c>
      <c r="EI28" s="94">
        <v>1.2107944685199336E-9</v>
      </c>
      <c r="EJ28" s="94">
        <v>6.252825051383423E-8</v>
      </c>
      <c r="EK28" s="94">
        <v>2.3972945070369391E-7</v>
      </c>
      <c r="EL28" s="94">
        <v>3.0075986863104171E-4</v>
      </c>
      <c r="EM28" s="94">
        <v>6.1481033757949943E-8</v>
      </c>
      <c r="EN28" s="94">
        <v>7.8740830734547666E-9</v>
      </c>
      <c r="EO28" s="94">
        <v>1.9086985362802098E-2</v>
      </c>
      <c r="EP28" s="94">
        <v>6.2228663201379548E-3</v>
      </c>
      <c r="EQ28" s="94">
        <v>2.3623467479940593E-4</v>
      </c>
      <c r="ER28" s="94">
        <v>4.5582267192678416E-8</v>
      </c>
      <c r="ES28" s="94">
        <v>1.1642687280167781E-8</v>
      </c>
      <c r="ET28" s="94">
        <v>1.5838514768127707E-7</v>
      </c>
      <c r="EU28" s="94">
        <v>1.8994189909731547E-6</v>
      </c>
      <c r="EV28" s="94">
        <v>7.6037452331980446E-6</v>
      </c>
      <c r="EW28" s="94">
        <v>1.1822654047825277E-2</v>
      </c>
      <c r="EX28" s="94">
        <v>2.5511609463963354E-6</v>
      </c>
      <c r="EY28" s="94">
        <v>3.3801214467601683E-7</v>
      </c>
      <c r="EZ28" s="94">
        <v>0.45697331705732708</v>
      </c>
      <c r="FA28" s="94">
        <v>0.24165090130612535</v>
      </c>
      <c r="FB28" s="94">
        <v>1.0525419822887029E-2</v>
      </c>
      <c r="FC28" s="94">
        <v>1.7910110251266678E-6</v>
      </c>
      <c r="FD28" s="94">
        <v>4.2044389441556486E-7</v>
      </c>
      <c r="FE28" s="94">
        <v>6.9942995049106798E-6</v>
      </c>
      <c r="FF28" s="94">
        <v>8.8192057028293066E-7</v>
      </c>
      <c r="FG28" s="94">
        <v>3.0598149564923086E-6</v>
      </c>
      <c r="FH28" s="94">
        <v>1.5741603956466038E-3</v>
      </c>
      <c r="FI28" s="94">
        <v>1.9249230046186703E-7</v>
      </c>
      <c r="FJ28" s="94">
        <v>1.4747507150713637E-8</v>
      </c>
      <c r="FK28" s="94">
        <v>0.3936082623728196</v>
      </c>
      <c r="FL28" s="94">
        <v>3.5268264781675968E-2</v>
      </c>
      <c r="FM28" s="94">
        <v>5.933702057406981E-5</v>
      </c>
      <c r="FN28" s="94">
        <v>2.3741169360337588E-7</v>
      </c>
      <c r="FO28" s="94">
        <v>9.7658710843941775E-8</v>
      </c>
      <c r="FP28" s="94">
        <v>5.3880668051830149E-8</v>
      </c>
      <c r="FQ28" s="94">
        <v>2.7813395612560854E-6</v>
      </c>
      <c r="FR28" s="94">
        <v>1.0663560189690353E-5</v>
      </c>
      <c r="FS28" s="94">
        <v>1.3396814443471881E-2</v>
      </c>
      <c r="FT28" s="94">
        <v>2.7436532468582025E-6</v>
      </c>
      <c r="FU28" s="94">
        <v>3.5275965182673046E-7</v>
      </c>
      <c r="FV28" s="94">
        <v>0.85058157943014667</v>
      </c>
      <c r="FW28" s="94">
        <v>0.27691916608780132</v>
      </c>
      <c r="FX28" s="94">
        <v>1.0584756843461099E-2</v>
      </c>
      <c r="FY28" s="94">
        <v>2.0284227187300437E-6</v>
      </c>
      <c r="FZ28" s="94">
        <v>5.1810260525950664E-7</v>
      </c>
      <c r="GA28" s="94">
        <v>7.04818017296251E-6</v>
      </c>
      <c r="GB28" s="94">
        <v>7.6026528215327667E-6</v>
      </c>
      <c r="GC28" s="94">
        <v>1.5344129768236659E-4</v>
      </c>
      <c r="GD28" s="94">
        <v>0.47229138390252418</v>
      </c>
      <c r="GE28" s="94">
        <v>2.1378218498612013E-4</v>
      </c>
      <c r="GF28" s="94">
        <v>4.4378628510948277E-5</v>
      </c>
      <c r="GG28" s="94">
        <v>12.801376320053727</v>
      </c>
      <c r="GH28" s="94">
        <v>7.7325388607144436</v>
      </c>
      <c r="GI28" s="94">
        <v>0.46321846369534669</v>
      </c>
      <c r="GJ28" s="94">
        <v>2.873222273015356E-5</v>
      </c>
      <c r="GK28" s="94">
        <v>8.4756443787444897E-7</v>
      </c>
      <c r="GL28" s="94">
        <v>3.0783870524973275E-4</v>
      </c>
      <c r="GM28" s="94" t="s">
        <v>270</v>
      </c>
      <c r="GN28" s="94" t="s">
        <v>270</v>
      </c>
      <c r="GO28" s="94" t="s">
        <v>270</v>
      </c>
      <c r="GP28" s="94" t="s">
        <v>270</v>
      </c>
      <c r="GQ28" s="94" t="s">
        <v>270</v>
      </c>
      <c r="GR28" s="94" t="s">
        <v>270</v>
      </c>
      <c r="GS28" s="94" t="s">
        <v>270</v>
      </c>
      <c r="GT28" s="94" t="s">
        <v>270</v>
      </c>
      <c r="GU28" s="94" t="s">
        <v>270</v>
      </c>
      <c r="GV28" s="94" t="s">
        <v>270</v>
      </c>
      <c r="GW28" s="94" t="s">
        <v>270</v>
      </c>
      <c r="GX28" s="94" t="s">
        <v>270</v>
      </c>
      <c r="GY28" s="94" t="s">
        <v>270</v>
      </c>
      <c r="GZ28" s="94" t="s">
        <v>270</v>
      </c>
      <c r="HA28" s="94" t="s">
        <v>270</v>
      </c>
      <c r="HB28" s="94" t="s">
        <v>270</v>
      </c>
      <c r="HC28" s="94" t="s">
        <v>270</v>
      </c>
      <c r="HD28" s="94" t="s">
        <v>270</v>
      </c>
      <c r="HE28" s="94" t="s">
        <v>270</v>
      </c>
      <c r="HF28" s="94" t="s">
        <v>270</v>
      </c>
      <c r="HG28" s="94" t="s">
        <v>270</v>
      </c>
      <c r="HH28" s="94" t="s">
        <v>270</v>
      </c>
      <c r="HI28" s="94" t="s">
        <v>270</v>
      </c>
      <c r="HJ28" s="94" t="s">
        <v>270</v>
      </c>
      <c r="HK28" s="94" t="s">
        <v>270</v>
      </c>
      <c r="HL28" s="94" t="s">
        <v>270</v>
      </c>
      <c r="HM28" s="94" t="s">
        <v>270</v>
      </c>
      <c r="HN28" s="94" t="s">
        <v>270</v>
      </c>
      <c r="HO28" s="94" t="s">
        <v>270</v>
      </c>
      <c r="HP28" s="94" t="s">
        <v>270</v>
      </c>
      <c r="HQ28" s="94" t="s">
        <v>270</v>
      </c>
      <c r="HR28" s="94" t="s">
        <v>270</v>
      </c>
      <c r="HS28" s="94" t="s">
        <v>270</v>
      </c>
      <c r="HT28" s="94" t="s">
        <v>270</v>
      </c>
      <c r="HU28" s="94" t="s">
        <v>270</v>
      </c>
      <c r="HV28" s="94" t="s">
        <v>270</v>
      </c>
      <c r="HW28" s="94" t="s">
        <v>270</v>
      </c>
      <c r="HX28" s="94" t="s">
        <v>270</v>
      </c>
      <c r="HY28" s="94" t="s">
        <v>270</v>
      </c>
      <c r="HZ28" s="94" t="s">
        <v>270</v>
      </c>
      <c r="IA28" s="94" t="s">
        <v>270</v>
      </c>
      <c r="IB28" s="94" t="s">
        <v>270</v>
      </c>
      <c r="IC28" s="94" t="s">
        <v>270</v>
      </c>
      <c r="ID28" s="94" t="s">
        <v>270</v>
      </c>
      <c r="IE28" s="94" t="s">
        <v>270</v>
      </c>
      <c r="IF28" s="94" t="s">
        <v>270</v>
      </c>
      <c r="IG28" s="94" t="s">
        <v>270</v>
      </c>
      <c r="IH28" s="94" t="s">
        <v>270</v>
      </c>
      <c r="II28" s="94" t="s">
        <v>270</v>
      </c>
      <c r="IJ28" s="94" t="s">
        <v>270</v>
      </c>
      <c r="IK28" s="94" t="s">
        <v>270</v>
      </c>
      <c r="IL28" s="94" t="s">
        <v>270</v>
      </c>
      <c r="IM28" s="94" t="s">
        <v>270</v>
      </c>
      <c r="IN28" s="94" t="s">
        <v>270</v>
      </c>
      <c r="IO28" s="94" t="s">
        <v>270</v>
      </c>
      <c r="IP28" s="94" t="s">
        <v>270</v>
      </c>
      <c r="IQ28" s="94" t="s">
        <v>270</v>
      </c>
      <c r="IR28" s="94" t="s">
        <v>270</v>
      </c>
      <c r="IS28" s="94" t="s">
        <v>270</v>
      </c>
      <c r="IT28" s="94" t="s">
        <v>270</v>
      </c>
      <c r="IU28" s="94" t="s">
        <v>270</v>
      </c>
      <c r="IV28" s="94" t="s">
        <v>270</v>
      </c>
      <c r="IW28" s="94" t="s">
        <v>270</v>
      </c>
      <c r="IX28" s="94" t="s">
        <v>270</v>
      </c>
      <c r="IY28" s="94" t="s">
        <v>270</v>
      </c>
      <c r="IZ28" s="94" t="s">
        <v>270</v>
      </c>
      <c r="JA28" s="94" t="s">
        <v>270</v>
      </c>
      <c r="JB28" s="94" t="s">
        <v>270</v>
      </c>
      <c r="JC28" s="94" t="s">
        <v>270</v>
      </c>
      <c r="JD28" s="94" t="s">
        <v>270</v>
      </c>
      <c r="JE28" s="94" t="s">
        <v>270</v>
      </c>
      <c r="JF28" s="94" t="s">
        <v>270</v>
      </c>
      <c r="JG28" s="94" t="s">
        <v>270</v>
      </c>
      <c r="JH28" s="94" t="s">
        <v>270</v>
      </c>
      <c r="JI28" s="94" t="s">
        <v>270</v>
      </c>
      <c r="JJ28" s="94" t="s">
        <v>270</v>
      </c>
      <c r="JK28" s="94" t="s">
        <v>270</v>
      </c>
      <c r="JL28" s="94" t="s">
        <v>270</v>
      </c>
      <c r="JM28" s="94" t="s">
        <v>270</v>
      </c>
    </row>
    <row r="29" spans="1:273">
      <c r="A29" s="94" t="s">
        <v>626</v>
      </c>
      <c r="B29" s="94" t="s">
        <v>688</v>
      </c>
      <c r="C29" s="94" t="s">
        <v>703</v>
      </c>
      <c r="D29" s="95">
        <v>41534</v>
      </c>
      <c r="E29" s="94" t="s">
        <v>704</v>
      </c>
      <c r="F29" s="94">
        <v>1.0399921783199999</v>
      </c>
      <c r="G29" s="94">
        <v>247.56097560975601</v>
      </c>
      <c r="H29" s="94">
        <v>22.239999771099999</v>
      </c>
      <c r="I29" s="94">
        <v>1</v>
      </c>
      <c r="J29" s="94">
        <v>0</v>
      </c>
      <c r="K29" s="94">
        <v>0</v>
      </c>
      <c r="L29" s="94" t="s">
        <v>630</v>
      </c>
      <c r="M29" s="94" t="s">
        <v>631</v>
      </c>
      <c r="N29" s="94">
        <v>4.1068187620950247E-26</v>
      </c>
      <c r="O29" s="96" t="s">
        <v>270</v>
      </c>
      <c r="P29" s="94">
        <v>8.9435467523194241</v>
      </c>
      <c r="Q29" s="94">
        <v>0.62811428840952943</v>
      </c>
      <c r="R29" s="94">
        <v>2.5081319026225493</v>
      </c>
      <c r="S29" s="94">
        <v>0.60737931280906621</v>
      </c>
      <c r="T29" s="94" t="s">
        <v>270</v>
      </c>
      <c r="U29" s="94" t="s">
        <v>270</v>
      </c>
      <c r="V29" s="94" t="s">
        <v>632</v>
      </c>
      <c r="W29" s="94" t="s">
        <v>270</v>
      </c>
      <c r="X29" s="94">
        <v>7.9499999999999877</v>
      </c>
      <c r="Y29" s="94">
        <v>0.3452052529534651</v>
      </c>
      <c r="Z29" s="94" t="s">
        <v>632</v>
      </c>
      <c r="AA29" s="94" t="s">
        <v>270</v>
      </c>
      <c r="AB29" s="94" t="s">
        <v>632</v>
      </c>
      <c r="AC29" s="94" t="s">
        <v>270</v>
      </c>
      <c r="AD29" s="94" t="s">
        <v>644</v>
      </c>
      <c r="AE29" s="94" t="s">
        <v>98</v>
      </c>
      <c r="AF29" s="94">
        <v>4.5452431875466932E-5</v>
      </c>
      <c r="AG29" s="94">
        <v>18</v>
      </c>
      <c r="AH29" s="97">
        <v>42880.562835648147</v>
      </c>
      <c r="AI29" s="94" t="s">
        <v>693</v>
      </c>
      <c r="AJ29" s="98" t="s">
        <v>705</v>
      </c>
      <c r="AK29" s="96">
        <v>3.1667745004682919</v>
      </c>
      <c r="AL29" s="96">
        <v>1.0194941617069242E-2</v>
      </c>
      <c r="AM29" s="96">
        <v>6.1648480817750206E-2</v>
      </c>
      <c r="AN29" s="96" t="s">
        <v>270</v>
      </c>
      <c r="AO29" s="96" t="s">
        <v>270</v>
      </c>
      <c r="AP29" s="96">
        <v>0.58164803946730803</v>
      </c>
      <c r="AQ29" s="96">
        <v>-0.61928454243874287</v>
      </c>
      <c r="AR29" s="96">
        <v>1.7903125262898536</v>
      </c>
      <c r="AS29" s="96" t="s">
        <v>270</v>
      </c>
      <c r="AT29" s="96" t="s">
        <v>270</v>
      </c>
      <c r="AU29" s="96" t="s">
        <v>270</v>
      </c>
      <c r="AV29" s="94">
        <v>1.8760000000000001E-7</v>
      </c>
      <c r="AW29" s="94">
        <v>1E-10</v>
      </c>
      <c r="AX29" s="94">
        <v>1.9850000000000001E-7</v>
      </c>
      <c r="AY29" s="94">
        <v>4.6000000000000001E-10</v>
      </c>
      <c r="AZ29" s="94" t="s">
        <v>270</v>
      </c>
      <c r="BA29" s="94" t="s">
        <v>270</v>
      </c>
      <c r="BB29" s="94" t="s">
        <v>270</v>
      </c>
      <c r="BC29" s="94" t="s">
        <v>270</v>
      </c>
      <c r="BD29" s="94" t="s">
        <v>270</v>
      </c>
      <c r="BE29" s="94" t="s">
        <v>270</v>
      </c>
      <c r="BF29" s="94" t="s">
        <v>270</v>
      </c>
      <c r="BG29" s="94" t="s">
        <v>270</v>
      </c>
      <c r="BH29" s="94" t="s">
        <v>270</v>
      </c>
      <c r="BI29" s="94" t="s">
        <v>270</v>
      </c>
      <c r="BJ29" s="94" t="s">
        <v>270</v>
      </c>
      <c r="BK29" s="94" t="s">
        <v>270</v>
      </c>
      <c r="BL29" s="94" t="s">
        <v>270</v>
      </c>
      <c r="BM29" s="94" t="s">
        <v>270</v>
      </c>
      <c r="BN29" s="94" t="s">
        <v>270</v>
      </c>
      <c r="BO29" s="94" t="s">
        <v>270</v>
      </c>
      <c r="BP29" s="94" t="s">
        <v>270</v>
      </c>
      <c r="BQ29" s="94" t="s">
        <v>270</v>
      </c>
      <c r="BR29" s="94" t="s">
        <v>270</v>
      </c>
      <c r="BS29" s="94" t="s">
        <v>270</v>
      </c>
      <c r="BT29" s="94" t="s">
        <v>270</v>
      </c>
      <c r="BU29" s="94" t="s">
        <v>270</v>
      </c>
      <c r="BV29" s="94" t="s">
        <v>270</v>
      </c>
      <c r="BW29" s="94" t="s">
        <v>270</v>
      </c>
      <c r="BX29" s="94" t="s">
        <v>270</v>
      </c>
      <c r="BY29" s="94" t="s">
        <v>270</v>
      </c>
      <c r="BZ29" s="94" t="s">
        <v>270</v>
      </c>
      <c r="CA29" s="94" t="s">
        <v>270</v>
      </c>
      <c r="CB29" s="94" t="s">
        <v>270</v>
      </c>
      <c r="CC29" s="94" t="s">
        <v>270</v>
      </c>
      <c r="CD29" s="94" t="s">
        <v>270</v>
      </c>
      <c r="CE29" s="94" t="s">
        <v>270</v>
      </c>
      <c r="CF29" s="94" t="s">
        <v>270</v>
      </c>
      <c r="CG29" s="94" t="s">
        <v>270</v>
      </c>
      <c r="CH29" s="94" t="s">
        <v>270</v>
      </c>
      <c r="CI29" s="94" t="s">
        <v>270</v>
      </c>
      <c r="CJ29" s="94" t="s">
        <v>270</v>
      </c>
      <c r="CK29" s="94" t="s">
        <v>270</v>
      </c>
      <c r="CL29" s="94" t="s">
        <v>270</v>
      </c>
      <c r="CM29" s="94" t="s">
        <v>270</v>
      </c>
      <c r="CN29" s="94" t="s">
        <v>270</v>
      </c>
      <c r="CO29" s="94" t="s">
        <v>270</v>
      </c>
      <c r="CP29" s="94" t="s">
        <v>270</v>
      </c>
      <c r="CQ29" s="94" t="s">
        <v>270</v>
      </c>
      <c r="CR29" s="94">
        <v>0.72235373156385896</v>
      </c>
      <c r="CS29" s="94">
        <v>7.2235373156385896E-2</v>
      </c>
      <c r="CT29" s="94" t="s">
        <v>270</v>
      </c>
      <c r="CU29" s="94" t="s">
        <v>270</v>
      </c>
      <c r="CV29" s="94" t="s">
        <v>270</v>
      </c>
      <c r="CW29" s="94" t="s">
        <v>270</v>
      </c>
      <c r="CX29" s="94">
        <v>28.2907531632376</v>
      </c>
      <c r="CY29" s="94">
        <v>2.8290753163237601</v>
      </c>
      <c r="CZ29" s="94">
        <v>4.2474214189931097</v>
      </c>
      <c r="DA29" s="94">
        <v>0.42474214189931098</v>
      </c>
      <c r="DB29" s="94">
        <v>2.2726767235877499</v>
      </c>
      <c r="DC29" s="94">
        <v>0.22726767235877499</v>
      </c>
      <c r="DD29" s="94" t="s">
        <v>270</v>
      </c>
      <c r="DE29" s="94" t="s">
        <v>270</v>
      </c>
      <c r="DF29" s="94" t="s">
        <v>270</v>
      </c>
      <c r="DG29" s="94" t="s">
        <v>270</v>
      </c>
      <c r="DH29" s="94" t="s">
        <v>270</v>
      </c>
      <c r="DI29" s="94" t="s">
        <v>270</v>
      </c>
      <c r="DJ29" s="94">
        <v>1.0006080610382972</v>
      </c>
      <c r="DK29" s="94">
        <v>0.97061380051945023</v>
      </c>
      <c r="DL29" s="94">
        <v>1.1268607715962765E-2</v>
      </c>
      <c r="DM29" s="94">
        <v>0.97027888493287784</v>
      </c>
      <c r="DN29" s="94">
        <v>4.5022834803975158E-8</v>
      </c>
      <c r="DO29" s="94">
        <v>1.9649672733685558E-7</v>
      </c>
      <c r="DP29" s="94">
        <v>3.8116270032168096E-4</v>
      </c>
      <c r="DQ29" s="94">
        <v>9.0365337328936345E-8</v>
      </c>
      <c r="DR29" s="94">
        <v>1.3182340122926063E-8</v>
      </c>
      <c r="DS29" s="94">
        <v>1.4293950670566087E-2</v>
      </c>
      <c r="DT29" s="94">
        <v>7.8099188445187101E-3</v>
      </c>
      <c r="DU29" s="94">
        <v>4.1173620104521103E-4</v>
      </c>
      <c r="DV29" s="94">
        <v>5.9787046838689791E-8</v>
      </c>
      <c r="DW29" s="94">
        <v>1.095449879646291E-8</v>
      </c>
      <c r="DX29" s="94">
        <v>2.8408293444387686E-7</v>
      </c>
      <c r="DY29" s="94">
        <v>1.3142611169742159E-8</v>
      </c>
      <c r="DZ29" s="94">
        <v>4.5597837989677954E-8</v>
      </c>
      <c r="EA29" s="94">
        <v>2.3425951970494608E-5</v>
      </c>
      <c r="EB29" s="94">
        <v>2.8592703689897064E-9</v>
      </c>
      <c r="EC29" s="94">
        <v>2.1820747552816168E-10</v>
      </c>
      <c r="ED29" s="94">
        <v>8.3153989427133031E-3</v>
      </c>
      <c r="EE29" s="94">
        <v>5.2535330832331837E-4</v>
      </c>
      <c r="EF29" s="94">
        <v>8.7784616591791769E-7</v>
      </c>
      <c r="EG29" s="94">
        <v>3.5364659826977993E-9</v>
      </c>
      <c r="EH29" s="94">
        <v>1.454716503521079E-9</v>
      </c>
      <c r="EI29" s="94">
        <v>8.0260220883922512E-10</v>
      </c>
      <c r="EJ29" s="94">
        <v>5.8165445973717317E-8</v>
      </c>
      <c r="EK29" s="94">
        <v>2.4209456532653354E-7</v>
      </c>
      <c r="EL29" s="94">
        <v>4.0458865229217557E-4</v>
      </c>
      <c r="EM29" s="94">
        <v>9.3224607697926051E-8</v>
      </c>
      <c r="EN29" s="94">
        <v>1.3400547598454225E-8</v>
      </c>
      <c r="EO29" s="94">
        <v>2.260934961327939E-2</v>
      </c>
      <c r="EP29" s="94">
        <v>8.3352721528420284E-3</v>
      </c>
      <c r="EQ29" s="94">
        <v>4.1261404721112894E-4</v>
      </c>
      <c r="ER29" s="94">
        <v>6.3323512821387591E-8</v>
      </c>
      <c r="ES29" s="94">
        <v>1.2409215299983989E-8</v>
      </c>
      <c r="ET29" s="94">
        <v>2.8488553665271608E-7</v>
      </c>
      <c r="EU29" s="94">
        <v>2.009058847784656E-6</v>
      </c>
      <c r="EV29" s="94">
        <v>8.7683573725683648E-6</v>
      </c>
      <c r="EW29" s="94">
        <v>1.7032332896681761E-2</v>
      </c>
      <c r="EX29" s="94">
        <v>4.0454982886450192E-6</v>
      </c>
      <c r="EY29" s="94">
        <v>5.924524665322072E-7</v>
      </c>
      <c r="EZ29" s="94">
        <v>0.63851167055367486</v>
      </c>
      <c r="FA29" s="94">
        <v>0.34865118907291531</v>
      </c>
      <c r="FB29" s="94">
        <v>1.8507100390239572E-2</v>
      </c>
      <c r="FC29" s="94">
        <v>2.6690194080693871E-6</v>
      </c>
      <c r="FD29" s="94">
        <v>4.890318461843094E-7</v>
      </c>
      <c r="FE29" s="94">
        <v>1.2682059168731921E-5</v>
      </c>
      <c r="FF29" s="94">
        <v>5.8646416576222858E-7</v>
      </c>
      <c r="FG29" s="94">
        <v>2.0347317959375456E-6</v>
      </c>
      <c r="FH29" s="94">
        <v>1.0467934350512492E-3</v>
      </c>
      <c r="FI29" s="94">
        <v>1.280045394221891E-7</v>
      </c>
      <c r="FJ29" s="94">
        <v>9.8068746434172871E-9</v>
      </c>
      <c r="FK29" s="94">
        <v>0.37127682758862446</v>
      </c>
      <c r="FL29" s="94">
        <v>2.3452875667058559E-2</v>
      </c>
      <c r="FM29" s="94">
        <v>3.9458243114371544E-5</v>
      </c>
      <c r="FN29" s="94">
        <v>1.5787527303806247E-7</v>
      </c>
      <c r="FO29" s="94">
        <v>6.4941601675231407E-8</v>
      </c>
      <c r="FP29" s="94">
        <v>3.5829849200128374E-8</v>
      </c>
      <c r="FQ29" s="94">
        <v>2.5955230135468846E-6</v>
      </c>
      <c r="FR29" s="94">
        <v>1.080308916850591E-5</v>
      </c>
      <c r="FS29" s="94">
        <v>1.807912633173301E-2</v>
      </c>
      <c r="FT29" s="94">
        <v>4.1735028280672083E-6</v>
      </c>
      <c r="FU29" s="94">
        <v>6.0225934117562449E-7</v>
      </c>
      <c r="FV29" s="94">
        <v>1.0097884981422993</v>
      </c>
      <c r="FW29" s="94">
        <v>0.37210406473997387</v>
      </c>
      <c r="FX29" s="94">
        <v>1.8546558633353943E-2</v>
      </c>
      <c r="FY29" s="94">
        <v>2.8268946811074496E-6</v>
      </c>
      <c r="FZ29" s="94">
        <v>5.5397344785954081E-7</v>
      </c>
      <c r="GA29" s="94">
        <v>1.2717889017932049E-5</v>
      </c>
      <c r="GB29" s="94">
        <v>8.0414995271315896E-6</v>
      </c>
      <c r="GC29" s="94">
        <v>1.7694282127121784E-4</v>
      </c>
      <c r="GD29" s="94">
        <v>0.68040763455664299</v>
      </c>
      <c r="GE29" s="94">
        <v>3.390046655918753E-4</v>
      </c>
      <c r="GF29" s="94">
        <v>7.7784861688413086E-5</v>
      </c>
      <c r="GG29" s="94">
        <v>17.886882831888315</v>
      </c>
      <c r="GH29" s="94">
        <v>11.156419668906402</v>
      </c>
      <c r="GI29" s="94">
        <v>0.81448823462424846</v>
      </c>
      <c r="GJ29" s="94">
        <v>4.2817637093176819E-5</v>
      </c>
      <c r="GK29" s="94">
        <v>9.858295180860256E-7</v>
      </c>
      <c r="GL29" s="94">
        <v>5.5817293378156423E-4</v>
      </c>
      <c r="GM29" s="94" t="s">
        <v>270</v>
      </c>
      <c r="GN29" s="94" t="s">
        <v>270</v>
      </c>
      <c r="GO29" s="94" t="s">
        <v>270</v>
      </c>
      <c r="GP29" s="94" t="s">
        <v>270</v>
      </c>
      <c r="GQ29" s="94" t="s">
        <v>270</v>
      </c>
      <c r="GR29" s="94" t="s">
        <v>270</v>
      </c>
      <c r="GS29" s="94" t="s">
        <v>270</v>
      </c>
      <c r="GT29" s="94" t="s">
        <v>270</v>
      </c>
      <c r="GU29" s="94" t="s">
        <v>270</v>
      </c>
      <c r="GV29" s="94" t="s">
        <v>270</v>
      </c>
      <c r="GW29" s="94" t="s">
        <v>270</v>
      </c>
      <c r="GX29" s="94" t="s">
        <v>270</v>
      </c>
      <c r="GY29" s="94" t="s">
        <v>270</v>
      </c>
      <c r="GZ29" s="94" t="s">
        <v>270</v>
      </c>
      <c r="HA29" s="94" t="s">
        <v>270</v>
      </c>
      <c r="HB29" s="94" t="s">
        <v>270</v>
      </c>
      <c r="HC29" s="94" t="s">
        <v>270</v>
      </c>
      <c r="HD29" s="94" t="s">
        <v>270</v>
      </c>
      <c r="HE29" s="94" t="s">
        <v>270</v>
      </c>
      <c r="HF29" s="94" t="s">
        <v>270</v>
      </c>
      <c r="HG29" s="94" t="s">
        <v>270</v>
      </c>
      <c r="HH29" s="94" t="s">
        <v>270</v>
      </c>
      <c r="HI29" s="94" t="s">
        <v>270</v>
      </c>
      <c r="HJ29" s="94" t="s">
        <v>270</v>
      </c>
      <c r="HK29" s="94" t="s">
        <v>270</v>
      </c>
      <c r="HL29" s="94" t="s">
        <v>270</v>
      </c>
      <c r="HM29" s="94" t="s">
        <v>270</v>
      </c>
      <c r="HN29" s="94" t="s">
        <v>270</v>
      </c>
      <c r="HO29" s="94" t="s">
        <v>270</v>
      </c>
      <c r="HP29" s="94" t="s">
        <v>270</v>
      </c>
      <c r="HQ29" s="94" t="s">
        <v>270</v>
      </c>
      <c r="HR29" s="94" t="s">
        <v>270</v>
      </c>
      <c r="HS29" s="94" t="s">
        <v>270</v>
      </c>
      <c r="HT29" s="94" t="s">
        <v>270</v>
      </c>
      <c r="HU29" s="94" t="s">
        <v>270</v>
      </c>
      <c r="HV29" s="94" t="s">
        <v>270</v>
      </c>
      <c r="HW29" s="94" t="s">
        <v>270</v>
      </c>
      <c r="HX29" s="94" t="s">
        <v>270</v>
      </c>
      <c r="HY29" s="94" t="s">
        <v>270</v>
      </c>
      <c r="HZ29" s="94" t="s">
        <v>270</v>
      </c>
      <c r="IA29" s="94" t="s">
        <v>270</v>
      </c>
      <c r="IB29" s="94" t="s">
        <v>270</v>
      </c>
      <c r="IC29" s="94" t="s">
        <v>270</v>
      </c>
      <c r="ID29" s="94" t="s">
        <v>270</v>
      </c>
      <c r="IE29" s="94" t="s">
        <v>270</v>
      </c>
      <c r="IF29" s="94" t="s">
        <v>270</v>
      </c>
      <c r="IG29" s="94" t="s">
        <v>270</v>
      </c>
      <c r="IH29" s="94" t="s">
        <v>270</v>
      </c>
      <c r="II29" s="94" t="s">
        <v>270</v>
      </c>
      <c r="IJ29" s="94" t="s">
        <v>270</v>
      </c>
      <c r="IK29" s="94" t="s">
        <v>270</v>
      </c>
      <c r="IL29" s="94" t="s">
        <v>270</v>
      </c>
      <c r="IM29" s="94" t="s">
        <v>270</v>
      </c>
      <c r="IN29" s="94" t="s">
        <v>270</v>
      </c>
      <c r="IO29" s="94" t="s">
        <v>270</v>
      </c>
      <c r="IP29" s="94" t="s">
        <v>270</v>
      </c>
      <c r="IQ29" s="94" t="s">
        <v>270</v>
      </c>
      <c r="IR29" s="94" t="s">
        <v>270</v>
      </c>
      <c r="IS29" s="94" t="s">
        <v>270</v>
      </c>
      <c r="IT29" s="94" t="s">
        <v>270</v>
      </c>
      <c r="IU29" s="94" t="s">
        <v>270</v>
      </c>
      <c r="IV29" s="94" t="s">
        <v>270</v>
      </c>
      <c r="IW29" s="94" t="s">
        <v>270</v>
      </c>
      <c r="IX29" s="94" t="s">
        <v>270</v>
      </c>
      <c r="IY29" s="94" t="s">
        <v>270</v>
      </c>
      <c r="IZ29" s="94" t="s">
        <v>270</v>
      </c>
      <c r="JA29" s="94" t="s">
        <v>270</v>
      </c>
      <c r="JB29" s="94" t="s">
        <v>270</v>
      </c>
      <c r="JC29" s="94" t="s">
        <v>270</v>
      </c>
      <c r="JD29" s="94" t="s">
        <v>270</v>
      </c>
      <c r="JE29" s="94" t="s">
        <v>270</v>
      </c>
      <c r="JF29" s="94" t="s">
        <v>270</v>
      </c>
      <c r="JG29" s="94" t="s">
        <v>270</v>
      </c>
      <c r="JH29" s="94" t="s">
        <v>270</v>
      </c>
      <c r="JI29" s="94" t="s">
        <v>270</v>
      </c>
      <c r="JJ29" s="94" t="s">
        <v>270</v>
      </c>
      <c r="JK29" s="94" t="s">
        <v>270</v>
      </c>
      <c r="JL29" s="94" t="s">
        <v>270</v>
      </c>
      <c r="JM29" s="94" t="s">
        <v>270</v>
      </c>
    </row>
    <row r="30" spans="1:273">
      <c r="A30" s="94" t="s">
        <v>626</v>
      </c>
      <c r="B30" s="94" t="s">
        <v>688</v>
      </c>
      <c r="C30" s="94" t="s">
        <v>703</v>
      </c>
      <c r="D30" s="95">
        <v>41534</v>
      </c>
      <c r="E30" s="94" t="s">
        <v>706</v>
      </c>
      <c r="F30" s="94">
        <v>1.0399921783199999</v>
      </c>
      <c r="G30" s="94">
        <v>247.56097560975601</v>
      </c>
      <c r="H30" s="94">
        <v>22.239999771099999</v>
      </c>
      <c r="I30" s="94">
        <v>1</v>
      </c>
      <c r="J30" s="94">
        <v>0</v>
      </c>
      <c r="K30" s="94">
        <v>0</v>
      </c>
      <c r="L30" s="94" t="s">
        <v>630</v>
      </c>
      <c r="M30" s="94" t="s">
        <v>631</v>
      </c>
      <c r="N30" s="94">
        <v>4.388457724112459E-26</v>
      </c>
      <c r="O30" s="96" t="s">
        <v>270</v>
      </c>
      <c r="P30" s="94">
        <v>9.7320369387144456</v>
      </c>
      <c r="Q30" s="94">
        <v>0.59400772883257547</v>
      </c>
      <c r="R30" s="94">
        <v>2.4835761222650179</v>
      </c>
      <c r="S30" s="94">
        <v>0.55641510393576143</v>
      </c>
      <c r="T30" s="94" t="s">
        <v>270</v>
      </c>
      <c r="U30" s="94" t="s">
        <v>270</v>
      </c>
      <c r="V30" s="94" t="s">
        <v>632</v>
      </c>
      <c r="W30" s="94" t="s">
        <v>270</v>
      </c>
      <c r="X30" s="94">
        <v>7.599999999999989</v>
      </c>
      <c r="Y30" s="94">
        <v>0.31622776601683678</v>
      </c>
      <c r="Z30" s="94" t="s">
        <v>632</v>
      </c>
      <c r="AA30" s="94" t="s">
        <v>270</v>
      </c>
      <c r="AB30" s="94" t="s">
        <v>632</v>
      </c>
      <c r="AC30" s="94" t="s">
        <v>270</v>
      </c>
      <c r="AD30" s="94" t="s">
        <v>644</v>
      </c>
      <c r="AE30" s="94" t="s">
        <v>82</v>
      </c>
      <c r="AF30" s="94">
        <v>1.7042685379716895E-14</v>
      </c>
      <c r="AG30" s="94">
        <v>5</v>
      </c>
      <c r="AH30" s="97">
        <v>42880.562835648147</v>
      </c>
      <c r="AI30" s="94" t="s">
        <v>645</v>
      </c>
      <c r="AJ30" s="98" t="s">
        <v>707</v>
      </c>
      <c r="AK30" s="96">
        <v>3.1816417879235814</v>
      </c>
      <c r="AL30" s="96">
        <v>1.796322171293796E-2</v>
      </c>
      <c r="AM30" s="96">
        <v>6.2158439124251563E-2</v>
      </c>
      <c r="AN30" s="96" t="s">
        <v>270</v>
      </c>
      <c r="AO30" s="96" t="s">
        <v>270</v>
      </c>
      <c r="AP30" s="96">
        <v>0.57048347609510497</v>
      </c>
      <c r="AQ30" s="96">
        <v>-0.70693130980196583</v>
      </c>
      <c r="AR30" s="96">
        <v>2.1516769623056033</v>
      </c>
      <c r="AS30" s="96" t="s">
        <v>270</v>
      </c>
      <c r="AT30" s="96" t="s">
        <v>270</v>
      </c>
      <c r="AU30" s="96" t="s">
        <v>270</v>
      </c>
      <c r="AV30" s="94">
        <v>1.8760000000000001E-7</v>
      </c>
      <c r="AW30" s="94">
        <v>1E-10</v>
      </c>
      <c r="AX30" s="94">
        <v>1.9850000000000001E-7</v>
      </c>
      <c r="AY30" s="94">
        <v>4.6000000000000001E-10</v>
      </c>
      <c r="AZ30" s="94" t="s">
        <v>270</v>
      </c>
      <c r="BA30" s="94" t="s">
        <v>270</v>
      </c>
      <c r="BB30" s="94" t="s">
        <v>270</v>
      </c>
      <c r="BC30" s="94" t="s">
        <v>270</v>
      </c>
      <c r="BD30" s="94" t="s">
        <v>270</v>
      </c>
      <c r="BE30" s="94" t="s">
        <v>270</v>
      </c>
      <c r="BF30" s="94" t="s">
        <v>270</v>
      </c>
      <c r="BG30" s="94" t="s">
        <v>270</v>
      </c>
      <c r="BH30" s="94" t="s">
        <v>270</v>
      </c>
      <c r="BI30" s="94" t="s">
        <v>270</v>
      </c>
      <c r="BJ30" s="94" t="s">
        <v>270</v>
      </c>
      <c r="BK30" s="94" t="s">
        <v>270</v>
      </c>
      <c r="BL30" s="94" t="s">
        <v>270</v>
      </c>
      <c r="BM30" s="94" t="s">
        <v>270</v>
      </c>
      <c r="BN30" s="94" t="s">
        <v>270</v>
      </c>
      <c r="BO30" s="94" t="s">
        <v>270</v>
      </c>
      <c r="BP30" s="94" t="s">
        <v>270</v>
      </c>
      <c r="BQ30" s="94" t="s">
        <v>270</v>
      </c>
      <c r="BR30" s="94" t="s">
        <v>270</v>
      </c>
      <c r="BS30" s="94" t="s">
        <v>270</v>
      </c>
      <c r="BT30" s="94" t="s">
        <v>270</v>
      </c>
      <c r="BU30" s="94" t="s">
        <v>270</v>
      </c>
      <c r="BV30" s="94" t="s">
        <v>270</v>
      </c>
      <c r="BW30" s="94" t="s">
        <v>270</v>
      </c>
      <c r="BX30" s="94" t="s">
        <v>270</v>
      </c>
      <c r="BY30" s="94" t="s">
        <v>270</v>
      </c>
      <c r="BZ30" s="94" t="s">
        <v>270</v>
      </c>
      <c r="CA30" s="94" t="s">
        <v>270</v>
      </c>
      <c r="CB30" s="94" t="s">
        <v>270</v>
      </c>
      <c r="CC30" s="94" t="s">
        <v>270</v>
      </c>
      <c r="CD30" s="94" t="s">
        <v>270</v>
      </c>
      <c r="CE30" s="94" t="s">
        <v>270</v>
      </c>
      <c r="CF30" s="94" t="s">
        <v>270</v>
      </c>
      <c r="CG30" s="94" t="s">
        <v>270</v>
      </c>
      <c r="CH30" s="94" t="s">
        <v>270</v>
      </c>
      <c r="CI30" s="94" t="s">
        <v>270</v>
      </c>
      <c r="CJ30" s="94" t="s">
        <v>270</v>
      </c>
      <c r="CK30" s="94" t="s">
        <v>270</v>
      </c>
      <c r="CL30" s="94" t="s">
        <v>270</v>
      </c>
      <c r="CM30" s="94" t="s">
        <v>270</v>
      </c>
      <c r="CN30" s="94" t="s">
        <v>270</v>
      </c>
      <c r="CO30" s="94" t="s">
        <v>270</v>
      </c>
      <c r="CP30" s="94" t="s">
        <v>270</v>
      </c>
      <c r="CQ30" s="94" t="s">
        <v>270</v>
      </c>
      <c r="CR30" s="94">
        <v>0.70941376332466299</v>
      </c>
      <c r="CS30" s="94">
        <v>7.0941376332466305E-2</v>
      </c>
      <c r="CT30" s="94" t="s">
        <v>270</v>
      </c>
      <c r="CU30" s="94" t="s">
        <v>270</v>
      </c>
      <c r="CV30" s="94" t="s">
        <v>270</v>
      </c>
      <c r="CW30" s="94" t="s">
        <v>270</v>
      </c>
      <c r="CX30" s="94">
        <v>27.609558943478799</v>
      </c>
      <c r="CY30" s="94">
        <v>2.7609558943478802</v>
      </c>
      <c r="CZ30" s="94">
        <v>3.2087218443571901</v>
      </c>
      <c r="DA30" s="94">
        <v>0.32087218443571902</v>
      </c>
      <c r="DB30" s="94">
        <v>2.49672009973728</v>
      </c>
      <c r="DC30" s="94">
        <v>0.24967200997372802</v>
      </c>
      <c r="DD30" s="94" t="s">
        <v>270</v>
      </c>
      <c r="DE30" s="94" t="s">
        <v>270</v>
      </c>
      <c r="DF30" s="94" t="s">
        <v>270</v>
      </c>
      <c r="DG30" s="94" t="s">
        <v>270</v>
      </c>
      <c r="DH30" s="94" t="s">
        <v>270</v>
      </c>
      <c r="DI30" s="94" t="s">
        <v>270</v>
      </c>
      <c r="DJ30" s="94">
        <v>1.0005433995013182</v>
      </c>
      <c r="DK30" s="94">
        <v>0.97061380051945023</v>
      </c>
      <c r="DL30" s="94">
        <v>1.1883300568903051E-2</v>
      </c>
      <c r="DM30" s="94">
        <v>0.97026039586471036</v>
      </c>
      <c r="DN30" s="94">
        <v>4.4862761928049772E-8</v>
      </c>
      <c r="DO30" s="94">
        <v>1.9499722167366898E-7</v>
      </c>
      <c r="DP30" s="94">
        <v>3.7417915416735448E-4</v>
      </c>
      <c r="DQ30" s="94">
        <v>8.8321905656017913E-8</v>
      </c>
      <c r="DR30" s="94">
        <v>1.2819950655882235E-8</v>
      </c>
      <c r="DS30" s="94">
        <v>1.4049853003180178E-2</v>
      </c>
      <c r="DT30" s="94">
        <v>7.665004106302659E-3</v>
      </c>
      <c r="DU30" s="94">
        <v>4.0048888209612396E-4</v>
      </c>
      <c r="DV30" s="94">
        <v>5.8575212604382567E-8</v>
      </c>
      <c r="DW30" s="94">
        <v>1.0862789349388764E-8</v>
      </c>
      <c r="DX30" s="94">
        <v>2.7589447790366918E-7</v>
      </c>
      <c r="DY30" s="94">
        <v>1.3013938880668692E-8</v>
      </c>
      <c r="DZ30" s="94">
        <v>4.5151413902778033E-8</v>
      </c>
      <c r="EA30" s="94">
        <v>2.3196600981955241E-5</v>
      </c>
      <c r="EB30" s="94">
        <v>2.8312767793821224E-9</v>
      </c>
      <c r="EC30" s="94">
        <v>2.1607112263705602E-10</v>
      </c>
      <c r="ED30" s="94">
        <v>8.0163591179016527E-3</v>
      </c>
      <c r="EE30" s="94">
        <v>5.2020985456963098E-4</v>
      </c>
      <c r="EF30" s="94">
        <v>8.6925164279277965E-7</v>
      </c>
      <c r="EG30" s="94">
        <v>3.5018423323936715E-9</v>
      </c>
      <c r="EH30" s="94">
        <v>1.4404741509137101E-9</v>
      </c>
      <c r="EI30" s="94">
        <v>7.9474435912481652E-10</v>
      </c>
      <c r="EJ30" s="94">
        <v>5.7876700808718464E-8</v>
      </c>
      <c r="EK30" s="94">
        <v>2.4014863557644702E-7</v>
      </c>
      <c r="EL30" s="94">
        <v>3.9737575514930972E-4</v>
      </c>
      <c r="EM30" s="94">
        <v>9.1153182435400036E-8</v>
      </c>
      <c r="EN30" s="94">
        <v>1.3036021778519291E-8</v>
      </c>
      <c r="EO30" s="94">
        <v>2.206621212108183E-2</v>
      </c>
      <c r="EP30" s="94">
        <v>8.1852139608722899E-3</v>
      </c>
      <c r="EQ30" s="94">
        <v>4.0135813373891674E-4</v>
      </c>
      <c r="ER30" s="94">
        <v>6.2077054936776238E-8</v>
      </c>
      <c r="ES30" s="94">
        <v>1.2303263500302474E-8</v>
      </c>
      <c r="ET30" s="94">
        <v>2.7668922226279399E-7</v>
      </c>
      <c r="EU30" s="94">
        <v>2.0017865301602346E-6</v>
      </c>
      <c r="EV30" s="94">
        <v>8.7008819841917165E-6</v>
      </c>
      <c r="EW30" s="94">
        <v>1.671919121295426E-2</v>
      </c>
      <c r="EX30" s="94">
        <v>3.9537619049443715E-6</v>
      </c>
      <c r="EY30" s="94">
        <v>5.7612840333990288E-7</v>
      </c>
      <c r="EZ30" s="94">
        <v>0.62756725505863176</v>
      </c>
      <c r="FA30" s="94">
        <v>0.3421597780722595</v>
      </c>
      <c r="FB30" s="94">
        <v>1.8000382173080209E-2</v>
      </c>
      <c r="FC30" s="94">
        <v>2.6147515992549919E-6</v>
      </c>
      <c r="FD30" s="94">
        <v>4.8490640598305283E-7</v>
      </c>
      <c r="FE30" s="94">
        <v>1.2315713341009121E-5</v>
      </c>
      <c r="FF30" s="94">
        <v>5.8068488064625988E-7</v>
      </c>
      <c r="FG30" s="94">
        <v>2.0146806216804329E-6</v>
      </c>
      <c r="FH30" s="94">
        <v>1.0364778555634162E-3</v>
      </c>
      <c r="FI30" s="94">
        <v>1.2674312436454873E-7</v>
      </c>
      <c r="FJ30" s="94">
        <v>9.7102332321092063E-9</v>
      </c>
      <c r="FK30" s="94">
        <v>0.35792069896898826</v>
      </c>
      <c r="FL30" s="94">
        <v>2.3221760343766606E-2</v>
      </c>
      <c r="FM30" s="94">
        <v>3.9069403607292635E-5</v>
      </c>
      <c r="FN30" s="94">
        <v>1.5631949816056006E-7</v>
      </c>
      <c r="FO30" s="94">
        <v>6.4301637541223212E-8</v>
      </c>
      <c r="FP30" s="94">
        <v>3.5476765539984578E-8</v>
      </c>
      <c r="FQ30" s="94">
        <v>2.5824714108064945E-6</v>
      </c>
      <c r="FR30" s="94">
        <v>1.0715562605872149E-5</v>
      </c>
      <c r="FS30" s="94">
        <v>1.7755669068517676E-2</v>
      </c>
      <c r="FT30" s="94">
        <v>4.0805050293089202E-6</v>
      </c>
      <c r="FU30" s="94">
        <v>5.8583863657201208E-7</v>
      </c>
      <c r="FV30" s="94">
        <v>0.98548795402762002</v>
      </c>
      <c r="FW30" s="94">
        <v>0.36538153841602611</v>
      </c>
      <c r="FX30" s="94">
        <v>1.8039451576687501E-2</v>
      </c>
      <c r="FY30" s="94">
        <v>2.7710710974155519E-6</v>
      </c>
      <c r="FZ30" s="94">
        <v>5.4920804352427605E-7</v>
      </c>
      <c r="GA30" s="94">
        <v>1.2351190106549105E-5</v>
      </c>
      <c r="GB30" s="94">
        <v>8.0123912017072643E-6</v>
      </c>
      <c r="GC30" s="94">
        <v>1.7558118817639359E-4</v>
      </c>
      <c r="GD30" s="94">
        <v>0.66789825057509677</v>
      </c>
      <c r="GE30" s="94">
        <v>3.3131734011052847E-4</v>
      </c>
      <c r="GF30" s="94">
        <v>7.5641626459705877E-5</v>
      </c>
      <c r="GG30" s="94">
        <v>17.580292542859475</v>
      </c>
      <c r="GH30" s="94">
        <v>10.948702306578618</v>
      </c>
      <c r="GI30" s="94">
        <v>0.79218781924617354</v>
      </c>
      <c r="GJ30" s="94">
        <v>4.1947047940984234E-5</v>
      </c>
      <c r="GK30" s="94">
        <v>9.775131256931165E-7</v>
      </c>
      <c r="GL30" s="94">
        <v>5.4204902813516625E-4</v>
      </c>
      <c r="GM30" s="94" t="s">
        <v>270</v>
      </c>
      <c r="GN30" s="94" t="s">
        <v>270</v>
      </c>
      <c r="GO30" s="94" t="s">
        <v>270</v>
      </c>
      <c r="GP30" s="94" t="s">
        <v>270</v>
      </c>
      <c r="GQ30" s="94" t="s">
        <v>270</v>
      </c>
      <c r="GR30" s="94" t="s">
        <v>270</v>
      </c>
      <c r="GS30" s="94" t="s">
        <v>270</v>
      </c>
      <c r="GT30" s="94" t="s">
        <v>270</v>
      </c>
      <c r="GU30" s="94" t="s">
        <v>270</v>
      </c>
      <c r="GV30" s="94" t="s">
        <v>270</v>
      </c>
      <c r="GW30" s="94" t="s">
        <v>270</v>
      </c>
      <c r="GX30" s="94" t="s">
        <v>270</v>
      </c>
      <c r="GY30" s="94" t="s">
        <v>270</v>
      </c>
      <c r="GZ30" s="94" t="s">
        <v>270</v>
      </c>
      <c r="HA30" s="94" t="s">
        <v>270</v>
      </c>
      <c r="HB30" s="94" t="s">
        <v>270</v>
      </c>
      <c r="HC30" s="94" t="s">
        <v>270</v>
      </c>
      <c r="HD30" s="94" t="s">
        <v>270</v>
      </c>
      <c r="HE30" s="94" t="s">
        <v>270</v>
      </c>
      <c r="HF30" s="94" t="s">
        <v>270</v>
      </c>
      <c r="HG30" s="94" t="s">
        <v>270</v>
      </c>
      <c r="HH30" s="94" t="s">
        <v>270</v>
      </c>
      <c r="HI30" s="94" t="s">
        <v>270</v>
      </c>
      <c r="HJ30" s="94" t="s">
        <v>270</v>
      </c>
      <c r="HK30" s="94" t="s">
        <v>270</v>
      </c>
      <c r="HL30" s="94" t="s">
        <v>270</v>
      </c>
      <c r="HM30" s="94" t="s">
        <v>270</v>
      </c>
      <c r="HN30" s="94" t="s">
        <v>270</v>
      </c>
      <c r="HO30" s="94" t="s">
        <v>270</v>
      </c>
      <c r="HP30" s="94" t="s">
        <v>270</v>
      </c>
      <c r="HQ30" s="94" t="s">
        <v>270</v>
      </c>
      <c r="HR30" s="94" t="s">
        <v>270</v>
      </c>
      <c r="HS30" s="94" t="s">
        <v>270</v>
      </c>
      <c r="HT30" s="94" t="s">
        <v>270</v>
      </c>
      <c r="HU30" s="94" t="s">
        <v>270</v>
      </c>
      <c r="HV30" s="94" t="s">
        <v>270</v>
      </c>
      <c r="HW30" s="94" t="s">
        <v>270</v>
      </c>
      <c r="HX30" s="94" t="s">
        <v>270</v>
      </c>
      <c r="HY30" s="94" t="s">
        <v>270</v>
      </c>
      <c r="HZ30" s="94" t="s">
        <v>270</v>
      </c>
      <c r="IA30" s="94" t="s">
        <v>270</v>
      </c>
      <c r="IB30" s="94" t="s">
        <v>270</v>
      </c>
      <c r="IC30" s="94" t="s">
        <v>270</v>
      </c>
      <c r="ID30" s="94" t="s">
        <v>270</v>
      </c>
      <c r="IE30" s="94" t="s">
        <v>270</v>
      </c>
      <c r="IF30" s="94" t="s">
        <v>270</v>
      </c>
      <c r="IG30" s="94" t="s">
        <v>270</v>
      </c>
      <c r="IH30" s="94" t="s">
        <v>270</v>
      </c>
      <c r="II30" s="94" t="s">
        <v>270</v>
      </c>
      <c r="IJ30" s="94" t="s">
        <v>270</v>
      </c>
      <c r="IK30" s="94" t="s">
        <v>270</v>
      </c>
      <c r="IL30" s="94" t="s">
        <v>270</v>
      </c>
      <c r="IM30" s="94" t="s">
        <v>270</v>
      </c>
      <c r="IN30" s="94" t="s">
        <v>270</v>
      </c>
      <c r="IO30" s="94" t="s">
        <v>270</v>
      </c>
      <c r="IP30" s="94" t="s">
        <v>270</v>
      </c>
      <c r="IQ30" s="94" t="s">
        <v>270</v>
      </c>
      <c r="IR30" s="94" t="s">
        <v>270</v>
      </c>
      <c r="IS30" s="94" t="s">
        <v>270</v>
      </c>
      <c r="IT30" s="94" t="s">
        <v>270</v>
      </c>
      <c r="IU30" s="94" t="s">
        <v>270</v>
      </c>
      <c r="IV30" s="94" t="s">
        <v>270</v>
      </c>
      <c r="IW30" s="94" t="s">
        <v>270</v>
      </c>
      <c r="IX30" s="94" t="s">
        <v>270</v>
      </c>
      <c r="IY30" s="94" t="s">
        <v>270</v>
      </c>
      <c r="IZ30" s="94" t="s">
        <v>270</v>
      </c>
      <c r="JA30" s="94" t="s">
        <v>270</v>
      </c>
      <c r="JB30" s="94" t="s">
        <v>270</v>
      </c>
      <c r="JC30" s="94" t="s">
        <v>270</v>
      </c>
      <c r="JD30" s="94" t="s">
        <v>270</v>
      </c>
      <c r="JE30" s="94" t="s">
        <v>270</v>
      </c>
      <c r="JF30" s="94" t="s">
        <v>270</v>
      </c>
      <c r="JG30" s="94" t="s">
        <v>270</v>
      </c>
      <c r="JH30" s="94" t="s">
        <v>270</v>
      </c>
      <c r="JI30" s="94" t="s">
        <v>270</v>
      </c>
      <c r="JJ30" s="94" t="s">
        <v>270</v>
      </c>
      <c r="JK30" s="94" t="s">
        <v>270</v>
      </c>
      <c r="JL30" s="94" t="s">
        <v>270</v>
      </c>
      <c r="JM30" s="94" t="s">
        <v>270</v>
      </c>
    </row>
    <row r="31" spans="1:273">
      <c r="A31" s="94" t="s">
        <v>626</v>
      </c>
      <c r="B31" s="94" t="s">
        <v>688</v>
      </c>
      <c r="C31" s="94" t="s">
        <v>708</v>
      </c>
      <c r="D31" s="95">
        <v>41533</v>
      </c>
      <c r="E31" s="94" t="s">
        <v>709</v>
      </c>
      <c r="F31" s="94">
        <v>0.81669164327999999</v>
      </c>
      <c r="G31" s="94">
        <v>98.780487804878007</v>
      </c>
      <c r="H31" s="94">
        <v>22.399999618500001</v>
      </c>
      <c r="I31" s="94">
        <v>1</v>
      </c>
      <c r="J31" s="94">
        <v>0</v>
      </c>
      <c r="K31" s="94">
        <v>0</v>
      </c>
      <c r="L31" s="94" t="s">
        <v>630</v>
      </c>
      <c r="M31" s="94" t="s">
        <v>631</v>
      </c>
      <c r="N31" s="94">
        <v>1.8985174642510292E-24</v>
      </c>
      <c r="O31" s="96" t="s">
        <v>270</v>
      </c>
      <c r="P31" s="94">
        <v>16.155071811296885</v>
      </c>
      <c r="Q31" s="94">
        <v>5.5539511647244382</v>
      </c>
      <c r="R31" s="94">
        <v>1.2032043939218739</v>
      </c>
      <c r="S31" s="94">
        <v>0.47947253382144828</v>
      </c>
      <c r="T31" s="94" t="s">
        <v>270</v>
      </c>
      <c r="U31" s="94" t="s">
        <v>270</v>
      </c>
      <c r="V31" s="94" t="s">
        <v>632</v>
      </c>
      <c r="W31" s="94" t="s">
        <v>270</v>
      </c>
      <c r="X31" s="94">
        <v>2.0434959558673516</v>
      </c>
      <c r="Y31" s="94">
        <v>2.2547077386292895</v>
      </c>
      <c r="Z31" s="94" t="s">
        <v>632</v>
      </c>
      <c r="AA31" s="94" t="s">
        <v>270</v>
      </c>
      <c r="AB31" s="94" t="s">
        <v>632</v>
      </c>
      <c r="AC31" s="94" t="s">
        <v>270</v>
      </c>
      <c r="AD31" s="94" t="s">
        <v>633</v>
      </c>
      <c r="AE31" s="94" t="s">
        <v>73</v>
      </c>
      <c r="AF31" s="94">
        <v>2.7238412630051865E-11</v>
      </c>
      <c r="AG31" s="94">
        <v>4</v>
      </c>
      <c r="AH31" s="97">
        <v>42880.574386574073</v>
      </c>
      <c r="AJ31" s="98" t="s">
        <v>710</v>
      </c>
      <c r="AK31" s="96">
        <v>17.333511628718309</v>
      </c>
      <c r="AL31" s="96">
        <v>0.11652240870964903</v>
      </c>
      <c r="AM31" s="96">
        <v>3.3925346769104081E-2</v>
      </c>
      <c r="AN31" s="96" t="s">
        <v>270</v>
      </c>
      <c r="AO31" s="96" t="s">
        <v>270</v>
      </c>
      <c r="AP31" s="96">
        <v>0.20477150770225316</v>
      </c>
      <c r="AQ31" s="96">
        <v>-0.75040038230399808</v>
      </c>
      <c r="AR31" s="96">
        <v>17.176358841328152</v>
      </c>
      <c r="AS31" s="96" t="s">
        <v>270</v>
      </c>
      <c r="AT31" s="96" t="s">
        <v>270</v>
      </c>
      <c r="AU31" s="96" t="s">
        <v>270</v>
      </c>
      <c r="AV31" s="94">
        <v>8.1760000000000002E-7</v>
      </c>
      <c r="AW31" s="94">
        <v>1.3999999999999999E-9</v>
      </c>
      <c r="AX31" s="94">
        <v>2.096E-7</v>
      </c>
      <c r="AY31" s="94">
        <v>5.0000000000000003E-10</v>
      </c>
      <c r="AZ31" s="94" t="s">
        <v>270</v>
      </c>
      <c r="BA31" s="94" t="s">
        <v>270</v>
      </c>
      <c r="BB31" s="94" t="s">
        <v>270</v>
      </c>
      <c r="BC31" s="94" t="s">
        <v>270</v>
      </c>
      <c r="BD31" s="94" t="s">
        <v>270</v>
      </c>
      <c r="BE31" s="94" t="s">
        <v>270</v>
      </c>
      <c r="BF31" s="94" t="s">
        <v>270</v>
      </c>
      <c r="BG31" s="94" t="s">
        <v>270</v>
      </c>
      <c r="BH31" s="94" t="s">
        <v>270</v>
      </c>
      <c r="BI31" s="94" t="s">
        <v>270</v>
      </c>
      <c r="BJ31" s="94" t="s">
        <v>270</v>
      </c>
      <c r="BK31" s="94" t="s">
        <v>270</v>
      </c>
      <c r="BL31" s="94" t="s">
        <v>270</v>
      </c>
      <c r="BM31" s="94" t="s">
        <v>270</v>
      </c>
      <c r="BN31" s="94" t="s">
        <v>270</v>
      </c>
      <c r="BO31" s="94" t="s">
        <v>270</v>
      </c>
      <c r="BP31" s="94" t="s">
        <v>270</v>
      </c>
      <c r="BQ31" s="94" t="s">
        <v>270</v>
      </c>
      <c r="BR31" s="94" t="s">
        <v>270</v>
      </c>
      <c r="BS31" s="94" t="s">
        <v>270</v>
      </c>
      <c r="BT31" s="94" t="s">
        <v>270</v>
      </c>
      <c r="BU31" s="94" t="s">
        <v>270</v>
      </c>
      <c r="BV31" s="94" t="s">
        <v>270</v>
      </c>
      <c r="BW31" s="94" t="s">
        <v>270</v>
      </c>
      <c r="BX31" s="94" t="s">
        <v>270</v>
      </c>
      <c r="BY31" s="94" t="s">
        <v>270</v>
      </c>
      <c r="BZ31" s="94" t="s">
        <v>270</v>
      </c>
      <c r="CA31" s="94" t="s">
        <v>270</v>
      </c>
      <c r="CB31" s="94" t="s">
        <v>270</v>
      </c>
      <c r="CC31" s="94" t="s">
        <v>270</v>
      </c>
      <c r="CD31" s="94" t="s">
        <v>270</v>
      </c>
      <c r="CE31" s="94" t="s">
        <v>270</v>
      </c>
      <c r="CF31" s="94" t="s">
        <v>270</v>
      </c>
      <c r="CG31" s="94" t="s">
        <v>270</v>
      </c>
      <c r="CH31" s="94" t="s">
        <v>270</v>
      </c>
      <c r="CI31" s="94" t="s">
        <v>270</v>
      </c>
      <c r="CJ31" s="94" t="s">
        <v>270</v>
      </c>
      <c r="CK31" s="94" t="s">
        <v>270</v>
      </c>
      <c r="CL31" s="94" t="s">
        <v>270</v>
      </c>
      <c r="CM31" s="94" t="s">
        <v>270</v>
      </c>
      <c r="CN31" s="94" t="s">
        <v>270</v>
      </c>
      <c r="CO31" s="94" t="s">
        <v>270</v>
      </c>
      <c r="CP31" s="94" t="s">
        <v>270</v>
      </c>
      <c r="CQ31" s="94" t="s">
        <v>270</v>
      </c>
      <c r="CR31" s="94">
        <v>0.61073160184211905</v>
      </c>
      <c r="CS31" s="94">
        <v>6.1073160184211911E-2</v>
      </c>
      <c r="CT31" s="94" t="s">
        <v>270</v>
      </c>
      <c r="CU31" s="94" t="s">
        <v>270</v>
      </c>
      <c r="CV31" s="94" t="s">
        <v>270</v>
      </c>
      <c r="CW31" s="94" t="s">
        <v>270</v>
      </c>
      <c r="CX31" s="94">
        <v>18.932595906619401</v>
      </c>
      <c r="CY31" s="94">
        <v>1.8932595906619403</v>
      </c>
      <c r="CZ31" s="94">
        <v>2.4139409910459202</v>
      </c>
      <c r="DA31" s="94">
        <v>0.24139409910459203</v>
      </c>
      <c r="DB31" s="94">
        <v>11.8345720135916</v>
      </c>
      <c r="DC31" s="94">
        <v>1.18345720135916</v>
      </c>
      <c r="DD31" s="94" t="s">
        <v>270</v>
      </c>
      <c r="DE31" s="94" t="s">
        <v>270</v>
      </c>
      <c r="DF31" s="94" t="s">
        <v>270</v>
      </c>
      <c r="DG31" s="94" t="s">
        <v>270</v>
      </c>
      <c r="DH31" s="94" t="s">
        <v>270</v>
      </c>
      <c r="DI31" s="94" t="s">
        <v>270</v>
      </c>
      <c r="DJ31" s="94">
        <v>0.99954979623171791</v>
      </c>
      <c r="DK31" s="94">
        <v>0.98816927633119733</v>
      </c>
      <c r="DL31" s="94">
        <v>1.8097396768647335E-2</v>
      </c>
      <c r="DM31" s="94">
        <v>0.9879512248670399</v>
      </c>
      <c r="DN31" s="94">
        <v>4.459592993190024E-8</v>
      </c>
      <c r="DO31" s="94">
        <v>1.8772574411850102E-7</v>
      </c>
      <c r="DP31" s="94">
        <v>3.3125465498448658E-4</v>
      </c>
      <c r="DQ31" s="94">
        <v>7.5493172398034071E-8</v>
      </c>
      <c r="DR31" s="94">
        <v>1.0542866187635917E-8</v>
      </c>
      <c r="DS31" s="94">
        <v>1.2571371385073181E-2</v>
      </c>
      <c r="DT31" s="94">
        <v>6.7774133593171849E-3</v>
      </c>
      <c r="DU31" s="94">
        <v>3.2948789885674712E-4</v>
      </c>
      <c r="DV31" s="94">
        <v>5.1162698651755625E-8</v>
      </c>
      <c r="DW31" s="94">
        <v>1.0412720633754222E-8</v>
      </c>
      <c r="DX31" s="94">
        <v>2.2433798882260829E-7</v>
      </c>
      <c r="DY31" s="94">
        <v>6.304791024150622E-9</v>
      </c>
      <c r="DZ31" s="94">
        <v>2.1874255881499671E-8</v>
      </c>
      <c r="EA31" s="94">
        <v>1.1237929039230299E-5</v>
      </c>
      <c r="EB31" s="94">
        <v>1.3716530090709346E-9</v>
      </c>
      <c r="EC31" s="94">
        <v>1.046787822712035E-10</v>
      </c>
      <c r="ED31" s="94">
        <v>2.573522702447496E-3</v>
      </c>
      <c r="EE31" s="94">
        <v>2.5202319235087534E-4</v>
      </c>
      <c r="EF31" s="94">
        <v>4.2112153787266307E-7</v>
      </c>
      <c r="EG31" s="94">
        <v>1.6965181954298409E-9</v>
      </c>
      <c r="EH31" s="94">
        <v>6.9785854847468666E-10</v>
      </c>
      <c r="EI31" s="94">
        <v>3.8502540605499315E-10</v>
      </c>
      <c r="EJ31" s="94">
        <v>5.0900720956050862E-8</v>
      </c>
      <c r="EK31" s="94">
        <v>2.0960000000000069E-7</v>
      </c>
      <c r="EL31" s="94">
        <v>3.4249258402371688E-4</v>
      </c>
      <c r="EM31" s="94">
        <v>7.6864825407105006E-8</v>
      </c>
      <c r="EN31" s="94">
        <v>1.0647544969907121E-8</v>
      </c>
      <c r="EO31" s="94">
        <v>1.5144894087520677E-2</v>
      </c>
      <c r="EP31" s="94">
        <v>7.0294365516680602E-3</v>
      </c>
      <c r="EQ31" s="94">
        <v>3.2990902039461978E-4</v>
      </c>
      <c r="ER31" s="94">
        <v>5.2859216847185466E-8</v>
      </c>
      <c r="ES31" s="94">
        <v>1.1110579182228909E-8</v>
      </c>
      <c r="ET31" s="94">
        <v>2.2472301422866329E-7</v>
      </c>
      <c r="EU31" s="94">
        <v>1.9879043485638243E-6</v>
      </c>
      <c r="EV31" s="94">
        <v>8.3681063818699627E-6</v>
      </c>
      <c r="EW31" s="94">
        <v>1.4786526617114911E-2</v>
      </c>
      <c r="EX31" s="94">
        <v>3.3761230042065936E-6</v>
      </c>
      <c r="EY31" s="94">
        <v>4.7332574931760888E-7</v>
      </c>
      <c r="EZ31" s="94">
        <v>0.56097002390195827</v>
      </c>
      <c r="FA31" s="94">
        <v>0.30223798261281409</v>
      </c>
      <c r="FB31" s="94">
        <v>1.4794463957732288E-2</v>
      </c>
      <c r="FC31" s="94">
        <v>2.2815947627387844E-6</v>
      </c>
      <c r="FD31" s="94">
        <v>4.6435409956664751E-7</v>
      </c>
      <c r="FE31" s="94">
        <v>1.0004327251479946E-5</v>
      </c>
      <c r="FF31" s="94">
        <v>2.81041824059596E-7</v>
      </c>
      <c r="FG31" s="94">
        <v>9.7507191195410517E-7</v>
      </c>
      <c r="FH31" s="94">
        <v>5.0163804299628578E-4</v>
      </c>
      <c r="FI31" s="94">
        <v>6.1341564152285672E-8</v>
      </c>
      <c r="FJ31" s="94">
        <v>4.6995913800250717E-9</v>
      </c>
      <c r="FK31" s="94">
        <v>0.11487067757017555</v>
      </c>
      <c r="FL31" s="94">
        <v>1.1238945773176801E-2</v>
      </c>
      <c r="FM31" s="94">
        <v>1.890894152865516E-5</v>
      </c>
      <c r="FN31" s="94">
        <v>7.5656037143985914E-8</v>
      </c>
      <c r="FO31" s="94">
        <v>3.1120923080504807E-8</v>
      </c>
      <c r="FP31" s="94">
        <v>1.7170164458209461E-8</v>
      </c>
      <c r="FQ31" s="94">
        <v>2.2689461726234203E-6</v>
      </c>
      <c r="FR31" s="94">
        <v>9.3431782938240679E-6</v>
      </c>
      <c r="FS31" s="94">
        <v>1.5288164660111197E-2</v>
      </c>
      <c r="FT31" s="94">
        <v>3.4374645683588793E-6</v>
      </c>
      <c r="FU31" s="94">
        <v>4.7802534069763395E-7</v>
      </c>
      <c r="FV31" s="94">
        <v>0.67584070147213382</v>
      </c>
      <c r="FW31" s="94">
        <v>0.31347692838599089</v>
      </c>
      <c r="FX31" s="94">
        <v>1.4813372899260943E-2</v>
      </c>
      <c r="FY31" s="94">
        <v>2.3572507998827703E-6</v>
      </c>
      <c r="FZ31" s="94">
        <v>4.9547502264715232E-7</v>
      </c>
      <c r="GA31" s="94">
        <v>1.0021497415938155E-5</v>
      </c>
      <c r="GB31" s="94">
        <v>7.9568261012294031E-6</v>
      </c>
      <c r="GC31" s="94">
        <v>1.6886587635422129E-4</v>
      </c>
      <c r="GD31" s="94">
        <v>0.5906921653005065</v>
      </c>
      <c r="GE31" s="94">
        <v>2.8291235550650414E-4</v>
      </c>
      <c r="GF31" s="94">
        <v>6.2144357605156824E-5</v>
      </c>
      <c r="GG31" s="94">
        <v>15.714677667575119</v>
      </c>
      <c r="GH31" s="94">
        <v>9.6712527580309153</v>
      </c>
      <c r="GI31" s="94">
        <v>0.65109696154781915</v>
      </c>
      <c r="GJ31" s="94">
        <v>3.6602392717446439E-5</v>
      </c>
      <c r="GK31" s="94">
        <v>9.3608214223441345E-7</v>
      </c>
      <c r="GL31" s="94">
        <v>4.4031845445393654E-4</v>
      </c>
      <c r="GM31" s="94" t="s">
        <v>270</v>
      </c>
      <c r="GN31" s="94" t="s">
        <v>270</v>
      </c>
      <c r="GO31" s="94" t="s">
        <v>270</v>
      </c>
      <c r="GP31" s="94" t="s">
        <v>270</v>
      </c>
      <c r="GQ31" s="94" t="s">
        <v>270</v>
      </c>
      <c r="GR31" s="94" t="s">
        <v>270</v>
      </c>
      <c r="GS31" s="94" t="s">
        <v>270</v>
      </c>
      <c r="GT31" s="94" t="s">
        <v>270</v>
      </c>
      <c r="GU31" s="94" t="s">
        <v>270</v>
      </c>
      <c r="GV31" s="94" t="s">
        <v>270</v>
      </c>
      <c r="GW31" s="94" t="s">
        <v>270</v>
      </c>
      <c r="GX31" s="94" t="s">
        <v>270</v>
      </c>
      <c r="GY31" s="94" t="s">
        <v>270</v>
      </c>
      <c r="GZ31" s="94" t="s">
        <v>270</v>
      </c>
      <c r="HA31" s="94" t="s">
        <v>270</v>
      </c>
      <c r="HB31" s="94" t="s">
        <v>270</v>
      </c>
      <c r="HC31" s="94" t="s">
        <v>270</v>
      </c>
      <c r="HD31" s="94" t="s">
        <v>270</v>
      </c>
      <c r="HE31" s="94" t="s">
        <v>270</v>
      </c>
      <c r="HF31" s="94" t="s">
        <v>270</v>
      </c>
      <c r="HG31" s="94" t="s">
        <v>270</v>
      </c>
      <c r="HH31" s="94" t="s">
        <v>270</v>
      </c>
      <c r="HI31" s="94" t="s">
        <v>270</v>
      </c>
      <c r="HJ31" s="94" t="s">
        <v>270</v>
      </c>
      <c r="HK31" s="94" t="s">
        <v>270</v>
      </c>
      <c r="HL31" s="94" t="s">
        <v>270</v>
      </c>
      <c r="HM31" s="94" t="s">
        <v>270</v>
      </c>
      <c r="HN31" s="94" t="s">
        <v>270</v>
      </c>
      <c r="HO31" s="94" t="s">
        <v>270</v>
      </c>
      <c r="HP31" s="94" t="s">
        <v>270</v>
      </c>
      <c r="HQ31" s="94" t="s">
        <v>270</v>
      </c>
      <c r="HR31" s="94" t="s">
        <v>270</v>
      </c>
      <c r="HS31" s="94" t="s">
        <v>270</v>
      </c>
      <c r="HT31" s="94" t="s">
        <v>270</v>
      </c>
      <c r="HU31" s="94" t="s">
        <v>270</v>
      </c>
      <c r="HV31" s="94" t="s">
        <v>270</v>
      </c>
      <c r="HW31" s="94" t="s">
        <v>270</v>
      </c>
      <c r="HX31" s="94" t="s">
        <v>270</v>
      </c>
      <c r="HY31" s="94" t="s">
        <v>270</v>
      </c>
      <c r="HZ31" s="94" t="s">
        <v>270</v>
      </c>
      <c r="IA31" s="94" t="s">
        <v>270</v>
      </c>
      <c r="IB31" s="94" t="s">
        <v>270</v>
      </c>
      <c r="IC31" s="94" t="s">
        <v>270</v>
      </c>
      <c r="ID31" s="94" t="s">
        <v>270</v>
      </c>
      <c r="IE31" s="94" t="s">
        <v>270</v>
      </c>
      <c r="IF31" s="94" t="s">
        <v>270</v>
      </c>
      <c r="IG31" s="94" t="s">
        <v>270</v>
      </c>
      <c r="IH31" s="94" t="s">
        <v>270</v>
      </c>
      <c r="II31" s="94" t="s">
        <v>270</v>
      </c>
      <c r="IJ31" s="94" t="s">
        <v>270</v>
      </c>
      <c r="IK31" s="94" t="s">
        <v>270</v>
      </c>
      <c r="IL31" s="94" t="s">
        <v>270</v>
      </c>
      <c r="IM31" s="94" t="s">
        <v>270</v>
      </c>
      <c r="IN31" s="94" t="s">
        <v>270</v>
      </c>
      <c r="IO31" s="94" t="s">
        <v>270</v>
      </c>
      <c r="IP31" s="94" t="s">
        <v>270</v>
      </c>
      <c r="IQ31" s="94" t="s">
        <v>270</v>
      </c>
      <c r="IR31" s="94" t="s">
        <v>270</v>
      </c>
      <c r="IS31" s="94" t="s">
        <v>270</v>
      </c>
      <c r="IT31" s="94" t="s">
        <v>270</v>
      </c>
      <c r="IU31" s="94" t="s">
        <v>270</v>
      </c>
      <c r="IV31" s="94" t="s">
        <v>270</v>
      </c>
      <c r="IW31" s="94" t="s">
        <v>270</v>
      </c>
      <c r="IX31" s="94" t="s">
        <v>270</v>
      </c>
      <c r="IY31" s="94" t="s">
        <v>270</v>
      </c>
      <c r="IZ31" s="94" t="s">
        <v>270</v>
      </c>
      <c r="JA31" s="94" t="s">
        <v>270</v>
      </c>
      <c r="JB31" s="94" t="s">
        <v>270</v>
      </c>
      <c r="JC31" s="94" t="s">
        <v>270</v>
      </c>
      <c r="JD31" s="94" t="s">
        <v>270</v>
      </c>
      <c r="JE31" s="94" t="s">
        <v>270</v>
      </c>
      <c r="JF31" s="94" t="s">
        <v>270</v>
      </c>
      <c r="JG31" s="94" t="s">
        <v>270</v>
      </c>
      <c r="JH31" s="94" t="s">
        <v>270</v>
      </c>
      <c r="JI31" s="94" t="s">
        <v>270</v>
      </c>
      <c r="JJ31" s="94" t="s">
        <v>270</v>
      </c>
      <c r="JK31" s="94" t="s">
        <v>270</v>
      </c>
      <c r="JL31" s="94" t="s">
        <v>270</v>
      </c>
      <c r="JM31" s="94" t="s">
        <v>270</v>
      </c>
    </row>
    <row r="32" spans="1:273">
      <c r="A32" s="94" t="s">
        <v>626</v>
      </c>
      <c r="B32" s="94" t="s">
        <v>688</v>
      </c>
      <c r="C32" s="94" t="s">
        <v>708</v>
      </c>
      <c r="D32" s="95">
        <v>41533</v>
      </c>
      <c r="E32" s="94" t="s">
        <v>711</v>
      </c>
      <c r="F32" s="94">
        <v>0.81669164327999999</v>
      </c>
      <c r="G32" s="94">
        <v>98.780487804878007</v>
      </c>
      <c r="H32" s="94">
        <v>22.399999618500001</v>
      </c>
      <c r="I32" s="94">
        <v>1</v>
      </c>
      <c r="J32" s="94">
        <v>0</v>
      </c>
      <c r="K32" s="94">
        <v>0</v>
      </c>
      <c r="L32" s="94" t="s">
        <v>630</v>
      </c>
      <c r="M32" s="94" t="s">
        <v>631</v>
      </c>
      <c r="N32" s="94">
        <v>4.4875243143724859E-26</v>
      </c>
      <c r="O32" s="96" t="s">
        <v>270</v>
      </c>
      <c r="P32" s="94">
        <v>16.472851352880703</v>
      </c>
      <c r="Q32" s="94">
        <v>5.5888604385426897</v>
      </c>
      <c r="R32" s="94">
        <v>1.2304551139791939</v>
      </c>
      <c r="S32" s="94">
        <v>0.47805617807519091</v>
      </c>
      <c r="T32" s="94" t="s">
        <v>270</v>
      </c>
      <c r="U32" s="94" t="s">
        <v>270</v>
      </c>
      <c r="V32" s="94" t="s">
        <v>632</v>
      </c>
      <c r="W32" s="94" t="s">
        <v>270</v>
      </c>
      <c r="X32" s="94">
        <v>1.8800373649478246</v>
      </c>
      <c r="Y32" s="94">
        <v>2.2309397688609818</v>
      </c>
      <c r="Z32" s="94" t="s">
        <v>632</v>
      </c>
      <c r="AA32" s="94" t="s">
        <v>270</v>
      </c>
      <c r="AB32" s="94" t="s">
        <v>632</v>
      </c>
      <c r="AC32" s="94" t="s">
        <v>270</v>
      </c>
      <c r="AD32" s="94" t="s">
        <v>633</v>
      </c>
      <c r="AE32" s="94" t="s">
        <v>73</v>
      </c>
      <c r="AF32" s="94">
        <v>1.0775208742358039E-11</v>
      </c>
      <c r="AG32" s="94">
        <v>4</v>
      </c>
      <c r="AH32" s="97">
        <v>42880.574386574073</v>
      </c>
      <c r="AJ32" s="98" t="s">
        <v>712</v>
      </c>
      <c r="AK32" s="96">
        <v>17.353834353987921</v>
      </c>
      <c r="AL32" s="96">
        <v>0.11947676664737106</v>
      </c>
      <c r="AM32" s="96">
        <v>3.4923999652579196E-2</v>
      </c>
      <c r="AN32" s="96" t="s">
        <v>270</v>
      </c>
      <c r="AO32" s="96" t="s">
        <v>270</v>
      </c>
      <c r="AP32" s="96">
        <v>0.1972653387475265</v>
      </c>
      <c r="AQ32" s="96">
        <v>-0.87213953326462434</v>
      </c>
      <c r="AR32" s="96">
        <v>20.533574171410869</v>
      </c>
      <c r="AS32" s="96" t="s">
        <v>270</v>
      </c>
      <c r="AT32" s="96" t="s">
        <v>270</v>
      </c>
      <c r="AU32" s="96" t="s">
        <v>270</v>
      </c>
      <c r="AV32" s="94">
        <v>8.1760000000000002E-7</v>
      </c>
      <c r="AW32" s="94">
        <v>1.3999999999999999E-9</v>
      </c>
      <c r="AX32" s="94">
        <v>2.096E-7</v>
      </c>
      <c r="AY32" s="94">
        <v>5.0000000000000003E-10</v>
      </c>
      <c r="AZ32" s="94" t="s">
        <v>270</v>
      </c>
      <c r="BA32" s="94" t="s">
        <v>270</v>
      </c>
      <c r="BB32" s="94" t="s">
        <v>270</v>
      </c>
      <c r="BC32" s="94" t="s">
        <v>270</v>
      </c>
      <c r="BD32" s="94" t="s">
        <v>270</v>
      </c>
      <c r="BE32" s="94" t="s">
        <v>270</v>
      </c>
      <c r="BF32" s="94" t="s">
        <v>270</v>
      </c>
      <c r="BG32" s="94" t="s">
        <v>270</v>
      </c>
      <c r="BH32" s="94" t="s">
        <v>270</v>
      </c>
      <c r="BI32" s="94" t="s">
        <v>270</v>
      </c>
      <c r="BJ32" s="94" t="s">
        <v>270</v>
      </c>
      <c r="BK32" s="94" t="s">
        <v>270</v>
      </c>
      <c r="BL32" s="94" t="s">
        <v>270</v>
      </c>
      <c r="BM32" s="94" t="s">
        <v>270</v>
      </c>
      <c r="BN32" s="94" t="s">
        <v>270</v>
      </c>
      <c r="BO32" s="94" t="s">
        <v>270</v>
      </c>
      <c r="BP32" s="94" t="s">
        <v>270</v>
      </c>
      <c r="BQ32" s="94" t="s">
        <v>270</v>
      </c>
      <c r="BR32" s="94" t="s">
        <v>270</v>
      </c>
      <c r="BS32" s="94" t="s">
        <v>270</v>
      </c>
      <c r="BT32" s="94" t="s">
        <v>270</v>
      </c>
      <c r="BU32" s="94" t="s">
        <v>270</v>
      </c>
      <c r="BV32" s="94" t="s">
        <v>270</v>
      </c>
      <c r="BW32" s="94" t="s">
        <v>270</v>
      </c>
      <c r="BX32" s="94" t="s">
        <v>270</v>
      </c>
      <c r="BY32" s="94" t="s">
        <v>270</v>
      </c>
      <c r="BZ32" s="94" t="s">
        <v>270</v>
      </c>
      <c r="CA32" s="94" t="s">
        <v>270</v>
      </c>
      <c r="CB32" s="94" t="s">
        <v>270</v>
      </c>
      <c r="CC32" s="94" t="s">
        <v>270</v>
      </c>
      <c r="CD32" s="94" t="s">
        <v>270</v>
      </c>
      <c r="CE32" s="94" t="s">
        <v>270</v>
      </c>
      <c r="CF32" s="94" t="s">
        <v>270</v>
      </c>
      <c r="CG32" s="94" t="s">
        <v>270</v>
      </c>
      <c r="CH32" s="94" t="s">
        <v>270</v>
      </c>
      <c r="CI32" s="94" t="s">
        <v>270</v>
      </c>
      <c r="CJ32" s="94" t="s">
        <v>270</v>
      </c>
      <c r="CK32" s="94" t="s">
        <v>270</v>
      </c>
      <c r="CL32" s="94" t="s">
        <v>270</v>
      </c>
      <c r="CM32" s="94" t="s">
        <v>270</v>
      </c>
      <c r="CN32" s="94" t="s">
        <v>270</v>
      </c>
      <c r="CO32" s="94" t="s">
        <v>270</v>
      </c>
      <c r="CP32" s="94" t="s">
        <v>270</v>
      </c>
      <c r="CQ32" s="94" t="s">
        <v>270</v>
      </c>
      <c r="CR32" s="94">
        <v>0.60725793580764298</v>
      </c>
      <c r="CS32" s="94">
        <v>6.0725793580764298E-2</v>
      </c>
      <c r="CT32" s="94" t="s">
        <v>270</v>
      </c>
      <c r="CU32" s="94" t="s">
        <v>270</v>
      </c>
      <c r="CV32" s="94" t="s">
        <v>270</v>
      </c>
      <c r="CW32" s="94" t="s">
        <v>270</v>
      </c>
      <c r="CX32" s="94">
        <v>18.699523701362899</v>
      </c>
      <c r="CY32" s="94">
        <v>1.8699523701362901</v>
      </c>
      <c r="CZ32" s="94">
        <v>1.2283152610010799</v>
      </c>
      <c r="DA32" s="94">
        <v>0.122831526100108</v>
      </c>
      <c r="DB32" s="94">
        <v>13.8782576140388</v>
      </c>
      <c r="DC32" s="94">
        <v>1.38782576140388</v>
      </c>
      <c r="DD32" s="94" t="s">
        <v>270</v>
      </c>
      <c r="DE32" s="94" t="s">
        <v>270</v>
      </c>
      <c r="DF32" s="94" t="s">
        <v>270</v>
      </c>
      <c r="DG32" s="94" t="s">
        <v>270</v>
      </c>
      <c r="DH32" s="94" t="s">
        <v>270</v>
      </c>
      <c r="DI32" s="94" t="s">
        <v>270</v>
      </c>
      <c r="DJ32" s="94">
        <v>0.99949650179701388</v>
      </c>
      <c r="DK32" s="94">
        <v>0.98816927633119733</v>
      </c>
      <c r="DL32" s="94">
        <v>1.8467756305182055E-2</v>
      </c>
      <c r="DM32" s="94">
        <v>0.98794667852757656</v>
      </c>
      <c r="DN32" s="94">
        <v>4.4546550014076586E-8</v>
      </c>
      <c r="DO32" s="94">
        <v>1.8723032602785837E-7</v>
      </c>
      <c r="DP32" s="94">
        <v>3.2907029203103102E-4</v>
      </c>
      <c r="DQ32" s="94">
        <v>7.4867349213021759E-8</v>
      </c>
      <c r="DR32" s="94">
        <v>1.0436758101528049E-8</v>
      </c>
      <c r="DS32" s="94">
        <v>1.2495121131814078E-2</v>
      </c>
      <c r="DT32" s="94">
        <v>6.7325247628110801E-3</v>
      </c>
      <c r="DU32" s="94">
        <v>3.2616381701288917E-4</v>
      </c>
      <c r="DV32" s="94">
        <v>5.0796058799339691E-8</v>
      </c>
      <c r="DW32" s="94">
        <v>1.0383747536513444E-8</v>
      </c>
      <c r="DX32" s="94">
        <v>2.2195253622180057E-7</v>
      </c>
      <c r="DY32" s="94">
        <v>6.4475847972509737E-9</v>
      </c>
      <c r="DZ32" s="94">
        <v>2.2369673972141738E-8</v>
      </c>
      <c r="EA32" s="94">
        <v>1.1492450764565693E-5</v>
      </c>
      <c r="EB32" s="94">
        <v>1.4027188299362743E-9</v>
      </c>
      <c r="EC32" s="94">
        <v>1.0704959491618914E-10</v>
      </c>
      <c r="ED32" s="94">
        <v>2.4640970083656677E-3</v>
      </c>
      <c r="EE32" s="94">
        <v>2.5773112817408222E-4</v>
      </c>
      <c r="EF32" s="94">
        <v>4.3065928989269309E-7</v>
      </c>
      <c r="EG32" s="94">
        <v>1.7349417107106637E-9</v>
      </c>
      <c r="EH32" s="94">
        <v>7.1366396610793313E-10</v>
      </c>
      <c r="EI32" s="94">
        <v>3.9374563647333968E-10</v>
      </c>
      <c r="EJ32" s="94">
        <v>5.099413481132756E-8</v>
      </c>
      <c r="EK32" s="94">
        <v>2.096000000000001E-7</v>
      </c>
      <c r="EL32" s="94">
        <v>3.4056274279559672E-4</v>
      </c>
      <c r="EM32" s="94">
        <v>7.6270068042958033E-8</v>
      </c>
      <c r="EN32" s="94">
        <v>1.0543807696444238E-8</v>
      </c>
      <c r="EO32" s="94">
        <v>1.4959218140179746E-2</v>
      </c>
      <c r="EP32" s="94">
        <v>6.9902558909851623E-3</v>
      </c>
      <c r="EQ32" s="94">
        <v>3.2659447630278187E-4</v>
      </c>
      <c r="ER32" s="94">
        <v>5.2531000510050354E-8</v>
      </c>
      <c r="ES32" s="94">
        <v>1.1097411502621377E-8</v>
      </c>
      <c r="ET32" s="94">
        <v>2.2234628185827391E-7</v>
      </c>
      <c r="EU32" s="94">
        <v>1.9855973189868894E-6</v>
      </c>
      <c r="EV32" s="94">
        <v>8.3455775130760325E-6</v>
      </c>
      <c r="EW32" s="94">
        <v>1.4688237951050193E-2</v>
      </c>
      <c r="EX32" s="94">
        <v>3.3479571075284269E-6</v>
      </c>
      <c r="EY32" s="94">
        <v>4.6853700583673147E-7</v>
      </c>
      <c r="EZ32" s="94">
        <v>0.55753779405856863</v>
      </c>
      <c r="FA32" s="94">
        <v>0.30022017260156353</v>
      </c>
      <c r="FB32" s="94">
        <v>1.4644427209790402E-2</v>
      </c>
      <c r="FC32" s="94">
        <v>2.2651237206663445E-6</v>
      </c>
      <c r="FD32" s="94">
        <v>4.6303735782495529E-7</v>
      </c>
      <c r="FE32" s="94">
        <v>9.8974205192587075E-6</v>
      </c>
      <c r="FF32" s="94">
        <v>2.8739166295294852E-7</v>
      </c>
      <c r="FG32" s="94">
        <v>9.9710261706733723E-7</v>
      </c>
      <c r="FH32" s="94">
        <v>5.129720170994681E-4</v>
      </c>
      <c r="FI32" s="94">
        <v>6.2727511070103627E-8</v>
      </c>
      <c r="FJ32" s="94">
        <v>4.8057736118961451E-9</v>
      </c>
      <c r="FK32" s="94">
        <v>0.10998288180951221</v>
      </c>
      <c r="FL32" s="94">
        <v>1.1492877710992833E-2</v>
      </c>
      <c r="FM32" s="94">
        <v>1.933616880257609E-5</v>
      </c>
      <c r="FN32" s="94">
        <v>7.736540424185942E-8</v>
      </c>
      <c r="FO32" s="94">
        <v>3.182406699310527E-8</v>
      </c>
      <c r="FP32" s="94">
        <v>1.7558105927231312E-8</v>
      </c>
      <c r="FQ32" s="94">
        <v>2.2729889819398379E-6</v>
      </c>
      <c r="FR32" s="94">
        <v>9.3426801301433697E-6</v>
      </c>
      <c r="FS32" s="94">
        <v>1.5201209968149661E-2</v>
      </c>
      <c r="FT32" s="94">
        <v>3.4106846185985305E-6</v>
      </c>
      <c r="FU32" s="94">
        <v>4.7334277944862761E-7</v>
      </c>
      <c r="FV32" s="94">
        <v>0.66752067586808084</v>
      </c>
      <c r="FW32" s="94">
        <v>0.31171305031255636</v>
      </c>
      <c r="FX32" s="94">
        <v>1.4663763378592978E-2</v>
      </c>
      <c r="FY32" s="94">
        <v>2.3424891249082039E-6</v>
      </c>
      <c r="FZ32" s="94">
        <v>4.9486142481806056E-7</v>
      </c>
      <c r="GA32" s="94">
        <v>9.9149786251859388E-6</v>
      </c>
      <c r="GB32" s="94">
        <v>7.9475919380427668E-6</v>
      </c>
      <c r="GC32" s="94">
        <v>1.6841125054062041E-4</v>
      </c>
      <c r="GD32" s="94">
        <v>0.58676572966855312</v>
      </c>
      <c r="GE32" s="94">
        <v>2.8055210969666711E-4</v>
      </c>
      <c r="GF32" s="94">
        <v>6.1515629107321992E-5</v>
      </c>
      <c r="GG32" s="94">
        <v>15.618529240080306</v>
      </c>
      <c r="GH32" s="94">
        <v>9.6066852590429104</v>
      </c>
      <c r="GI32" s="94">
        <v>0.64449391928927069</v>
      </c>
      <c r="GJ32" s="94">
        <v>3.6338156683841001E-5</v>
      </c>
      <c r="GK32" s="94">
        <v>9.3342774889217091E-7</v>
      </c>
      <c r="GL32" s="94">
        <v>4.3561318983002963E-4</v>
      </c>
      <c r="GM32" s="94" t="s">
        <v>270</v>
      </c>
      <c r="GN32" s="94" t="s">
        <v>270</v>
      </c>
      <c r="GO32" s="94" t="s">
        <v>270</v>
      </c>
      <c r="GP32" s="94" t="s">
        <v>270</v>
      </c>
      <c r="GQ32" s="94" t="s">
        <v>270</v>
      </c>
      <c r="GR32" s="94" t="s">
        <v>270</v>
      </c>
      <c r="GS32" s="94" t="s">
        <v>270</v>
      </c>
      <c r="GT32" s="94" t="s">
        <v>270</v>
      </c>
      <c r="GU32" s="94" t="s">
        <v>270</v>
      </c>
      <c r="GV32" s="94" t="s">
        <v>270</v>
      </c>
      <c r="GW32" s="94" t="s">
        <v>270</v>
      </c>
      <c r="GX32" s="94" t="s">
        <v>270</v>
      </c>
      <c r="GY32" s="94" t="s">
        <v>270</v>
      </c>
      <c r="GZ32" s="94" t="s">
        <v>270</v>
      </c>
      <c r="HA32" s="94" t="s">
        <v>270</v>
      </c>
      <c r="HB32" s="94" t="s">
        <v>270</v>
      </c>
      <c r="HC32" s="94" t="s">
        <v>270</v>
      </c>
      <c r="HD32" s="94" t="s">
        <v>270</v>
      </c>
      <c r="HE32" s="94" t="s">
        <v>270</v>
      </c>
      <c r="HF32" s="94" t="s">
        <v>270</v>
      </c>
      <c r="HG32" s="94" t="s">
        <v>270</v>
      </c>
      <c r="HH32" s="94" t="s">
        <v>270</v>
      </c>
      <c r="HI32" s="94" t="s">
        <v>270</v>
      </c>
      <c r="HJ32" s="94" t="s">
        <v>270</v>
      </c>
      <c r="HK32" s="94" t="s">
        <v>270</v>
      </c>
      <c r="HL32" s="94" t="s">
        <v>270</v>
      </c>
      <c r="HM32" s="94" t="s">
        <v>270</v>
      </c>
      <c r="HN32" s="94" t="s">
        <v>270</v>
      </c>
      <c r="HO32" s="94" t="s">
        <v>270</v>
      </c>
      <c r="HP32" s="94" t="s">
        <v>270</v>
      </c>
      <c r="HQ32" s="94" t="s">
        <v>270</v>
      </c>
      <c r="HR32" s="94" t="s">
        <v>270</v>
      </c>
      <c r="HS32" s="94" t="s">
        <v>270</v>
      </c>
      <c r="HT32" s="94" t="s">
        <v>270</v>
      </c>
      <c r="HU32" s="94" t="s">
        <v>270</v>
      </c>
      <c r="HV32" s="94" t="s">
        <v>270</v>
      </c>
      <c r="HW32" s="94" t="s">
        <v>270</v>
      </c>
      <c r="HX32" s="94" t="s">
        <v>270</v>
      </c>
      <c r="HY32" s="94" t="s">
        <v>270</v>
      </c>
      <c r="HZ32" s="94" t="s">
        <v>270</v>
      </c>
      <c r="IA32" s="94" t="s">
        <v>270</v>
      </c>
      <c r="IB32" s="94" t="s">
        <v>270</v>
      </c>
      <c r="IC32" s="94" t="s">
        <v>270</v>
      </c>
      <c r="ID32" s="94" t="s">
        <v>270</v>
      </c>
      <c r="IE32" s="94" t="s">
        <v>270</v>
      </c>
      <c r="IF32" s="94" t="s">
        <v>270</v>
      </c>
      <c r="IG32" s="94" t="s">
        <v>270</v>
      </c>
      <c r="IH32" s="94" t="s">
        <v>270</v>
      </c>
      <c r="II32" s="94" t="s">
        <v>270</v>
      </c>
      <c r="IJ32" s="94" t="s">
        <v>270</v>
      </c>
      <c r="IK32" s="94" t="s">
        <v>270</v>
      </c>
      <c r="IL32" s="94" t="s">
        <v>270</v>
      </c>
      <c r="IM32" s="94" t="s">
        <v>270</v>
      </c>
      <c r="IN32" s="94" t="s">
        <v>270</v>
      </c>
      <c r="IO32" s="94" t="s">
        <v>270</v>
      </c>
      <c r="IP32" s="94" t="s">
        <v>270</v>
      </c>
      <c r="IQ32" s="94" t="s">
        <v>270</v>
      </c>
      <c r="IR32" s="94" t="s">
        <v>270</v>
      </c>
      <c r="IS32" s="94" t="s">
        <v>270</v>
      </c>
      <c r="IT32" s="94" t="s">
        <v>270</v>
      </c>
      <c r="IU32" s="94" t="s">
        <v>270</v>
      </c>
      <c r="IV32" s="94" t="s">
        <v>270</v>
      </c>
      <c r="IW32" s="94" t="s">
        <v>270</v>
      </c>
      <c r="IX32" s="94" t="s">
        <v>270</v>
      </c>
      <c r="IY32" s="94" t="s">
        <v>270</v>
      </c>
      <c r="IZ32" s="94" t="s">
        <v>270</v>
      </c>
      <c r="JA32" s="94" t="s">
        <v>270</v>
      </c>
      <c r="JB32" s="94" t="s">
        <v>270</v>
      </c>
      <c r="JC32" s="94" t="s">
        <v>270</v>
      </c>
      <c r="JD32" s="94" t="s">
        <v>270</v>
      </c>
      <c r="JE32" s="94" t="s">
        <v>270</v>
      </c>
      <c r="JF32" s="94" t="s">
        <v>270</v>
      </c>
      <c r="JG32" s="94" t="s">
        <v>270</v>
      </c>
      <c r="JH32" s="94" t="s">
        <v>270</v>
      </c>
      <c r="JI32" s="94" t="s">
        <v>270</v>
      </c>
      <c r="JJ32" s="94" t="s">
        <v>270</v>
      </c>
      <c r="JK32" s="94" t="s">
        <v>270</v>
      </c>
      <c r="JL32" s="94" t="s">
        <v>270</v>
      </c>
      <c r="JM32" s="94" t="s">
        <v>270</v>
      </c>
    </row>
    <row r="33" spans="1:273">
      <c r="A33" s="94" t="s">
        <v>626</v>
      </c>
      <c r="B33" s="94" t="s">
        <v>688</v>
      </c>
      <c r="C33" s="94" t="s">
        <v>713</v>
      </c>
      <c r="D33" s="95">
        <v>41514</v>
      </c>
      <c r="E33" s="94" t="s">
        <v>714</v>
      </c>
      <c r="F33" s="94">
        <v>2.1379409745000002</v>
      </c>
      <c r="G33" s="94">
        <v>1.82926829268292</v>
      </c>
      <c r="H33" s="94">
        <v>22.020000457799998</v>
      </c>
      <c r="I33" s="94">
        <v>1</v>
      </c>
      <c r="J33" s="94">
        <v>0</v>
      </c>
      <c r="K33" s="94">
        <v>0</v>
      </c>
      <c r="L33" s="94" t="s">
        <v>630</v>
      </c>
      <c r="M33" s="94" t="s">
        <v>631</v>
      </c>
      <c r="N33" s="94">
        <v>1.6464872378037753E-26</v>
      </c>
      <c r="O33" s="96" t="s">
        <v>270</v>
      </c>
      <c r="P33" s="94">
        <v>11.935231958399116</v>
      </c>
      <c r="Q33" s="94">
        <v>6.3335980493864046</v>
      </c>
      <c r="R33" s="94">
        <v>2.5175634911736062</v>
      </c>
      <c r="S33" s="94">
        <v>3.032222333543154</v>
      </c>
      <c r="T33" s="94" t="s">
        <v>270</v>
      </c>
      <c r="U33" s="94" t="s">
        <v>270</v>
      </c>
      <c r="V33" s="94" t="s">
        <v>632</v>
      </c>
      <c r="W33" s="94" t="s">
        <v>270</v>
      </c>
      <c r="X33" s="94">
        <v>2.4511340881556549</v>
      </c>
      <c r="Y33" s="94">
        <v>3.1170975192382593</v>
      </c>
      <c r="Z33" s="94" t="s">
        <v>632</v>
      </c>
      <c r="AA33" s="94" t="s">
        <v>270</v>
      </c>
      <c r="AB33" s="94" t="s">
        <v>632</v>
      </c>
      <c r="AC33" s="94" t="s">
        <v>270</v>
      </c>
      <c r="AD33" s="94" t="s">
        <v>633</v>
      </c>
      <c r="AE33" s="94" t="s">
        <v>82</v>
      </c>
      <c r="AF33" s="94">
        <v>1.0644019978810914E-20</v>
      </c>
      <c r="AG33" s="94">
        <v>5</v>
      </c>
      <c r="AH33" s="97">
        <v>42880.574386574073</v>
      </c>
      <c r="AJ33" s="98" t="s">
        <v>715</v>
      </c>
      <c r="AK33" s="96">
        <v>21.453465930901178</v>
      </c>
      <c r="AL33" s="96">
        <v>0.23407733552293952</v>
      </c>
      <c r="AM33" s="96">
        <v>6.4631359105627562E-2</v>
      </c>
      <c r="AN33" s="96" t="s">
        <v>270</v>
      </c>
      <c r="AO33" s="96" t="s">
        <v>270</v>
      </c>
      <c r="AP33" s="96">
        <v>0.28633401737839392</v>
      </c>
      <c r="AQ33" s="96">
        <v>-0.97591481617944997</v>
      </c>
      <c r="AR33" s="96">
        <v>25.61448797820734</v>
      </c>
      <c r="AS33" s="96">
        <v>175.56490497682717</v>
      </c>
      <c r="AT33" s="96" t="s">
        <v>270</v>
      </c>
      <c r="AU33" s="96" t="s">
        <v>270</v>
      </c>
      <c r="AV33" s="94">
        <v>1.0220999999999999E-6</v>
      </c>
      <c r="AW33" s="94">
        <v>3.2000000000000001E-9</v>
      </c>
      <c r="AX33" s="94">
        <v>2.4130000000000002E-7</v>
      </c>
      <c r="AY33" s="94">
        <v>4.8259999999999997E-8</v>
      </c>
      <c r="AZ33" s="94" t="s">
        <v>270</v>
      </c>
      <c r="BA33" s="94" t="s">
        <v>270</v>
      </c>
      <c r="BB33" s="94" t="s">
        <v>270</v>
      </c>
      <c r="BC33" s="94" t="s">
        <v>270</v>
      </c>
      <c r="BD33" s="94" t="s">
        <v>270</v>
      </c>
      <c r="BE33" s="94" t="s">
        <v>270</v>
      </c>
      <c r="BF33" s="94" t="s">
        <v>270</v>
      </c>
      <c r="BG33" s="94" t="s">
        <v>270</v>
      </c>
      <c r="BH33" s="94" t="s">
        <v>270</v>
      </c>
      <c r="BI33" s="94" t="s">
        <v>270</v>
      </c>
      <c r="BJ33" s="94" t="s">
        <v>270</v>
      </c>
      <c r="BK33" s="94" t="s">
        <v>270</v>
      </c>
      <c r="BL33" s="94" t="s">
        <v>270</v>
      </c>
      <c r="BM33" s="94" t="s">
        <v>270</v>
      </c>
      <c r="BN33" s="94" t="s">
        <v>270</v>
      </c>
      <c r="BO33" s="94" t="s">
        <v>270</v>
      </c>
      <c r="BP33" s="94" t="s">
        <v>270</v>
      </c>
      <c r="BQ33" s="94" t="s">
        <v>270</v>
      </c>
      <c r="BR33" s="94" t="s">
        <v>270</v>
      </c>
      <c r="BS33" s="94" t="s">
        <v>270</v>
      </c>
      <c r="BT33" s="94" t="s">
        <v>270</v>
      </c>
      <c r="BU33" s="94" t="s">
        <v>270</v>
      </c>
      <c r="BV33" s="94" t="s">
        <v>270</v>
      </c>
      <c r="BW33" s="94" t="s">
        <v>270</v>
      </c>
      <c r="BX33" s="94" t="s">
        <v>270</v>
      </c>
      <c r="BY33" s="94" t="s">
        <v>270</v>
      </c>
      <c r="BZ33" s="94" t="s">
        <v>270</v>
      </c>
      <c r="CA33" s="94" t="s">
        <v>270</v>
      </c>
      <c r="CB33" s="94" t="s">
        <v>270</v>
      </c>
      <c r="CC33" s="94" t="s">
        <v>270</v>
      </c>
      <c r="CD33" s="94" t="s">
        <v>270</v>
      </c>
      <c r="CE33" s="94" t="s">
        <v>270</v>
      </c>
      <c r="CF33" s="94" t="s">
        <v>270</v>
      </c>
      <c r="CG33" s="94" t="s">
        <v>270</v>
      </c>
      <c r="CH33" s="94" t="s">
        <v>270</v>
      </c>
      <c r="CI33" s="94" t="s">
        <v>270</v>
      </c>
      <c r="CJ33" s="94" t="s">
        <v>270</v>
      </c>
      <c r="CK33" s="94" t="s">
        <v>270</v>
      </c>
      <c r="CL33" s="94" t="s">
        <v>270</v>
      </c>
      <c r="CM33" s="94" t="s">
        <v>270</v>
      </c>
      <c r="CN33" s="94" t="s">
        <v>270</v>
      </c>
      <c r="CO33" s="94" t="s">
        <v>270</v>
      </c>
      <c r="CP33" s="94" t="s">
        <v>270</v>
      </c>
      <c r="CQ33" s="94" t="s">
        <v>270</v>
      </c>
      <c r="CR33" s="94">
        <v>0.69181074705136203</v>
      </c>
      <c r="CS33" s="94">
        <v>6.9181074705136208E-2</v>
      </c>
      <c r="CT33" s="94" t="s">
        <v>270</v>
      </c>
      <c r="CU33" s="94" t="s">
        <v>270</v>
      </c>
      <c r="CV33" s="94" t="s">
        <v>270</v>
      </c>
      <c r="CW33" s="94" t="s">
        <v>270</v>
      </c>
      <c r="CX33" s="94">
        <v>22.068881977966601</v>
      </c>
      <c r="CY33" s="94">
        <v>2.2068881977966601</v>
      </c>
      <c r="CZ33" s="94">
        <v>0.25642139360038102</v>
      </c>
      <c r="DA33" s="94">
        <v>2.5642139360038105E-2</v>
      </c>
      <c r="DB33" s="94">
        <v>20.0280667741022</v>
      </c>
      <c r="DC33" s="94">
        <v>2.00280667741022</v>
      </c>
      <c r="DD33" s="94">
        <v>7.16669297969625E-3</v>
      </c>
      <c r="DE33" s="94">
        <v>7.1666929796962507E-4</v>
      </c>
      <c r="DF33" s="94" t="s">
        <v>270</v>
      </c>
      <c r="DG33" s="94" t="s">
        <v>270</v>
      </c>
      <c r="DH33" s="94" t="s">
        <v>270</v>
      </c>
      <c r="DI33" s="94" t="s">
        <v>270</v>
      </c>
      <c r="DJ33" s="94">
        <v>1.001173267141938</v>
      </c>
      <c r="DK33" s="94">
        <v>0.99977963051472007</v>
      </c>
      <c r="DL33" s="94">
        <v>1.3752086233888615E-2</v>
      </c>
      <c r="DM33" s="94">
        <v>0.99977655771717844</v>
      </c>
      <c r="DN33" s="94">
        <v>4.5520811938140615E-8</v>
      </c>
      <c r="DO33" s="94">
        <v>1.9553069573046595E-7</v>
      </c>
      <c r="DP33" s="94">
        <v>3.6381786385040544E-4</v>
      </c>
      <c r="DQ33" s="94">
        <v>8.4809190893534741E-8</v>
      </c>
      <c r="DR33" s="94">
        <v>1.2159686532075676E-8</v>
      </c>
      <c r="DS33" s="94">
        <v>1.3702472737941233E-2</v>
      </c>
      <c r="DT33" s="94">
        <v>7.4487040918933059E-3</v>
      </c>
      <c r="DU33" s="94">
        <v>3.8019806799612896E-4</v>
      </c>
      <c r="DV33" s="94">
        <v>5.664395543678812E-8</v>
      </c>
      <c r="DW33" s="94">
        <v>1.0877581707944787E-8</v>
      </c>
      <c r="DX33" s="94">
        <v>2.6065261992792752E-7</v>
      </c>
      <c r="DY33" s="94">
        <v>1.3192032693749696E-8</v>
      </c>
      <c r="DZ33" s="94">
        <v>4.5769304269536136E-8</v>
      </c>
      <c r="EA33" s="94">
        <v>2.3514043007561466E-5</v>
      </c>
      <c r="EB33" s="94">
        <v>2.8700223799379112E-9</v>
      </c>
      <c r="EC33" s="94">
        <v>2.1902802373210377E-10</v>
      </c>
      <c r="ED33" s="94">
        <v>3.9257809367128742E-3</v>
      </c>
      <c r="EE33" s="94">
        <v>5.2732884886122315E-4</v>
      </c>
      <c r="EF33" s="94">
        <v>8.8114722191076286E-7</v>
      </c>
      <c r="EG33" s="94">
        <v>3.5497645225547815E-9</v>
      </c>
      <c r="EH33" s="94">
        <v>1.4601868248806924E-9</v>
      </c>
      <c r="EI33" s="94">
        <v>8.0562031717557539E-10</v>
      </c>
      <c r="EJ33" s="94">
        <v>5.8712844631890312E-8</v>
      </c>
      <c r="EK33" s="94">
        <v>2.4130000000000209E-7</v>
      </c>
      <c r="EL33" s="94">
        <v>3.873319068579669E-4</v>
      </c>
      <c r="EM33" s="94">
        <v>8.7679213273472653E-8</v>
      </c>
      <c r="EN33" s="94">
        <v>1.2378714555807779E-8</v>
      </c>
      <c r="EO33" s="94">
        <v>1.7628253674654107E-2</v>
      </c>
      <c r="EP33" s="94">
        <v>7.9760329407545291E-3</v>
      </c>
      <c r="EQ33" s="94">
        <v>3.8107921521803972E-4</v>
      </c>
      <c r="ER33" s="94">
        <v>6.0193719959342901E-8</v>
      </c>
      <c r="ES33" s="94">
        <v>1.233776853282548E-8</v>
      </c>
      <c r="ET33" s="94">
        <v>2.614582402451031E-7</v>
      </c>
      <c r="EU33" s="94">
        <v>2.0324275297772777E-6</v>
      </c>
      <c r="EV33" s="94">
        <v>8.7301782992129992E-6</v>
      </c>
      <c r="EW33" s="94">
        <v>1.6266458473628582E-2</v>
      </c>
      <c r="EX33" s="94">
        <v>3.7989039664972087E-6</v>
      </c>
      <c r="EY33" s="94">
        <v>5.4680015094958388E-7</v>
      </c>
      <c r="EZ33" s="94">
        <v>0.61243606125222316</v>
      </c>
      <c r="FA33" s="94">
        <v>0.33271363485564126</v>
      </c>
      <c r="FB33" s="94">
        <v>1.7099148371444998E-2</v>
      </c>
      <c r="FC33" s="94">
        <v>2.5301335740381679E-6</v>
      </c>
      <c r="FD33" s="94">
        <v>4.8587240194282424E-7</v>
      </c>
      <c r="FE33" s="94">
        <v>1.164265347918038E-5</v>
      </c>
      <c r="FF33" s="94">
        <v>5.8900202520407801E-7</v>
      </c>
      <c r="FG33" s="94">
        <v>2.0435368749200605E-6</v>
      </c>
      <c r="FH33" s="94">
        <v>1.0513233189860284E-3</v>
      </c>
      <c r="FI33" s="94">
        <v>1.2855846504618735E-7</v>
      </c>
      <c r="FJ33" s="94">
        <v>9.8493128192885332E-9</v>
      </c>
      <c r="FK33" s="94">
        <v>0.17536127780575517</v>
      </c>
      <c r="FL33" s="94">
        <v>2.3554365417711609E-2</v>
      </c>
      <c r="FM33" s="94">
        <v>3.9628994339582779E-5</v>
      </c>
      <c r="FN33" s="94">
        <v>1.5855846099003809E-7</v>
      </c>
      <c r="FO33" s="94">
        <v>6.5222629343419932E-8</v>
      </c>
      <c r="FP33" s="94">
        <v>3.5984898948093522E-8</v>
      </c>
      <c r="FQ33" s="94">
        <v>2.6214295549813557E-6</v>
      </c>
      <c r="FR33" s="94">
        <v>1.077371517413306E-5</v>
      </c>
      <c r="FS33" s="94">
        <v>1.731778179261461E-2</v>
      </c>
      <c r="FT33" s="94">
        <v>3.9274624315433961E-6</v>
      </c>
      <c r="FU33" s="94">
        <v>5.5664946376887241E-7</v>
      </c>
      <c r="FV33" s="94">
        <v>0.78779733905797833</v>
      </c>
      <c r="FW33" s="94">
        <v>0.35626800027335287</v>
      </c>
      <c r="FX33" s="94">
        <v>1.7138777365784581E-2</v>
      </c>
      <c r="FY33" s="94">
        <v>2.688692035028206E-6</v>
      </c>
      <c r="FZ33" s="94">
        <v>5.5109503128624418E-7</v>
      </c>
      <c r="GA33" s="94">
        <v>1.1678638378128473E-5</v>
      </c>
      <c r="GB33" s="94">
        <v>8.1350354857226325E-6</v>
      </c>
      <c r="GC33" s="94">
        <v>1.7617237902462857E-4</v>
      </c>
      <c r="GD33" s="94">
        <v>0.64981248310451456</v>
      </c>
      <c r="GE33" s="94">
        <v>3.183405545845331E-4</v>
      </c>
      <c r="GF33" s="94">
        <v>7.1791032218623715E-5</v>
      </c>
      <c r="GG33" s="94">
        <v>17.156416358283028</v>
      </c>
      <c r="GH33" s="94">
        <v>10.646437059018693</v>
      </c>
      <c r="GI33" s="94">
        <v>0.75252497025310872</v>
      </c>
      <c r="GJ33" s="94">
        <v>4.0589566656164341E-5</v>
      </c>
      <c r="GK33" s="94">
        <v>9.794604576285007E-7</v>
      </c>
      <c r="GL33" s="94">
        <v>5.1242577904847021E-4</v>
      </c>
      <c r="GM33" s="94" t="s">
        <v>270</v>
      </c>
      <c r="GN33" s="94" t="s">
        <v>270</v>
      </c>
      <c r="GO33" s="94" t="s">
        <v>270</v>
      </c>
      <c r="GP33" s="94" t="s">
        <v>270</v>
      </c>
      <c r="GQ33" s="94" t="s">
        <v>270</v>
      </c>
      <c r="GR33" s="94" t="s">
        <v>270</v>
      </c>
      <c r="GS33" s="94" t="s">
        <v>270</v>
      </c>
      <c r="GT33" s="94" t="s">
        <v>270</v>
      </c>
      <c r="GU33" s="94" t="s">
        <v>270</v>
      </c>
      <c r="GV33" s="94" t="s">
        <v>270</v>
      </c>
      <c r="GW33" s="94" t="s">
        <v>270</v>
      </c>
      <c r="GX33" s="94" t="s">
        <v>270</v>
      </c>
      <c r="GY33" s="94" t="s">
        <v>270</v>
      </c>
      <c r="GZ33" s="94" t="s">
        <v>270</v>
      </c>
      <c r="HA33" s="94" t="s">
        <v>270</v>
      </c>
      <c r="HB33" s="94" t="s">
        <v>270</v>
      </c>
      <c r="HC33" s="94" t="s">
        <v>270</v>
      </c>
      <c r="HD33" s="94" t="s">
        <v>270</v>
      </c>
      <c r="HE33" s="94" t="s">
        <v>270</v>
      </c>
      <c r="HF33" s="94" t="s">
        <v>270</v>
      </c>
      <c r="HG33" s="94" t="s">
        <v>270</v>
      </c>
      <c r="HH33" s="94" t="s">
        <v>270</v>
      </c>
      <c r="HI33" s="94" t="s">
        <v>270</v>
      </c>
      <c r="HJ33" s="94" t="s">
        <v>270</v>
      </c>
      <c r="HK33" s="94" t="s">
        <v>270</v>
      </c>
      <c r="HL33" s="94" t="s">
        <v>270</v>
      </c>
      <c r="HM33" s="94" t="s">
        <v>270</v>
      </c>
      <c r="HN33" s="94" t="s">
        <v>270</v>
      </c>
      <c r="HO33" s="94" t="s">
        <v>270</v>
      </c>
      <c r="HP33" s="94" t="s">
        <v>270</v>
      </c>
      <c r="HQ33" s="94" t="s">
        <v>270</v>
      </c>
      <c r="HR33" s="94" t="s">
        <v>270</v>
      </c>
      <c r="HS33" s="94" t="s">
        <v>270</v>
      </c>
      <c r="HT33" s="94" t="s">
        <v>270</v>
      </c>
      <c r="HU33" s="94" t="s">
        <v>270</v>
      </c>
      <c r="HV33" s="94" t="s">
        <v>270</v>
      </c>
      <c r="HW33" s="94" t="s">
        <v>270</v>
      </c>
      <c r="HX33" s="94" t="s">
        <v>270</v>
      </c>
      <c r="HY33" s="94" t="s">
        <v>270</v>
      </c>
      <c r="HZ33" s="94" t="s">
        <v>270</v>
      </c>
      <c r="IA33" s="94" t="s">
        <v>270</v>
      </c>
      <c r="IB33" s="94" t="s">
        <v>270</v>
      </c>
      <c r="IC33" s="94" t="s">
        <v>270</v>
      </c>
      <c r="ID33" s="94" t="s">
        <v>270</v>
      </c>
      <c r="IE33" s="94" t="s">
        <v>270</v>
      </c>
      <c r="IF33" s="94" t="s">
        <v>270</v>
      </c>
      <c r="IG33" s="94" t="s">
        <v>270</v>
      </c>
      <c r="IH33" s="94" t="s">
        <v>270</v>
      </c>
      <c r="II33" s="94" t="s">
        <v>270</v>
      </c>
      <c r="IJ33" s="94" t="s">
        <v>270</v>
      </c>
      <c r="IK33" s="94" t="s">
        <v>270</v>
      </c>
      <c r="IL33" s="94" t="s">
        <v>270</v>
      </c>
      <c r="IM33" s="94" t="s">
        <v>270</v>
      </c>
      <c r="IN33" s="94" t="s">
        <v>270</v>
      </c>
      <c r="IO33" s="94" t="s">
        <v>270</v>
      </c>
      <c r="IP33" s="94" t="s">
        <v>270</v>
      </c>
      <c r="IQ33" s="94" t="s">
        <v>270</v>
      </c>
      <c r="IR33" s="94" t="s">
        <v>270</v>
      </c>
      <c r="IS33" s="94" t="s">
        <v>270</v>
      </c>
      <c r="IT33" s="94" t="s">
        <v>270</v>
      </c>
      <c r="IU33" s="94" t="s">
        <v>270</v>
      </c>
      <c r="IV33" s="94" t="s">
        <v>270</v>
      </c>
      <c r="IW33" s="94" t="s">
        <v>270</v>
      </c>
      <c r="IX33" s="94" t="s">
        <v>270</v>
      </c>
      <c r="IY33" s="94" t="s">
        <v>270</v>
      </c>
      <c r="IZ33" s="94" t="s">
        <v>270</v>
      </c>
      <c r="JA33" s="94" t="s">
        <v>270</v>
      </c>
      <c r="JB33" s="94" t="s">
        <v>270</v>
      </c>
      <c r="JC33" s="94" t="s">
        <v>270</v>
      </c>
      <c r="JD33" s="94" t="s">
        <v>270</v>
      </c>
      <c r="JE33" s="94" t="s">
        <v>270</v>
      </c>
      <c r="JF33" s="94" t="s">
        <v>270</v>
      </c>
      <c r="JG33" s="94" t="s">
        <v>270</v>
      </c>
      <c r="JH33" s="94" t="s">
        <v>270</v>
      </c>
      <c r="JI33" s="94" t="s">
        <v>270</v>
      </c>
      <c r="JJ33" s="94" t="s">
        <v>270</v>
      </c>
      <c r="JK33" s="94" t="s">
        <v>270</v>
      </c>
      <c r="JL33" s="94" t="s">
        <v>270</v>
      </c>
      <c r="JM33" s="94" t="s">
        <v>270</v>
      </c>
    </row>
    <row r="34" spans="1:273">
      <c r="A34" s="94" t="s">
        <v>626</v>
      </c>
      <c r="B34" s="94" t="s">
        <v>688</v>
      </c>
      <c r="C34" s="94" t="s">
        <v>713</v>
      </c>
      <c r="D34" s="95">
        <v>41514</v>
      </c>
      <c r="E34" s="94" t="s">
        <v>716</v>
      </c>
      <c r="F34" s="94">
        <v>2.1379409745000002</v>
      </c>
      <c r="G34" s="94">
        <v>1.82926829268292</v>
      </c>
      <c r="H34" s="94">
        <v>22.020000457799998</v>
      </c>
      <c r="I34" s="94">
        <v>1</v>
      </c>
      <c r="J34" s="94">
        <v>0</v>
      </c>
      <c r="K34" s="94">
        <v>0</v>
      </c>
      <c r="L34" s="94" t="s">
        <v>630</v>
      </c>
      <c r="M34" s="94" t="s">
        <v>631</v>
      </c>
      <c r="N34" s="94">
        <v>1.9323921674432452E-28</v>
      </c>
      <c r="O34" s="96" t="s">
        <v>270</v>
      </c>
      <c r="P34" s="94">
        <v>11.992713106019558</v>
      </c>
      <c r="Q34" s="94">
        <v>6.343283592315264</v>
      </c>
      <c r="R34" s="94">
        <v>2.5231601352063566</v>
      </c>
      <c r="S34" s="94">
        <v>3.0323220013657579</v>
      </c>
      <c r="T34" s="94" t="s">
        <v>270</v>
      </c>
      <c r="U34" s="94" t="s">
        <v>270</v>
      </c>
      <c r="V34" s="94" t="s">
        <v>632</v>
      </c>
      <c r="W34" s="94" t="s">
        <v>270</v>
      </c>
      <c r="X34" s="94">
        <v>2.4206280849475701</v>
      </c>
      <c r="Y34" s="94">
        <v>3.1131778667341559</v>
      </c>
      <c r="Z34" s="94" t="s">
        <v>632</v>
      </c>
      <c r="AA34" s="94" t="s">
        <v>270</v>
      </c>
      <c r="AB34" s="94" t="s">
        <v>632</v>
      </c>
      <c r="AC34" s="94" t="s">
        <v>270</v>
      </c>
      <c r="AD34" s="94" t="s">
        <v>633</v>
      </c>
      <c r="AE34" s="94" t="s">
        <v>82</v>
      </c>
      <c r="AF34" s="94">
        <v>8.5743074490742666E-21</v>
      </c>
      <c r="AG34" s="94">
        <v>5</v>
      </c>
      <c r="AH34" s="97">
        <v>42880.574386574073</v>
      </c>
      <c r="AJ34" s="98" t="s">
        <v>717</v>
      </c>
      <c r="AK34" s="96">
        <v>21.458652958759533</v>
      </c>
      <c r="AL34" s="96">
        <v>0.23471983835220489</v>
      </c>
      <c r="AM34" s="96">
        <v>6.4858205622587928E-2</v>
      </c>
      <c r="AN34" s="96" t="s">
        <v>270</v>
      </c>
      <c r="AO34" s="96" t="s">
        <v>270</v>
      </c>
      <c r="AP34" s="96">
        <v>0.28521472687396021</v>
      </c>
      <c r="AQ34" s="96">
        <v>-0.97553155974447181</v>
      </c>
      <c r="AR34" s="96">
        <v>21.390223406653586</v>
      </c>
      <c r="AS34" s="96">
        <v>149.7422881466122</v>
      </c>
      <c r="AT34" s="96" t="s">
        <v>270</v>
      </c>
      <c r="AU34" s="96" t="s">
        <v>270</v>
      </c>
      <c r="AV34" s="94">
        <v>1.0220999999999999E-6</v>
      </c>
      <c r="AW34" s="94">
        <v>3.2000000000000001E-9</v>
      </c>
      <c r="AX34" s="94">
        <v>2.4130000000000002E-7</v>
      </c>
      <c r="AY34" s="94">
        <v>4.8259999999999997E-8</v>
      </c>
      <c r="AZ34" s="94" t="s">
        <v>270</v>
      </c>
      <c r="BA34" s="94" t="s">
        <v>270</v>
      </c>
      <c r="BB34" s="94" t="s">
        <v>270</v>
      </c>
      <c r="BC34" s="94" t="s">
        <v>270</v>
      </c>
      <c r="BD34" s="94" t="s">
        <v>270</v>
      </c>
      <c r="BE34" s="94" t="s">
        <v>270</v>
      </c>
      <c r="BF34" s="94" t="s">
        <v>270</v>
      </c>
      <c r="BG34" s="94" t="s">
        <v>270</v>
      </c>
      <c r="BH34" s="94" t="s">
        <v>270</v>
      </c>
      <c r="BI34" s="94" t="s">
        <v>270</v>
      </c>
      <c r="BJ34" s="94" t="s">
        <v>270</v>
      </c>
      <c r="BK34" s="94" t="s">
        <v>270</v>
      </c>
      <c r="BL34" s="94" t="s">
        <v>270</v>
      </c>
      <c r="BM34" s="94" t="s">
        <v>270</v>
      </c>
      <c r="BN34" s="94" t="s">
        <v>270</v>
      </c>
      <c r="BO34" s="94" t="s">
        <v>270</v>
      </c>
      <c r="BP34" s="94" t="s">
        <v>270</v>
      </c>
      <c r="BQ34" s="94" t="s">
        <v>270</v>
      </c>
      <c r="BR34" s="94" t="s">
        <v>270</v>
      </c>
      <c r="BS34" s="94" t="s">
        <v>270</v>
      </c>
      <c r="BT34" s="94" t="s">
        <v>270</v>
      </c>
      <c r="BU34" s="94" t="s">
        <v>270</v>
      </c>
      <c r="BV34" s="94" t="s">
        <v>270</v>
      </c>
      <c r="BW34" s="94" t="s">
        <v>270</v>
      </c>
      <c r="BX34" s="94" t="s">
        <v>270</v>
      </c>
      <c r="BY34" s="94" t="s">
        <v>270</v>
      </c>
      <c r="BZ34" s="94" t="s">
        <v>270</v>
      </c>
      <c r="CA34" s="94" t="s">
        <v>270</v>
      </c>
      <c r="CB34" s="94" t="s">
        <v>270</v>
      </c>
      <c r="CC34" s="94" t="s">
        <v>270</v>
      </c>
      <c r="CD34" s="94" t="s">
        <v>270</v>
      </c>
      <c r="CE34" s="94" t="s">
        <v>270</v>
      </c>
      <c r="CF34" s="94" t="s">
        <v>270</v>
      </c>
      <c r="CG34" s="94" t="s">
        <v>270</v>
      </c>
      <c r="CH34" s="94" t="s">
        <v>270</v>
      </c>
      <c r="CI34" s="94" t="s">
        <v>270</v>
      </c>
      <c r="CJ34" s="94" t="s">
        <v>270</v>
      </c>
      <c r="CK34" s="94" t="s">
        <v>270</v>
      </c>
      <c r="CL34" s="94" t="s">
        <v>270</v>
      </c>
      <c r="CM34" s="94" t="s">
        <v>270</v>
      </c>
      <c r="CN34" s="94" t="s">
        <v>270</v>
      </c>
      <c r="CO34" s="94" t="s">
        <v>270</v>
      </c>
      <c r="CP34" s="94" t="s">
        <v>270</v>
      </c>
      <c r="CQ34" s="94" t="s">
        <v>270</v>
      </c>
      <c r="CR34" s="94">
        <v>0.69106612732890704</v>
      </c>
      <c r="CS34" s="94">
        <v>6.9106612732890704E-2</v>
      </c>
      <c r="CT34" s="94" t="s">
        <v>270</v>
      </c>
      <c r="CU34" s="94" t="s">
        <v>270</v>
      </c>
      <c r="CV34" s="94" t="s">
        <v>270</v>
      </c>
      <c r="CW34" s="94" t="s">
        <v>270</v>
      </c>
      <c r="CX34" s="94">
        <v>22.023326192086</v>
      </c>
      <c r="CY34" s="94">
        <v>2.2023326192086001</v>
      </c>
      <c r="CZ34" s="94">
        <v>0.26016269265926401</v>
      </c>
      <c r="DA34" s="94">
        <v>2.6016269265926401E-2</v>
      </c>
      <c r="DB34" s="94">
        <v>16.816394605794802</v>
      </c>
      <c r="DC34" s="94">
        <v>1.6816394605794802</v>
      </c>
      <c r="DD34" s="94">
        <v>6.1099072249922396E-3</v>
      </c>
      <c r="DE34" s="94">
        <v>6.1099072249922403E-4</v>
      </c>
      <c r="DF34" s="94" t="s">
        <v>270</v>
      </c>
      <c r="DG34" s="94" t="s">
        <v>270</v>
      </c>
      <c r="DH34" s="94" t="s">
        <v>270</v>
      </c>
      <c r="DI34" s="94" t="s">
        <v>270</v>
      </c>
      <c r="DJ34" s="94">
        <v>1.0011664270284193</v>
      </c>
      <c r="DK34" s="94">
        <v>0.99977963051472007</v>
      </c>
      <c r="DL34" s="94">
        <v>1.3804332609402788E-2</v>
      </c>
      <c r="DM34" s="94">
        <v>0.99977654587972076</v>
      </c>
      <c r="DN34" s="94">
        <v>4.5510298497281467E-8</v>
      </c>
      <c r="DO34" s="94">
        <v>1.9542894874194852E-7</v>
      </c>
      <c r="DP34" s="94">
        <v>3.633513359891615E-4</v>
      </c>
      <c r="DQ34" s="94">
        <v>8.4673618070327066E-8</v>
      </c>
      <c r="DR34" s="94">
        <v>1.2136034631516122E-8</v>
      </c>
      <c r="DS34" s="94">
        <v>1.3686189672040701E-2</v>
      </c>
      <c r="DT34" s="94">
        <v>7.4390611862384971E-3</v>
      </c>
      <c r="DU34" s="94">
        <v>3.7946036521272939E-4</v>
      </c>
      <c r="DV34" s="94">
        <v>5.6564198474368798E-8</v>
      </c>
      <c r="DW34" s="94">
        <v>1.0871467769618257E-8</v>
      </c>
      <c r="DX34" s="94">
        <v>2.6011898961470596E-7</v>
      </c>
      <c r="DY34" s="94">
        <v>1.3221359108481305E-8</v>
      </c>
      <c r="DZ34" s="94">
        <v>4.5871051258051553E-8</v>
      </c>
      <c r="EA34" s="94">
        <v>2.356631566282735E-5</v>
      </c>
      <c r="EB34" s="94">
        <v>2.8764025541352485E-9</v>
      </c>
      <c r="EC34" s="94">
        <v>2.1951493176295354E-10</v>
      </c>
      <c r="ED34" s="94">
        <v>3.9057579241967618E-3</v>
      </c>
      <c r="EE34" s="94">
        <v>5.2850112192032346E-4</v>
      </c>
      <c r="EF34" s="94">
        <v>8.8310604732220761E-7</v>
      </c>
      <c r="EG34" s="94">
        <v>3.5576557906409582E-9</v>
      </c>
      <c r="EH34" s="94">
        <v>1.4634328784196869E-9</v>
      </c>
      <c r="EI34" s="94">
        <v>8.0741124326605973E-10</v>
      </c>
      <c r="EJ34" s="94">
        <v>5.8731657605762772E-8</v>
      </c>
      <c r="EK34" s="94">
        <v>2.4130000000000008E-7</v>
      </c>
      <c r="EL34" s="94">
        <v>3.8691765165198885E-4</v>
      </c>
      <c r="EM34" s="94">
        <v>8.7550020624462315E-8</v>
      </c>
      <c r="EN34" s="94">
        <v>1.2355549563279076E-8</v>
      </c>
      <c r="EO34" s="94">
        <v>1.7591947596237462E-2</v>
      </c>
      <c r="EP34" s="94">
        <v>7.9675623081588206E-3</v>
      </c>
      <c r="EQ34" s="94">
        <v>3.803434712600516E-4</v>
      </c>
      <c r="ER34" s="94">
        <v>6.0121854265009756E-8</v>
      </c>
      <c r="ES34" s="94">
        <v>1.2334900648037944E-8</v>
      </c>
      <c r="ET34" s="94">
        <v>2.6092640085797202E-7</v>
      </c>
      <c r="EU34" s="94">
        <v>2.031944239826545E-6</v>
      </c>
      <c r="EV34" s="94">
        <v>8.7255758208573675E-6</v>
      </c>
      <c r="EW34" s="94">
        <v>1.6245488813974734E-2</v>
      </c>
      <c r="EX34" s="94">
        <v>3.792805266694153E-6</v>
      </c>
      <c r="EY34" s="94">
        <v>5.4573283721058787E-7</v>
      </c>
      <c r="EZ34" s="94">
        <v>0.61170410556756294</v>
      </c>
      <c r="FA34" s="94">
        <v>0.33228064193237222</v>
      </c>
      <c r="FB34" s="94">
        <v>1.7065854096353594E-2</v>
      </c>
      <c r="FC34" s="94">
        <v>2.5265537826496907E-6</v>
      </c>
      <c r="FD34" s="94">
        <v>4.8559599105306187E-7</v>
      </c>
      <c r="FE34" s="94">
        <v>1.1618738263353158E-5</v>
      </c>
      <c r="FF34" s="94">
        <v>5.9030736712837825E-7</v>
      </c>
      <c r="FG34" s="94">
        <v>2.0480657462015515E-6</v>
      </c>
      <c r="FH34" s="94">
        <v>1.0536532539362382E-3</v>
      </c>
      <c r="FI34" s="94">
        <v>1.2884337536392373E-7</v>
      </c>
      <c r="FJ34" s="94">
        <v>9.8711407933844491E-9</v>
      </c>
      <c r="FK34" s="94">
        <v>0.17446701939713338</v>
      </c>
      <c r="FL34" s="94">
        <v>2.360656642783443E-2</v>
      </c>
      <c r="FM34" s="94">
        <v>3.9716819823225336E-5</v>
      </c>
      <c r="FN34" s="94">
        <v>1.589098570765137E-7</v>
      </c>
      <c r="FO34" s="94">
        <v>6.5367175251331912E-8</v>
      </c>
      <c r="FP34" s="94">
        <v>3.6064648414528653E-8</v>
      </c>
      <c r="FQ34" s="94">
        <v>2.6222516069549232E-6</v>
      </c>
      <c r="FR34" s="94">
        <v>1.0773641567058919E-5</v>
      </c>
      <c r="FS34" s="94">
        <v>1.7299142067910972E-2</v>
      </c>
      <c r="FT34" s="94">
        <v>3.9216486420580767E-6</v>
      </c>
      <c r="FU34" s="94">
        <v>5.5560397800397232E-7</v>
      </c>
      <c r="FV34" s="94">
        <v>0.78617112496469632</v>
      </c>
      <c r="FW34" s="94">
        <v>0.35588720836020665</v>
      </c>
      <c r="FX34" s="94">
        <v>1.7105570916176819E-2</v>
      </c>
      <c r="FY34" s="94">
        <v>2.6854636397262044E-6</v>
      </c>
      <c r="FZ34" s="94">
        <v>5.5096316630439378E-7</v>
      </c>
      <c r="GA34" s="94">
        <v>1.1654802911767687E-5</v>
      </c>
      <c r="GB34" s="94">
        <v>8.1331010596033736E-6</v>
      </c>
      <c r="GC34" s="94">
        <v>1.7607950239215543E-4</v>
      </c>
      <c r="GD34" s="94">
        <v>0.6489747871406627</v>
      </c>
      <c r="GE34" s="94">
        <v>3.1782949573843662E-4</v>
      </c>
      <c r="GF34" s="94">
        <v>7.1650901395889713E-5</v>
      </c>
      <c r="GG34" s="94">
        <v>17.13591179090637</v>
      </c>
      <c r="GH34" s="94">
        <v>10.632581805065591</v>
      </c>
      <c r="GI34" s="94">
        <v>0.75105970585347348</v>
      </c>
      <c r="GJ34" s="94">
        <v>4.0532137996006357E-5</v>
      </c>
      <c r="GK34" s="94">
        <v>9.7890324644404641E-7</v>
      </c>
      <c r="GL34" s="94">
        <v>5.1137320343730983E-4</v>
      </c>
      <c r="GM34" s="94" t="s">
        <v>270</v>
      </c>
      <c r="GN34" s="94" t="s">
        <v>270</v>
      </c>
      <c r="GO34" s="94" t="s">
        <v>270</v>
      </c>
      <c r="GP34" s="94" t="s">
        <v>270</v>
      </c>
      <c r="GQ34" s="94" t="s">
        <v>270</v>
      </c>
      <c r="GR34" s="94" t="s">
        <v>270</v>
      </c>
      <c r="GS34" s="94" t="s">
        <v>270</v>
      </c>
      <c r="GT34" s="94" t="s">
        <v>270</v>
      </c>
      <c r="GU34" s="94" t="s">
        <v>270</v>
      </c>
      <c r="GV34" s="94" t="s">
        <v>270</v>
      </c>
      <c r="GW34" s="94" t="s">
        <v>270</v>
      </c>
      <c r="GX34" s="94" t="s">
        <v>270</v>
      </c>
      <c r="GY34" s="94" t="s">
        <v>270</v>
      </c>
      <c r="GZ34" s="94" t="s">
        <v>270</v>
      </c>
      <c r="HA34" s="94" t="s">
        <v>270</v>
      </c>
      <c r="HB34" s="94" t="s">
        <v>270</v>
      </c>
      <c r="HC34" s="94" t="s">
        <v>270</v>
      </c>
      <c r="HD34" s="94" t="s">
        <v>270</v>
      </c>
      <c r="HE34" s="94" t="s">
        <v>270</v>
      </c>
      <c r="HF34" s="94" t="s">
        <v>270</v>
      </c>
      <c r="HG34" s="94" t="s">
        <v>270</v>
      </c>
      <c r="HH34" s="94" t="s">
        <v>270</v>
      </c>
      <c r="HI34" s="94" t="s">
        <v>270</v>
      </c>
      <c r="HJ34" s="94" t="s">
        <v>270</v>
      </c>
      <c r="HK34" s="94" t="s">
        <v>270</v>
      </c>
      <c r="HL34" s="94" t="s">
        <v>270</v>
      </c>
      <c r="HM34" s="94" t="s">
        <v>270</v>
      </c>
      <c r="HN34" s="94" t="s">
        <v>270</v>
      </c>
      <c r="HO34" s="94" t="s">
        <v>270</v>
      </c>
      <c r="HP34" s="94" t="s">
        <v>270</v>
      </c>
      <c r="HQ34" s="94" t="s">
        <v>270</v>
      </c>
      <c r="HR34" s="94" t="s">
        <v>270</v>
      </c>
      <c r="HS34" s="94" t="s">
        <v>270</v>
      </c>
      <c r="HT34" s="94" t="s">
        <v>270</v>
      </c>
      <c r="HU34" s="94" t="s">
        <v>270</v>
      </c>
      <c r="HV34" s="94" t="s">
        <v>270</v>
      </c>
      <c r="HW34" s="94" t="s">
        <v>270</v>
      </c>
      <c r="HX34" s="94" t="s">
        <v>270</v>
      </c>
      <c r="HY34" s="94" t="s">
        <v>270</v>
      </c>
      <c r="HZ34" s="94" t="s">
        <v>270</v>
      </c>
      <c r="IA34" s="94" t="s">
        <v>270</v>
      </c>
      <c r="IB34" s="94" t="s">
        <v>270</v>
      </c>
      <c r="IC34" s="94" t="s">
        <v>270</v>
      </c>
      <c r="ID34" s="94" t="s">
        <v>270</v>
      </c>
      <c r="IE34" s="94" t="s">
        <v>270</v>
      </c>
      <c r="IF34" s="94" t="s">
        <v>270</v>
      </c>
      <c r="IG34" s="94" t="s">
        <v>270</v>
      </c>
      <c r="IH34" s="94" t="s">
        <v>270</v>
      </c>
      <c r="II34" s="94" t="s">
        <v>270</v>
      </c>
      <c r="IJ34" s="94" t="s">
        <v>270</v>
      </c>
      <c r="IK34" s="94" t="s">
        <v>270</v>
      </c>
      <c r="IL34" s="94" t="s">
        <v>270</v>
      </c>
      <c r="IM34" s="94" t="s">
        <v>270</v>
      </c>
      <c r="IN34" s="94" t="s">
        <v>270</v>
      </c>
      <c r="IO34" s="94" t="s">
        <v>270</v>
      </c>
      <c r="IP34" s="94" t="s">
        <v>270</v>
      </c>
      <c r="IQ34" s="94" t="s">
        <v>270</v>
      </c>
      <c r="IR34" s="94" t="s">
        <v>270</v>
      </c>
      <c r="IS34" s="94" t="s">
        <v>270</v>
      </c>
      <c r="IT34" s="94" t="s">
        <v>270</v>
      </c>
      <c r="IU34" s="94" t="s">
        <v>270</v>
      </c>
      <c r="IV34" s="94" t="s">
        <v>270</v>
      </c>
      <c r="IW34" s="94" t="s">
        <v>270</v>
      </c>
      <c r="IX34" s="94" t="s">
        <v>270</v>
      </c>
      <c r="IY34" s="94" t="s">
        <v>270</v>
      </c>
      <c r="IZ34" s="94" t="s">
        <v>270</v>
      </c>
      <c r="JA34" s="94" t="s">
        <v>270</v>
      </c>
      <c r="JB34" s="94" t="s">
        <v>270</v>
      </c>
      <c r="JC34" s="94" t="s">
        <v>270</v>
      </c>
      <c r="JD34" s="94" t="s">
        <v>270</v>
      </c>
      <c r="JE34" s="94" t="s">
        <v>270</v>
      </c>
      <c r="JF34" s="94" t="s">
        <v>270</v>
      </c>
      <c r="JG34" s="94" t="s">
        <v>270</v>
      </c>
      <c r="JH34" s="94" t="s">
        <v>270</v>
      </c>
      <c r="JI34" s="94" t="s">
        <v>270</v>
      </c>
      <c r="JJ34" s="94" t="s">
        <v>270</v>
      </c>
      <c r="JK34" s="94" t="s">
        <v>270</v>
      </c>
      <c r="JL34" s="94" t="s">
        <v>270</v>
      </c>
      <c r="JM34" s="94" t="s">
        <v>270</v>
      </c>
    </row>
    <row r="35" spans="1:273">
      <c r="A35" s="94" t="s">
        <v>626</v>
      </c>
      <c r="B35" s="94" t="s">
        <v>688</v>
      </c>
      <c r="C35" s="94" t="s">
        <v>718</v>
      </c>
      <c r="D35" s="95">
        <v>41529</v>
      </c>
      <c r="E35" s="94" t="s">
        <v>719</v>
      </c>
      <c r="F35" s="94">
        <v>0.79811186249999999</v>
      </c>
      <c r="G35" s="94">
        <v>12.804878048780401</v>
      </c>
      <c r="H35" s="94">
        <v>21.829999923700001</v>
      </c>
      <c r="I35" s="94">
        <v>1</v>
      </c>
      <c r="J35" s="94">
        <v>0</v>
      </c>
      <c r="K35" s="94">
        <v>0</v>
      </c>
      <c r="L35" s="94" t="s">
        <v>630</v>
      </c>
      <c r="M35" s="94" t="s">
        <v>631</v>
      </c>
      <c r="N35" s="94">
        <v>6.6384804106112158E-26</v>
      </c>
      <c r="O35" s="96" t="s">
        <v>270</v>
      </c>
      <c r="P35" s="94">
        <v>17.68217186427502</v>
      </c>
      <c r="Q35" s="94">
        <v>0.85194521364711828</v>
      </c>
      <c r="R35" s="94">
        <v>2.4712808211256281</v>
      </c>
      <c r="S35" s="94">
        <v>0.60793627800499805</v>
      </c>
      <c r="T35" s="94" t="s">
        <v>270</v>
      </c>
      <c r="U35" s="94" t="s">
        <v>270</v>
      </c>
      <c r="V35" s="94" t="s">
        <v>632</v>
      </c>
      <c r="W35" s="94" t="s">
        <v>270</v>
      </c>
      <c r="X35" s="94">
        <v>2.2500000000000009</v>
      </c>
      <c r="Y35" s="94">
        <v>0.34520525295346599</v>
      </c>
      <c r="Z35" s="94" t="s">
        <v>632</v>
      </c>
      <c r="AA35" s="94" t="s">
        <v>270</v>
      </c>
      <c r="AB35" s="94" t="s">
        <v>632</v>
      </c>
      <c r="AC35" s="94" t="s">
        <v>270</v>
      </c>
      <c r="AD35" s="94" t="s">
        <v>644</v>
      </c>
      <c r="AE35" s="94" t="s">
        <v>82</v>
      </c>
      <c r="AF35" s="94">
        <v>2.3897839236485898E-12</v>
      </c>
      <c r="AG35" s="94">
        <v>4</v>
      </c>
      <c r="AH35" s="97">
        <v>42880.56287037037</v>
      </c>
      <c r="AI35" s="94" t="s">
        <v>693</v>
      </c>
      <c r="AJ35" s="98" t="s">
        <v>720</v>
      </c>
      <c r="AK35" s="96" t="s">
        <v>270</v>
      </c>
      <c r="AL35" s="96" t="s">
        <v>270</v>
      </c>
      <c r="AM35" s="96">
        <v>7.1408859644390477E-2</v>
      </c>
      <c r="AN35" s="96" t="s">
        <v>270</v>
      </c>
      <c r="AO35" s="96" t="s">
        <v>270</v>
      </c>
      <c r="AP35" s="96">
        <v>0.30241001422594849</v>
      </c>
      <c r="AQ35" s="96">
        <v>-0.97565454274125185</v>
      </c>
      <c r="AR35" s="96">
        <v>7.4584355404468461</v>
      </c>
      <c r="AS35" s="96">
        <v>17267.953042803285</v>
      </c>
      <c r="AT35" s="96" t="s">
        <v>270</v>
      </c>
      <c r="AU35" s="96" t="s">
        <v>270</v>
      </c>
      <c r="AV35" s="94" t="s">
        <v>270</v>
      </c>
      <c r="AW35" s="94" t="s">
        <v>270</v>
      </c>
      <c r="AX35" s="94" t="s">
        <v>270</v>
      </c>
      <c r="AY35" s="94" t="s">
        <v>270</v>
      </c>
      <c r="AZ35" s="94" t="s">
        <v>270</v>
      </c>
      <c r="BA35" s="94" t="s">
        <v>270</v>
      </c>
      <c r="BB35" s="94" t="s">
        <v>270</v>
      </c>
      <c r="BC35" s="94" t="s">
        <v>270</v>
      </c>
      <c r="BD35" s="94" t="s">
        <v>270</v>
      </c>
      <c r="BE35" s="94" t="s">
        <v>270</v>
      </c>
      <c r="BF35" s="94" t="s">
        <v>270</v>
      </c>
      <c r="BG35" s="94" t="s">
        <v>270</v>
      </c>
      <c r="BH35" s="94" t="s">
        <v>270</v>
      </c>
      <c r="BI35" s="94" t="s">
        <v>270</v>
      </c>
      <c r="BJ35" s="94" t="s">
        <v>270</v>
      </c>
      <c r="BK35" s="94" t="s">
        <v>270</v>
      </c>
      <c r="BL35" s="94" t="s">
        <v>270</v>
      </c>
      <c r="BM35" s="94" t="s">
        <v>270</v>
      </c>
      <c r="BN35" s="94" t="s">
        <v>270</v>
      </c>
      <c r="BO35" s="94" t="s">
        <v>270</v>
      </c>
      <c r="BP35" s="94" t="s">
        <v>270</v>
      </c>
      <c r="BQ35" s="94" t="s">
        <v>270</v>
      </c>
      <c r="BR35" s="94" t="s">
        <v>270</v>
      </c>
      <c r="BS35" s="94" t="s">
        <v>270</v>
      </c>
      <c r="BT35" s="94" t="s">
        <v>270</v>
      </c>
      <c r="BU35" s="94" t="s">
        <v>270</v>
      </c>
      <c r="BV35" s="94" t="s">
        <v>270</v>
      </c>
      <c r="BW35" s="94" t="s">
        <v>270</v>
      </c>
      <c r="BX35" s="94" t="s">
        <v>270</v>
      </c>
      <c r="BY35" s="94" t="s">
        <v>270</v>
      </c>
      <c r="BZ35" s="94" t="s">
        <v>270</v>
      </c>
      <c r="CA35" s="94" t="s">
        <v>270</v>
      </c>
      <c r="CB35" s="94" t="s">
        <v>270</v>
      </c>
      <c r="CC35" s="94" t="s">
        <v>270</v>
      </c>
      <c r="CD35" s="94" t="s">
        <v>270</v>
      </c>
      <c r="CE35" s="94" t="s">
        <v>270</v>
      </c>
      <c r="CF35" s="94" t="s">
        <v>270</v>
      </c>
      <c r="CG35" s="94" t="s">
        <v>270</v>
      </c>
      <c r="CH35" s="94" t="s">
        <v>270</v>
      </c>
      <c r="CI35" s="94" t="s">
        <v>270</v>
      </c>
      <c r="CJ35" s="94" t="s">
        <v>270</v>
      </c>
      <c r="CK35" s="94" t="s">
        <v>270</v>
      </c>
      <c r="CL35" s="94" t="s">
        <v>270</v>
      </c>
      <c r="CM35" s="94" t="s">
        <v>270</v>
      </c>
      <c r="CN35" s="94" t="s">
        <v>270</v>
      </c>
      <c r="CO35" s="94" t="s">
        <v>270</v>
      </c>
      <c r="CP35" s="94" t="s">
        <v>270</v>
      </c>
      <c r="CQ35" s="94" t="s">
        <v>270</v>
      </c>
      <c r="CR35" s="94">
        <v>0.61968022669787903</v>
      </c>
      <c r="CS35" s="94">
        <v>6.1968022669787903E-2</v>
      </c>
      <c r="CT35" s="94" t="s">
        <v>270</v>
      </c>
      <c r="CU35" s="94" t="s">
        <v>270</v>
      </c>
      <c r="CV35" s="94" t="s">
        <v>270</v>
      </c>
      <c r="CW35" s="94" t="s">
        <v>270</v>
      </c>
      <c r="CX35" s="94">
        <v>20.0919725268704</v>
      </c>
      <c r="CY35" s="94">
        <v>2.0091972526870401</v>
      </c>
      <c r="CZ35" s="94">
        <v>0.23051575118141701</v>
      </c>
      <c r="DA35" s="94">
        <v>2.3051575118141703E-2</v>
      </c>
      <c r="DB35" s="94">
        <v>5.3021613594672301</v>
      </c>
      <c r="DC35" s="94">
        <v>0.53021613594672301</v>
      </c>
      <c r="DD35" s="94">
        <v>0.61723536773716503</v>
      </c>
      <c r="DE35" s="94">
        <v>6.1723536773716503E-2</v>
      </c>
      <c r="DF35" s="94" t="s">
        <v>270</v>
      </c>
      <c r="DG35" s="94" t="s">
        <v>270</v>
      </c>
      <c r="DH35" s="94" t="s">
        <v>270</v>
      </c>
      <c r="DI35" s="94" t="s">
        <v>270</v>
      </c>
      <c r="DJ35" s="94">
        <v>0.99926909254755147</v>
      </c>
      <c r="DK35" s="94">
        <v>0.99845843304547321</v>
      </c>
      <c r="DL35" s="94">
        <v>1.9938883797187595E-2</v>
      </c>
      <c r="DM35" s="94">
        <v>0.99842707058872049</v>
      </c>
      <c r="DN35" s="94">
        <v>4.4839827998830566E-8</v>
      </c>
      <c r="DO35" s="94">
        <v>1.8737591055381064E-7</v>
      </c>
      <c r="DP35" s="94">
        <v>3.2444057668374254E-4</v>
      </c>
      <c r="DQ35" s="94">
        <v>7.333860294739688E-8</v>
      </c>
      <c r="DR35" s="94">
        <v>1.0154807248226251E-8</v>
      </c>
      <c r="DS35" s="94">
        <v>1.2344514327328542E-2</v>
      </c>
      <c r="DT35" s="94">
        <v>6.6372150761470116E-3</v>
      </c>
      <c r="DU35" s="94">
        <v>3.1730628664274659E-4</v>
      </c>
      <c r="DV35" s="94">
        <v>4.9974762899853557E-8</v>
      </c>
      <c r="DW35" s="94">
        <v>1.0386467957826888E-8</v>
      </c>
      <c r="DX35" s="94">
        <v>2.1548184769706526E-7</v>
      </c>
      <c r="DY35" s="94">
        <v>1.2949511502698291E-8</v>
      </c>
      <c r="DZ35" s="94">
        <v>4.4927885328063931E-8</v>
      </c>
      <c r="EA35" s="94">
        <v>2.3081762869313338E-5</v>
      </c>
      <c r="EB35" s="94">
        <v>2.8172601360832097E-9</v>
      </c>
      <c r="EC35" s="94">
        <v>2.1500143143792998E-10</v>
      </c>
      <c r="ED35" s="94">
        <v>3.7288114902930703E-3</v>
      </c>
      <c r="EE35" s="94">
        <v>5.1763448079297433E-4</v>
      </c>
      <c r="EF35" s="94">
        <v>8.6494828739397314E-7</v>
      </c>
      <c r="EG35" s="94">
        <v>3.4845059577871361E-9</v>
      </c>
      <c r="EH35" s="94">
        <v>1.4333428762528643E-9</v>
      </c>
      <c r="EI35" s="94">
        <v>7.9080986276019735E-10</v>
      </c>
      <c r="EJ35" s="94">
        <v>5.7789339501528858E-8</v>
      </c>
      <c r="EK35" s="94">
        <v>2.3230379588187457E-7</v>
      </c>
      <c r="EL35" s="94">
        <v>3.4752233955305588E-4</v>
      </c>
      <c r="EM35" s="94">
        <v>7.615586308348009E-8</v>
      </c>
      <c r="EN35" s="94">
        <v>1.0369808679664181E-8</v>
      </c>
      <c r="EO35" s="94">
        <v>1.6073325817621612E-2</v>
      </c>
      <c r="EP35" s="94">
        <v>7.1548495569399859E-3</v>
      </c>
      <c r="EQ35" s="94">
        <v>3.1817123493014057E-4</v>
      </c>
      <c r="ER35" s="94">
        <v>5.3459268857640693E-8</v>
      </c>
      <c r="ES35" s="94">
        <v>1.1819810834079752E-8</v>
      </c>
      <c r="ET35" s="94">
        <v>2.1627265755982546E-7</v>
      </c>
      <c r="EU35" s="94">
        <v>1.9982150112952597E-6</v>
      </c>
      <c r="EV35" s="94">
        <v>8.3501664826791301E-6</v>
      </c>
      <c r="EW35" s="94">
        <v>1.4478293091148316E-2</v>
      </c>
      <c r="EX35" s="94">
        <v>3.2788476502874374E-6</v>
      </c>
      <c r="EY35" s="94">
        <v>4.5577567291084597E-7</v>
      </c>
      <c r="EZ35" s="94">
        <v>0.55069232815087887</v>
      </c>
      <c r="FA35" s="94">
        <v>0.29590273428144692</v>
      </c>
      <c r="FB35" s="94">
        <v>1.424349153735819E-2</v>
      </c>
      <c r="FC35" s="94">
        <v>2.2279930388692651E-6</v>
      </c>
      <c r="FD35" s="94">
        <v>4.6305328861389732E-7</v>
      </c>
      <c r="FE35" s="94">
        <v>9.6066900334039471E-6</v>
      </c>
      <c r="FF35" s="94">
        <v>5.7707420898909814E-7</v>
      </c>
      <c r="FG35" s="94">
        <v>2.0021534310106186E-6</v>
      </c>
      <c r="FH35" s="94">
        <v>1.0300330843267449E-3</v>
      </c>
      <c r="FI35" s="94">
        <v>1.2595504149527584E-7</v>
      </c>
      <c r="FJ35" s="94">
        <v>9.6498554522080079E-9</v>
      </c>
      <c r="FK35" s="94">
        <v>0.16640205663292829</v>
      </c>
      <c r="FL35" s="94">
        <v>2.3077368514915597E-2</v>
      </c>
      <c r="FM35" s="94">
        <v>3.8826471867604503E-5</v>
      </c>
      <c r="FN35" s="94">
        <v>1.5534751077070066E-7</v>
      </c>
      <c r="FO35" s="94">
        <v>6.3901812941139305E-8</v>
      </c>
      <c r="FP35" s="94">
        <v>3.5256172657180832E-8</v>
      </c>
      <c r="FQ35" s="94">
        <v>2.5752892202843579E-6</v>
      </c>
      <c r="FR35" s="94">
        <v>1.0352319913689749E-5</v>
      </c>
      <c r="FS35" s="94">
        <v>1.5508326175475061E-2</v>
      </c>
      <c r="FT35" s="94">
        <v>3.4048026917827132E-6</v>
      </c>
      <c r="FU35" s="94">
        <v>4.6542552836305397E-7</v>
      </c>
      <c r="FV35" s="94">
        <v>0.71709438478380716</v>
      </c>
      <c r="FW35" s="94">
        <v>0.31898010279636252</v>
      </c>
      <c r="FX35" s="94">
        <v>1.4282318009225794E-2</v>
      </c>
      <c r="FY35" s="94">
        <v>2.3833405496399657E-6</v>
      </c>
      <c r="FZ35" s="94">
        <v>5.2695510155503662E-7</v>
      </c>
      <c r="GA35" s="94">
        <v>9.6419462060611279E-6</v>
      </c>
      <c r="GB35" s="94">
        <v>7.9980957681536344E-6</v>
      </c>
      <c r="GC35" s="94">
        <v>1.6850385457052006E-4</v>
      </c>
      <c r="GD35" s="94">
        <v>0.57837885240519293</v>
      </c>
      <c r="GE35" s="94">
        <v>2.7476087539878669E-4</v>
      </c>
      <c r="GF35" s="94">
        <v>5.9840155423483704E-5</v>
      </c>
      <c r="GG35" s="94">
        <v>15.426764465421831</v>
      </c>
      <c r="GH35" s="94">
        <v>9.4685324137251641</v>
      </c>
      <c r="GI35" s="94">
        <v>0.62684894081336529</v>
      </c>
      <c r="GJ35" s="94">
        <v>3.5742489206338624E-5</v>
      </c>
      <c r="GK35" s="94">
        <v>9.3345986345098334E-7</v>
      </c>
      <c r="GL35" s="94">
        <v>4.228173271022012E-4</v>
      </c>
      <c r="GM35" s="94" t="s">
        <v>270</v>
      </c>
      <c r="GN35" s="94" t="s">
        <v>270</v>
      </c>
      <c r="GO35" s="94" t="s">
        <v>270</v>
      </c>
      <c r="GP35" s="94" t="s">
        <v>270</v>
      </c>
      <c r="GQ35" s="94" t="s">
        <v>270</v>
      </c>
      <c r="GR35" s="94" t="s">
        <v>270</v>
      </c>
      <c r="GS35" s="94" t="s">
        <v>270</v>
      </c>
      <c r="GT35" s="94" t="s">
        <v>270</v>
      </c>
      <c r="GU35" s="94" t="s">
        <v>270</v>
      </c>
      <c r="GV35" s="94" t="s">
        <v>270</v>
      </c>
      <c r="GW35" s="94" t="s">
        <v>270</v>
      </c>
      <c r="GX35" s="94" t="s">
        <v>270</v>
      </c>
      <c r="GY35" s="94" t="s">
        <v>270</v>
      </c>
      <c r="GZ35" s="94" t="s">
        <v>270</v>
      </c>
      <c r="HA35" s="94" t="s">
        <v>270</v>
      </c>
      <c r="HB35" s="94" t="s">
        <v>270</v>
      </c>
      <c r="HC35" s="94" t="s">
        <v>270</v>
      </c>
      <c r="HD35" s="94" t="s">
        <v>270</v>
      </c>
      <c r="HE35" s="94" t="s">
        <v>270</v>
      </c>
      <c r="HF35" s="94" t="s">
        <v>270</v>
      </c>
      <c r="HG35" s="94" t="s">
        <v>270</v>
      </c>
      <c r="HH35" s="94" t="s">
        <v>270</v>
      </c>
      <c r="HI35" s="94" t="s">
        <v>270</v>
      </c>
      <c r="HJ35" s="94" t="s">
        <v>270</v>
      </c>
      <c r="HK35" s="94" t="s">
        <v>270</v>
      </c>
      <c r="HL35" s="94" t="s">
        <v>270</v>
      </c>
      <c r="HM35" s="94" t="s">
        <v>270</v>
      </c>
      <c r="HN35" s="94" t="s">
        <v>270</v>
      </c>
      <c r="HO35" s="94" t="s">
        <v>270</v>
      </c>
      <c r="HP35" s="94" t="s">
        <v>270</v>
      </c>
      <c r="HQ35" s="94" t="s">
        <v>270</v>
      </c>
      <c r="HR35" s="94" t="s">
        <v>270</v>
      </c>
      <c r="HS35" s="94" t="s">
        <v>270</v>
      </c>
      <c r="HT35" s="94" t="s">
        <v>270</v>
      </c>
      <c r="HU35" s="94" t="s">
        <v>270</v>
      </c>
      <c r="HV35" s="94" t="s">
        <v>270</v>
      </c>
      <c r="HW35" s="94" t="s">
        <v>270</v>
      </c>
      <c r="HX35" s="94" t="s">
        <v>270</v>
      </c>
      <c r="HY35" s="94" t="s">
        <v>270</v>
      </c>
      <c r="HZ35" s="94" t="s">
        <v>270</v>
      </c>
      <c r="IA35" s="94" t="s">
        <v>270</v>
      </c>
      <c r="IB35" s="94" t="s">
        <v>270</v>
      </c>
      <c r="IC35" s="94" t="s">
        <v>270</v>
      </c>
      <c r="ID35" s="94" t="s">
        <v>270</v>
      </c>
      <c r="IE35" s="94" t="s">
        <v>270</v>
      </c>
      <c r="IF35" s="94" t="s">
        <v>270</v>
      </c>
      <c r="IG35" s="94" t="s">
        <v>270</v>
      </c>
      <c r="IH35" s="94" t="s">
        <v>270</v>
      </c>
      <c r="II35" s="94" t="s">
        <v>270</v>
      </c>
      <c r="IJ35" s="94" t="s">
        <v>270</v>
      </c>
      <c r="IK35" s="94" t="s">
        <v>270</v>
      </c>
      <c r="IL35" s="94" t="s">
        <v>270</v>
      </c>
      <c r="IM35" s="94" t="s">
        <v>270</v>
      </c>
      <c r="IN35" s="94" t="s">
        <v>270</v>
      </c>
      <c r="IO35" s="94" t="s">
        <v>270</v>
      </c>
      <c r="IP35" s="94" t="s">
        <v>270</v>
      </c>
      <c r="IQ35" s="94" t="s">
        <v>270</v>
      </c>
      <c r="IR35" s="94" t="s">
        <v>270</v>
      </c>
      <c r="IS35" s="94" t="s">
        <v>270</v>
      </c>
      <c r="IT35" s="94" t="s">
        <v>270</v>
      </c>
      <c r="IU35" s="94" t="s">
        <v>270</v>
      </c>
      <c r="IV35" s="94" t="s">
        <v>270</v>
      </c>
      <c r="IW35" s="94" t="s">
        <v>270</v>
      </c>
      <c r="IX35" s="94" t="s">
        <v>270</v>
      </c>
      <c r="IY35" s="94" t="s">
        <v>270</v>
      </c>
      <c r="IZ35" s="94" t="s">
        <v>270</v>
      </c>
      <c r="JA35" s="94" t="s">
        <v>270</v>
      </c>
      <c r="JB35" s="94" t="s">
        <v>270</v>
      </c>
      <c r="JC35" s="94" t="s">
        <v>270</v>
      </c>
      <c r="JD35" s="94" t="s">
        <v>270</v>
      </c>
      <c r="JE35" s="94" t="s">
        <v>270</v>
      </c>
      <c r="JF35" s="94" t="s">
        <v>270</v>
      </c>
      <c r="JG35" s="94" t="s">
        <v>270</v>
      </c>
      <c r="JH35" s="94" t="s">
        <v>270</v>
      </c>
      <c r="JI35" s="94" t="s">
        <v>270</v>
      </c>
      <c r="JJ35" s="94" t="s">
        <v>270</v>
      </c>
      <c r="JK35" s="94" t="s">
        <v>270</v>
      </c>
      <c r="JL35" s="94" t="s">
        <v>270</v>
      </c>
      <c r="JM35" s="94" t="s">
        <v>270</v>
      </c>
    </row>
    <row r="36" spans="1:273">
      <c r="A36" s="94" t="s">
        <v>626</v>
      </c>
      <c r="B36" s="94" t="s">
        <v>688</v>
      </c>
      <c r="C36" s="94" t="s">
        <v>718</v>
      </c>
      <c r="D36" s="95">
        <v>41529</v>
      </c>
      <c r="E36" s="94" t="s">
        <v>721</v>
      </c>
      <c r="F36" s="94">
        <v>0.79811186249999999</v>
      </c>
      <c r="G36" s="94">
        <v>12.804878048780401</v>
      </c>
      <c r="H36" s="94">
        <v>21.829999923700001</v>
      </c>
      <c r="I36" s="94">
        <v>1</v>
      </c>
      <c r="J36" s="94">
        <v>0</v>
      </c>
      <c r="K36" s="94">
        <v>0</v>
      </c>
      <c r="L36" s="94" t="s">
        <v>630</v>
      </c>
      <c r="M36" s="94" t="s">
        <v>631</v>
      </c>
      <c r="N36" s="94">
        <v>2.5968434108589752E-26</v>
      </c>
      <c r="O36" s="96" t="s">
        <v>270</v>
      </c>
      <c r="P36" s="94">
        <v>18.048007596269272</v>
      </c>
      <c r="Q36" s="94">
        <v>0.79071796923205651</v>
      </c>
      <c r="R36" s="94">
        <v>2.5374334776063705</v>
      </c>
      <c r="S36" s="94">
        <v>0.55693630396641869</v>
      </c>
      <c r="T36" s="94" t="s">
        <v>270</v>
      </c>
      <c r="U36" s="94" t="s">
        <v>270</v>
      </c>
      <c r="V36" s="94" t="s">
        <v>632</v>
      </c>
      <c r="W36" s="94" t="s">
        <v>270</v>
      </c>
      <c r="X36" s="94">
        <v>2.1000000000000005</v>
      </c>
      <c r="Y36" s="94">
        <v>0.31622776601683972</v>
      </c>
      <c r="Z36" s="94" t="s">
        <v>632</v>
      </c>
      <c r="AA36" s="94" t="s">
        <v>270</v>
      </c>
      <c r="AB36" s="94" t="s">
        <v>632</v>
      </c>
      <c r="AC36" s="94" t="s">
        <v>270</v>
      </c>
      <c r="AD36" s="94" t="s">
        <v>644</v>
      </c>
      <c r="AE36" s="94" t="s">
        <v>82</v>
      </c>
      <c r="AF36" s="94">
        <v>1.3990249276380335E-12</v>
      </c>
      <c r="AG36" s="94">
        <v>4</v>
      </c>
      <c r="AH36" s="97">
        <v>42880.56287037037</v>
      </c>
      <c r="AI36" s="94" t="s">
        <v>645</v>
      </c>
      <c r="AJ36" s="98" t="s">
        <v>722</v>
      </c>
      <c r="AK36" s="96" t="s">
        <v>270</v>
      </c>
      <c r="AL36" s="96" t="s">
        <v>270</v>
      </c>
      <c r="AM36" s="96">
        <v>7.3818078129172182E-2</v>
      </c>
      <c r="AN36" s="96" t="s">
        <v>270</v>
      </c>
      <c r="AO36" s="96" t="s">
        <v>270</v>
      </c>
      <c r="AP36" s="96">
        <v>0.29886957247952495</v>
      </c>
      <c r="AQ36" s="96">
        <v>-0.97470462417964088</v>
      </c>
      <c r="AR36" s="96">
        <v>7.0483462696499508</v>
      </c>
      <c r="AS36" s="96">
        <v>17372.452113576834</v>
      </c>
      <c r="AT36" s="96" t="s">
        <v>270</v>
      </c>
      <c r="AU36" s="96" t="s">
        <v>270</v>
      </c>
      <c r="AV36" s="94" t="s">
        <v>270</v>
      </c>
      <c r="AW36" s="94" t="s">
        <v>270</v>
      </c>
      <c r="AX36" s="94" t="s">
        <v>270</v>
      </c>
      <c r="AY36" s="94" t="s">
        <v>270</v>
      </c>
      <c r="AZ36" s="94" t="s">
        <v>270</v>
      </c>
      <c r="BA36" s="94" t="s">
        <v>270</v>
      </c>
      <c r="BB36" s="94" t="s">
        <v>270</v>
      </c>
      <c r="BC36" s="94" t="s">
        <v>270</v>
      </c>
      <c r="BD36" s="94" t="s">
        <v>270</v>
      </c>
      <c r="BE36" s="94" t="s">
        <v>270</v>
      </c>
      <c r="BF36" s="94" t="s">
        <v>270</v>
      </c>
      <c r="BG36" s="94" t="s">
        <v>270</v>
      </c>
      <c r="BH36" s="94" t="s">
        <v>270</v>
      </c>
      <c r="BI36" s="94" t="s">
        <v>270</v>
      </c>
      <c r="BJ36" s="94" t="s">
        <v>270</v>
      </c>
      <c r="BK36" s="94" t="s">
        <v>270</v>
      </c>
      <c r="BL36" s="94" t="s">
        <v>270</v>
      </c>
      <c r="BM36" s="94" t="s">
        <v>270</v>
      </c>
      <c r="BN36" s="94" t="s">
        <v>270</v>
      </c>
      <c r="BO36" s="94" t="s">
        <v>270</v>
      </c>
      <c r="BP36" s="94" t="s">
        <v>270</v>
      </c>
      <c r="BQ36" s="94" t="s">
        <v>270</v>
      </c>
      <c r="BR36" s="94" t="s">
        <v>270</v>
      </c>
      <c r="BS36" s="94" t="s">
        <v>270</v>
      </c>
      <c r="BT36" s="94" t="s">
        <v>270</v>
      </c>
      <c r="BU36" s="94" t="s">
        <v>270</v>
      </c>
      <c r="BV36" s="94" t="s">
        <v>270</v>
      </c>
      <c r="BW36" s="94" t="s">
        <v>270</v>
      </c>
      <c r="BX36" s="94" t="s">
        <v>270</v>
      </c>
      <c r="BY36" s="94" t="s">
        <v>270</v>
      </c>
      <c r="BZ36" s="94" t="s">
        <v>270</v>
      </c>
      <c r="CA36" s="94" t="s">
        <v>270</v>
      </c>
      <c r="CB36" s="94" t="s">
        <v>270</v>
      </c>
      <c r="CC36" s="94" t="s">
        <v>270</v>
      </c>
      <c r="CD36" s="94" t="s">
        <v>270</v>
      </c>
      <c r="CE36" s="94" t="s">
        <v>270</v>
      </c>
      <c r="CF36" s="94" t="s">
        <v>270</v>
      </c>
      <c r="CG36" s="94" t="s">
        <v>270</v>
      </c>
      <c r="CH36" s="94" t="s">
        <v>270</v>
      </c>
      <c r="CI36" s="94" t="s">
        <v>270</v>
      </c>
      <c r="CJ36" s="94" t="s">
        <v>270</v>
      </c>
      <c r="CK36" s="94" t="s">
        <v>270</v>
      </c>
      <c r="CL36" s="94" t="s">
        <v>270</v>
      </c>
      <c r="CM36" s="94" t="s">
        <v>270</v>
      </c>
      <c r="CN36" s="94" t="s">
        <v>270</v>
      </c>
      <c r="CO36" s="94" t="s">
        <v>270</v>
      </c>
      <c r="CP36" s="94" t="s">
        <v>270</v>
      </c>
      <c r="CQ36" s="94" t="s">
        <v>270</v>
      </c>
      <c r="CR36" s="94">
        <v>0.61643940244318096</v>
      </c>
      <c r="CS36" s="94">
        <v>6.1643940244318102E-2</v>
      </c>
      <c r="CT36" s="94" t="s">
        <v>270</v>
      </c>
      <c r="CU36" s="94" t="s">
        <v>270</v>
      </c>
      <c r="CV36" s="94" t="s">
        <v>270</v>
      </c>
      <c r="CW36" s="94" t="s">
        <v>270</v>
      </c>
      <c r="CX36" s="94">
        <v>19.900134314163498</v>
      </c>
      <c r="CY36" s="94">
        <v>1.99001343141635</v>
      </c>
      <c r="CZ36" s="94">
        <v>0.237718203568514</v>
      </c>
      <c r="DA36" s="94">
        <v>2.3771820356851402E-2</v>
      </c>
      <c r="DB36" s="94">
        <v>4.9873959939945296</v>
      </c>
      <c r="DC36" s="94">
        <v>0.498739599399453</v>
      </c>
      <c r="DD36" s="94">
        <v>0.61594780438002295</v>
      </c>
      <c r="DE36" s="94">
        <v>6.1594780438002296E-2</v>
      </c>
      <c r="DF36" s="94" t="s">
        <v>270</v>
      </c>
      <c r="DG36" s="94" t="s">
        <v>270</v>
      </c>
      <c r="DH36" s="94" t="s">
        <v>270</v>
      </c>
      <c r="DI36" s="94" t="s">
        <v>270</v>
      </c>
      <c r="DJ36" s="94">
        <v>0.99920143906339431</v>
      </c>
      <c r="DK36" s="94">
        <v>0.99845843304547321</v>
      </c>
      <c r="DL36" s="94">
        <v>2.0403635576103408E-2</v>
      </c>
      <c r="DM36" s="94">
        <v>0.99842632434080802</v>
      </c>
      <c r="DN36" s="94">
        <v>4.4785832861034674E-8</v>
      </c>
      <c r="DO36" s="94">
        <v>1.8682531018636717E-7</v>
      </c>
      <c r="DP36" s="94">
        <v>3.2204150165552958E-4</v>
      </c>
      <c r="DQ36" s="94">
        <v>7.2654804324260479E-8</v>
      </c>
      <c r="DR36" s="94">
        <v>1.003991703805662E-8</v>
      </c>
      <c r="DS36" s="94">
        <v>1.226080620132637E-2</v>
      </c>
      <c r="DT36" s="94">
        <v>6.5880051227821387E-3</v>
      </c>
      <c r="DU36" s="94">
        <v>3.1369845759897651E-4</v>
      </c>
      <c r="DV36" s="94">
        <v>4.9573906299217844E-8</v>
      </c>
      <c r="DW36" s="94">
        <v>1.0354465717502625E-8</v>
      </c>
      <c r="DX36" s="94">
        <v>2.1290072829586043E-7</v>
      </c>
      <c r="DY36" s="94">
        <v>1.3296151422657384E-8</v>
      </c>
      <c r="DZ36" s="94">
        <v>4.6130540622883813E-8</v>
      </c>
      <c r="EA36" s="94">
        <v>2.3699628680843513E-5</v>
      </c>
      <c r="EB36" s="94">
        <v>2.8926741644712661E-9</v>
      </c>
      <c r="EC36" s="94">
        <v>2.2075671255175375E-10</v>
      </c>
      <c r="ED36" s="94">
        <v>3.6605236923178044E-3</v>
      </c>
      <c r="EE36" s="94">
        <v>5.314908162194305E-4</v>
      </c>
      <c r="EF36" s="94">
        <v>8.8810171716224937E-7</v>
      </c>
      <c r="EG36" s="94">
        <v>3.5777812034249814E-9</v>
      </c>
      <c r="EH36" s="94">
        <v>1.4717114170116944E-9</v>
      </c>
      <c r="EI36" s="94">
        <v>8.1197871283404378E-10</v>
      </c>
      <c r="EJ36" s="94">
        <v>5.8081984283692058E-8</v>
      </c>
      <c r="EK36" s="94">
        <v>2.3295585080925099E-7</v>
      </c>
      <c r="EL36" s="94">
        <v>3.4574113033637309E-4</v>
      </c>
      <c r="EM36" s="94">
        <v>7.5547478488731745E-8</v>
      </c>
      <c r="EN36" s="94">
        <v>1.0260673750608374E-8</v>
      </c>
      <c r="EO36" s="94">
        <v>1.5921329893644174E-2</v>
      </c>
      <c r="EP36" s="94">
        <v>7.1194959390015692E-3</v>
      </c>
      <c r="EQ36" s="94">
        <v>3.1458655931613876E-4</v>
      </c>
      <c r="ER36" s="94">
        <v>5.3151687502642825E-8</v>
      </c>
      <c r="ES36" s="94">
        <v>1.1826177134514319E-8</v>
      </c>
      <c r="ET36" s="94">
        <v>2.1371270700869447E-7</v>
      </c>
      <c r="EU36" s="94">
        <v>1.9956736824069034E-6</v>
      </c>
      <c r="EV36" s="94">
        <v>8.3250660155464118E-6</v>
      </c>
      <c r="EW36" s="94">
        <v>1.4370260414138275E-2</v>
      </c>
      <c r="EX36" s="94">
        <v>3.2480562267758349E-6</v>
      </c>
      <c r="EY36" s="94">
        <v>4.5058857610442988E-7</v>
      </c>
      <c r="EZ36" s="94">
        <v>0.54692105393188906</v>
      </c>
      <c r="FA36" s="94">
        <v>0.2936889532988724</v>
      </c>
      <c r="FB36" s="94">
        <v>1.4080587137364202E-2</v>
      </c>
      <c r="FC36" s="94">
        <v>2.2099722724267126E-6</v>
      </c>
      <c r="FD36" s="94">
        <v>4.6159529961904185E-7</v>
      </c>
      <c r="FE36" s="94">
        <v>9.4909750196693343E-6</v>
      </c>
      <c r="FF36" s="94">
        <v>5.9248154553313409E-7</v>
      </c>
      <c r="FG36" s="94">
        <v>2.0556090373154223E-6</v>
      </c>
      <c r="FH36" s="94">
        <v>1.0575339951879575E-3</v>
      </c>
      <c r="FI36" s="94">
        <v>1.2931792218463304E-7</v>
      </c>
      <c r="FJ36" s="94">
        <v>9.9074974820154147E-9</v>
      </c>
      <c r="FK36" s="94">
        <v>0.16334582054937208</v>
      </c>
      <c r="FL36" s="94">
        <v>2.3693512466111954E-2</v>
      </c>
      <c r="FM36" s="94">
        <v>3.9863102009037726E-5</v>
      </c>
      <c r="FN36" s="94">
        <v>1.5949514263925267E-7</v>
      </c>
      <c r="FO36" s="94">
        <v>6.5607931014727973E-8</v>
      </c>
      <c r="FP36" s="94">
        <v>3.61974791805396E-8</v>
      </c>
      <c r="FQ36" s="94">
        <v>2.5881552279400375E-6</v>
      </c>
      <c r="FR36" s="94">
        <v>1.0380675052861834E-5</v>
      </c>
      <c r="FS36" s="94">
        <v>1.5427794409326233E-2</v>
      </c>
      <c r="FT36" s="94">
        <v>3.3773741489604679E-6</v>
      </c>
      <c r="FU36" s="94">
        <v>4.604960735864453E-7</v>
      </c>
      <c r="FV36" s="94">
        <v>0.71026687448126113</v>
      </c>
      <c r="FW36" s="94">
        <v>0.31738246576498436</v>
      </c>
      <c r="FX36" s="94">
        <v>1.412045023937324E-2</v>
      </c>
      <c r="FY36" s="94">
        <v>2.3694674150659652E-6</v>
      </c>
      <c r="FZ36" s="94">
        <v>5.2720323063376982E-7</v>
      </c>
      <c r="GA36" s="94">
        <v>9.5271724988498739E-6</v>
      </c>
      <c r="GB36" s="94">
        <v>7.9879237938102569E-6</v>
      </c>
      <c r="GC36" s="94">
        <v>1.6799733467392193E-4</v>
      </c>
      <c r="GD36" s="94">
        <v>0.57406316302399585</v>
      </c>
      <c r="GE36" s="94">
        <v>2.7218061569136141E-4</v>
      </c>
      <c r="GF36" s="94">
        <v>5.9159125922478913E-5</v>
      </c>
      <c r="GG36" s="94">
        <v>15.321118252215582</v>
      </c>
      <c r="GH36" s="94">
        <v>9.3976940788199581</v>
      </c>
      <c r="GI36" s="94">
        <v>0.61967959962182984</v>
      </c>
      <c r="GJ36" s="94">
        <v>3.5453391781514634E-5</v>
      </c>
      <c r="GK36" s="94">
        <v>9.3052073259603417E-7</v>
      </c>
      <c r="GL36" s="94">
        <v>4.1772438534570246E-4</v>
      </c>
      <c r="GM36" s="94" t="s">
        <v>270</v>
      </c>
      <c r="GN36" s="94" t="s">
        <v>270</v>
      </c>
      <c r="GO36" s="94" t="s">
        <v>270</v>
      </c>
      <c r="GP36" s="94" t="s">
        <v>270</v>
      </c>
      <c r="GQ36" s="94" t="s">
        <v>270</v>
      </c>
      <c r="GR36" s="94" t="s">
        <v>270</v>
      </c>
      <c r="GS36" s="94" t="s">
        <v>270</v>
      </c>
      <c r="GT36" s="94" t="s">
        <v>270</v>
      </c>
      <c r="GU36" s="94" t="s">
        <v>270</v>
      </c>
      <c r="GV36" s="94" t="s">
        <v>270</v>
      </c>
      <c r="GW36" s="94" t="s">
        <v>270</v>
      </c>
      <c r="GX36" s="94" t="s">
        <v>270</v>
      </c>
      <c r="GY36" s="94" t="s">
        <v>270</v>
      </c>
      <c r="GZ36" s="94" t="s">
        <v>270</v>
      </c>
      <c r="HA36" s="94" t="s">
        <v>270</v>
      </c>
      <c r="HB36" s="94" t="s">
        <v>270</v>
      </c>
      <c r="HC36" s="94" t="s">
        <v>270</v>
      </c>
      <c r="HD36" s="94" t="s">
        <v>270</v>
      </c>
      <c r="HE36" s="94" t="s">
        <v>270</v>
      </c>
      <c r="HF36" s="94" t="s">
        <v>270</v>
      </c>
      <c r="HG36" s="94" t="s">
        <v>270</v>
      </c>
      <c r="HH36" s="94" t="s">
        <v>270</v>
      </c>
      <c r="HI36" s="94" t="s">
        <v>270</v>
      </c>
      <c r="HJ36" s="94" t="s">
        <v>270</v>
      </c>
      <c r="HK36" s="94" t="s">
        <v>270</v>
      </c>
      <c r="HL36" s="94" t="s">
        <v>270</v>
      </c>
      <c r="HM36" s="94" t="s">
        <v>270</v>
      </c>
      <c r="HN36" s="94" t="s">
        <v>270</v>
      </c>
      <c r="HO36" s="94" t="s">
        <v>270</v>
      </c>
      <c r="HP36" s="94" t="s">
        <v>270</v>
      </c>
      <c r="HQ36" s="94" t="s">
        <v>270</v>
      </c>
      <c r="HR36" s="94" t="s">
        <v>270</v>
      </c>
      <c r="HS36" s="94" t="s">
        <v>270</v>
      </c>
      <c r="HT36" s="94" t="s">
        <v>270</v>
      </c>
      <c r="HU36" s="94" t="s">
        <v>270</v>
      </c>
      <c r="HV36" s="94" t="s">
        <v>270</v>
      </c>
      <c r="HW36" s="94" t="s">
        <v>270</v>
      </c>
      <c r="HX36" s="94" t="s">
        <v>270</v>
      </c>
      <c r="HY36" s="94" t="s">
        <v>270</v>
      </c>
      <c r="HZ36" s="94" t="s">
        <v>270</v>
      </c>
      <c r="IA36" s="94" t="s">
        <v>270</v>
      </c>
      <c r="IB36" s="94" t="s">
        <v>270</v>
      </c>
      <c r="IC36" s="94" t="s">
        <v>270</v>
      </c>
      <c r="ID36" s="94" t="s">
        <v>270</v>
      </c>
      <c r="IE36" s="94" t="s">
        <v>270</v>
      </c>
      <c r="IF36" s="94" t="s">
        <v>270</v>
      </c>
      <c r="IG36" s="94" t="s">
        <v>270</v>
      </c>
      <c r="IH36" s="94" t="s">
        <v>270</v>
      </c>
      <c r="II36" s="94" t="s">
        <v>270</v>
      </c>
      <c r="IJ36" s="94" t="s">
        <v>270</v>
      </c>
      <c r="IK36" s="94" t="s">
        <v>270</v>
      </c>
      <c r="IL36" s="94" t="s">
        <v>270</v>
      </c>
      <c r="IM36" s="94" t="s">
        <v>270</v>
      </c>
      <c r="IN36" s="94" t="s">
        <v>270</v>
      </c>
      <c r="IO36" s="94" t="s">
        <v>270</v>
      </c>
      <c r="IP36" s="94" t="s">
        <v>270</v>
      </c>
      <c r="IQ36" s="94" t="s">
        <v>270</v>
      </c>
      <c r="IR36" s="94" t="s">
        <v>270</v>
      </c>
      <c r="IS36" s="94" t="s">
        <v>270</v>
      </c>
      <c r="IT36" s="94" t="s">
        <v>270</v>
      </c>
      <c r="IU36" s="94" t="s">
        <v>270</v>
      </c>
      <c r="IV36" s="94" t="s">
        <v>270</v>
      </c>
      <c r="IW36" s="94" t="s">
        <v>270</v>
      </c>
      <c r="IX36" s="94" t="s">
        <v>270</v>
      </c>
      <c r="IY36" s="94" t="s">
        <v>270</v>
      </c>
      <c r="IZ36" s="94" t="s">
        <v>270</v>
      </c>
      <c r="JA36" s="94" t="s">
        <v>270</v>
      </c>
      <c r="JB36" s="94" t="s">
        <v>270</v>
      </c>
      <c r="JC36" s="94" t="s">
        <v>270</v>
      </c>
      <c r="JD36" s="94" t="s">
        <v>270</v>
      </c>
      <c r="JE36" s="94" t="s">
        <v>270</v>
      </c>
      <c r="JF36" s="94" t="s">
        <v>270</v>
      </c>
      <c r="JG36" s="94" t="s">
        <v>270</v>
      </c>
      <c r="JH36" s="94" t="s">
        <v>270</v>
      </c>
      <c r="JI36" s="94" t="s">
        <v>270</v>
      </c>
      <c r="JJ36" s="94" t="s">
        <v>270</v>
      </c>
      <c r="JK36" s="94" t="s">
        <v>270</v>
      </c>
      <c r="JL36" s="94" t="s">
        <v>270</v>
      </c>
      <c r="JM36" s="94" t="s">
        <v>270</v>
      </c>
    </row>
    <row r="37" spans="1:273">
      <c r="A37" s="94" t="s">
        <v>626</v>
      </c>
      <c r="B37" s="94" t="s">
        <v>688</v>
      </c>
      <c r="C37" s="94" t="s">
        <v>723</v>
      </c>
      <c r="D37" s="95">
        <v>41512</v>
      </c>
      <c r="E37" s="94" t="s">
        <v>724</v>
      </c>
      <c r="F37" s="94">
        <v>0.56876166378000004</v>
      </c>
      <c r="G37" s="94">
        <v>81.707317073170699</v>
      </c>
      <c r="H37" s="94">
        <v>20.790000915499999</v>
      </c>
      <c r="I37" s="94">
        <v>1</v>
      </c>
      <c r="J37" s="94">
        <v>0</v>
      </c>
      <c r="K37" s="94">
        <v>0</v>
      </c>
      <c r="L37" s="94" t="s">
        <v>630</v>
      </c>
      <c r="M37" s="94" t="s">
        <v>631</v>
      </c>
      <c r="N37" s="94">
        <v>1.5178673972671206E-23</v>
      </c>
      <c r="O37" s="96" t="s">
        <v>270</v>
      </c>
      <c r="P37" s="94">
        <v>12.986468559041827</v>
      </c>
      <c r="Q37" s="94">
        <v>0.65955958218063582</v>
      </c>
      <c r="R37" s="94">
        <v>2.5265151078630605</v>
      </c>
      <c r="S37" s="94">
        <v>0.55685765270465071</v>
      </c>
      <c r="T37" s="94" t="s">
        <v>270</v>
      </c>
      <c r="U37" s="94" t="s">
        <v>270</v>
      </c>
      <c r="V37" s="94" t="s">
        <v>632</v>
      </c>
      <c r="W37" s="94" t="s">
        <v>270</v>
      </c>
      <c r="X37" s="94">
        <v>2.1000000000000005</v>
      </c>
      <c r="Y37" s="94">
        <v>0.31622776601683972</v>
      </c>
      <c r="Z37" s="94" t="s">
        <v>632</v>
      </c>
      <c r="AA37" s="94" t="s">
        <v>270</v>
      </c>
      <c r="AB37" s="94" t="s">
        <v>632</v>
      </c>
      <c r="AC37" s="94" t="s">
        <v>270</v>
      </c>
      <c r="AD37" s="94" t="s">
        <v>644</v>
      </c>
      <c r="AE37" s="94" t="s">
        <v>82</v>
      </c>
      <c r="AF37" s="94">
        <v>5.2627694962124109E-20</v>
      </c>
      <c r="AG37" s="94">
        <v>5</v>
      </c>
      <c r="AH37" s="97">
        <v>42880.56287037037</v>
      </c>
      <c r="AI37" s="94" t="s">
        <v>645</v>
      </c>
      <c r="AJ37" s="98" t="s">
        <v>725</v>
      </c>
      <c r="AK37" s="96" t="s">
        <v>270</v>
      </c>
      <c r="AL37" s="96" t="s">
        <v>270</v>
      </c>
      <c r="AM37" s="96">
        <v>6.6489411039314161E-2</v>
      </c>
      <c r="AN37" s="96" t="s">
        <v>270</v>
      </c>
      <c r="AO37" s="96" t="s">
        <v>270</v>
      </c>
      <c r="AP37" s="96">
        <v>0.27197249825932523</v>
      </c>
      <c r="AQ37" s="96">
        <v>-0.98531170819350145</v>
      </c>
      <c r="AR37" s="96">
        <v>44.840214612023608</v>
      </c>
      <c r="AS37" s="96" t="s">
        <v>270</v>
      </c>
      <c r="AT37" s="96" t="s">
        <v>270</v>
      </c>
      <c r="AU37" s="96" t="s">
        <v>270</v>
      </c>
      <c r="AV37" s="94" t="s">
        <v>270</v>
      </c>
      <c r="AW37" s="94" t="s">
        <v>270</v>
      </c>
      <c r="AX37" s="94" t="s">
        <v>270</v>
      </c>
      <c r="AY37" s="94" t="s">
        <v>270</v>
      </c>
      <c r="AZ37" s="94" t="s">
        <v>270</v>
      </c>
      <c r="BA37" s="94" t="s">
        <v>270</v>
      </c>
      <c r="BB37" s="94" t="s">
        <v>270</v>
      </c>
      <c r="BC37" s="94" t="s">
        <v>270</v>
      </c>
      <c r="BD37" s="94" t="s">
        <v>270</v>
      </c>
      <c r="BE37" s="94" t="s">
        <v>270</v>
      </c>
      <c r="BF37" s="94" t="s">
        <v>270</v>
      </c>
      <c r="BG37" s="94" t="s">
        <v>270</v>
      </c>
      <c r="BH37" s="94" t="s">
        <v>270</v>
      </c>
      <c r="BI37" s="94" t="s">
        <v>270</v>
      </c>
      <c r="BJ37" s="94" t="s">
        <v>270</v>
      </c>
      <c r="BK37" s="94" t="s">
        <v>270</v>
      </c>
      <c r="BL37" s="94" t="s">
        <v>270</v>
      </c>
      <c r="BM37" s="94" t="s">
        <v>270</v>
      </c>
      <c r="BN37" s="94" t="s">
        <v>270</v>
      </c>
      <c r="BO37" s="94" t="s">
        <v>270</v>
      </c>
      <c r="BP37" s="94" t="s">
        <v>270</v>
      </c>
      <c r="BQ37" s="94" t="s">
        <v>270</v>
      </c>
      <c r="BR37" s="94" t="s">
        <v>270</v>
      </c>
      <c r="BS37" s="94" t="s">
        <v>270</v>
      </c>
      <c r="BT37" s="94" t="s">
        <v>270</v>
      </c>
      <c r="BU37" s="94" t="s">
        <v>270</v>
      </c>
      <c r="BV37" s="94" t="s">
        <v>270</v>
      </c>
      <c r="BW37" s="94" t="s">
        <v>270</v>
      </c>
      <c r="BX37" s="94" t="s">
        <v>270</v>
      </c>
      <c r="BY37" s="94" t="s">
        <v>270</v>
      </c>
      <c r="BZ37" s="94" t="s">
        <v>270</v>
      </c>
      <c r="CA37" s="94" t="s">
        <v>270</v>
      </c>
      <c r="CB37" s="94" t="s">
        <v>270</v>
      </c>
      <c r="CC37" s="94" t="s">
        <v>270</v>
      </c>
      <c r="CD37" s="94" t="s">
        <v>270</v>
      </c>
      <c r="CE37" s="94" t="s">
        <v>270</v>
      </c>
      <c r="CF37" s="94" t="s">
        <v>270</v>
      </c>
      <c r="CG37" s="94" t="s">
        <v>270</v>
      </c>
      <c r="CH37" s="94" t="s">
        <v>270</v>
      </c>
      <c r="CI37" s="94" t="s">
        <v>270</v>
      </c>
      <c r="CJ37" s="94" t="s">
        <v>270</v>
      </c>
      <c r="CK37" s="94" t="s">
        <v>270</v>
      </c>
      <c r="CL37" s="94" t="s">
        <v>270</v>
      </c>
      <c r="CM37" s="94" t="s">
        <v>270</v>
      </c>
      <c r="CN37" s="94" t="s">
        <v>270</v>
      </c>
      <c r="CO37" s="94" t="s">
        <v>270</v>
      </c>
      <c r="CP37" s="94" t="s">
        <v>270</v>
      </c>
      <c r="CQ37" s="94" t="s">
        <v>270</v>
      </c>
      <c r="CR37" s="94">
        <v>0.67701132661187402</v>
      </c>
      <c r="CS37" s="94">
        <v>6.7701132661187408E-2</v>
      </c>
      <c r="CT37" s="94" t="s">
        <v>270</v>
      </c>
      <c r="CU37" s="94" t="s">
        <v>270</v>
      </c>
      <c r="CV37" s="94" t="s">
        <v>270</v>
      </c>
      <c r="CW37" s="94" t="s">
        <v>270</v>
      </c>
      <c r="CX37" s="94">
        <v>21.371301771473199</v>
      </c>
      <c r="CY37" s="94">
        <v>2.1371301771473199</v>
      </c>
      <c r="CZ37" s="94">
        <v>0.152729695760459</v>
      </c>
      <c r="DA37" s="94">
        <v>1.5272969576045901E-2</v>
      </c>
      <c r="DB37" s="94">
        <v>33.225635685941697</v>
      </c>
      <c r="DC37" s="94">
        <v>3.3225635685941697</v>
      </c>
      <c r="DD37" s="94" t="s">
        <v>270</v>
      </c>
      <c r="DE37" s="94" t="s">
        <v>270</v>
      </c>
      <c r="DF37" s="94" t="s">
        <v>270</v>
      </c>
      <c r="DG37" s="94" t="s">
        <v>270</v>
      </c>
      <c r="DH37" s="94" t="s">
        <v>270</v>
      </c>
      <c r="DI37" s="94" t="s">
        <v>270</v>
      </c>
      <c r="DJ37" s="94">
        <v>0.99982419673689005</v>
      </c>
      <c r="DK37" s="94">
        <v>0.99020404100034287</v>
      </c>
      <c r="DL37" s="94">
        <v>1.4748201072596851E-2</v>
      </c>
      <c r="DM37" s="94">
        <v>0.99005740561923206</v>
      </c>
      <c r="DN37" s="94">
        <v>4.527925216583561E-8</v>
      </c>
      <c r="DO37" s="94">
        <v>1.9362045081420132E-7</v>
      </c>
      <c r="DP37" s="94">
        <v>3.5589423924456133E-4</v>
      </c>
      <c r="DQ37" s="94">
        <v>8.2522721656138427E-8</v>
      </c>
      <c r="DR37" s="94">
        <v>1.1734841643536805E-8</v>
      </c>
      <c r="DS37" s="94">
        <v>1.343727565979227E-2</v>
      </c>
      <c r="DT37" s="94">
        <v>7.2847428767820171E-3</v>
      </c>
      <c r="DU37" s="94">
        <v>3.666918426308685E-4</v>
      </c>
      <c r="DV37" s="94">
        <v>5.53118815681196E-8</v>
      </c>
      <c r="DW37" s="94">
        <v>1.0757244322840584E-8</v>
      </c>
      <c r="DX37" s="94">
        <v>2.5112311356687643E-7</v>
      </c>
      <c r="DY37" s="94">
        <v>1.3238939165202441E-8</v>
      </c>
      <c r="DZ37" s="94">
        <v>4.5932044660950441E-8</v>
      </c>
      <c r="EA37" s="94">
        <v>2.3597651107441005E-5</v>
      </c>
      <c r="EB37" s="94">
        <v>2.8802272229638867E-9</v>
      </c>
      <c r="EC37" s="94">
        <v>2.1980681438408614E-10</v>
      </c>
      <c r="ED37" s="94">
        <v>3.6519981924874375E-3</v>
      </c>
      <c r="EE37" s="94">
        <v>5.2920385449299612E-4</v>
      </c>
      <c r="EF37" s="94">
        <v>8.8428028775208766E-7</v>
      </c>
      <c r="EG37" s="94">
        <v>3.5623863020869153E-9</v>
      </c>
      <c r="EH37" s="94">
        <v>1.4653787625605748E-9</v>
      </c>
      <c r="EI37" s="94">
        <v>8.0848483451615457E-10</v>
      </c>
      <c r="EJ37" s="94">
        <v>5.8518191331038051E-8</v>
      </c>
      <c r="EK37" s="94">
        <v>2.3955249547515176E-7</v>
      </c>
      <c r="EL37" s="94">
        <v>3.7949189035200233E-4</v>
      </c>
      <c r="EM37" s="94">
        <v>8.5402948879102313E-8</v>
      </c>
      <c r="EN37" s="94">
        <v>1.1954648457920891E-8</v>
      </c>
      <c r="EO37" s="94">
        <v>1.7089273852279707E-2</v>
      </c>
      <c r="EP37" s="94">
        <v>7.8139467312750132E-3</v>
      </c>
      <c r="EQ37" s="94">
        <v>3.6757612291862059E-4</v>
      </c>
      <c r="ER37" s="94">
        <v>5.8874267870206515E-8</v>
      </c>
      <c r="ES37" s="94">
        <v>1.2222623085401159E-8</v>
      </c>
      <c r="ET37" s="94">
        <v>2.5193159840139259E-7</v>
      </c>
      <c r="EU37" s="94">
        <v>2.0189181514405699E-6</v>
      </c>
      <c r="EV37" s="94">
        <v>8.6332395788299246E-6</v>
      </c>
      <c r="EW37" s="94">
        <v>1.5890748186480404E-2</v>
      </c>
      <c r="EX37" s="94">
        <v>3.6915039386613907E-6</v>
      </c>
      <c r="EY37" s="94">
        <v>5.2698454410390018E-7</v>
      </c>
      <c r="EZ37" s="94">
        <v>0.59977372036140986</v>
      </c>
      <c r="FA37" s="94">
        <v>0.32495146761904886</v>
      </c>
      <c r="FB37" s="94">
        <v>1.6469492700614447E-2</v>
      </c>
      <c r="FC37" s="94">
        <v>2.4673042544325497E-6</v>
      </c>
      <c r="FD37" s="94">
        <v>4.798497887118121E-7</v>
      </c>
      <c r="FE37" s="94">
        <v>1.1201881203893505E-5</v>
      </c>
      <c r="FF37" s="94">
        <v>5.9029982404638509E-7</v>
      </c>
      <c r="FG37" s="94">
        <v>2.0480395755509524E-6</v>
      </c>
      <c r="FH37" s="94">
        <v>1.0536397901149651E-3</v>
      </c>
      <c r="FI37" s="94">
        <v>1.2884172897392664E-7</v>
      </c>
      <c r="FJ37" s="94">
        <v>9.8710146576989489E-9</v>
      </c>
      <c r="FK37" s="94">
        <v>0.16302036864767111</v>
      </c>
      <c r="FL37" s="94">
        <v>2.3606264777751684E-2</v>
      </c>
      <c r="FM37" s="94">
        <v>3.9716312312653573E-5</v>
      </c>
      <c r="FN37" s="94">
        <v>1.5890782649016451E-7</v>
      </c>
      <c r="FO37" s="94">
        <v>6.5366339974677653E-8</v>
      </c>
      <c r="FP37" s="94">
        <v>3.6064187572235304E-8</v>
      </c>
      <c r="FQ37" s="94">
        <v>2.609217975486955E-6</v>
      </c>
      <c r="FR37" s="94">
        <v>1.0681279154380877E-5</v>
      </c>
      <c r="FS37" s="94">
        <v>1.6944387976595369E-2</v>
      </c>
      <c r="FT37" s="94">
        <v>3.8203456676353173E-6</v>
      </c>
      <c r="FU37" s="94">
        <v>5.3685555876159912E-7</v>
      </c>
      <c r="FV37" s="94">
        <v>0.76279408900908097</v>
      </c>
      <c r="FW37" s="94">
        <v>0.34855773239680055</v>
      </c>
      <c r="FX37" s="94">
        <v>1.6509209012927101E-2</v>
      </c>
      <c r="FY37" s="94">
        <v>2.6262120809227142E-6</v>
      </c>
      <c r="FZ37" s="94">
        <v>5.4521612868648975E-7</v>
      </c>
      <c r="GA37" s="94">
        <v>1.1237945391465741E-5</v>
      </c>
      <c r="GB37" s="94">
        <v>8.0809625751026846E-6</v>
      </c>
      <c r="GC37" s="94">
        <v>1.7421618472891423E-4</v>
      </c>
      <c r="GD37" s="94">
        <v>0.63480360855351914</v>
      </c>
      <c r="GE37" s="94">
        <v>3.0934064705194725E-4</v>
      </c>
      <c r="GF37" s="94">
        <v>6.9189381749033363E-5</v>
      </c>
      <c r="GG37" s="94">
        <v>16.801701137972319</v>
      </c>
      <c r="GH37" s="94">
        <v>10.39805702204842</v>
      </c>
      <c r="GI37" s="94">
        <v>0.72481413900769154</v>
      </c>
      <c r="GJ37" s="94">
        <v>3.9581629809563998E-5</v>
      </c>
      <c r="GK37" s="94">
        <v>9.673195920683678E-7</v>
      </c>
      <c r="GL37" s="94">
        <v>4.9302615705072402E-4</v>
      </c>
      <c r="GM37" s="94" t="s">
        <v>270</v>
      </c>
      <c r="GN37" s="94" t="s">
        <v>270</v>
      </c>
      <c r="GO37" s="94" t="s">
        <v>270</v>
      </c>
      <c r="GP37" s="94" t="s">
        <v>270</v>
      </c>
      <c r="GQ37" s="94" t="s">
        <v>270</v>
      </c>
      <c r="GR37" s="94" t="s">
        <v>270</v>
      </c>
      <c r="GS37" s="94" t="s">
        <v>270</v>
      </c>
      <c r="GT37" s="94" t="s">
        <v>270</v>
      </c>
      <c r="GU37" s="94" t="s">
        <v>270</v>
      </c>
      <c r="GV37" s="94" t="s">
        <v>270</v>
      </c>
      <c r="GW37" s="94" t="s">
        <v>270</v>
      </c>
      <c r="GX37" s="94" t="s">
        <v>270</v>
      </c>
      <c r="GY37" s="94" t="s">
        <v>270</v>
      </c>
      <c r="GZ37" s="94" t="s">
        <v>270</v>
      </c>
      <c r="HA37" s="94" t="s">
        <v>270</v>
      </c>
      <c r="HB37" s="94" t="s">
        <v>270</v>
      </c>
      <c r="HC37" s="94" t="s">
        <v>270</v>
      </c>
      <c r="HD37" s="94" t="s">
        <v>270</v>
      </c>
      <c r="HE37" s="94" t="s">
        <v>270</v>
      </c>
      <c r="HF37" s="94" t="s">
        <v>270</v>
      </c>
      <c r="HG37" s="94" t="s">
        <v>270</v>
      </c>
      <c r="HH37" s="94" t="s">
        <v>270</v>
      </c>
      <c r="HI37" s="94" t="s">
        <v>270</v>
      </c>
      <c r="HJ37" s="94" t="s">
        <v>270</v>
      </c>
      <c r="HK37" s="94" t="s">
        <v>270</v>
      </c>
      <c r="HL37" s="94" t="s">
        <v>270</v>
      </c>
      <c r="HM37" s="94" t="s">
        <v>270</v>
      </c>
      <c r="HN37" s="94" t="s">
        <v>270</v>
      </c>
      <c r="HO37" s="94" t="s">
        <v>270</v>
      </c>
      <c r="HP37" s="94" t="s">
        <v>270</v>
      </c>
      <c r="HQ37" s="94" t="s">
        <v>270</v>
      </c>
      <c r="HR37" s="94" t="s">
        <v>270</v>
      </c>
      <c r="HS37" s="94" t="s">
        <v>270</v>
      </c>
      <c r="HT37" s="94" t="s">
        <v>270</v>
      </c>
      <c r="HU37" s="94" t="s">
        <v>270</v>
      </c>
      <c r="HV37" s="94" t="s">
        <v>270</v>
      </c>
      <c r="HW37" s="94" t="s">
        <v>270</v>
      </c>
      <c r="HX37" s="94" t="s">
        <v>270</v>
      </c>
      <c r="HY37" s="94" t="s">
        <v>270</v>
      </c>
      <c r="HZ37" s="94" t="s">
        <v>270</v>
      </c>
      <c r="IA37" s="94" t="s">
        <v>270</v>
      </c>
      <c r="IB37" s="94" t="s">
        <v>270</v>
      </c>
      <c r="IC37" s="94" t="s">
        <v>270</v>
      </c>
      <c r="ID37" s="94" t="s">
        <v>270</v>
      </c>
      <c r="IE37" s="94" t="s">
        <v>270</v>
      </c>
      <c r="IF37" s="94" t="s">
        <v>270</v>
      </c>
      <c r="IG37" s="94" t="s">
        <v>270</v>
      </c>
      <c r="IH37" s="94" t="s">
        <v>270</v>
      </c>
      <c r="II37" s="94" t="s">
        <v>270</v>
      </c>
      <c r="IJ37" s="94" t="s">
        <v>270</v>
      </c>
      <c r="IK37" s="94" t="s">
        <v>270</v>
      </c>
      <c r="IL37" s="94" t="s">
        <v>270</v>
      </c>
      <c r="IM37" s="94" t="s">
        <v>270</v>
      </c>
      <c r="IN37" s="94" t="s">
        <v>270</v>
      </c>
      <c r="IO37" s="94" t="s">
        <v>270</v>
      </c>
      <c r="IP37" s="94" t="s">
        <v>270</v>
      </c>
      <c r="IQ37" s="94" t="s">
        <v>270</v>
      </c>
      <c r="IR37" s="94" t="s">
        <v>270</v>
      </c>
      <c r="IS37" s="94" t="s">
        <v>270</v>
      </c>
      <c r="IT37" s="94" t="s">
        <v>270</v>
      </c>
      <c r="IU37" s="94" t="s">
        <v>270</v>
      </c>
      <c r="IV37" s="94" t="s">
        <v>270</v>
      </c>
      <c r="IW37" s="94" t="s">
        <v>270</v>
      </c>
      <c r="IX37" s="94" t="s">
        <v>270</v>
      </c>
      <c r="IY37" s="94" t="s">
        <v>270</v>
      </c>
      <c r="IZ37" s="94" t="s">
        <v>270</v>
      </c>
      <c r="JA37" s="94" t="s">
        <v>270</v>
      </c>
      <c r="JB37" s="94" t="s">
        <v>270</v>
      </c>
      <c r="JC37" s="94" t="s">
        <v>270</v>
      </c>
      <c r="JD37" s="94" t="s">
        <v>270</v>
      </c>
      <c r="JE37" s="94" t="s">
        <v>270</v>
      </c>
      <c r="JF37" s="94" t="s">
        <v>270</v>
      </c>
      <c r="JG37" s="94" t="s">
        <v>270</v>
      </c>
      <c r="JH37" s="94" t="s">
        <v>270</v>
      </c>
      <c r="JI37" s="94" t="s">
        <v>270</v>
      </c>
      <c r="JJ37" s="94" t="s">
        <v>270</v>
      </c>
      <c r="JK37" s="94" t="s">
        <v>270</v>
      </c>
      <c r="JL37" s="94" t="s">
        <v>270</v>
      </c>
      <c r="JM37" s="94" t="s">
        <v>270</v>
      </c>
    </row>
    <row r="38" spans="1:273">
      <c r="A38" s="94" t="s">
        <v>626</v>
      </c>
      <c r="B38" s="94" t="s">
        <v>688</v>
      </c>
      <c r="C38" s="94" t="s">
        <v>723</v>
      </c>
      <c r="D38" s="95">
        <v>41512</v>
      </c>
      <c r="E38" s="94" t="s">
        <v>726</v>
      </c>
      <c r="F38" s="94">
        <v>0.56876166378000004</v>
      </c>
      <c r="G38" s="94">
        <v>81.707317073170699</v>
      </c>
      <c r="H38" s="94">
        <v>20.790000915499999</v>
      </c>
      <c r="I38" s="94">
        <v>1</v>
      </c>
      <c r="J38" s="94">
        <v>0</v>
      </c>
      <c r="K38" s="94">
        <v>0</v>
      </c>
      <c r="L38" s="94" t="s">
        <v>630</v>
      </c>
      <c r="M38" s="94" t="s">
        <v>631</v>
      </c>
      <c r="N38" s="94">
        <v>1.434801971966768E-25</v>
      </c>
      <c r="O38" s="96" t="s">
        <v>270</v>
      </c>
      <c r="P38" s="94">
        <v>14.180284387135943</v>
      </c>
      <c r="Q38" s="94">
        <v>0.69024687123357853</v>
      </c>
      <c r="R38" s="94">
        <v>2.4651186982279523</v>
      </c>
      <c r="S38" s="94">
        <v>0.55690225438964658</v>
      </c>
      <c r="T38" s="94" t="s">
        <v>270</v>
      </c>
      <c r="U38" s="94" t="s">
        <v>270</v>
      </c>
      <c r="V38" s="94" t="s">
        <v>632</v>
      </c>
      <c r="W38" s="94" t="s">
        <v>270</v>
      </c>
      <c r="X38" s="94">
        <v>1.7000000000000002</v>
      </c>
      <c r="Y38" s="94">
        <v>0.316227766016839</v>
      </c>
      <c r="Z38" s="94" t="s">
        <v>632</v>
      </c>
      <c r="AA38" s="94" t="s">
        <v>270</v>
      </c>
      <c r="AB38" s="94" t="s">
        <v>632</v>
      </c>
      <c r="AC38" s="94" t="s">
        <v>270</v>
      </c>
      <c r="AD38" s="94" t="s">
        <v>644</v>
      </c>
      <c r="AE38" s="94" t="s">
        <v>98</v>
      </c>
      <c r="AF38" s="94">
        <v>1.0714596619818737E-8</v>
      </c>
      <c r="AG38" s="94">
        <v>8</v>
      </c>
      <c r="AH38" s="97">
        <v>42880.562835648147</v>
      </c>
      <c r="AI38" s="94" t="s">
        <v>645</v>
      </c>
      <c r="AJ38" s="98" t="s">
        <v>727</v>
      </c>
      <c r="AK38" s="96" t="s">
        <v>270</v>
      </c>
      <c r="AL38" s="96" t="s">
        <v>270</v>
      </c>
      <c r="AM38" s="96">
        <v>6.6594135110771724E-2</v>
      </c>
      <c r="AN38" s="96" t="s">
        <v>270</v>
      </c>
      <c r="AO38" s="96" t="s">
        <v>270</v>
      </c>
      <c r="AP38" s="96">
        <v>0.25057499490233215</v>
      </c>
      <c r="AQ38" s="96">
        <v>-0.9165301933431701</v>
      </c>
      <c r="AR38" s="96">
        <v>44.147756719737878</v>
      </c>
      <c r="AS38" s="96" t="s">
        <v>270</v>
      </c>
      <c r="AT38" s="96" t="s">
        <v>270</v>
      </c>
      <c r="AU38" s="96" t="s">
        <v>270</v>
      </c>
      <c r="AV38" s="94" t="s">
        <v>270</v>
      </c>
      <c r="AW38" s="94" t="s">
        <v>270</v>
      </c>
      <c r="AX38" s="94" t="s">
        <v>270</v>
      </c>
      <c r="AY38" s="94" t="s">
        <v>270</v>
      </c>
      <c r="AZ38" s="94" t="s">
        <v>270</v>
      </c>
      <c r="BA38" s="94" t="s">
        <v>270</v>
      </c>
      <c r="BB38" s="94" t="s">
        <v>270</v>
      </c>
      <c r="BC38" s="94" t="s">
        <v>270</v>
      </c>
      <c r="BD38" s="94" t="s">
        <v>270</v>
      </c>
      <c r="BE38" s="94" t="s">
        <v>270</v>
      </c>
      <c r="BF38" s="94" t="s">
        <v>270</v>
      </c>
      <c r="BG38" s="94" t="s">
        <v>270</v>
      </c>
      <c r="BH38" s="94" t="s">
        <v>270</v>
      </c>
      <c r="BI38" s="94" t="s">
        <v>270</v>
      </c>
      <c r="BJ38" s="94" t="s">
        <v>270</v>
      </c>
      <c r="BK38" s="94" t="s">
        <v>270</v>
      </c>
      <c r="BL38" s="94" t="s">
        <v>270</v>
      </c>
      <c r="BM38" s="94" t="s">
        <v>270</v>
      </c>
      <c r="BN38" s="94" t="s">
        <v>270</v>
      </c>
      <c r="BO38" s="94" t="s">
        <v>270</v>
      </c>
      <c r="BP38" s="94" t="s">
        <v>270</v>
      </c>
      <c r="BQ38" s="94" t="s">
        <v>270</v>
      </c>
      <c r="BR38" s="94" t="s">
        <v>270</v>
      </c>
      <c r="BS38" s="94" t="s">
        <v>270</v>
      </c>
      <c r="BT38" s="94" t="s">
        <v>270</v>
      </c>
      <c r="BU38" s="94" t="s">
        <v>270</v>
      </c>
      <c r="BV38" s="94" t="s">
        <v>270</v>
      </c>
      <c r="BW38" s="94" t="s">
        <v>270</v>
      </c>
      <c r="BX38" s="94" t="s">
        <v>270</v>
      </c>
      <c r="BY38" s="94" t="s">
        <v>270</v>
      </c>
      <c r="BZ38" s="94" t="s">
        <v>270</v>
      </c>
      <c r="CA38" s="94" t="s">
        <v>270</v>
      </c>
      <c r="CB38" s="94" t="s">
        <v>270</v>
      </c>
      <c r="CC38" s="94" t="s">
        <v>270</v>
      </c>
      <c r="CD38" s="94" t="s">
        <v>270</v>
      </c>
      <c r="CE38" s="94" t="s">
        <v>270</v>
      </c>
      <c r="CF38" s="94" t="s">
        <v>270</v>
      </c>
      <c r="CG38" s="94" t="s">
        <v>270</v>
      </c>
      <c r="CH38" s="94" t="s">
        <v>270</v>
      </c>
      <c r="CI38" s="94" t="s">
        <v>270</v>
      </c>
      <c r="CJ38" s="94" t="s">
        <v>270</v>
      </c>
      <c r="CK38" s="94" t="s">
        <v>270</v>
      </c>
      <c r="CL38" s="94" t="s">
        <v>270</v>
      </c>
      <c r="CM38" s="94" t="s">
        <v>270</v>
      </c>
      <c r="CN38" s="94" t="s">
        <v>270</v>
      </c>
      <c r="CO38" s="94" t="s">
        <v>270</v>
      </c>
      <c r="CP38" s="94" t="s">
        <v>270</v>
      </c>
      <c r="CQ38" s="94" t="s">
        <v>270</v>
      </c>
      <c r="CR38" s="94">
        <v>0.65957724716200905</v>
      </c>
      <c r="CS38" s="94">
        <v>6.5957724716200913E-2</v>
      </c>
      <c r="CT38" s="94" t="s">
        <v>270</v>
      </c>
      <c r="CU38" s="94" t="s">
        <v>270</v>
      </c>
      <c r="CV38" s="94" t="s">
        <v>270</v>
      </c>
      <c r="CW38" s="94" t="s">
        <v>270</v>
      </c>
      <c r="CX38" s="94">
        <v>20.5090041825271</v>
      </c>
      <c r="CY38" s="94">
        <v>2.0509004182527102</v>
      </c>
      <c r="CZ38" s="94">
        <v>0.84531897019191105</v>
      </c>
      <c r="DA38" s="94">
        <v>8.4531897019191116E-2</v>
      </c>
      <c r="DB38" s="94">
        <v>31.450660788508099</v>
      </c>
      <c r="DC38" s="94">
        <v>3.1450660788508102</v>
      </c>
      <c r="DD38" s="94" t="s">
        <v>270</v>
      </c>
      <c r="DE38" s="94" t="s">
        <v>270</v>
      </c>
      <c r="DF38" s="94" t="s">
        <v>270</v>
      </c>
      <c r="DG38" s="94" t="s">
        <v>270</v>
      </c>
      <c r="DH38" s="94" t="s">
        <v>270</v>
      </c>
      <c r="DI38" s="94" t="s">
        <v>270</v>
      </c>
      <c r="DJ38" s="94">
        <v>0.99966285048391901</v>
      </c>
      <c r="DK38" s="94">
        <v>0.99020404100034287</v>
      </c>
      <c r="DL38" s="94">
        <v>1.594069070049418E-2</v>
      </c>
      <c r="DM38" s="94">
        <v>0.99004535711711295</v>
      </c>
      <c r="DN38" s="94">
        <v>4.5071506430753063E-8</v>
      </c>
      <c r="DO38" s="94">
        <v>1.9159075959841738E-7</v>
      </c>
      <c r="DP38" s="94">
        <v>3.4675133010061E-4</v>
      </c>
      <c r="DQ38" s="94">
        <v>7.9880277368694301E-8</v>
      </c>
      <c r="DR38" s="94">
        <v>1.1279285294483977E-8</v>
      </c>
      <c r="DS38" s="94">
        <v>1.3117857048672235E-2</v>
      </c>
      <c r="DT38" s="94">
        <v>7.0961588740927435E-3</v>
      </c>
      <c r="DU38" s="94">
        <v>3.5248308462659811E-4</v>
      </c>
      <c r="DV38" s="94">
        <v>5.3760827832408853E-8</v>
      </c>
      <c r="DW38" s="94">
        <v>1.0636845414238624E-8</v>
      </c>
      <c r="DX38" s="94">
        <v>2.4086740624062223E-7</v>
      </c>
      <c r="DY38" s="94">
        <v>1.2917221978714466E-8</v>
      </c>
      <c r="DZ38" s="94">
        <v>4.4815857933784162E-8</v>
      </c>
      <c r="EA38" s="94">
        <v>2.3024208641449077E-5</v>
      </c>
      <c r="EB38" s="94">
        <v>2.8102353159798595E-9</v>
      </c>
      <c r="EC38" s="94">
        <v>2.1446532674583183E-10</v>
      </c>
      <c r="ED38" s="94">
        <v>3.2842109179567914E-3</v>
      </c>
      <c r="EE38" s="94">
        <v>5.1634376253082651E-4</v>
      </c>
      <c r="EF38" s="94">
        <v>8.6279154437975732E-7</v>
      </c>
      <c r="EG38" s="94">
        <v>3.4758173645014138E-9</v>
      </c>
      <c r="EH38" s="94">
        <v>1.4297688449722128E-9</v>
      </c>
      <c r="EI38" s="94">
        <v>7.8883798343295137E-10</v>
      </c>
      <c r="EJ38" s="94">
        <v>5.7988728409467529E-8</v>
      </c>
      <c r="EK38" s="94">
        <v>2.3640661753220154E-7</v>
      </c>
      <c r="EL38" s="94">
        <v>3.6977553874205908E-4</v>
      </c>
      <c r="EM38" s="94">
        <v>8.2690512684674161E-8</v>
      </c>
      <c r="EN38" s="94">
        <v>1.1493750621229809E-8</v>
      </c>
      <c r="EO38" s="94">
        <v>1.6402067966629026E-2</v>
      </c>
      <c r="EP38" s="94">
        <v>7.61250263662357E-3</v>
      </c>
      <c r="EQ38" s="94">
        <v>3.5334587617097786E-4</v>
      </c>
      <c r="ER38" s="94">
        <v>5.7236645196910266E-8</v>
      </c>
      <c r="ES38" s="94">
        <v>1.2066614259210837E-8</v>
      </c>
      <c r="ET38" s="94">
        <v>2.4165624422405519E-7</v>
      </c>
      <c r="EU38" s="94">
        <v>2.0093308458062775E-6</v>
      </c>
      <c r="EV38" s="94">
        <v>8.5413601725758189E-6</v>
      </c>
      <c r="EW38" s="94">
        <v>1.5480016999419718E-2</v>
      </c>
      <c r="EX38" s="94">
        <v>3.5727223572731506E-6</v>
      </c>
      <c r="EY38" s="94">
        <v>5.0644482363247569E-7</v>
      </c>
      <c r="EZ38" s="94">
        <v>0.58542196125781665</v>
      </c>
      <c r="FA38" s="94">
        <v>0.31648819521559329</v>
      </c>
      <c r="FB38" s="94">
        <v>1.5828769827284917E-2</v>
      </c>
      <c r="FC38" s="94">
        <v>2.3977292047524329E-6</v>
      </c>
      <c r="FD38" s="94">
        <v>4.7440257013271097E-7</v>
      </c>
      <c r="FE38" s="94">
        <v>1.0742669666778286E-5</v>
      </c>
      <c r="FF38" s="94">
        <v>5.7586210489401917E-7</v>
      </c>
      <c r="FG38" s="94">
        <v>1.9979480474829861E-6</v>
      </c>
      <c r="FH38" s="94">
        <v>1.027869571731432E-3</v>
      </c>
      <c r="FI38" s="94">
        <v>1.2569048172252165E-7</v>
      </c>
      <c r="FJ38" s="94">
        <v>9.6295866044093009E-9</v>
      </c>
      <c r="FK38" s="94">
        <v>0.14658778343149381</v>
      </c>
      <c r="FL38" s="94">
        <v>2.3028896113195252E-2</v>
      </c>
      <c r="FM38" s="94">
        <v>3.8744919573608511E-5</v>
      </c>
      <c r="FN38" s="94">
        <v>1.5502121416788561E-7</v>
      </c>
      <c r="FO38" s="94">
        <v>6.3767591643527343E-8</v>
      </c>
      <c r="FP38" s="94">
        <v>3.5182119527463654E-8</v>
      </c>
      <c r="FQ38" s="94">
        <v>2.5851929507002966E-6</v>
      </c>
      <c r="FR38" s="94">
        <v>1.0539308220058805E-5</v>
      </c>
      <c r="FS38" s="94">
        <v>1.650788657115115E-2</v>
      </c>
      <c r="FT38" s="94">
        <v>3.6984128389956722E-6</v>
      </c>
      <c r="FU38" s="94">
        <v>5.1607441023688499E-7</v>
      </c>
      <c r="FV38" s="94">
        <v>0.73200974468931046</v>
      </c>
      <c r="FW38" s="94">
        <v>0.33951709132878855</v>
      </c>
      <c r="FX38" s="94">
        <v>1.5867514746858526E-2</v>
      </c>
      <c r="FY38" s="94">
        <v>2.5527504189203185E-6</v>
      </c>
      <c r="FZ38" s="94">
        <v>5.3817016177623831E-7</v>
      </c>
      <c r="GA38" s="94">
        <v>1.077785178630575E-5</v>
      </c>
      <c r="GB38" s="94">
        <v>8.0425882319072909E-6</v>
      </c>
      <c r="GC38" s="94">
        <v>1.7236208587452826E-4</v>
      </c>
      <c r="GD38" s="94">
        <v>0.61839571909281887</v>
      </c>
      <c r="GE38" s="94">
        <v>2.993869880947755E-4</v>
      </c>
      <c r="GF38" s="94">
        <v>6.6492660229178633E-5</v>
      </c>
      <c r="GG38" s="94">
        <v>16.399659569499722</v>
      </c>
      <c r="GH38" s="94">
        <v>10.127242461064727</v>
      </c>
      <c r="GI38" s="94">
        <v>0.69661624571389558</v>
      </c>
      <c r="GJ38" s="94">
        <v>3.8465474858072709E-5</v>
      </c>
      <c r="GK38" s="94">
        <v>9.5633865307912938E-7</v>
      </c>
      <c r="GL38" s="94">
        <v>4.7281497150997935E-4</v>
      </c>
      <c r="GM38" s="94" t="s">
        <v>270</v>
      </c>
      <c r="GN38" s="94" t="s">
        <v>270</v>
      </c>
      <c r="GO38" s="94" t="s">
        <v>270</v>
      </c>
      <c r="GP38" s="94" t="s">
        <v>270</v>
      </c>
      <c r="GQ38" s="94" t="s">
        <v>270</v>
      </c>
      <c r="GR38" s="94" t="s">
        <v>270</v>
      </c>
      <c r="GS38" s="94" t="s">
        <v>270</v>
      </c>
      <c r="GT38" s="94" t="s">
        <v>270</v>
      </c>
      <c r="GU38" s="94" t="s">
        <v>270</v>
      </c>
      <c r="GV38" s="94" t="s">
        <v>270</v>
      </c>
      <c r="GW38" s="94" t="s">
        <v>270</v>
      </c>
      <c r="GX38" s="94" t="s">
        <v>270</v>
      </c>
      <c r="GY38" s="94" t="s">
        <v>270</v>
      </c>
      <c r="GZ38" s="94" t="s">
        <v>270</v>
      </c>
      <c r="HA38" s="94" t="s">
        <v>270</v>
      </c>
      <c r="HB38" s="94" t="s">
        <v>270</v>
      </c>
      <c r="HC38" s="94" t="s">
        <v>270</v>
      </c>
      <c r="HD38" s="94" t="s">
        <v>270</v>
      </c>
      <c r="HE38" s="94" t="s">
        <v>270</v>
      </c>
      <c r="HF38" s="94" t="s">
        <v>270</v>
      </c>
      <c r="HG38" s="94" t="s">
        <v>270</v>
      </c>
      <c r="HH38" s="94" t="s">
        <v>270</v>
      </c>
      <c r="HI38" s="94" t="s">
        <v>270</v>
      </c>
      <c r="HJ38" s="94" t="s">
        <v>270</v>
      </c>
      <c r="HK38" s="94" t="s">
        <v>270</v>
      </c>
      <c r="HL38" s="94" t="s">
        <v>270</v>
      </c>
      <c r="HM38" s="94" t="s">
        <v>270</v>
      </c>
      <c r="HN38" s="94" t="s">
        <v>270</v>
      </c>
      <c r="HO38" s="94" t="s">
        <v>270</v>
      </c>
      <c r="HP38" s="94" t="s">
        <v>270</v>
      </c>
      <c r="HQ38" s="94" t="s">
        <v>270</v>
      </c>
      <c r="HR38" s="94" t="s">
        <v>270</v>
      </c>
      <c r="HS38" s="94" t="s">
        <v>270</v>
      </c>
      <c r="HT38" s="94" t="s">
        <v>270</v>
      </c>
      <c r="HU38" s="94" t="s">
        <v>270</v>
      </c>
      <c r="HV38" s="94" t="s">
        <v>270</v>
      </c>
      <c r="HW38" s="94" t="s">
        <v>270</v>
      </c>
      <c r="HX38" s="94" t="s">
        <v>270</v>
      </c>
      <c r="HY38" s="94" t="s">
        <v>270</v>
      </c>
      <c r="HZ38" s="94" t="s">
        <v>270</v>
      </c>
      <c r="IA38" s="94" t="s">
        <v>270</v>
      </c>
      <c r="IB38" s="94" t="s">
        <v>270</v>
      </c>
      <c r="IC38" s="94" t="s">
        <v>270</v>
      </c>
      <c r="ID38" s="94" t="s">
        <v>270</v>
      </c>
      <c r="IE38" s="94" t="s">
        <v>270</v>
      </c>
      <c r="IF38" s="94" t="s">
        <v>270</v>
      </c>
      <c r="IG38" s="94" t="s">
        <v>270</v>
      </c>
      <c r="IH38" s="94" t="s">
        <v>270</v>
      </c>
      <c r="II38" s="94" t="s">
        <v>270</v>
      </c>
      <c r="IJ38" s="94" t="s">
        <v>270</v>
      </c>
      <c r="IK38" s="94" t="s">
        <v>270</v>
      </c>
      <c r="IL38" s="94" t="s">
        <v>270</v>
      </c>
      <c r="IM38" s="94" t="s">
        <v>270</v>
      </c>
      <c r="IN38" s="94" t="s">
        <v>270</v>
      </c>
      <c r="IO38" s="94" t="s">
        <v>270</v>
      </c>
      <c r="IP38" s="94" t="s">
        <v>270</v>
      </c>
      <c r="IQ38" s="94" t="s">
        <v>270</v>
      </c>
      <c r="IR38" s="94" t="s">
        <v>270</v>
      </c>
      <c r="IS38" s="94" t="s">
        <v>270</v>
      </c>
      <c r="IT38" s="94" t="s">
        <v>270</v>
      </c>
      <c r="IU38" s="94" t="s">
        <v>270</v>
      </c>
      <c r="IV38" s="94" t="s">
        <v>270</v>
      </c>
      <c r="IW38" s="94" t="s">
        <v>270</v>
      </c>
      <c r="IX38" s="94" t="s">
        <v>270</v>
      </c>
      <c r="IY38" s="94" t="s">
        <v>270</v>
      </c>
      <c r="IZ38" s="94" t="s">
        <v>270</v>
      </c>
      <c r="JA38" s="94" t="s">
        <v>270</v>
      </c>
      <c r="JB38" s="94" t="s">
        <v>270</v>
      </c>
      <c r="JC38" s="94" t="s">
        <v>270</v>
      </c>
      <c r="JD38" s="94" t="s">
        <v>270</v>
      </c>
      <c r="JE38" s="94" t="s">
        <v>270</v>
      </c>
      <c r="JF38" s="94" t="s">
        <v>270</v>
      </c>
      <c r="JG38" s="94" t="s">
        <v>270</v>
      </c>
      <c r="JH38" s="94" t="s">
        <v>270</v>
      </c>
      <c r="JI38" s="94" t="s">
        <v>270</v>
      </c>
      <c r="JJ38" s="94" t="s">
        <v>270</v>
      </c>
      <c r="JK38" s="94" t="s">
        <v>270</v>
      </c>
      <c r="JL38" s="94" t="s">
        <v>270</v>
      </c>
      <c r="JM38" s="94" t="s">
        <v>270</v>
      </c>
    </row>
    <row r="39" spans="1:273">
      <c r="A39" s="94" t="s">
        <v>626</v>
      </c>
      <c r="B39" s="94" t="s">
        <v>688</v>
      </c>
      <c r="C39" s="94" t="s">
        <v>728</v>
      </c>
      <c r="D39" s="95">
        <v>41505</v>
      </c>
      <c r="E39" s="94" t="s">
        <v>729</v>
      </c>
      <c r="F39" s="94">
        <v>0.59795517722000002</v>
      </c>
      <c r="G39" s="94">
        <v>61.890243902439003</v>
      </c>
      <c r="H39" s="94">
        <v>20.020000457799998</v>
      </c>
      <c r="I39" s="94">
        <v>1</v>
      </c>
      <c r="J39" s="94">
        <v>0</v>
      </c>
      <c r="K39" s="94">
        <v>0</v>
      </c>
      <c r="L39" s="94" t="s">
        <v>630</v>
      </c>
      <c r="M39" s="94" t="s">
        <v>631</v>
      </c>
      <c r="N39" s="94">
        <v>2.8179779525068051E-26</v>
      </c>
      <c r="O39" s="96" t="s">
        <v>270</v>
      </c>
      <c r="P39" s="94">
        <v>14.907409094698799</v>
      </c>
      <c r="Q39" s="94">
        <v>0.707888379033486</v>
      </c>
      <c r="R39" s="94">
        <v>2.4716928312577808</v>
      </c>
      <c r="S39" s="94">
        <v>0.55691040225775745</v>
      </c>
      <c r="T39" s="94" t="s">
        <v>270</v>
      </c>
      <c r="U39" s="94" t="s">
        <v>270</v>
      </c>
      <c r="V39" s="94" t="s">
        <v>632</v>
      </c>
      <c r="W39" s="94" t="s">
        <v>270</v>
      </c>
      <c r="X39" s="94">
        <v>2.7000000000000011</v>
      </c>
      <c r="Y39" s="94">
        <v>0.31622776601683672</v>
      </c>
      <c r="Z39" s="94" t="s">
        <v>632</v>
      </c>
      <c r="AA39" s="94" t="s">
        <v>270</v>
      </c>
      <c r="AB39" s="94" t="s">
        <v>632</v>
      </c>
      <c r="AC39" s="94" t="s">
        <v>270</v>
      </c>
      <c r="AD39" s="94" t="s">
        <v>644</v>
      </c>
      <c r="AE39" s="94" t="s">
        <v>82</v>
      </c>
      <c r="AF39" s="94">
        <v>1.135637094252318E-11</v>
      </c>
      <c r="AG39" s="94">
        <v>4</v>
      </c>
      <c r="AH39" s="97">
        <v>42880.56287037037</v>
      </c>
      <c r="AI39" s="94" t="s">
        <v>645</v>
      </c>
      <c r="AJ39" s="98" t="s">
        <v>730</v>
      </c>
      <c r="AK39" s="96">
        <v>162.42897925098634</v>
      </c>
      <c r="AL39" s="96">
        <v>1.1167519583040995</v>
      </c>
      <c r="AM39" s="96">
        <v>6.7672862225905739E-2</v>
      </c>
      <c r="AN39" s="96" t="s">
        <v>270</v>
      </c>
      <c r="AO39" s="96" t="s">
        <v>270</v>
      </c>
      <c r="AP39" s="96">
        <v>0.31578218739712405</v>
      </c>
      <c r="AQ39" s="96">
        <v>-0.97947572228417401</v>
      </c>
      <c r="AR39" s="96">
        <v>29.29089803222049</v>
      </c>
      <c r="AS39" s="96">
        <v>561562.29339290073</v>
      </c>
      <c r="AT39" s="96" t="s">
        <v>270</v>
      </c>
      <c r="AU39" s="96" t="s">
        <v>270</v>
      </c>
      <c r="AV39" s="94">
        <v>7.36279634517406E-6</v>
      </c>
      <c r="AW39" s="94">
        <v>7.3627963451740605E-8</v>
      </c>
      <c r="AX39" s="94">
        <v>4.0391994785784199E-7</v>
      </c>
      <c r="AY39" s="94">
        <v>6.0587992178676302E-9</v>
      </c>
      <c r="AZ39" s="94" t="s">
        <v>270</v>
      </c>
      <c r="BA39" s="94" t="s">
        <v>270</v>
      </c>
      <c r="BB39" s="94" t="s">
        <v>270</v>
      </c>
      <c r="BC39" s="94" t="s">
        <v>270</v>
      </c>
      <c r="BD39" s="94" t="s">
        <v>270</v>
      </c>
      <c r="BE39" s="94" t="s">
        <v>270</v>
      </c>
      <c r="BF39" s="94" t="s">
        <v>270</v>
      </c>
      <c r="BG39" s="94" t="s">
        <v>270</v>
      </c>
      <c r="BH39" s="94" t="s">
        <v>270</v>
      </c>
      <c r="BI39" s="94" t="s">
        <v>270</v>
      </c>
      <c r="BJ39" s="94" t="s">
        <v>270</v>
      </c>
      <c r="BK39" s="94" t="s">
        <v>270</v>
      </c>
      <c r="BL39" s="94" t="s">
        <v>270</v>
      </c>
      <c r="BM39" s="94" t="s">
        <v>270</v>
      </c>
      <c r="BN39" s="94" t="s">
        <v>270</v>
      </c>
      <c r="BO39" s="94" t="s">
        <v>270</v>
      </c>
      <c r="BP39" s="94" t="s">
        <v>270</v>
      </c>
      <c r="BQ39" s="94" t="s">
        <v>270</v>
      </c>
      <c r="BR39" s="94" t="s">
        <v>270</v>
      </c>
      <c r="BS39" s="94" t="s">
        <v>270</v>
      </c>
      <c r="BT39" s="94" t="s">
        <v>270</v>
      </c>
      <c r="BU39" s="94" t="s">
        <v>270</v>
      </c>
      <c r="BV39" s="94" t="s">
        <v>270</v>
      </c>
      <c r="BW39" s="94" t="s">
        <v>270</v>
      </c>
      <c r="BX39" s="94" t="s">
        <v>270</v>
      </c>
      <c r="BY39" s="94" t="s">
        <v>270</v>
      </c>
      <c r="BZ39" s="94" t="s">
        <v>270</v>
      </c>
      <c r="CA39" s="94" t="s">
        <v>270</v>
      </c>
      <c r="CB39" s="94" t="s">
        <v>270</v>
      </c>
      <c r="CC39" s="94" t="s">
        <v>270</v>
      </c>
      <c r="CD39" s="94" t="s">
        <v>270</v>
      </c>
      <c r="CE39" s="94" t="s">
        <v>270</v>
      </c>
      <c r="CF39" s="94" t="s">
        <v>270</v>
      </c>
      <c r="CG39" s="94" t="s">
        <v>270</v>
      </c>
      <c r="CH39" s="94" t="s">
        <v>270</v>
      </c>
      <c r="CI39" s="94" t="s">
        <v>270</v>
      </c>
      <c r="CJ39" s="94" t="s">
        <v>270</v>
      </c>
      <c r="CK39" s="94" t="s">
        <v>270</v>
      </c>
      <c r="CL39" s="94" t="s">
        <v>270</v>
      </c>
      <c r="CM39" s="94" t="s">
        <v>270</v>
      </c>
      <c r="CN39" s="94" t="s">
        <v>270</v>
      </c>
      <c r="CO39" s="94" t="s">
        <v>270</v>
      </c>
      <c r="CP39" s="94" t="s">
        <v>270</v>
      </c>
      <c r="CQ39" s="94" t="s">
        <v>270</v>
      </c>
      <c r="CR39" s="94">
        <v>0.65142040998828699</v>
      </c>
      <c r="CS39" s="94">
        <v>6.5142040998828699E-2</v>
      </c>
      <c r="CT39" s="94" t="s">
        <v>270</v>
      </c>
      <c r="CU39" s="94" t="s">
        <v>270</v>
      </c>
      <c r="CV39" s="94" t="s">
        <v>270</v>
      </c>
      <c r="CW39" s="94" t="s">
        <v>270</v>
      </c>
      <c r="CX39" s="94">
        <v>21.315372047898599</v>
      </c>
      <c r="CY39" s="94">
        <v>2.13153720478986</v>
      </c>
      <c r="CZ39" s="94">
        <v>0.20505551857668899</v>
      </c>
      <c r="DA39" s="94">
        <v>2.0505551857668902E-2</v>
      </c>
      <c r="DB39" s="94">
        <v>20.650693077161701</v>
      </c>
      <c r="DC39" s="94">
        <v>2.0650693077161701</v>
      </c>
      <c r="DD39" s="94">
        <v>21.281877147315999</v>
      </c>
      <c r="DE39" s="94">
        <v>2.1281877147316002</v>
      </c>
      <c r="DF39" s="94" t="s">
        <v>270</v>
      </c>
      <c r="DG39" s="94" t="s">
        <v>270</v>
      </c>
      <c r="DH39" s="94" t="s">
        <v>270</v>
      </c>
      <c r="DI39" s="94" t="s">
        <v>270</v>
      </c>
      <c r="DJ39" s="94">
        <v>0.99957878041790282</v>
      </c>
      <c r="DK39" s="94">
        <v>0.99257107599482886</v>
      </c>
      <c r="DL39" s="94">
        <v>1.6707544951677741E-2</v>
      </c>
      <c r="DM39" s="94">
        <v>0.99244484795237642</v>
      </c>
      <c r="DN39" s="94">
        <v>4.5051963115223477E-8</v>
      </c>
      <c r="DO39" s="94">
        <v>1.908206326552568E-7</v>
      </c>
      <c r="DP39" s="94">
        <v>3.4214590276649098E-4</v>
      </c>
      <c r="DQ39" s="94">
        <v>7.8507883539627157E-8</v>
      </c>
      <c r="DR39" s="94">
        <v>1.103918505812461E-8</v>
      </c>
      <c r="DS39" s="94">
        <v>1.2959060000543672E-2</v>
      </c>
      <c r="DT39" s="94">
        <v>7.0011958514858324E-3</v>
      </c>
      <c r="DU39" s="94">
        <v>3.4498776255844119E-4</v>
      </c>
      <c r="DV39" s="94">
        <v>5.2971539367549627E-8</v>
      </c>
      <c r="DW39" s="94">
        <v>1.0590024862815572E-8</v>
      </c>
      <c r="DX39" s="94">
        <v>2.354349347474882E-7</v>
      </c>
      <c r="DY39" s="94">
        <v>1.2951670435790772E-8</v>
      </c>
      <c r="DZ39" s="94">
        <v>4.4935375672266448E-8</v>
      </c>
      <c r="EA39" s="94">
        <v>2.3085611043947699E-5</v>
      </c>
      <c r="EB39" s="94">
        <v>2.8177298276338699E-9</v>
      </c>
      <c r="EC39" s="94">
        <v>2.1503727631942636E-10</v>
      </c>
      <c r="ED39" s="94">
        <v>4.088960519069729E-3</v>
      </c>
      <c r="EE39" s="94">
        <v>5.1772078043525478E-4</v>
      </c>
      <c r="EF39" s="94">
        <v>8.6509249094021256E-7</v>
      </c>
      <c r="EG39" s="94">
        <v>3.4850868920734697E-9</v>
      </c>
      <c r="EH39" s="94">
        <v>1.4335818421295135E-9</v>
      </c>
      <c r="EI39" s="94">
        <v>7.9094170600248563E-10</v>
      </c>
      <c r="EJ39" s="94">
        <v>5.8003633551014248E-8</v>
      </c>
      <c r="EK39" s="94">
        <v>2.3575600832752325E-7</v>
      </c>
      <c r="EL39" s="94">
        <v>3.6523151381043868E-4</v>
      </c>
      <c r="EM39" s="94">
        <v>8.1325613367261027E-8</v>
      </c>
      <c r="EN39" s="94">
        <v>1.1254222334444036E-8</v>
      </c>
      <c r="EO39" s="94">
        <v>1.7048020519613401E-2</v>
      </c>
      <c r="EP39" s="94">
        <v>7.5189166319210871E-3</v>
      </c>
      <c r="EQ39" s="94">
        <v>3.458528550493814E-4</v>
      </c>
      <c r="ER39" s="94">
        <v>5.6456626259623096E-8</v>
      </c>
      <c r="ES39" s="94">
        <v>1.2023606704945085E-8</v>
      </c>
      <c r="ET39" s="94">
        <v>2.3622587645349068E-7</v>
      </c>
      <c r="EU39" s="94">
        <v>2.0082906778388886E-6</v>
      </c>
      <c r="EV39" s="94">
        <v>8.5063115046935044E-6</v>
      </c>
      <c r="EW39" s="94">
        <v>1.527313238754931E-2</v>
      </c>
      <c r="EX39" s="94">
        <v>3.5110454229787899E-6</v>
      </c>
      <c r="EY39" s="94">
        <v>4.9562253384086736E-7</v>
      </c>
      <c r="EZ39" s="94">
        <v>0.57828655086171421</v>
      </c>
      <c r="FA39" s="94">
        <v>0.31222659100094091</v>
      </c>
      <c r="FB39" s="94">
        <v>1.5490878530042123E-2</v>
      </c>
      <c r="FC39" s="94">
        <v>2.3623283089976884E-6</v>
      </c>
      <c r="FD39" s="94">
        <v>4.7227465588330769E-7</v>
      </c>
      <c r="FE39" s="94">
        <v>1.0499498748222664E-5</v>
      </c>
      <c r="FF39" s="94">
        <v>5.7734929179702893E-7</v>
      </c>
      <c r="FG39" s="94">
        <v>2.0031078281732898E-6</v>
      </c>
      <c r="FH39" s="94">
        <v>1.0305240859842177E-3</v>
      </c>
      <c r="FI39" s="94">
        <v>1.2601508241539979E-7</v>
      </c>
      <c r="FJ39" s="94">
        <v>9.6544553967083551E-9</v>
      </c>
      <c r="FK39" s="94">
        <v>0.1825068322277057</v>
      </c>
      <c r="FL39" s="94">
        <v>2.3088369157869049E-2</v>
      </c>
      <c r="FM39" s="94">
        <v>3.8844979877036834E-5</v>
      </c>
      <c r="FN39" s="94">
        <v>1.5542156264964833E-7</v>
      </c>
      <c r="FO39" s="94">
        <v>6.3932273997727683E-8</v>
      </c>
      <c r="FP39" s="94">
        <v>3.5272978757366384E-8</v>
      </c>
      <c r="FQ39" s="94">
        <v>2.5856399696359175E-6</v>
      </c>
      <c r="FR39" s="94">
        <v>1.0509419332866794E-5</v>
      </c>
      <c r="FS39" s="94">
        <v>1.6303656473533528E-2</v>
      </c>
      <c r="FT39" s="94">
        <v>3.6370605053941897E-6</v>
      </c>
      <c r="FU39" s="94">
        <v>5.0527698923757571E-7</v>
      </c>
      <c r="FV39" s="94">
        <v>0.76079338308941991</v>
      </c>
      <c r="FW39" s="94">
        <v>0.33531496015880996</v>
      </c>
      <c r="FX39" s="94">
        <v>1.5529723509919159E-2</v>
      </c>
      <c r="FY39" s="94">
        <v>2.5177498716473367E-6</v>
      </c>
      <c r="FZ39" s="94">
        <v>5.3620692988103538E-7</v>
      </c>
      <c r="GA39" s="94">
        <v>1.053477172698003E-5</v>
      </c>
      <c r="GB39" s="94">
        <v>8.0384248345896282E-6</v>
      </c>
      <c r="GC39" s="94">
        <v>1.7165481427126351E-4</v>
      </c>
      <c r="GD39" s="94">
        <v>0.61013109261781984</v>
      </c>
      <c r="GE39" s="94">
        <v>2.9421858435477665E-4</v>
      </c>
      <c r="GF39" s="94">
        <v>6.5071769335569007E-5</v>
      </c>
      <c r="GG39" s="94">
        <v>16.199772463909547</v>
      </c>
      <c r="GH39" s="94">
        <v>9.9908762401209081</v>
      </c>
      <c r="GI39" s="94">
        <v>0.68174581866788886</v>
      </c>
      <c r="GJ39" s="94">
        <v>3.7897557403963054E-5</v>
      </c>
      <c r="GK39" s="94">
        <v>9.5204903330204236E-7</v>
      </c>
      <c r="GL39" s="94">
        <v>4.6211233850577445E-4</v>
      </c>
      <c r="GM39" s="94" t="s">
        <v>270</v>
      </c>
      <c r="GN39" s="94" t="s">
        <v>270</v>
      </c>
      <c r="GO39" s="94" t="s">
        <v>270</v>
      </c>
      <c r="GP39" s="94" t="s">
        <v>270</v>
      </c>
      <c r="GQ39" s="94" t="s">
        <v>270</v>
      </c>
      <c r="GR39" s="94" t="s">
        <v>270</v>
      </c>
      <c r="GS39" s="94" t="s">
        <v>270</v>
      </c>
      <c r="GT39" s="94" t="s">
        <v>270</v>
      </c>
      <c r="GU39" s="94" t="s">
        <v>270</v>
      </c>
      <c r="GV39" s="94" t="s">
        <v>270</v>
      </c>
      <c r="GW39" s="94" t="s">
        <v>270</v>
      </c>
      <c r="GX39" s="94" t="s">
        <v>270</v>
      </c>
      <c r="GY39" s="94" t="s">
        <v>270</v>
      </c>
      <c r="GZ39" s="94" t="s">
        <v>270</v>
      </c>
      <c r="HA39" s="94" t="s">
        <v>270</v>
      </c>
      <c r="HB39" s="94" t="s">
        <v>270</v>
      </c>
      <c r="HC39" s="94" t="s">
        <v>270</v>
      </c>
      <c r="HD39" s="94" t="s">
        <v>270</v>
      </c>
      <c r="HE39" s="94" t="s">
        <v>270</v>
      </c>
      <c r="HF39" s="94" t="s">
        <v>270</v>
      </c>
      <c r="HG39" s="94" t="s">
        <v>270</v>
      </c>
      <c r="HH39" s="94" t="s">
        <v>270</v>
      </c>
      <c r="HI39" s="94" t="s">
        <v>270</v>
      </c>
      <c r="HJ39" s="94" t="s">
        <v>270</v>
      </c>
      <c r="HK39" s="94" t="s">
        <v>270</v>
      </c>
      <c r="HL39" s="94" t="s">
        <v>270</v>
      </c>
      <c r="HM39" s="94" t="s">
        <v>270</v>
      </c>
      <c r="HN39" s="94" t="s">
        <v>270</v>
      </c>
      <c r="HO39" s="94" t="s">
        <v>270</v>
      </c>
      <c r="HP39" s="94" t="s">
        <v>270</v>
      </c>
      <c r="HQ39" s="94" t="s">
        <v>270</v>
      </c>
      <c r="HR39" s="94" t="s">
        <v>270</v>
      </c>
      <c r="HS39" s="94" t="s">
        <v>270</v>
      </c>
      <c r="HT39" s="94" t="s">
        <v>270</v>
      </c>
      <c r="HU39" s="94" t="s">
        <v>270</v>
      </c>
      <c r="HV39" s="94" t="s">
        <v>270</v>
      </c>
      <c r="HW39" s="94" t="s">
        <v>270</v>
      </c>
      <c r="HX39" s="94" t="s">
        <v>270</v>
      </c>
      <c r="HY39" s="94" t="s">
        <v>270</v>
      </c>
      <c r="HZ39" s="94" t="s">
        <v>270</v>
      </c>
      <c r="IA39" s="94" t="s">
        <v>270</v>
      </c>
      <c r="IB39" s="94" t="s">
        <v>270</v>
      </c>
      <c r="IC39" s="94" t="s">
        <v>270</v>
      </c>
      <c r="ID39" s="94" t="s">
        <v>270</v>
      </c>
      <c r="IE39" s="94" t="s">
        <v>270</v>
      </c>
      <c r="IF39" s="94" t="s">
        <v>270</v>
      </c>
      <c r="IG39" s="94" t="s">
        <v>270</v>
      </c>
      <c r="IH39" s="94" t="s">
        <v>270</v>
      </c>
      <c r="II39" s="94" t="s">
        <v>270</v>
      </c>
      <c r="IJ39" s="94" t="s">
        <v>270</v>
      </c>
      <c r="IK39" s="94" t="s">
        <v>270</v>
      </c>
      <c r="IL39" s="94" t="s">
        <v>270</v>
      </c>
      <c r="IM39" s="94" t="s">
        <v>270</v>
      </c>
      <c r="IN39" s="94" t="s">
        <v>270</v>
      </c>
      <c r="IO39" s="94" t="s">
        <v>270</v>
      </c>
      <c r="IP39" s="94" t="s">
        <v>270</v>
      </c>
      <c r="IQ39" s="94" t="s">
        <v>270</v>
      </c>
      <c r="IR39" s="94" t="s">
        <v>270</v>
      </c>
      <c r="IS39" s="94" t="s">
        <v>270</v>
      </c>
      <c r="IT39" s="94" t="s">
        <v>270</v>
      </c>
      <c r="IU39" s="94" t="s">
        <v>270</v>
      </c>
      <c r="IV39" s="94" t="s">
        <v>270</v>
      </c>
      <c r="IW39" s="94" t="s">
        <v>270</v>
      </c>
      <c r="IX39" s="94" t="s">
        <v>270</v>
      </c>
      <c r="IY39" s="94" t="s">
        <v>270</v>
      </c>
      <c r="IZ39" s="94" t="s">
        <v>270</v>
      </c>
      <c r="JA39" s="94" t="s">
        <v>270</v>
      </c>
      <c r="JB39" s="94" t="s">
        <v>270</v>
      </c>
      <c r="JC39" s="94" t="s">
        <v>270</v>
      </c>
      <c r="JD39" s="94" t="s">
        <v>270</v>
      </c>
      <c r="JE39" s="94" t="s">
        <v>270</v>
      </c>
      <c r="JF39" s="94" t="s">
        <v>270</v>
      </c>
      <c r="JG39" s="94" t="s">
        <v>270</v>
      </c>
      <c r="JH39" s="94" t="s">
        <v>270</v>
      </c>
      <c r="JI39" s="94" t="s">
        <v>270</v>
      </c>
      <c r="JJ39" s="94" t="s">
        <v>270</v>
      </c>
      <c r="JK39" s="94" t="s">
        <v>270</v>
      </c>
      <c r="JL39" s="94" t="s">
        <v>270</v>
      </c>
      <c r="JM39" s="94" t="s">
        <v>270</v>
      </c>
    </row>
    <row r="40" spans="1:273">
      <c r="A40" s="94" t="s">
        <v>626</v>
      </c>
      <c r="B40" s="94" t="s">
        <v>688</v>
      </c>
      <c r="C40" s="94" t="s">
        <v>728</v>
      </c>
      <c r="D40" s="95">
        <v>41505</v>
      </c>
      <c r="E40" s="94" t="s">
        <v>731</v>
      </c>
      <c r="F40" s="94">
        <v>0.59795517722000002</v>
      </c>
      <c r="G40" s="94">
        <v>61.890243902439003</v>
      </c>
      <c r="H40" s="94">
        <v>20.020000457799998</v>
      </c>
      <c r="I40" s="94">
        <v>1</v>
      </c>
      <c r="J40" s="94">
        <v>0</v>
      </c>
      <c r="K40" s="94">
        <v>0</v>
      </c>
      <c r="L40" s="94" t="s">
        <v>630</v>
      </c>
      <c r="M40" s="94" t="s">
        <v>631</v>
      </c>
      <c r="N40" s="94">
        <v>1.9785992088923538E-23</v>
      </c>
      <c r="O40" s="96" t="s">
        <v>270</v>
      </c>
      <c r="P40" s="94">
        <v>12.212296924865477</v>
      </c>
      <c r="Q40" s="94">
        <v>0.63878546400937852</v>
      </c>
      <c r="R40" s="94">
        <v>2.5502351091562718</v>
      </c>
      <c r="S40" s="94">
        <v>0.55680464053460943</v>
      </c>
      <c r="T40" s="94" t="s">
        <v>270</v>
      </c>
      <c r="U40" s="94" t="s">
        <v>270</v>
      </c>
      <c r="V40" s="94" t="s">
        <v>632</v>
      </c>
      <c r="W40" s="94" t="s">
        <v>270</v>
      </c>
      <c r="X40" s="94">
        <v>3.8000000000000012</v>
      </c>
      <c r="Y40" s="94">
        <v>0.31622776601683772</v>
      </c>
      <c r="Z40" s="94" t="s">
        <v>632</v>
      </c>
      <c r="AA40" s="94" t="s">
        <v>270</v>
      </c>
      <c r="AB40" s="94" t="s">
        <v>632</v>
      </c>
      <c r="AC40" s="94" t="s">
        <v>270</v>
      </c>
      <c r="AD40" s="94" t="s">
        <v>644</v>
      </c>
      <c r="AE40" s="94" t="s">
        <v>82</v>
      </c>
      <c r="AF40" s="94">
        <v>5.7743747591899071E-20</v>
      </c>
      <c r="AG40" s="94">
        <v>5</v>
      </c>
      <c r="AH40" s="97">
        <v>42880.56287037037</v>
      </c>
      <c r="AI40" s="94" t="s">
        <v>645</v>
      </c>
      <c r="AJ40" s="98" t="s">
        <v>732</v>
      </c>
      <c r="AK40" s="96">
        <v>160.74041597004108</v>
      </c>
      <c r="AL40" s="96">
        <v>1.066973433946282</v>
      </c>
      <c r="AM40" s="96">
        <v>6.5820285881071694E-2</v>
      </c>
      <c r="AN40" s="96" t="s">
        <v>270</v>
      </c>
      <c r="AO40" s="96" t="s">
        <v>270</v>
      </c>
      <c r="AP40" s="96">
        <v>0.36778531542985604</v>
      </c>
      <c r="AQ40" s="96">
        <v>-0.9790330775349213</v>
      </c>
      <c r="AR40" s="96">
        <v>21.104406480569263</v>
      </c>
      <c r="AS40" s="96">
        <v>546232.27096792147</v>
      </c>
      <c r="AT40" s="96" t="s">
        <v>270</v>
      </c>
      <c r="AU40" s="96" t="s">
        <v>270</v>
      </c>
      <c r="AV40" s="94">
        <v>7.36279634517406E-6</v>
      </c>
      <c r="AW40" s="94">
        <v>7.3627963451740605E-8</v>
      </c>
      <c r="AX40" s="94">
        <v>4.0391994785784199E-7</v>
      </c>
      <c r="AY40" s="94">
        <v>6.0587992178676302E-9</v>
      </c>
      <c r="AZ40" s="94" t="s">
        <v>270</v>
      </c>
      <c r="BA40" s="94" t="s">
        <v>270</v>
      </c>
      <c r="BB40" s="94" t="s">
        <v>270</v>
      </c>
      <c r="BC40" s="94" t="s">
        <v>270</v>
      </c>
      <c r="BD40" s="94" t="s">
        <v>270</v>
      </c>
      <c r="BE40" s="94" t="s">
        <v>270</v>
      </c>
      <c r="BF40" s="94" t="s">
        <v>270</v>
      </c>
      <c r="BG40" s="94" t="s">
        <v>270</v>
      </c>
      <c r="BH40" s="94" t="s">
        <v>270</v>
      </c>
      <c r="BI40" s="94" t="s">
        <v>270</v>
      </c>
      <c r="BJ40" s="94" t="s">
        <v>270</v>
      </c>
      <c r="BK40" s="94" t="s">
        <v>270</v>
      </c>
      <c r="BL40" s="94" t="s">
        <v>270</v>
      </c>
      <c r="BM40" s="94" t="s">
        <v>270</v>
      </c>
      <c r="BN40" s="94" t="s">
        <v>270</v>
      </c>
      <c r="BO40" s="94" t="s">
        <v>270</v>
      </c>
      <c r="BP40" s="94" t="s">
        <v>270</v>
      </c>
      <c r="BQ40" s="94" t="s">
        <v>270</v>
      </c>
      <c r="BR40" s="94" t="s">
        <v>270</v>
      </c>
      <c r="BS40" s="94" t="s">
        <v>270</v>
      </c>
      <c r="BT40" s="94" t="s">
        <v>270</v>
      </c>
      <c r="BU40" s="94" t="s">
        <v>270</v>
      </c>
      <c r="BV40" s="94" t="s">
        <v>270</v>
      </c>
      <c r="BW40" s="94" t="s">
        <v>270</v>
      </c>
      <c r="BX40" s="94" t="s">
        <v>270</v>
      </c>
      <c r="BY40" s="94" t="s">
        <v>270</v>
      </c>
      <c r="BZ40" s="94" t="s">
        <v>270</v>
      </c>
      <c r="CA40" s="94" t="s">
        <v>270</v>
      </c>
      <c r="CB40" s="94" t="s">
        <v>270</v>
      </c>
      <c r="CC40" s="94" t="s">
        <v>270</v>
      </c>
      <c r="CD40" s="94" t="s">
        <v>270</v>
      </c>
      <c r="CE40" s="94" t="s">
        <v>270</v>
      </c>
      <c r="CF40" s="94" t="s">
        <v>270</v>
      </c>
      <c r="CG40" s="94" t="s">
        <v>270</v>
      </c>
      <c r="CH40" s="94" t="s">
        <v>270</v>
      </c>
      <c r="CI40" s="94" t="s">
        <v>270</v>
      </c>
      <c r="CJ40" s="94" t="s">
        <v>270</v>
      </c>
      <c r="CK40" s="94" t="s">
        <v>270</v>
      </c>
      <c r="CL40" s="94" t="s">
        <v>270</v>
      </c>
      <c r="CM40" s="94" t="s">
        <v>270</v>
      </c>
      <c r="CN40" s="94" t="s">
        <v>270</v>
      </c>
      <c r="CO40" s="94" t="s">
        <v>270</v>
      </c>
      <c r="CP40" s="94" t="s">
        <v>270</v>
      </c>
      <c r="CQ40" s="94" t="s">
        <v>270</v>
      </c>
      <c r="CR40" s="94">
        <v>0.68990655298981096</v>
      </c>
      <c r="CS40" s="94">
        <v>6.8990655298981102E-2</v>
      </c>
      <c r="CT40" s="94" t="s">
        <v>270</v>
      </c>
      <c r="CU40" s="94" t="s">
        <v>270</v>
      </c>
      <c r="CV40" s="94" t="s">
        <v>270</v>
      </c>
      <c r="CW40" s="94" t="s">
        <v>270</v>
      </c>
      <c r="CX40" s="94">
        <v>23.403517875689399</v>
      </c>
      <c r="CY40" s="94">
        <v>2.3403517875689399</v>
      </c>
      <c r="CZ40" s="94">
        <v>0.22234188776764399</v>
      </c>
      <c r="DA40" s="94">
        <v>2.2234188776764401E-2</v>
      </c>
      <c r="DB40" s="94">
        <v>16.4822830633439</v>
      </c>
      <c r="DC40" s="94">
        <v>1.6482283063343901</v>
      </c>
      <c r="DD40" s="94">
        <v>22.0824839531031</v>
      </c>
      <c r="DE40" s="94">
        <v>2.20824839531031</v>
      </c>
      <c r="DF40" s="94" t="s">
        <v>270</v>
      </c>
      <c r="DG40" s="94" t="s">
        <v>270</v>
      </c>
      <c r="DH40" s="94" t="s">
        <v>270</v>
      </c>
      <c r="DI40" s="94" t="s">
        <v>270</v>
      </c>
      <c r="DJ40" s="94">
        <v>0.99994224440269375</v>
      </c>
      <c r="DK40" s="94">
        <v>0.99257107599482886</v>
      </c>
      <c r="DL40" s="94">
        <v>1.4017268767681256E-2</v>
      </c>
      <c r="DM40" s="94">
        <v>0.99246546235562749</v>
      </c>
      <c r="DN40" s="94">
        <v>4.5522303754541221E-8</v>
      </c>
      <c r="DO40" s="94">
        <v>1.9541612931457705E-7</v>
      </c>
      <c r="DP40" s="94">
        <v>3.6285790272992137E-4</v>
      </c>
      <c r="DQ40" s="94">
        <v>8.4494830784634315E-8</v>
      </c>
      <c r="DR40" s="94">
        <v>1.2071708560311795E-8</v>
      </c>
      <c r="DS40" s="94">
        <v>1.3682640103922502E-2</v>
      </c>
      <c r="DT40" s="94">
        <v>7.4284355336841591E-3</v>
      </c>
      <c r="DU40" s="94">
        <v>3.7719144053356837E-4</v>
      </c>
      <c r="DV40" s="94">
        <v>5.6486317171160324E-8</v>
      </c>
      <c r="DW40" s="94">
        <v>1.0862740044351433E-8</v>
      </c>
      <c r="DX40" s="94">
        <v>2.5868118473711427E-7</v>
      </c>
      <c r="DY40" s="94">
        <v>1.3363231971978866E-8</v>
      </c>
      <c r="DZ40" s="94">
        <v>4.6363274284460998E-8</v>
      </c>
      <c r="EA40" s="94">
        <v>2.381919591951955E-5</v>
      </c>
      <c r="EB40" s="94">
        <v>2.9072680244381514E-9</v>
      </c>
      <c r="EC40" s="94">
        <v>2.2187045449659633E-10</v>
      </c>
      <c r="ED40" s="94">
        <v>5.0298673519297045E-3</v>
      </c>
      <c r="EE40" s="94">
        <v>5.3417224596387283E-4</v>
      </c>
      <c r="EF40" s="94">
        <v>8.9258228820469129E-7</v>
      </c>
      <c r="EG40" s="94">
        <v>3.5958315039103396E-9</v>
      </c>
      <c r="EH40" s="94">
        <v>1.4791363633106372E-9</v>
      </c>
      <c r="EI40" s="94">
        <v>8.1607523493002043E-10</v>
      </c>
      <c r="EJ40" s="94">
        <v>5.8885535726520087E-8</v>
      </c>
      <c r="EK40" s="94">
        <v>2.4177940359903805E-7</v>
      </c>
      <c r="EL40" s="94">
        <v>3.8667709864944092E-4</v>
      </c>
      <c r="EM40" s="94">
        <v>8.7402098809072466E-8</v>
      </c>
      <c r="EN40" s="94">
        <v>1.2293579014808391E-8</v>
      </c>
      <c r="EO40" s="94">
        <v>1.8712507455852206E-2</v>
      </c>
      <c r="EP40" s="94">
        <v>7.9626077796480319E-3</v>
      </c>
      <c r="EQ40" s="94">
        <v>3.7808402282177306E-4</v>
      </c>
      <c r="ER40" s="94">
        <v>6.0082148675070663E-8</v>
      </c>
      <c r="ES40" s="94">
        <v>1.2341876407662071E-8</v>
      </c>
      <c r="ET40" s="94">
        <v>2.5949725997204429E-7</v>
      </c>
      <c r="EU40" s="94">
        <v>2.0299950224940896E-6</v>
      </c>
      <c r="EV40" s="94">
        <v>8.7143349013085978E-6</v>
      </c>
      <c r="EW40" s="94">
        <v>1.6203590045140888E-2</v>
      </c>
      <c r="EX40" s="94">
        <v>3.780168921401301E-6</v>
      </c>
      <c r="EY40" s="94">
        <v>5.4217646304967735E-7</v>
      </c>
      <c r="EZ40" s="94">
        <v>0.61079768655362365</v>
      </c>
      <c r="FA40" s="94">
        <v>0.33140030784120905</v>
      </c>
      <c r="FB40" s="94">
        <v>1.6943068847608891E-2</v>
      </c>
      <c r="FC40" s="94">
        <v>2.5199899513773744E-6</v>
      </c>
      <c r="FD40" s="94">
        <v>4.8461286072596541E-7</v>
      </c>
      <c r="FE40" s="94">
        <v>1.1540387456535105E-5</v>
      </c>
      <c r="FF40" s="94">
        <v>5.9591216063718662E-7</v>
      </c>
      <c r="FG40" s="94">
        <v>2.0675115235018828E-6</v>
      </c>
      <c r="FH40" s="94">
        <v>1.06365737932421E-3</v>
      </c>
      <c r="FI40" s="94">
        <v>1.3006670502929046E-7</v>
      </c>
      <c r="FJ40" s="94">
        <v>9.96486434983004E-9</v>
      </c>
      <c r="FK40" s="94">
        <v>0.22454281598284509</v>
      </c>
      <c r="FL40" s="94">
        <v>2.3830703780081286E-2</v>
      </c>
      <c r="FM40" s="94">
        <v>4.0093919257064292E-5</v>
      </c>
      <c r="FN40" s="94">
        <v>1.6041865907531119E-7</v>
      </c>
      <c r="FO40" s="94">
        <v>6.5987817208283965E-8</v>
      </c>
      <c r="FP40" s="94">
        <v>3.6407071563190628E-8</v>
      </c>
      <c r="FQ40" s="94">
        <v>2.6259071831312762E-6</v>
      </c>
      <c r="FR40" s="94">
        <v>1.0781846424810481E-5</v>
      </c>
      <c r="FS40" s="94">
        <v>1.7267247424465098E-2</v>
      </c>
      <c r="FT40" s="94">
        <v>3.9102356264305914E-6</v>
      </c>
      <c r="FU40" s="94">
        <v>5.5214132739950739E-7</v>
      </c>
      <c r="FV40" s="94">
        <v>0.83534050253646874</v>
      </c>
      <c r="FW40" s="94">
        <v>0.35523101162129034</v>
      </c>
      <c r="FX40" s="94">
        <v>1.6983162766865956E-2</v>
      </c>
      <c r="FY40" s="94">
        <v>2.6804086104526856E-6</v>
      </c>
      <c r="FZ40" s="94">
        <v>5.5060067793424938E-7</v>
      </c>
      <c r="GA40" s="94">
        <v>1.1576794528098296E-5</v>
      </c>
      <c r="GB40" s="94">
        <v>8.1252990829342975E-6</v>
      </c>
      <c r="GC40" s="94">
        <v>1.7585266400793712E-4</v>
      </c>
      <c r="GD40" s="94">
        <v>0.64730101512328819</v>
      </c>
      <c r="GE40" s="94">
        <v>3.1677059527558622E-4</v>
      </c>
      <c r="GF40" s="94">
        <v>7.1183974363181297E-5</v>
      </c>
      <c r="GG40" s="94">
        <v>17.110519912501282</v>
      </c>
      <c r="GH40" s="94">
        <v>10.60441217054928</v>
      </c>
      <c r="GI40" s="94">
        <v>0.74565598844884351</v>
      </c>
      <c r="GJ40" s="94">
        <v>4.0426837995373473E-5</v>
      </c>
      <c r="GK40" s="94">
        <v>9.7692137368025919E-7</v>
      </c>
      <c r="GL40" s="94">
        <v>5.0792476504698831E-4</v>
      </c>
      <c r="GM40" s="94" t="s">
        <v>270</v>
      </c>
      <c r="GN40" s="94" t="s">
        <v>270</v>
      </c>
      <c r="GO40" s="94" t="s">
        <v>270</v>
      </c>
      <c r="GP40" s="94" t="s">
        <v>270</v>
      </c>
      <c r="GQ40" s="94" t="s">
        <v>270</v>
      </c>
      <c r="GR40" s="94" t="s">
        <v>270</v>
      </c>
      <c r="GS40" s="94" t="s">
        <v>270</v>
      </c>
      <c r="GT40" s="94" t="s">
        <v>270</v>
      </c>
      <c r="GU40" s="94" t="s">
        <v>270</v>
      </c>
      <c r="GV40" s="94" t="s">
        <v>270</v>
      </c>
      <c r="GW40" s="94" t="s">
        <v>270</v>
      </c>
      <c r="GX40" s="94" t="s">
        <v>270</v>
      </c>
      <c r="GY40" s="94" t="s">
        <v>270</v>
      </c>
      <c r="GZ40" s="94" t="s">
        <v>270</v>
      </c>
      <c r="HA40" s="94" t="s">
        <v>270</v>
      </c>
      <c r="HB40" s="94" t="s">
        <v>270</v>
      </c>
      <c r="HC40" s="94" t="s">
        <v>270</v>
      </c>
      <c r="HD40" s="94" t="s">
        <v>270</v>
      </c>
      <c r="HE40" s="94" t="s">
        <v>270</v>
      </c>
      <c r="HF40" s="94" t="s">
        <v>270</v>
      </c>
      <c r="HG40" s="94" t="s">
        <v>270</v>
      </c>
      <c r="HH40" s="94" t="s">
        <v>270</v>
      </c>
      <c r="HI40" s="94" t="s">
        <v>270</v>
      </c>
      <c r="HJ40" s="94" t="s">
        <v>270</v>
      </c>
      <c r="HK40" s="94" t="s">
        <v>270</v>
      </c>
      <c r="HL40" s="94" t="s">
        <v>270</v>
      </c>
      <c r="HM40" s="94" t="s">
        <v>270</v>
      </c>
      <c r="HN40" s="94" t="s">
        <v>270</v>
      </c>
      <c r="HO40" s="94" t="s">
        <v>270</v>
      </c>
      <c r="HP40" s="94" t="s">
        <v>270</v>
      </c>
      <c r="HQ40" s="94" t="s">
        <v>270</v>
      </c>
      <c r="HR40" s="94" t="s">
        <v>270</v>
      </c>
      <c r="HS40" s="94" t="s">
        <v>270</v>
      </c>
      <c r="HT40" s="94" t="s">
        <v>270</v>
      </c>
      <c r="HU40" s="94" t="s">
        <v>270</v>
      </c>
      <c r="HV40" s="94" t="s">
        <v>270</v>
      </c>
      <c r="HW40" s="94" t="s">
        <v>270</v>
      </c>
      <c r="HX40" s="94" t="s">
        <v>270</v>
      </c>
      <c r="HY40" s="94" t="s">
        <v>270</v>
      </c>
      <c r="HZ40" s="94" t="s">
        <v>270</v>
      </c>
      <c r="IA40" s="94" t="s">
        <v>270</v>
      </c>
      <c r="IB40" s="94" t="s">
        <v>270</v>
      </c>
      <c r="IC40" s="94" t="s">
        <v>270</v>
      </c>
      <c r="ID40" s="94" t="s">
        <v>270</v>
      </c>
      <c r="IE40" s="94" t="s">
        <v>270</v>
      </c>
      <c r="IF40" s="94" t="s">
        <v>270</v>
      </c>
      <c r="IG40" s="94" t="s">
        <v>270</v>
      </c>
      <c r="IH40" s="94" t="s">
        <v>270</v>
      </c>
      <c r="II40" s="94" t="s">
        <v>270</v>
      </c>
      <c r="IJ40" s="94" t="s">
        <v>270</v>
      </c>
      <c r="IK40" s="94" t="s">
        <v>270</v>
      </c>
      <c r="IL40" s="94" t="s">
        <v>270</v>
      </c>
      <c r="IM40" s="94" t="s">
        <v>270</v>
      </c>
      <c r="IN40" s="94" t="s">
        <v>270</v>
      </c>
      <c r="IO40" s="94" t="s">
        <v>270</v>
      </c>
      <c r="IP40" s="94" t="s">
        <v>270</v>
      </c>
      <c r="IQ40" s="94" t="s">
        <v>270</v>
      </c>
      <c r="IR40" s="94" t="s">
        <v>270</v>
      </c>
      <c r="IS40" s="94" t="s">
        <v>270</v>
      </c>
      <c r="IT40" s="94" t="s">
        <v>270</v>
      </c>
      <c r="IU40" s="94" t="s">
        <v>270</v>
      </c>
      <c r="IV40" s="94" t="s">
        <v>270</v>
      </c>
      <c r="IW40" s="94" t="s">
        <v>270</v>
      </c>
      <c r="IX40" s="94" t="s">
        <v>270</v>
      </c>
      <c r="IY40" s="94" t="s">
        <v>270</v>
      </c>
      <c r="IZ40" s="94" t="s">
        <v>270</v>
      </c>
      <c r="JA40" s="94" t="s">
        <v>270</v>
      </c>
      <c r="JB40" s="94" t="s">
        <v>270</v>
      </c>
      <c r="JC40" s="94" t="s">
        <v>270</v>
      </c>
      <c r="JD40" s="94" t="s">
        <v>270</v>
      </c>
      <c r="JE40" s="94" t="s">
        <v>270</v>
      </c>
      <c r="JF40" s="94" t="s">
        <v>270</v>
      </c>
      <c r="JG40" s="94" t="s">
        <v>270</v>
      </c>
      <c r="JH40" s="94" t="s">
        <v>270</v>
      </c>
      <c r="JI40" s="94" t="s">
        <v>270</v>
      </c>
      <c r="JJ40" s="94" t="s">
        <v>270</v>
      </c>
      <c r="JK40" s="94" t="s">
        <v>270</v>
      </c>
      <c r="JL40" s="94" t="s">
        <v>270</v>
      </c>
      <c r="JM40" s="94" t="s">
        <v>270</v>
      </c>
    </row>
    <row r="41" spans="1:273">
      <c r="A41" s="94" t="s">
        <v>626</v>
      </c>
      <c r="B41" s="94" t="s">
        <v>688</v>
      </c>
      <c r="C41" s="94" t="s">
        <v>733</v>
      </c>
      <c r="D41" s="95">
        <v>41522</v>
      </c>
      <c r="E41" s="94" t="s">
        <v>734</v>
      </c>
      <c r="F41" s="94">
        <v>6.4662381120000001E-2</v>
      </c>
      <c r="G41" s="94">
        <v>64.634146341463406</v>
      </c>
      <c r="H41" s="94">
        <v>18.7999992371</v>
      </c>
      <c r="I41" s="94">
        <v>1</v>
      </c>
      <c r="J41" s="94">
        <v>0</v>
      </c>
      <c r="K41" s="94">
        <v>0</v>
      </c>
      <c r="L41" s="94" t="s">
        <v>630</v>
      </c>
      <c r="M41" s="94" t="s">
        <v>631</v>
      </c>
      <c r="N41" s="94">
        <v>3.0562918786647569E-26</v>
      </c>
      <c r="O41" s="96" t="s">
        <v>270</v>
      </c>
      <c r="P41" s="94">
        <v>13.600681268230268</v>
      </c>
      <c r="Q41" s="94">
        <v>0.67124283591740497</v>
      </c>
      <c r="R41" s="94">
        <v>2.515208612969845</v>
      </c>
      <c r="S41" s="94">
        <v>0.55725110683982737</v>
      </c>
      <c r="T41" s="94" t="s">
        <v>270</v>
      </c>
      <c r="U41" s="94" t="s">
        <v>270</v>
      </c>
      <c r="V41" s="94" t="s">
        <v>632</v>
      </c>
      <c r="W41" s="94" t="s">
        <v>270</v>
      </c>
      <c r="X41" s="94">
        <v>2.5000000000000004</v>
      </c>
      <c r="Y41" s="94">
        <v>0.31622776601684122</v>
      </c>
      <c r="Z41" s="94" t="s">
        <v>632</v>
      </c>
      <c r="AA41" s="94" t="s">
        <v>270</v>
      </c>
      <c r="AB41" s="94" t="s">
        <v>632</v>
      </c>
      <c r="AC41" s="94" t="s">
        <v>270</v>
      </c>
      <c r="AD41" s="94" t="s">
        <v>644</v>
      </c>
      <c r="AE41" s="94" t="s">
        <v>82</v>
      </c>
      <c r="AF41" s="94">
        <v>2.7068903605989308E-11</v>
      </c>
      <c r="AG41" s="94">
        <v>4</v>
      </c>
      <c r="AH41" s="97">
        <v>42880.56287037037</v>
      </c>
      <c r="AI41" s="94" t="s">
        <v>645</v>
      </c>
      <c r="AJ41" s="98" t="s">
        <v>735</v>
      </c>
      <c r="AK41" s="96">
        <v>0.66996478556476236</v>
      </c>
      <c r="AL41" s="96">
        <v>0.65437156425603371</v>
      </c>
      <c r="AM41" s="96">
        <v>6.6715689578923376E-2</v>
      </c>
      <c r="AN41" s="96" t="s">
        <v>270</v>
      </c>
      <c r="AO41" s="96" t="s">
        <v>270</v>
      </c>
      <c r="AP41" s="96">
        <v>0.2971471029095698</v>
      </c>
      <c r="AQ41" s="96">
        <v>-0.97565377089629512</v>
      </c>
      <c r="AR41" s="96">
        <v>111.31791607371163</v>
      </c>
      <c r="AS41" s="96">
        <v>466.98332261889811</v>
      </c>
      <c r="AT41" s="96" t="s">
        <v>270</v>
      </c>
      <c r="AU41" s="96" t="s">
        <v>270</v>
      </c>
      <c r="AV41" s="94">
        <v>7.5800000000000004E-8</v>
      </c>
      <c r="AW41" s="94">
        <v>7.5800000000000007E-10</v>
      </c>
      <c r="AX41" s="94">
        <v>3.2020000000000002E-7</v>
      </c>
      <c r="AY41" s="94">
        <v>3.9E-10</v>
      </c>
      <c r="AZ41" s="94" t="s">
        <v>270</v>
      </c>
      <c r="BA41" s="94" t="s">
        <v>270</v>
      </c>
      <c r="BB41" s="94" t="s">
        <v>270</v>
      </c>
      <c r="BC41" s="94" t="s">
        <v>270</v>
      </c>
      <c r="BD41" s="94" t="s">
        <v>270</v>
      </c>
      <c r="BE41" s="94" t="s">
        <v>270</v>
      </c>
      <c r="BF41" s="94" t="s">
        <v>270</v>
      </c>
      <c r="BG41" s="94" t="s">
        <v>270</v>
      </c>
      <c r="BH41" s="94" t="s">
        <v>270</v>
      </c>
      <c r="BI41" s="94" t="s">
        <v>270</v>
      </c>
      <c r="BJ41" s="94" t="s">
        <v>270</v>
      </c>
      <c r="BK41" s="94" t="s">
        <v>270</v>
      </c>
      <c r="BL41" s="94" t="s">
        <v>270</v>
      </c>
      <c r="BM41" s="94" t="s">
        <v>270</v>
      </c>
      <c r="BN41" s="94" t="s">
        <v>270</v>
      </c>
      <c r="BO41" s="94" t="s">
        <v>270</v>
      </c>
      <c r="BP41" s="94" t="s">
        <v>270</v>
      </c>
      <c r="BQ41" s="94" t="s">
        <v>270</v>
      </c>
      <c r="BR41" s="94" t="s">
        <v>270</v>
      </c>
      <c r="BS41" s="94" t="s">
        <v>270</v>
      </c>
      <c r="BT41" s="94" t="s">
        <v>270</v>
      </c>
      <c r="BU41" s="94" t="s">
        <v>270</v>
      </c>
      <c r="BV41" s="94" t="s">
        <v>270</v>
      </c>
      <c r="BW41" s="94" t="s">
        <v>270</v>
      </c>
      <c r="BX41" s="94" t="s">
        <v>270</v>
      </c>
      <c r="BY41" s="94" t="s">
        <v>270</v>
      </c>
      <c r="BZ41" s="94" t="s">
        <v>270</v>
      </c>
      <c r="CA41" s="94" t="s">
        <v>270</v>
      </c>
      <c r="CB41" s="94" t="s">
        <v>270</v>
      </c>
      <c r="CC41" s="94" t="s">
        <v>270</v>
      </c>
      <c r="CD41" s="94" t="s">
        <v>270</v>
      </c>
      <c r="CE41" s="94" t="s">
        <v>270</v>
      </c>
      <c r="CF41" s="94" t="s">
        <v>270</v>
      </c>
      <c r="CG41" s="94" t="s">
        <v>270</v>
      </c>
      <c r="CH41" s="94" t="s">
        <v>270</v>
      </c>
      <c r="CI41" s="94" t="s">
        <v>270</v>
      </c>
      <c r="CJ41" s="94" t="s">
        <v>270</v>
      </c>
      <c r="CK41" s="94" t="s">
        <v>270</v>
      </c>
      <c r="CL41" s="94" t="s">
        <v>270</v>
      </c>
      <c r="CM41" s="94" t="s">
        <v>270</v>
      </c>
      <c r="CN41" s="94" t="s">
        <v>270</v>
      </c>
      <c r="CO41" s="94" t="s">
        <v>270</v>
      </c>
      <c r="CP41" s="94" t="s">
        <v>270</v>
      </c>
      <c r="CQ41" s="94" t="s">
        <v>270</v>
      </c>
      <c r="CR41" s="94">
        <v>0.671547047127945</v>
      </c>
      <c r="CS41" s="94">
        <v>6.71547047127945E-2</v>
      </c>
      <c r="CT41" s="94" t="s">
        <v>270</v>
      </c>
      <c r="CU41" s="94" t="s">
        <v>270</v>
      </c>
      <c r="CV41" s="94" t="s">
        <v>270</v>
      </c>
      <c r="CW41" s="94" t="s">
        <v>270</v>
      </c>
      <c r="CX41" s="94">
        <v>21.640836349807099</v>
      </c>
      <c r="CY41" s="94">
        <v>2.16408363498071</v>
      </c>
      <c r="CZ41" s="94">
        <v>0.25102677834305298</v>
      </c>
      <c r="DA41" s="94">
        <v>2.5102677834305299E-2</v>
      </c>
      <c r="DB41" s="94">
        <v>80.120938337504001</v>
      </c>
      <c r="DC41" s="94">
        <v>8.0120938337504004</v>
      </c>
      <c r="DD41" s="94">
        <v>1.83497860568748E-2</v>
      </c>
      <c r="DE41" s="94">
        <v>1.8349786056874801E-3</v>
      </c>
      <c r="DF41" s="94" t="s">
        <v>270</v>
      </c>
      <c r="DG41" s="94" t="s">
        <v>270</v>
      </c>
      <c r="DH41" s="94" t="s">
        <v>270</v>
      </c>
      <c r="DI41" s="94" t="s">
        <v>270</v>
      </c>
      <c r="DJ41" s="94">
        <v>0.99935134218631561</v>
      </c>
      <c r="DK41" s="94">
        <v>0.99224299550553974</v>
      </c>
      <c r="DL41" s="94">
        <v>1.5355761049841014E-2</v>
      </c>
      <c r="DM41" s="94">
        <v>0.99212202317587228</v>
      </c>
      <c r="DN41" s="94">
        <v>4.5390178676351754E-8</v>
      </c>
      <c r="DO41" s="94">
        <v>1.9354781411755774E-7</v>
      </c>
      <c r="DP41" s="94">
        <v>3.5311386882852671E-4</v>
      </c>
      <c r="DQ41" s="94">
        <v>8.1615848503233218E-8</v>
      </c>
      <c r="DR41" s="94">
        <v>1.1556308503462775E-8</v>
      </c>
      <c r="DS41" s="94">
        <v>1.3348984380307273E-2</v>
      </c>
      <c r="DT41" s="94">
        <v>7.2269628700612001E-3</v>
      </c>
      <c r="DU41" s="94">
        <v>3.6105804387992539E-4</v>
      </c>
      <c r="DV41" s="94">
        <v>5.4818964915624502E-8</v>
      </c>
      <c r="DW41" s="94">
        <v>1.0747123161550145E-8</v>
      </c>
      <c r="DX41" s="94">
        <v>2.4705494181964584E-7</v>
      </c>
      <c r="DY41" s="94">
        <v>1.317969313196199E-8</v>
      </c>
      <c r="DZ41" s="94">
        <v>4.572649258379179E-8</v>
      </c>
      <c r="EA41" s="94">
        <v>2.3492048445138375E-5</v>
      </c>
      <c r="EB41" s="94">
        <v>2.8673378187856161E-9</v>
      </c>
      <c r="EC41" s="94">
        <v>2.1882314932837654E-10</v>
      </c>
      <c r="ED41" s="94">
        <v>3.963016131046191E-3</v>
      </c>
      <c r="EE41" s="94">
        <v>5.2683559607266325E-4</v>
      </c>
      <c r="EF41" s="94">
        <v>8.8032301453946481E-7</v>
      </c>
      <c r="EG41" s="94">
        <v>3.5464441442874833E-9</v>
      </c>
      <c r="EH41" s="94">
        <v>1.4588209955225103E-9</v>
      </c>
      <c r="EI41" s="94">
        <v>8.048667561503651E-10</v>
      </c>
      <c r="EJ41" s="94">
        <v>5.8569871808313744E-8</v>
      </c>
      <c r="EK41" s="94">
        <v>2.3927430670134953E-7</v>
      </c>
      <c r="EL41" s="94">
        <v>3.7660591727366508E-4</v>
      </c>
      <c r="EM41" s="94">
        <v>8.4483186322018834E-8</v>
      </c>
      <c r="EN41" s="94">
        <v>1.1775131652791152E-8</v>
      </c>
      <c r="EO41" s="94">
        <v>1.7312000511353464E-2</v>
      </c>
      <c r="EP41" s="94">
        <v>7.7537984661338634E-3</v>
      </c>
      <c r="EQ41" s="94">
        <v>3.6193836689446486E-4</v>
      </c>
      <c r="ER41" s="94">
        <v>5.8365409059911985E-8</v>
      </c>
      <c r="ES41" s="94">
        <v>1.2205944157072655E-8</v>
      </c>
      <c r="ET41" s="94">
        <v>2.478598085757962E-7</v>
      </c>
      <c r="EU41" s="94">
        <v>2.0229069978374873E-6</v>
      </c>
      <c r="EV41" s="94">
        <v>8.6259193670003739E-6</v>
      </c>
      <c r="EW41" s="94">
        <v>1.575914747598919E-2</v>
      </c>
      <c r="EX41" s="94">
        <v>3.6492099511866716E-6</v>
      </c>
      <c r="EY41" s="94">
        <v>5.187215954397508E-7</v>
      </c>
      <c r="EZ41" s="94">
        <v>0.59555104124176217</v>
      </c>
      <c r="FA41" s="94">
        <v>0.32222160453851734</v>
      </c>
      <c r="FB41" s="94">
        <v>1.6208788498206242E-2</v>
      </c>
      <c r="FC41" s="94">
        <v>2.4441601751447261E-6</v>
      </c>
      <c r="FD41" s="94">
        <v>4.7917158722837412E-7</v>
      </c>
      <c r="FE41" s="94">
        <v>1.10151997725183E-5</v>
      </c>
      <c r="FF41" s="94">
        <v>5.8738022725359069E-7</v>
      </c>
      <c r="FG41" s="94">
        <v>2.0379100624921362E-6</v>
      </c>
      <c r="FH41" s="94">
        <v>1.048428534365483E-3</v>
      </c>
      <c r="FI41" s="94">
        <v>1.2820448348719742E-7</v>
      </c>
      <c r="FJ41" s="94">
        <v>9.8221930562648307E-9</v>
      </c>
      <c r="FK41" s="94">
        <v>0.17686372718340893</v>
      </c>
      <c r="FL41" s="94">
        <v>2.3489509237384854E-2</v>
      </c>
      <c r="FM41" s="94">
        <v>3.9519877190488661E-5</v>
      </c>
      <c r="FN41" s="94">
        <v>1.5812187541636885E-7</v>
      </c>
      <c r="FO41" s="94">
        <v>6.5043040951414162E-8</v>
      </c>
      <c r="FP41" s="94">
        <v>3.5885815697332419E-8</v>
      </c>
      <c r="FQ41" s="94">
        <v>2.610287225091078E-6</v>
      </c>
      <c r="FR41" s="94">
        <v>1.066382942949251E-5</v>
      </c>
      <c r="FS41" s="94">
        <v>1.6807576010354673E-2</v>
      </c>
      <c r="FT41" s="94">
        <v>3.777414434673869E-6</v>
      </c>
      <c r="FU41" s="94">
        <v>5.2854378849601563E-7</v>
      </c>
      <c r="FV41" s="94">
        <v>0.77241476842517109</v>
      </c>
      <c r="FW41" s="94">
        <v>0.34571111377590219</v>
      </c>
      <c r="FX41" s="94">
        <v>1.6248308375396731E-2</v>
      </c>
      <c r="FY41" s="94">
        <v>2.6022820505610949E-6</v>
      </c>
      <c r="FZ41" s="94">
        <v>5.4421462817978828E-7</v>
      </c>
      <c r="GA41" s="94">
        <v>1.1051085588215632E-5</v>
      </c>
      <c r="GB41" s="94">
        <v>8.0969284122656826E-6</v>
      </c>
      <c r="GC41" s="94">
        <v>1.7406846505025746E-4</v>
      </c>
      <c r="GD41" s="94">
        <v>0.62954642337081612</v>
      </c>
      <c r="GE41" s="94">
        <v>3.0579649548954073E-4</v>
      </c>
      <c r="GF41" s="94">
        <v>6.8104514430071211E-5</v>
      </c>
      <c r="GG41" s="94">
        <v>16.683409538721982</v>
      </c>
      <c r="GH41" s="94">
        <v>10.310704679307108</v>
      </c>
      <c r="GI41" s="94">
        <v>0.71334067741180762</v>
      </c>
      <c r="GJ41" s="94">
        <v>3.9210341843352255E-5</v>
      </c>
      <c r="GK41" s="94">
        <v>9.6595241926193481E-7</v>
      </c>
      <c r="GL41" s="94">
        <v>4.8480978454789339E-4</v>
      </c>
      <c r="GM41" s="94" t="s">
        <v>270</v>
      </c>
      <c r="GN41" s="94" t="s">
        <v>270</v>
      </c>
      <c r="GO41" s="94" t="s">
        <v>270</v>
      </c>
      <c r="GP41" s="94" t="s">
        <v>270</v>
      </c>
      <c r="GQ41" s="94" t="s">
        <v>270</v>
      </c>
      <c r="GR41" s="94" t="s">
        <v>270</v>
      </c>
      <c r="GS41" s="94" t="s">
        <v>270</v>
      </c>
      <c r="GT41" s="94" t="s">
        <v>270</v>
      </c>
      <c r="GU41" s="94" t="s">
        <v>270</v>
      </c>
      <c r="GV41" s="94" t="s">
        <v>270</v>
      </c>
      <c r="GW41" s="94" t="s">
        <v>270</v>
      </c>
      <c r="GX41" s="94" t="s">
        <v>270</v>
      </c>
      <c r="GY41" s="94" t="s">
        <v>270</v>
      </c>
      <c r="GZ41" s="94" t="s">
        <v>270</v>
      </c>
      <c r="HA41" s="94" t="s">
        <v>270</v>
      </c>
      <c r="HB41" s="94" t="s">
        <v>270</v>
      </c>
      <c r="HC41" s="94" t="s">
        <v>270</v>
      </c>
      <c r="HD41" s="94" t="s">
        <v>270</v>
      </c>
      <c r="HE41" s="94" t="s">
        <v>270</v>
      </c>
      <c r="HF41" s="94" t="s">
        <v>270</v>
      </c>
      <c r="HG41" s="94" t="s">
        <v>270</v>
      </c>
      <c r="HH41" s="94" t="s">
        <v>270</v>
      </c>
      <c r="HI41" s="94" t="s">
        <v>270</v>
      </c>
      <c r="HJ41" s="94" t="s">
        <v>270</v>
      </c>
      <c r="HK41" s="94" t="s">
        <v>270</v>
      </c>
      <c r="HL41" s="94" t="s">
        <v>270</v>
      </c>
      <c r="HM41" s="94" t="s">
        <v>270</v>
      </c>
      <c r="HN41" s="94" t="s">
        <v>270</v>
      </c>
      <c r="HO41" s="94" t="s">
        <v>270</v>
      </c>
      <c r="HP41" s="94" t="s">
        <v>270</v>
      </c>
      <c r="HQ41" s="94" t="s">
        <v>270</v>
      </c>
      <c r="HR41" s="94" t="s">
        <v>270</v>
      </c>
      <c r="HS41" s="94" t="s">
        <v>270</v>
      </c>
      <c r="HT41" s="94" t="s">
        <v>270</v>
      </c>
      <c r="HU41" s="94" t="s">
        <v>270</v>
      </c>
      <c r="HV41" s="94" t="s">
        <v>270</v>
      </c>
      <c r="HW41" s="94" t="s">
        <v>270</v>
      </c>
      <c r="HX41" s="94" t="s">
        <v>270</v>
      </c>
      <c r="HY41" s="94" t="s">
        <v>270</v>
      </c>
      <c r="HZ41" s="94" t="s">
        <v>270</v>
      </c>
      <c r="IA41" s="94" t="s">
        <v>270</v>
      </c>
      <c r="IB41" s="94" t="s">
        <v>270</v>
      </c>
      <c r="IC41" s="94" t="s">
        <v>270</v>
      </c>
      <c r="ID41" s="94" t="s">
        <v>270</v>
      </c>
      <c r="IE41" s="94" t="s">
        <v>270</v>
      </c>
      <c r="IF41" s="94" t="s">
        <v>270</v>
      </c>
      <c r="IG41" s="94" t="s">
        <v>270</v>
      </c>
      <c r="IH41" s="94" t="s">
        <v>270</v>
      </c>
      <c r="II41" s="94" t="s">
        <v>270</v>
      </c>
      <c r="IJ41" s="94" t="s">
        <v>270</v>
      </c>
      <c r="IK41" s="94" t="s">
        <v>270</v>
      </c>
      <c r="IL41" s="94" t="s">
        <v>270</v>
      </c>
      <c r="IM41" s="94" t="s">
        <v>270</v>
      </c>
      <c r="IN41" s="94" t="s">
        <v>270</v>
      </c>
      <c r="IO41" s="94" t="s">
        <v>270</v>
      </c>
      <c r="IP41" s="94" t="s">
        <v>270</v>
      </c>
      <c r="IQ41" s="94" t="s">
        <v>270</v>
      </c>
      <c r="IR41" s="94" t="s">
        <v>270</v>
      </c>
      <c r="IS41" s="94" t="s">
        <v>270</v>
      </c>
      <c r="IT41" s="94" t="s">
        <v>270</v>
      </c>
      <c r="IU41" s="94" t="s">
        <v>270</v>
      </c>
      <c r="IV41" s="94" t="s">
        <v>270</v>
      </c>
      <c r="IW41" s="94" t="s">
        <v>270</v>
      </c>
      <c r="IX41" s="94" t="s">
        <v>270</v>
      </c>
      <c r="IY41" s="94" t="s">
        <v>270</v>
      </c>
      <c r="IZ41" s="94" t="s">
        <v>270</v>
      </c>
      <c r="JA41" s="94" t="s">
        <v>270</v>
      </c>
      <c r="JB41" s="94" t="s">
        <v>270</v>
      </c>
      <c r="JC41" s="94" t="s">
        <v>270</v>
      </c>
      <c r="JD41" s="94" t="s">
        <v>270</v>
      </c>
      <c r="JE41" s="94" t="s">
        <v>270</v>
      </c>
      <c r="JF41" s="94" t="s">
        <v>270</v>
      </c>
      <c r="JG41" s="94" t="s">
        <v>270</v>
      </c>
      <c r="JH41" s="94" t="s">
        <v>270</v>
      </c>
      <c r="JI41" s="94" t="s">
        <v>270</v>
      </c>
      <c r="JJ41" s="94" t="s">
        <v>270</v>
      </c>
      <c r="JK41" s="94" t="s">
        <v>270</v>
      </c>
      <c r="JL41" s="94" t="s">
        <v>270</v>
      </c>
      <c r="JM41" s="94" t="s">
        <v>270</v>
      </c>
    </row>
    <row r="42" spans="1:273">
      <c r="A42" s="94" t="s">
        <v>626</v>
      </c>
      <c r="B42" s="94" t="s">
        <v>688</v>
      </c>
      <c r="C42" s="94" t="s">
        <v>733</v>
      </c>
      <c r="D42" s="95">
        <v>41522</v>
      </c>
      <c r="E42" s="94" t="s">
        <v>736</v>
      </c>
      <c r="F42" s="94">
        <v>6.4662381120000001E-2</v>
      </c>
      <c r="G42" s="94">
        <v>64.634146341463406</v>
      </c>
      <c r="H42" s="94">
        <v>18.7999992371</v>
      </c>
      <c r="I42" s="94">
        <v>1</v>
      </c>
      <c r="J42" s="94">
        <v>0</v>
      </c>
      <c r="K42" s="94">
        <v>0</v>
      </c>
      <c r="L42" s="94" t="s">
        <v>630</v>
      </c>
      <c r="M42" s="94" t="s">
        <v>631</v>
      </c>
      <c r="N42" s="94">
        <v>4.2618269890048595E-26</v>
      </c>
      <c r="O42" s="96" t="s">
        <v>270</v>
      </c>
      <c r="P42" s="94">
        <v>13.851820715063576</v>
      </c>
      <c r="Q42" s="94">
        <v>0.67768448942424597</v>
      </c>
      <c r="R42" s="94">
        <v>2.4904108346556852</v>
      </c>
      <c r="S42" s="94">
        <v>0.5572587222660027</v>
      </c>
      <c r="T42" s="94" t="s">
        <v>270</v>
      </c>
      <c r="U42" s="94" t="s">
        <v>270</v>
      </c>
      <c r="V42" s="94" t="s">
        <v>632</v>
      </c>
      <c r="W42" s="94" t="s">
        <v>270</v>
      </c>
      <c r="X42" s="94">
        <v>2.5000000000000004</v>
      </c>
      <c r="Y42" s="94">
        <v>0.31622776601684122</v>
      </c>
      <c r="Z42" s="94" t="s">
        <v>632</v>
      </c>
      <c r="AA42" s="94" t="s">
        <v>270</v>
      </c>
      <c r="AB42" s="94" t="s">
        <v>632</v>
      </c>
      <c r="AC42" s="94" t="s">
        <v>270</v>
      </c>
      <c r="AD42" s="94" t="s">
        <v>644</v>
      </c>
      <c r="AE42" s="94" t="s">
        <v>82</v>
      </c>
      <c r="AF42" s="94">
        <v>1.6221475852972713E-11</v>
      </c>
      <c r="AG42" s="94">
        <v>4</v>
      </c>
      <c r="AH42" s="97">
        <v>42880.56287037037</v>
      </c>
      <c r="AI42" s="94" t="s">
        <v>645</v>
      </c>
      <c r="AJ42" s="98" t="s">
        <v>737</v>
      </c>
      <c r="AK42" s="96">
        <v>0.67157978847984268</v>
      </c>
      <c r="AL42" s="96">
        <v>0.65804146745645875</v>
      </c>
      <c r="AM42" s="96">
        <v>6.6423042411036359E-2</v>
      </c>
      <c r="AN42" s="96" t="s">
        <v>270</v>
      </c>
      <c r="AO42" s="96" t="s">
        <v>270</v>
      </c>
      <c r="AP42" s="96">
        <v>0.29720073799663083</v>
      </c>
      <c r="AQ42" s="96">
        <v>-0.97548367642329203</v>
      </c>
      <c r="AR42" s="96">
        <v>111.35753417190956</v>
      </c>
      <c r="AS42" s="96">
        <v>498.19048458631488</v>
      </c>
      <c r="AT42" s="96" t="s">
        <v>270</v>
      </c>
      <c r="AU42" s="96" t="s">
        <v>270</v>
      </c>
      <c r="AV42" s="94">
        <v>7.5800000000000004E-8</v>
      </c>
      <c r="AW42" s="94">
        <v>7.5800000000000007E-10</v>
      </c>
      <c r="AX42" s="94">
        <v>3.2020000000000002E-7</v>
      </c>
      <c r="AY42" s="94">
        <v>3.9E-10</v>
      </c>
      <c r="AZ42" s="94" t="s">
        <v>270</v>
      </c>
      <c r="BA42" s="94" t="s">
        <v>270</v>
      </c>
      <c r="BB42" s="94" t="s">
        <v>270</v>
      </c>
      <c r="BC42" s="94" t="s">
        <v>270</v>
      </c>
      <c r="BD42" s="94" t="s">
        <v>270</v>
      </c>
      <c r="BE42" s="94" t="s">
        <v>270</v>
      </c>
      <c r="BF42" s="94" t="s">
        <v>270</v>
      </c>
      <c r="BG42" s="94" t="s">
        <v>270</v>
      </c>
      <c r="BH42" s="94" t="s">
        <v>270</v>
      </c>
      <c r="BI42" s="94" t="s">
        <v>270</v>
      </c>
      <c r="BJ42" s="94" t="s">
        <v>270</v>
      </c>
      <c r="BK42" s="94" t="s">
        <v>270</v>
      </c>
      <c r="BL42" s="94" t="s">
        <v>270</v>
      </c>
      <c r="BM42" s="94" t="s">
        <v>270</v>
      </c>
      <c r="BN42" s="94" t="s">
        <v>270</v>
      </c>
      <c r="BO42" s="94" t="s">
        <v>270</v>
      </c>
      <c r="BP42" s="94" t="s">
        <v>270</v>
      </c>
      <c r="BQ42" s="94" t="s">
        <v>270</v>
      </c>
      <c r="BR42" s="94" t="s">
        <v>270</v>
      </c>
      <c r="BS42" s="94" t="s">
        <v>270</v>
      </c>
      <c r="BT42" s="94" t="s">
        <v>270</v>
      </c>
      <c r="BU42" s="94" t="s">
        <v>270</v>
      </c>
      <c r="BV42" s="94" t="s">
        <v>270</v>
      </c>
      <c r="BW42" s="94" t="s">
        <v>270</v>
      </c>
      <c r="BX42" s="94" t="s">
        <v>270</v>
      </c>
      <c r="BY42" s="94" t="s">
        <v>270</v>
      </c>
      <c r="BZ42" s="94" t="s">
        <v>270</v>
      </c>
      <c r="CA42" s="94" t="s">
        <v>270</v>
      </c>
      <c r="CB42" s="94" t="s">
        <v>270</v>
      </c>
      <c r="CC42" s="94" t="s">
        <v>270</v>
      </c>
      <c r="CD42" s="94" t="s">
        <v>270</v>
      </c>
      <c r="CE42" s="94" t="s">
        <v>270</v>
      </c>
      <c r="CF42" s="94" t="s">
        <v>270</v>
      </c>
      <c r="CG42" s="94" t="s">
        <v>270</v>
      </c>
      <c r="CH42" s="94" t="s">
        <v>270</v>
      </c>
      <c r="CI42" s="94" t="s">
        <v>270</v>
      </c>
      <c r="CJ42" s="94" t="s">
        <v>270</v>
      </c>
      <c r="CK42" s="94" t="s">
        <v>270</v>
      </c>
      <c r="CL42" s="94" t="s">
        <v>270</v>
      </c>
      <c r="CM42" s="94" t="s">
        <v>270</v>
      </c>
      <c r="CN42" s="94" t="s">
        <v>270</v>
      </c>
      <c r="CO42" s="94" t="s">
        <v>270</v>
      </c>
      <c r="CP42" s="94" t="s">
        <v>270</v>
      </c>
      <c r="CQ42" s="94" t="s">
        <v>270</v>
      </c>
      <c r="CR42" s="94">
        <v>0.667679493460136</v>
      </c>
      <c r="CS42" s="94">
        <v>6.67679493460136E-2</v>
      </c>
      <c r="CT42" s="94" t="s">
        <v>270</v>
      </c>
      <c r="CU42" s="94" t="s">
        <v>270</v>
      </c>
      <c r="CV42" s="94" t="s">
        <v>270</v>
      </c>
      <c r="CW42" s="94" t="s">
        <v>270</v>
      </c>
      <c r="CX42" s="94">
        <v>21.5319084089844</v>
      </c>
      <c r="CY42" s="94">
        <v>2.1531908408984402</v>
      </c>
      <c r="CZ42" s="94">
        <v>0.25138318974491197</v>
      </c>
      <c r="DA42" s="94">
        <v>2.5138318974491199E-2</v>
      </c>
      <c r="DB42" s="94">
        <v>79.483926086455298</v>
      </c>
      <c r="DC42" s="94">
        <v>7.9483926086455305</v>
      </c>
      <c r="DD42" s="94">
        <v>1.9456221274150799E-2</v>
      </c>
      <c r="DE42" s="94">
        <v>1.9456221274150799E-3</v>
      </c>
      <c r="DF42" s="94" t="s">
        <v>270</v>
      </c>
      <c r="DG42" s="94" t="s">
        <v>270</v>
      </c>
      <c r="DH42" s="94" t="s">
        <v>270</v>
      </c>
      <c r="DI42" s="94" t="s">
        <v>270</v>
      </c>
      <c r="DJ42" s="94">
        <v>0.99931725979793251</v>
      </c>
      <c r="DK42" s="94">
        <v>0.99224299550553974</v>
      </c>
      <c r="DL42" s="94">
        <v>1.5608709914323211E-2</v>
      </c>
      <c r="DM42" s="94">
        <v>0.99211999885351976</v>
      </c>
      <c r="DN42" s="94">
        <v>4.5346324789517556E-8</v>
      </c>
      <c r="DO42" s="94">
        <v>1.9311941606093076E-7</v>
      </c>
      <c r="DP42" s="94">
        <v>3.5118854633410415E-4</v>
      </c>
      <c r="DQ42" s="94">
        <v>8.1059722432398895E-8</v>
      </c>
      <c r="DR42" s="94">
        <v>1.1460572064803028E-8</v>
      </c>
      <c r="DS42" s="94">
        <v>1.3281696819413796E-2</v>
      </c>
      <c r="DT42" s="94">
        <v>7.1872570091687845E-3</v>
      </c>
      <c r="DU42" s="94">
        <v>3.5807331593011002E-4</v>
      </c>
      <c r="DV42" s="94">
        <v>5.4492560183181412E-8</v>
      </c>
      <c r="DW42" s="94">
        <v>1.072175034548582E-8</v>
      </c>
      <c r="DX42" s="94">
        <v>2.4490053422466364E-7</v>
      </c>
      <c r="DY42" s="94">
        <v>1.3049752773595788E-8</v>
      </c>
      <c r="DZ42" s="94">
        <v>4.5275668974040351E-8</v>
      </c>
      <c r="EA42" s="94">
        <v>2.3260437195684106E-5</v>
      </c>
      <c r="EB42" s="94">
        <v>2.8390683515074747E-9</v>
      </c>
      <c r="EC42" s="94">
        <v>2.1666574261504536E-10</v>
      </c>
      <c r="ED42" s="94">
        <v>3.9436530338273629E-3</v>
      </c>
      <c r="EE42" s="94">
        <v>5.2164145342697976E-4</v>
      </c>
      <c r="EF42" s="94">
        <v>8.7164379212946886E-7</v>
      </c>
      <c r="EG42" s="94">
        <v>3.5114792768645124E-9</v>
      </c>
      <c r="EH42" s="94">
        <v>1.4444382841002969E-9</v>
      </c>
      <c r="EI42" s="94">
        <v>7.9693146708979889E-10</v>
      </c>
      <c r="EJ42" s="94">
        <v>5.8396077563113344E-8</v>
      </c>
      <c r="EK42" s="94">
        <v>2.3839508503497111E-7</v>
      </c>
      <c r="EL42" s="94">
        <v>3.7444898352978826E-4</v>
      </c>
      <c r="EM42" s="94">
        <v>8.3898790783906369E-8</v>
      </c>
      <c r="EN42" s="94">
        <v>1.1677237807418074E-8</v>
      </c>
      <c r="EO42" s="94">
        <v>1.7225349853241159E-2</v>
      </c>
      <c r="EP42" s="94">
        <v>7.7088984625957643E-3</v>
      </c>
      <c r="EQ42" s="94">
        <v>3.5894495972223949E-4</v>
      </c>
      <c r="ER42" s="94">
        <v>5.8004039460045925E-8</v>
      </c>
      <c r="ES42" s="94">
        <v>1.2166188629586117E-8</v>
      </c>
      <c r="ET42" s="94">
        <v>2.4569746569175344E-7</v>
      </c>
      <c r="EU42" s="94">
        <v>2.0208836352586496E-6</v>
      </c>
      <c r="EV42" s="94">
        <v>8.606533255547831E-6</v>
      </c>
      <c r="EW42" s="94">
        <v>1.5672687574747133E-2</v>
      </c>
      <c r="EX42" s="94">
        <v>3.6242208212812518E-6</v>
      </c>
      <c r="EY42" s="94">
        <v>5.1440678294931391E-7</v>
      </c>
      <c r="EZ42" s="94">
        <v>0.59252886816560513</v>
      </c>
      <c r="FA42" s="94">
        <v>0.32044034888311024</v>
      </c>
      <c r="FB42" s="94">
        <v>1.6074248456135705E-2</v>
      </c>
      <c r="FC42" s="94">
        <v>2.429524222433781E-6</v>
      </c>
      <c r="FD42" s="94">
        <v>4.7802401068476957E-7</v>
      </c>
      <c r="FE42" s="94">
        <v>1.0918770892497575E-5</v>
      </c>
      <c r="FF42" s="94">
        <v>5.8156933217280637E-7</v>
      </c>
      <c r="FG42" s="94">
        <v>2.0177492177653979E-6</v>
      </c>
      <c r="FH42" s="94">
        <v>1.0380565335213546E-3</v>
      </c>
      <c r="FI42" s="94">
        <v>1.2693616908391325E-7</v>
      </c>
      <c r="FJ42" s="94">
        <v>9.7250230620006082E-9</v>
      </c>
      <c r="FK42" s="94">
        <v>0.17599690395866974</v>
      </c>
      <c r="FL42" s="94">
        <v>2.325712982223882E-2</v>
      </c>
      <c r="FM42" s="94">
        <v>3.9128910914634774E-5</v>
      </c>
      <c r="FN42" s="94">
        <v>1.5655759118379039E-7</v>
      </c>
      <c r="FO42" s="94">
        <v>6.4399576515317922E-8</v>
      </c>
      <c r="FP42" s="94">
        <v>3.5530800836038292E-8</v>
      </c>
      <c r="FQ42" s="94">
        <v>2.602452967431456E-6</v>
      </c>
      <c r="FR42" s="94">
        <v>1.0624282473313229E-5</v>
      </c>
      <c r="FS42" s="94">
        <v>1.6710744108268488E-2</v>
      </c>
      <c r="FT42" s="94">
        <v>3.751156990365165E-6</v>
      </c>
      <c r="FU42" s="94">
        <v>5.2413180601131452E-7</v>
      </c>
      <c r="FV42" s="94">
        <v>0.76852577212427486</v>
      </c>
      <c r="FW42" s="94">
        <v>0.34369747870534906</v>
      </c>
      <c r="FX42" s="94">
        <v>1.611337736705034E-2</v>
      </c>
      <c r="FY42" s="94">
        <v>2.5860818136175714E-6</v>
      </c>
      <c r="FZ42" s="94">
        <v>5.424235872000875E-7</v>
      </c>
      <c r="GA42" s="94">
        <v>1.0954301693333614E-5</v>
      </c>
      <c r="GB42" s="94">
        <v>8.0888296603357037E-6</v>
      </c>
      <c r="GC42" s="94">
        <v>1.7367725913697857E-4</v>
      </c>
      <c r="GD42" s="94">
        <v>0.62609252323599851</v>
      </c>
      <c r="GE42" s="94">
        <v>3.0370245638172634E-4</v>
      </c>
      <c r="GF42" s="94">
        <v>6.7538009753764273E-5</v>
      </c>
      <c r="GG42" s="94">
        <v>16.598748195470364</v>
      </c>
      <c r="GH42" s="94">
        <v>10.253706635840867</v>
      </c>
      <c r="GI42" s="94">
        <v>0.70741963743030434</v>
      </c>
      <c r="GJ42" s="94">
        <v>3.8975545157425034E-5</v>
      </c>
      <c r="GK42" s="94">
        <v>9.6363904265921328E-7</v>
      </c>
      <c r="GL42" s="94">
        <v>4.8056567953731728E-4</v>
      </c>
      <c r="GM42" s="94" t="s">
        <v>270</v>
      </c>
      <c r="GN42" s="94" t="s">
        <v>270</v>
      </c>
      <c r="GO42" s="94" t="s">
        <v>270</v>
      </c>
      <c r="GP42" s="94" t="s">
        <v>270</v>
      </c>
      <c r="GQ42" s="94" t="s">
        <v>270</v>
      </c>
      <c r="GR42" s="94" t="s">
        <v>270</v>
      </c>
      <c r="GS42" s="94" t="s">
        <v>270</v>
      </c>
      <c r="GT42" s="94" t="s">
        <v>270</v>
      </c>
      <c r="GU42" s="94" t="s">
        <v>270</v>
      </c>
      <c r="GV42" s="94" t="s">
        <v>270</v>
      </c>
      <c r="GW42" s="94" t="s">
        <v>270</v>
      </c>
      <c r="GX42" s="94" t="s">
        <v>270</v>
      </c>
      <c r="GY42" s="94" t="s">
        <v>270</v>
      </c>
      <c r="GZ42" s="94" t="s">
        <v>270</v>
      </c>
      <c r="HA42" s="94" t="s">
        <v>270</v>
      </c>
      <c r="HB42" s="94" t="s">
        <v>270</v>
      </c>
      <c r="HC42" s="94" t="s">
        <v>270</v>
      </c>
      <c r="HD42" s="94" t="s">
        <v>270</v>
      </c>
      <c r="HE42" s="94" t="s">
        <v>270</v>
      </c>
      <c r="HF42" s="94" t="s">
        <v>270</v>
      </c>
      <c r="HG42" s="94" t="s">
        <v>270</v>
      </c>
      <c r="HH42" s="94" t="s">
        <v>270</v>
      </c>
      <c r="HI42" s="94" t="s">
        <v>270</v>
      </c>
      <c r="HJ42" s="94" t="s">
        <v>270</v>
      </c>
      <c r="HK42" s="94" t="s">
        <v>270</v>
      </c>
      <c r="HL42" s="94" t="s">
        <v>270</v>
      </c>
      <c r="HM42" s="94" t="s">
        <v>270</v>
      </c>
      <c r="HN42" s="94" t="s">
        <v>270</v>
      </c>
      <c r="HO42" s="94" t="s">
        <v>270</v>
      </c>
      <c r="HP42" s="94" t="s">
        <v>270</v>
      </c>
      <c r="HQ42" s="94" t="s">
        <v>270</v>
      </c>
      <c r="HR42" s="94" t="s">
        <v>270</v>
      </c>
      <c r="HS42" s="94" t="s">
        <v>270</v>
      </c>
      <c r="HT42" s="94" t="s">
        <v>270</v>
      </c>
      <c r="HU42" s="94" t="s">
        <v>270</v>
      </c>
      <c r="HV42" s="94" t="s">
        <v>270</v>
      </c>
      <c r="HW42" s="94" t="s">
        <v>270</v>
      </c>
      <c r="HX42" s="94" t="s">
        <v>270</v>
      </c>
      <c r="HY42" s="94" t="s">
        <v>270</v>
      </c>
      <c r="HZ42" s="94" t="s">
        <v>270</v>
      </c>
      <c r="IA42" s="94" t="s">
        <v>270</v>
      </c>
      <c r="IB42" s="94" t="s">
        <v>270</v>
      </c>
      <c r="IC42" s="94" t="s">
        <v>270</v>
      </c>
      <c r="ID42" s="94" t="s">
        <v>270</v>
      </c>
      <c r="IE42" s="94" t="s">
        <v>270</v>
      </c>
      <c r="IF42" s="94" t="s">
        <v>270</v>
      </c>
      <c r="IG42" s="94" t="s">
        <v>270</v>
      </c>
      <c r="IH42" s="94" t="s">
        <v>270</v>
      </c>
      <c r="II42" s="94" t="s">
        <v>270</v>
      </c>
      <c r="IJ42" s="94" t="s">
        <v>270</v>
      </c>
      <c r="IK42" s="94" t="s">
        <v>270</v>
      </c>
      <c r="IL42" s="94" t="s">
        <v>270</v>
      </c>
      <c r="IM42" s="94" t="s">
        <v>270</v>
      </c>
      <c r="IN42" s="94" t="s">
        <v>270</v>
      </c>
      <c r="IO42" s="94" t="s">
        <v>270</v>
      </c>
      <c r="IP42" s="94" t="s">
        <v>270</v>
      </c>
      <c r="IQ42" s="94" t="s">
        <v>270</v>
      </c>
      <c r="IR42" s="94" t="s">
        <v>270</v>
      </c>
      <c r="IS42" s="94" t="s">
        <v>270</v>
      </c>
      <c r="IT42" s="94" t="s">
        <v>270</v>
      </c>
      <c r="IU42" s="94" t="s">
        <v>270</v>
      </c>
      <c r="IV42" s="94" t="s">
        <v>270</v>
      </c>
      <c r="IW42" s="94" t="s">
        <v>270</v>
      </c>
      <c r="IX42" s="94" t="s">
        <v>270</v>
      </c>
      <c r="IY42" s="94" t="s">
        <v>270</v>
      </c>
      <c r="IZ42" s="94" t="s">
        <v>270</v>
      </c>
      <c r="JA42" s="94" t="s">
        <v>270</v>
      </c>
      <c r="JB42" s="94" t="s">
        <v>270</v>
      </c>
      <c r="JC42" s="94" t="s">
        <v>270</v>
      </c>
      <c r="JD42" s="94" t="s">
        <v>270</v>
      </c>
      <c r="JE42" s="94" t="s">
        <v>270</v>
      </c>
      <c r="JF42" s="94" t="s">
        <v>270</v>
      </c>
      <c r="JG42" s="94" t="s">
        <v>270</v>
      </c>
      <c r="JH42" s="94" t="s">
        <v>270</v>
      </c>
      <c r="JI42" s="94" t="s">
        <v>270</v>
      </c>
      <c r="JJ42" s="94" t="s">
        <v>270</v>
      </c>
      <c r="JK42" s="94" t="s">
        <v>270</v>
      </c>
      <c r="JL42" s="94" t="s">
        <v>270</v>
      </c>
      <c r="JM42" s="94" t="s">
        <v>270</v>
      </c>
    </row>
    <row r="43" spans="1:273">
      <c r="A43" s="94" t="s">
        <v>626</v>
      </c>
      <c r="B43" s="94" t="s">
        <v>738</v>
      </c>
      <c r="C43" s="94" t="s">
        <v>739</v>
      </c>
      <c r="D43" s="95">
        <v>41526</v>
      </c>
      <c r="E43" s="94" t="s">
        <v>740</v>
      </c>
      <c r="F43" s="94">
        <v>0.61536420000000003</v>
      </c>
      <c r="G43" s="94">
        <v>17.987804878048699</v>
      </c>
      <c r="H43" s="94">
        <v>23.489999771099999</v>
      </c>
      <c r="I43" s="94">
        <v>1</v>
      </c>
      <c r="J43" s="94">
        <v>0</v>
      </c>
      <c r="K43" s="94">
        <v>0</v>
      </c>
      <c r="L43" s="94" t="s">
        <v>630</v>
      </c>
      <c r="M43" s="94" t="s">
        <v>631</v>
      </c>
      <c r="N43" s="94">
        <v>6.0111688687278123E-23</v>
      </c>
      <c r="O43" s="96" t="s">
        <v>270</v>
      </c>
      <c r="P43" s="94">
        <v>23.716471133880919</v>
      </c>
      <c r="Q43" s="94">
        <v>6.4429784303041755</v>
      </c>
      <c r="R43" s="94">
        <v>1.9298614701332044</v>
      </c>
      <c r="S43" s="94">
        <v>0.4587784099805392</v>
      </c>
      <c r="T43" s="94" t="s">
        <v>270</v>
      </c>
      <c r="U43" s="94" t="s">
        <v>270</v>
      </c>
      <c r="V43" s="94" t="s">
        <v>632</v>
      </c>
      <c r="W43" s="94" t="s">
        <v>270</v>
      </c>
      <c r="X43" s="94">
        <v>1.0101737292803101</v>
      </c>
      <c r="Y43" s="94">
        <v>1.9908138033015597</v>
      </c>
      <c r="Z43" s="94" t="s">
        <v>632</v>
      </c>
      <c r="AA43" s="94" t="s">
        <v>270</v>
      </c>
      <c r="AB43" s="94" t="s">
        <v>632</v>
      </c>
      <c r="AC43" s="94" t="s">
        <v>270</v>
      </c>
      <c r="AD43" s="94" t="s">
        <v>633</v>
      </c>
      <c r="AE43" s="94" t="s">
        <v>73</v>
      </c>
      <c r="AF43" s="94">
        <v>1.1153038129320789E-15</v>
      </c>
      <c r="AG43" s="94">
        <v>3</v>
      </c>
      <c r="AH43" s="97">
        <v>42880.574386574073</v>
      </c>
      <c r="AJ43" s="98" t="s">
        <v>741</v>
      </c>
      <c r="AK43" s="96">
        <v>0.25782900695827715</v>
      </c>
      <c r="AL43" s="96">
        <v>0.19598837140853109</v>
      </c>
      <c r="AM43" s="96">
        <v>6.2425481099427138E-2</v>
      </c>
      <c r="AN43" s="96" t="s">
        <v>270</v>
      </c>
      <c r="AO43" s="96" t="s">
        <v>270</v>
      </c>
      <c r="AP43" s="96">
        <v>0.20865938829685571</v>
      </c>
      <c r="AQ43" s="96">
        <v>-0.97488752665156264</v>
      </c>
      <c r="AR43" s="96">
        <v>98.900631758834564</v>
      </c>
      <c r="AS43" s="96">
        <v>122.69662929953363</v>
      </c>
      <c r="AT43" s="96" t="s">
        <v>270</v>
      </c>
      <c r="AU43" s="96" t="s">
        <v>270</v>
      </c>
      <c r="AV43" s="94">
        <v>5.54E-8</v>
      </c>
      <c r="AW43" s="94">
        <v>5.5400000000000005E-10</v>
      </c>
      <c r="AX43" s="94">
        <v>2.1409999999999999E-7</v>
      </c>
      <c r="AY43" s="94">
        <v>2.8000000000000002E-10</v>
      </c>
      <c r="AZ43" s="94" t="s">
        <v>270</v>
      </c>
      <c r="BA43" s="94" t="s">
        <v>270</v>
      </c>
      <c r="BB43" s="94" t="s">
        <v>270</v>
      </c>
      <c r="BC43" s="94" t="s">
        <v>270</v>
      </c>
      <c r="BD43" s="94" t="s">
        <v>270</v>
      </c>
      <c r="BE43" s="94" t="s">
        <v>270</v>
      </c>
      <c r="BF43" s="94" t="s">
        <v>270</v>
      </c>
      <c r="BG43" s="94" t="s">
        <v>270</v>
      </c>
      <c r="BH43" s="94" t="s">
        <v>270</v>
      </c>
      <c r="BI43" s="94" t="s">
        <v>270</v>
      </c>
      <c r="BJ43" s="94" t="s">
        <v>270</v>
      </c>
      <c r="BK43" s="94" t="s">
        <v>270</v>
      </c>
      <c r="BL43" s="94" t="s">
        <v>270</v>
      </c>
      <c r="BM43" s="94" t="s">
        <v>270</v>
      </c>
      <c r="BN43" s="94" t="s">
        <v>270</v>
      </c>
      <c r="BO43" s="94" t="s">
        <v>270</v>
      </c>
      <c r="BP43" s="94" t="s">
        <v>270</v>
      </c>
      <c r="BQ43" s="94" t="s">
        <v>270</v>
      </c>
      <c r="BR43" s="94" t="s">
        <v>270</v>
      </c>
      <c r="BS43" s="94" t="s">
        <v>270</v>
      </c>
      <c r="BT43" s="94" t="s">
        <v>270</v>
      </c>
      <c r="BU43" s="94" t="s">
        <v>270</v>
      </c>
      <c r="BV43" s="94" t="s">
        <v>270</v>
      </c>
      <c r="BW43" s="94" t="s">
        <v>270</v>
      </c>
      <c r="BX43" s="94" t="s">
        <v>270</v>
      </c>
      <c r="BY43" s="94" t="s">
        <v>270</v>
      </c>
      <c r="BZ43" s="94" t="s">
        <v>270</v>
      </c>
      <c r="CA43" s="94" t="s">
        <v>270</v>
      </c>
      <c r="CB43" s="94" t="s">
        <v>270</v>
      </c>
      <c r="CC43" s="94" t="s">
        <v>270</v>
      </c>
      <c r="CD43" s="94" t="s">
        <v>270</v>
      </c>
      <c r="CE43" s="94" t="s">
        <v>270</v>
      </c>
      <c r="CF43" s="94" t="s">
        <v>270</v>
      </c>
      <c r="CG43" s="94" t="s">
        <v>270</v>
      </c>
      <c r="CH43" s="94" t="s">
        <v>270</v>
      </c>
      <c r="CI43" s="94" t="s">
        <v>270</v>
      </c>
      <c r="CJ43" s="94" t="s">
        <v>270</v>
      </c>
      <c r="CK43" s="94" t="s">
        <v>270</v>
      </c>
      <c r="CL43" s="94" t="s">
        <v>270</v>
      </c>
      <c r="CM43" s="94" t="s">
        <v>270</v>
      </c>
      <c r="CN43" s="94" t="s">
        <v>270</v>
      </c>
      <c r="CO43" s="94" t="s">
        <v>270</v>
      </c>
      <c r="CP43" s="94" t="s">
        <v>270</v>
      </c>
      <c r="CQ43" s="94" t="s">
        <v>270</v>
      </c>
      <c r="CR43" s="94">
        <v>0.54608887632176695</v>
      </c>
      <c r="CS43" s="94">
        <v>5.4608887632176695E-2</v>
      </c>
      <c r="CT43" s="94" t="s">
        <v>270</v>
      </c>
      <c r="CU43" s="94" t="s">
        <v>270</v>
      </c>
      <c r="CV43" s="94" t="s">
        <v>270</v>
      </c>
      <c r="CW43" s="94" t="s">
        <v>270</v>
      </c>
      <c r="CX43" s="94">
        <v>16.744030025218901</v>
      </c>
      <c r="CY43" s="94">
        <v>1.6744030025218901</v>
      </c>
      <c r="CZ43" s="94">
        <v>0.21130528327025899</v>
      </c>
      <c r="DA43" s="94">
        <v>2.1130528327025902E-2</v>
      </c>
      <c r="DB43" s="94">
        <v>52.139600300066697</v>
      </c>
      <c r="DC43" s="94">
        <v>5.2139600300066702</v>
      </c>
      <c r="DD43" s="94">
        <v>3.8905497049326501E-3</v>
      </c>
      <c r="DE43" s="94">
        <v>3.8905497049326502E-4</v>
      </c>
      <c r="DF43" s="94" t="s">
        <v>270</v>
      </c>
      <c r="DG43" s="94" t="s">
        <v>270</v>
      </c>
      <c r="DH43" s="94" t="s">
        <v>270</v>
      </c>
      <c r="DI43" s="94" t="s">
        <v>270</v>
      </c>
      <c r="DJ43" s="94">
        <v>0.99783550420929912</v>
      </c>
      <c r="DK43" s="94">
        <v>0.99783514128708206</v>
      </c>
      <c r="DL43" s="94">
        <v>2.8922420246574834E-2</v>
      </c>
      <c r="DM43" s="94">
        <v>0.99777066347936105</v>
      </c>
      <c r="DN43" s="94">
        <v>4.4044142481631959E-8</v>
      </c>
      <c r="DO43" s="94">
        <v>1.7901511847297615E-7</v>
      </c>
      <c r="DP43" s="94">
        <v>2.887427667932343E-4</v>
      </c>
      <c r="DQ43" s="94">
        <v>6.3258590169095721E-8</v>
      </c>
      <c r="DR43" s="94">
        <v>8.4829509974346415E-9</v>
      </c>
      <c r="DS43" s="94">
        <v>1.1101424913360613E-2</v>
      </c>
      <c r="DT43" s="94">
        <v>5.9067364001387434E-3</v>
      </c>
      <c r="DU43" s="94">
        <v>2.6456887185116588E-4</v>
      </c>
      <c r="DV43" s="94">
        <v>4.4039517550049171E-8</v>
      </c>
      <c r="DW43" s="94">
        <v>9.9025734323788708E-9</v>
      </c>
      <c r="DX43" s="94">
        <v>1.7796670778571887E-7</v>
      </c>
      <c r="DY43" s="94">
        <v>1.0112474103497993E-8</v>
      </c>
      <c r="DZ43" s="94">
        <v>3.5084881527021668E-8</v>
      </c>
      <c r="EA43" s="94">
        <v>1.8024906131044115E-5</v>
      </c>
      <c r="EB43" s="94">
        <v>2.2000420759518562E-9</v>
      </c>
      <c r="EC43" s="94">
        <v>1.6789794790158835E-10</v>
      </c>
      <c r="ED43" s="94">
        <v>2.3146643647240367E-3</v>
      </c>
      <c r="EE43" s="94">
        <v>4.0422878353410085E-4</v>
      </c>
      <c r="EF43" s="94">
        <v>6.7545151454661981E-7</v>
      </c>
      <c r="EG43" s="94">
        <v>2.721104672887819E-9</v>
      </c>
      <c r="EH43" s="94">
        <v>1.1193196526772578E-9</v>
      </c>
      <c r="EI43" s="94">
        <v>6.1755567044263141E-10</v>
      </c>
      <c r="EJ43" s="94">
        <v>5.4156616585129953E-8</v>
      </c>
      <c r="EK43" s="94">
        <v>2.1409999999999782E-7</v>
      </c>
      <c r="EL43" s="94">
        <v>3.0676767292427842E-4</v>
      </c>
      <c r="EM43" s="94">
        <v>6.5458632245047577E-8</v>
      </c>
      <c r="EN43" s="94">
        <v>8.6508489453362298E-9</v>
      </c>
      <c r="EO43" s="94">
        <v>1.341608927808465E-2</v>
      </c>
      <c r="EP43" s="94">
        <v>6.3109651836728443E-3</v>
      </c>
      <c r="EQ43" s="94">
        <v>2.652443233657125E-4</v>
      </c>
      <c r="ER43" s="94">
        <v>4.676062222293699E-8</v>
      </c>
      <c r="ES43" s="94">
        <v>1.1021893085056129E-8</v>
      </c>
      <c r="ET43" s="94">
        <v>1.785842634561615E-7</v>
      </c>
      <c r="EU43" s="94">
        <v>1.9599407194682657E-6</v>
      </c>
      <c r="EV43" s="94">
        <v>7.9661336070908819E-6</v>
      </c>
      <c r="EW43" s="94">
        <v>1.2866778086559581E-2</v>
      </c>
      <c r="EX43" s="94">
        <v>2.8241295278812356E-6</v>
      </c>
      <c r="EY43" s="94">
        <v>3.8019194608459544E-7</v>
      </c>
      <c r="EZ43" s="94">
        <v>0.49452726614655562</v>
      </c>
      <c r="FA43" s="94">
        <v>0.26295847657998855</v>
      </c>
      <c r="FB43" s="94">
        <v>1.1859135422563834E-2</v>
      </c>
      <c r="FC43" s="94">
        <v>1.9605690282719545E-6</v>
      </c>
      <c r="FD43" s="94">
        <v>4.4084676335626745E-7</v>
      </c>
      <c r="FE43" s="94">
        <v>7.9227937715638336E-6</v>
      </c>
      <c r="FF43" s="94">
        <v>4.4999967426496441E-7</v>
      </c>
      <c r="FG43" s="94">
        <v>1.561269552076412E-6</v>
      </c>
      <c r="FH43" s="94">
        <v>8.0321481225290557E-4</v>
      </c>
      <c r="FI43" s="94">
        <v>9.8219131546693076E-8</v>
      </c>
      <c r="FJ43" s="94">
        <v>7.5249105618574157E-9</v>
      </c>
      <c r="FK43" s="94">
        <v>0.10318775685025094</v>
      </c>
      <c r="FL43" s="94">
        <v>1.7995620238853427E-2</v>
      </c>
      <c r="FM43" s="94">
        <v>3.0276694783996916E-5</v>
      </c>
      <c r="FN43" s="94">
        <v>1.2113923678403193E-7</v>
      </c>
      <c r="FO43" s="94">
        <v>4.9830324350878449E-8</v>
      </c>
      <c r="FP43" s="94">
        <v>2.7492592745312306E-8</v>
      </c>
      <c r="FQ43" s="94">
        <v>2.4099403937332301E-6</v>
      </c>
      <c r="FR43" s="94">
        <v>9.5274031591672938E-6</v>
      </c>
      <c r="FS43" s="94">
        <v>1.3669992898812487E-2</v>
      </c>
      <c r="FT43" s="94">
        <v>2.9223486594279286E-6</v>
      </c>
      <c r="FU43" s="94">
        <v>3.8771685664645286E-7</v>
      </c>
      <c r="FV43" s="94">
        <v>0.59771502299680657</v>
      </c>
      <c r="FW43" s="94">
        <v>0.28095409681884198</v>
      </c>
      <c r="FX43" s="94">
        <v>1.1889412117347831E-2</v>
      </c>
      <c r="FY43" s="94">
        <v>2.0817082650559865E-6</v>
      </c>
      <c r="FZ43" s="94">
        <v>4.906770877071459E-7</v>
      </c>
      <c r="GA43" s="94">
        <v>7.9502863643091459E-6</v>
      </c>
      <c r="GB43" s="94">
        <v>7.8448983145462131E-6</v>
      </c>
      <c r="GC43" s="94">
        <v>1.6075418635101186E-4</v>
      </c>
      <c r="GD43" s="94">
        <v>0.51400205100188212</v>
      </c>
      <c r="GE43" s="94">
        <v>2.3665640617739179E-4</v>
      </c>
      <c r="GF43" s="94">
        <v>4.991654117728479E-5</v>
      </c>
      <c r="GG43" s="94">
        <v>13.853390117469921</v>
      </c>
      <c r="GH43" s="94">
        <v>8.4143557003877376</v>
      </c>
      <c r="GI43" s="94">
        <v>0.52191462037932312</v>
      </c>
      <c r="GJ43" s="94">
        <v>3.1452350213291699E-5</v>
      </c>
      <c r="GK43" s="94">
        <v>8.886941733146325E-7</v>
      </c>
      <c r="GL43" s="94">
        <v>3.4870433770908468E-4</v>
      </c>
      <c r="GM43" s="94" t="s">
        <v>270</v>
      </c>
      <c r="GN43" s="94" t="s">
        <v>270</v>
      </c>
      <c r="GO43" s="94" t="s">
        <v>270</v>
      </c>
      <c r="GP43" s="94" t="s">
        <v>270</v>
      </c>
      <c r="GQ43" s="94" t="s">
        <v>270</v>
      </c>
      <c r="GR43" s="94" t="s">
        <v>270</v>
      </c>
      <c r="GS43" s="94" t="s">
        <v>270</v>
      </c>
      <c r="GT43" s="94" t="s">
        <v>270</v>
      </c>
      <c r="GU43" s="94" t="s">
        <v>270</v>
      </c>
      <c r="GV43" s="94" t="s">
        <v>270</v>
      </c>
      <c r="GW43" s="94" t="s">
        <v>270</v>
      </c>
      <c r="GX43" s="94" t="s">
        <v>270</v>
      </c>
      <c r="GY43" s="94" t="s">
        <v>270</v>
      </c>
      <c r="GZ43" s="94" t="s">
        <v>270</v>
      </c>
      <c r="HA43" s="94" t="s">
        <v>270</v>
      </c>
      <c r="HB43" s="94" t="s">
        <v>270</v>
      </c>
      <c r="HC43" s="94" t="s">
        <v>270</v>
      </c>
      <c r="HD43" s="94" t="s">
        <v>270</v>
      </c>
      <c r="HE43" s="94" t="s">
        <v>270</v>
      </c>
      <c r="HF43" s="94" t="s">
        <v>270</v>
      </c>
      <c r="HG43" s="94" t="s">
        <v>270</v>
      </c>
      <c r="HH43" s="94" t="s">
        <v>270</v>
      </c>
      <c r="HI43" s="94" t="s">
        <v>270</v>
      </c>
      <c r="HJ43" s="94" t="s">
        <v>270</v>
      </c>
      <c r="HK43" s="94" t="s">
        <v>270</v>
      </c>
      <c r="HL43" s="94" t="s">
        <v>270</v>
      </c>
      <c r="HM43" s="94" t="s">
        <v>270</v>
      </c>
      <c r="HN43" s="94" t="s">
        <v>270</v>
      </c>
      <c r="HO43" s="94" t="s">
        <v>270</v>
      </c>
      <c r="HP43" s="94" t="s">
        <v>270</v>
      </c>
      <c r="HQ43" s="94" t="s">
        <v>270</v>
      </c>
      <c r="HR43" s="94" t="s">
        <v>270</v>
      </c>
      <c r="HS43" s="94" t="s">
        <v>270</v>
      </c>
      <c r="HT43" s="94" t="s">
        <v>270</v>
      </c>
      <c r="HU43" s="94" t="s">
        <v>270</v>
      </c>
      <c r="HV43" s="94" t="s">
        <v>270</v>
      </c>
      <c r="HW43" s="94" t="s">
        <v>270</v>
      </c>
      <c r="HX43" s="94" t="s">
        <v>270</v>
      </c>
      <c r="HY43" s="94" t="s">
        <v>270</v>
      </c>
      <c r="HZ43" s="94" t="s">
        <v>270</v>
      </c>
      <c r="IA43" s="94" t="s">
        <v>270</v>
      </c>
      <c r="IB43" s="94" t="s">
        <v>270</v>
      </c>
      <c r="IC43" s="94" t="s">
        <v>270</v>
      </c>
      <c r="ID43" s="94" t="s">
        <v>270</v>
      </c>
      <c r="IE43" s="94" t="s">
        <v>270</v>
      </c>
      <c r="IF43" s="94" t="s">
        <v>270</v>
      </c>
      <c r="IG43" s="94" t="s">
        <v>270</v>
      </c>
      <c r="IH43" s="94" t="s">
        <v>270</v>
      </c>
      <c r="II43" s="94" t="s">
        <v>270</v>
      </c>
      <c r="IJ43" s="94" t="s">
        <v>270</v>
      </c>
      <c r="IK43" s="94" t="s">
        <v>270</v>
      </c>
      <c r="IL43" s="94" t="s">
        <v>270</v>
      </c>
      <c r="IM43" s="94" t="s">
        <v>270</v>
      </c>
      <c r="IN43" s="94" t="s">
        <v>270</v>
      </c>
      <c r="IO43" s="94" t="s">
        <v>270</v>
      </c>
      <c r="IP43" s="94" t="s">
        <v>270</v>
      </c>
      <c r="IQ43" s="94" t="s">
        <v>270</v>
      </c>
      <c r="IR43" s="94" t="s">
        <v>270</v>
      </c>
      <c r="IS43" s="94" t="s">
        <v>270</v>
      </c>
      <c r="IT43" s="94" t="s">
        <v>270</v>
      </c>
      <c r="IU43" s="94" t="s">
        <v>270</v>
      </c>
      <c r="IV43" s="94" t="s">
        <v>270</v>
      </c>
      <c r="IW43" s="94" t="s">
        <v>270</v>
      </c>
      <c r="IX43" s="94" t="s">
        <v>270</v>
      </c>
      <c r="IY43" s="94" t="s">
        <v>270</v>
      </c>
      <c r="IZ43" s="94" t="s">
        <v>270</v>
      </c>
      <c r="JA43" s="94" t="s">
        <v>270</v>
      </c>
      <c r="JB43" s="94" t="s">
        <v>270</v>
      </c>
      <c r="JC43" s="94" t="s">
        <v>270</v>
      </c>
      <c r="JD43" s="94" t="s">
        <v>270</v>
      </c>
      <c r="JE43" s="94" t="s">
        <v>270</v>
      </c>
      <c r="JF43" s="94" t="s">
        <v>270</v>
      </c>
      <c r="JG43" s="94" t="s">
        <v>270</v>
      </c>
      <c r="JH43" s="94" t="s">
        <v>270</v>
      </c>
      <c r="JI43" s="94" t="s">
        <v>270</v>
      </c>
      <c r="JJ43" s="94" t="s">
        <v>270</v>
      </c>
      <c r="JK43" s="94" t="s">
        <v>270</v>
      </c>
      <c r="JL43" s="94" t="s">
        <v>270</v>
      </c>
      <c r="JM43" s="94" t="s">
        <v>270</v>
      </c>
    </row>
    <row r="44" spans="1:273">
      <c r="A44" s="94" t="s">
        <v>626</v>
      </c>
      <c r="B44" s="94" t="s">
        <v>738</v>
      </c>
      <c r="C44" s="94" t="s">
        <v>739</v>
      </c>
      <c r="D44" s="95">
        <v>41526</v>
      </c>
      <c r="E44" s="94" t="s">
        <v>742</v>
      </c>
      <c r="F44" s="94">
        <v>0.61536420000000003</v>
      </c>
      <c r="G44" s="94">
        <v>17.987804878048699</v>
      </c>
      <c r="H44" s="94">
        <v>23.489999771099999</v>
      </c>
      <c r="I44" s="94">
        <v>1</v>
      </c>
      <c r="J44" s="94">
        <v>0</v>
      </c>
      <c r="K44" s="94">
        <v>0</v>
      </c>
      <c r="L44" s="94" t="s">
        <v>630</v>
      </c>
      <c r="M44" s="94" t="s">
        <v>631</v>
      </c>
      <c r="N44" s="94">
        <v>2.1201992028682489E-22</v>
      </c>
      <c r="O44" s="96" t="s">
        <v>270</v>
      </c>
      <c r="P44" s="94">
        <v>24.008297880877741</v>
      </c>
      <c r="Q44" s="94">
        <v>6.4779664379182664</v>
      </c>
      <c r="R44" s="94">
        <v>1.9505540294927253</v>
      </c>
      <c r="S44" s="94">
        <v>0.4580693915210427</v>
      </c>
      <c r="T44" s="94" t="s">
        <v>270</v>
      </c>
      <c r="U44" s="94" t="s">
        <v>270</v>
      </c>
      <c r="V44" s="94" t="s">
        <v>632</v>
      </c>
      <c r="W44" s="94" t="s">
        <v>270</v>
      </c>
      <c r="X44" s="94">
        <v>1.0270783659990947</v>
      </c>
      <c r="Y44" s="94">
        <v>1.9851080100951917</v>
      </c>
      <c r="Z44" s="94" t="s">
        <v>632</v>
      </c>
      <c r="AA44" s="94" t="s">
        <v>270</v>
      </c>
      <c r="AB44" s="94" t="s">
        <v>632</v>
      </c>
      <c r="AC44" s="94" t="s">
        <v>270</v>
      </c>
      <c r="AD44" s="94" t="s">
        <v>633</v>
      </c>
      <c r="AE44" s="94" t="s">
        <v>73</v>
      </c>
      <c r="AF44" s="94">
        <v>1.0486272400696024E-12</v>
      </c>
      <c r="AG44" s="94">
        <v>3</v>
      </c>
      <c r="AH44" s="97">
        <v>42880.574386574073</v>
      </c>
      <c r="AJ44" s="98" t="s">
        <v>743</v>
      </c>
      <c r="AK44" s="96">
        <v>0.25883924745421316</v>
      </c>
      <c r="AL44" s="96">
        <v>0.19850696991999239</v>
      </c>
      <c r="AM44" s="96">
        <v>6.3436208825636387E-2</v>
      </c>
      <c r="AN44" s="96" t="s">
        <v>270</v>
      </c>
      <c r="AO44" s="96" t="s">
        <v>270</v>
      </c>
      <c r="AP44" s="96">
        <v>0.21237597877950254</v>
      </c>
      <c r="AQ44" s="96">
        <v>-0.95578220378845502</v>
      </c>
      <c r="AR44" s="96">
        <v>97.999596104796098</v>
      </c>
      <c r="AS44" s="96">
        <v>112.46658010624381</v>
      </c>
      <c r="AT44" s="96" t="s">
        <v>270</v>
      </c>
      <c r="AU44" s="96" t="s">
        <v>270</v>
      </c>
      <c r="AV44" s="94">
        <v>5.54E-8</v>
      </c>
      <c r="AW44" s="94">
        <v>5.5400000000000005E-10</v>
      </c>
      <c r="AX44" s="94">
        <v>2.1409999999999999E-7</v>
      </c>
      <c r="AY44" s="94">
        <v>2.8000000000000002E-10</v>
      </c>
      <c r="AZ44" s="94" t="s">
        <v>270</v>
      </c>
      <c r="BA44" s="94" t="s">
        <v>270</v>
      </c>
      <c r="BB44" s="94" t="s">
        <v>270</v>
      </c>
      <c r="BC44" s="94" t="s">
        <v>270</v>
      </c>
      <c r="BD44" s="94" t="s">
        <v>270</v>
      </c>
      <c r="BE44" s="94" t="s">
        <v>270</v>
      </c>
      <c r="BF44" s="94" t="s">
        <v>270</v>
      </c>
      <c r="BG44" s="94" t="s">
        <v>270</v>
      </c>
      <c r="BH44" s="94" t="s">
        <v>270</v>
      </c>
      <c r="BI44" s="94" t="s">
        <v>270</v>
      </c>
      <c r="BJ44" s="94" t="s">
        <v>270</v>
      </c>
      <c r="BK44" s="94" t="s">
        <v>270</v>
      </c>
      <c r="BL44" s="94" t="s">
        <v>270</v>
      </c>
      <c r="BM44" s="94" t="s">
        <v>270</v>
      </c>
      <c r="BN44" s="94" t="s">
        <v>270</v>
      </c>
      <c r="BO44" s="94" t="s">
        <v>270</v>
      </c>
      <c r="BP44" s="94" t="s">
        <v>270</v>
      </c>
      <c r="BQ44" s="94" t="s">
        <v>270</v>
      </c>
      <c r="BR44" s="94" t="s">
        <v>270</v>
      </c>
      <c r="BS44" s="94" t="s">
        <v>270</v>
      </c>
      <c r="BT44" s="94" t="s">
        <v>270</v>
      </c>
      <c r="BU44" s="94" t="s">
        <v>270</v>
      </c>
      <c r="BV44" s="94" t="s">
        <v>270</v>
      </c>
      <c r="BW44" s="94" t="s">
        <v>270</v>
      </c>
      <c r="BX44" s="94" t="s">
        <v>270</v>
      </c>
      <c r="BY44" s="94" t="s">
        <v>270</v>
      </c>
      <c r="BZ44" s="94" t="s">
        <v>270</v>
      </c>
      <c r="CA44" s="94" t="s">
        <v>270</v>
      </c>
      <c r="CB44" s="94" t="s">
        <v>270</v>
      </c>
      <c r="CC44" s="94" t="s">
        <v>270</v>
      </c>
      <c r="CD44" s="94" t="s">
        <v>270</v>
      </c>
      <c r="CE44" s="94" t="s">
        <v>270</v>
      </c>
      <c r="CF44" s="94" t="s">
        <v>270</v>
      </c>
      <c r="CG44" s="94" t="s">
        <v>270</v>
      </c>
      <c r="CH44" s="94" t="s">
        <v>270</v>
      </c>
      <c r="CI44" s="94" t="s">
        <v>270</v>
      </c>
      <c r="CJ44" s="94" t="s">
        <v>270</v>
      </c>
      <c r="CK44" s="94" t="s">
        <v>270</v>
      </c>
      <c r="CL44" s="94" t="s">
        <v>270</v>
      </c>
      <c r="CM44" s="94" t="s">
        <v>270</v>
      </c>
      <c r="CN44" s="94" t="s">
        <v>270</v>
      </c>
      <c r="CO44" s="94" t="s">
        <v>270</v>
      </c>
      <c r="CP44" s="94" t="s">
        <v>270</v>
      </c>
      <c r="CQ44" s="94" t="s">
        <v>270</v>
      </c>
      <c r="CR44" s="94">
        <v>0.54362765874630103</v>
      </c>
      <c r="CS44" s="94">
        <v>5.4362765874630105E-2</v>
      </c>
      <c r="CT44" s="94" t="s">
        <v>270</v>
      </c>
      <c r="CU44" s="94" t="s">
        <v>270</v>
      </c>
      <c r="CV44" s="94" t="s">
        <v>270</v>
      </c>
      <c r="CW44" s="94" t="s">
        <v>270</v>
      </c>
      <c r="CX44" s="94">
        <v>16.712418633876499</v>
      </c>
      <c r="CY44" s="94">
        <v>1.67124186338765</v>
      </c>
      <c r="CZ44" s="94">
        <v>0.37003891438928499</v>
      </c>
      <c r="DA44" s="94">
        <v>3.7003891438928502E-2</v>
      </c>
      <c r="DB44" s="94">
        <v>51.229628697950297</v>
      </c>
      <c r="DC44" s="94">
        <v>5.12296286979503</v>
      </c>
      <c r="DD44" s="94">
        <v>3.5476590249242201E-3</v>
      </c>
      <c r="DE44" s="94">
        <v>3.5476590249242204E-4</v>
      </c>
      <c r="DF44" s="94" t="s">
        <v>270</v>
      </c>
      <c r="DG44" s="94" t="s">
        <v>270</v>
      </c>
      <c r="DH44" s="94" t="s">
        <v>270</v>
      </c>
      <c r="DI44" s="94" t="s">
        <v>270</v>
      </c>
      <c r="DJ44" s="94">
        <v>0.99776364294134634</v>
      </c>
      <c r="DK44" s="94">
        <v>0.99783514128708206</v>
      </c>
      <c r="DL44" s="94">
        <v>2.9434461299362332E-2</v>
      </c>
      <c r="DM44" s="94">
        <v>0.9977694873487718</v>
      </c>
      <c r="DN44" s="94">
        <v>4.4008796287561745E-8</v>
      </c>
      <c r="DO44" s="94">
        <v>1.7863892774381819E-7</v>
      </c>
      <c r="DP44" s="94">
        <v>2.871888937364398E-4</v>
      </c>
      <c r="DQ44" s="94">
        <v>6.2825643279730498E-8</v>
      </c>
      <c r="DR44" s="94">
        <v>8.4125172191486196E-9</v>
      </c>
      <c r="DS44" s="94">
        <v>1.1047294260438049E-2</v>
      </c>
      <c r="DT44" s="94">
        <v>5.8750058738564481E-3</v>
      </c>
      <c r="DU44" s="94">
        <v>2.6233627390662205E-4</v>
      </c>
      <c r="DV44" s="94">
        <v>4.3781902978620908E-8</v>
      </c>
      <c r="DW44" s="94">
        <v>9.8808871178240875E-9</v>
      </c>
      <c r="DX44" s="94">
        <v>1.7638784409823694E-7</v>
      </c>
      <c r="DY44" s="94">
        <v>1.0220903114541878E-8</v>
      </c>
      <c r="DZ44" s="94">
        <v>3.5461072256177729E-8</v>
      </c>
      <c r="EA44" s="94">
        <v>1.8218174635462037E-5</v>
      </c>
      <c r="EB44" s="94">
        <v>2.2236315936217118E-9</v>
      </c>
      <c r="EC44" s="94">
        <v>1.6969820056586659E-10</v>
      </c>
      <c r="ED44" s="94">
        <v>2.3443391650808526E-3</v>
      </c>
      <c r="EE44" s="94">
        <v>4.0856304701754591E-4</v>
      </c>
      <c r="EF44" s="94">
        <v>6.826939103224362E-7</v>
      </c>
      <c r="EG44" s="94">
        <v>2.7502811815847412E-9</v>
      </c>
      <c r="EH44" s="94">
        <v>1.1313213371057806E-9</v>
      </c>
      <c r="EI44" s="94">
        <v>6.2417728943766932E-10</v>
      </c>
      <c r="EJ44" s="94">
        <v>5.4229699402103623E-8</v>
      </c>
      <c r="EK44" s="94">
        <v>2.1409999999999592E-7</v>
      </c>
      <c r="EL44" s="94">
        <v>3.0540706837190183E-4</v>
      </c>
      <c r="EM44" s="94">
        <v>6.504927487335221E-8</v>
      </c>
      <c r="EN44" s="94">
        <v>8.5822154197144862E-9</v>
      </c>
      <c r="EO44" s="94">
        <v>1.3391633425518901E-2</v>
      </c>
      <c r="EP44" s="94">
        <v>6.283568920873994E-3</v>
      </c>
      <c r="EQ44" s="94">
        <v>2.6301896781694449E-4</v>
      </c>
      <c r="ER44" s="94">
        <v>4.653218416020565E-8</v>
      </c>
      <c r="ES44" s="94">
        <v>1.1012208454929868E-8</v>
      </c>
      <c r="ET44" s="94">
        <v>1.7701202138767461E-7</v>
      </c>
      <c r="EU44" s="94">
        <v>1.9582267967208212E-6</v>
      </c>
      <c r="EV44" s="94">
        <v>7.9488207093135814E-6</v>
      </c>
      <c r="EW44" s="94">
        <v>1.279661370639322E-2</v>
      </c>
      <c r="EX44" s="94">
        <v>2.8045989640173437E-6</v>
      </c>
      <c r="EY44" s="94">
        <v>3.7700806669804158E-7</v>
      </c>
      <c r="EZ44" s="94">
        <v>0.49208050573012796</v>
      </c>
      <c r="FA44" s="94">
        <v>0.26152704840728191</v>
      </c>
      <c r="FB44" s="94">
        <v>1.1758213751795969E-2</v>
      </c>
      <c r="FC44" s="94">
        <v>1.9489600700835807E-6</v>
      </c>
      <c r="FD44" s="94">
        <v>4.3984964424789779E-7</v>
      </c>
      <c r="FE44" s="94">
        <v>7.8519397652372237E-6</v>
      </c>
      <c r="FF44" s="94">
        <v>4.5479195192712033E-7</v>
      </c>
      <c r="FG44" s="94">
        <v>1.5778963134429426E-6</v>
      </c>
      <c r="FH44" s="94">
        <v>8.1176865933948322E-4</v>
      </c>
      <c r="FI44" s="94">
        <v>9.9265117526297182E-8</v>
      </c>
      <c r="FJ44" s="94">
        <v>7.6050471994099583E-9</v>
      </c>
      <c r="FK44" s="94">
        <v>0.10450607904273768</v>
      </c>
      <c r="FL44" s="94">
        <v>1.8187264841770467E-2</v>
      </c>
      <c r="FM44" s="94">
        <v>3.0599126857606962E-5</v>
      </c>
      <c r="FN44" s="94">
        <v>1.2242931073663883E-7</v>
      </c>
      <c r="FO44" s="94">
        <v>5.0360993068971972E-8</v>
      </c>
      <c r="FP44" s="94">
        <v>2.778537548632986E-8</v>
      </c>
      <c r="FQ44" s="94">
        <v>2.4130187486479415E-6</v>
      </c>
      <c r="FR44" s="94">
        <v>9.526717022756524E-6</v>
      </c>
      <c r="FS44" s="94">
        <v>1.3608382365732703E-2</v>
      </c>
      <c r="FT44" s="94">
        <v>2.9038640815436409E-6</v>
      </c>
      <c r="FU44" s="94">
        <v>3.8461311389745154E-7</v>
      </c>
      <c r="FV44" s="94">
        <v>0.59658658477286564</v>
      </c>
      <c r="FW44" s="94">
        <v>0.27971431324905238</v>
      </c>
      <c r="FX44" s="94">
        <v>1.1788812878653576E-2</v>
      </c>
      <c r="FY44" s="94">
        <v>2.0713893808202195E-6</v>
      </c>
      <c r="FZ44" s="94">
        <v>4.9021063731686976E-7</v>
      </c>
      <c r="GA44" s="94">
        <v>7.8797251407235536E-6</v>
      </c>
      <c r="GB44" s="94">
        <v>7.8380381327360522E-6</v>
      </c>
      <c r="GC44" s="94">
        <v>1.6040481726773529E-4</v>
      </c>
      <c r="GD44" s="94">
        <v>0.51119912434299641</v>
      </c>
      <c r="GE44" s="94">
        <v>2.3501978398672536E-4</v>
      </c>
      <c r="GF44" s="94">
        <v>4.9498520100985974E-5</v>
      </c>
      <c r="GG44" s="94">
        <v>13.784848039220368</v>
      </c>
      <c r="GH44" s="94">
        <v>8.3685517165749328</v>
      </c>
      <c r="GI44" s="94">
        <v>0.51747310810966474</v>
      </c>
      <c r="GJ44" s="94">
        <v>3.1266113965913036E-5</v>
      </c>
      <c r="GK44" s="94">
        <v>8.8668410084645225E-7</v>
      </c>
      <c r="GL44" s="94">
        <v>3.4558585449943289E-4</v>
      </c>
      <c r="GM44" s="94" t="s">
        <v>270</v>
      </c>
      <c r="GN44" s="94" t="s">
        <v>270</v>
      </c>
      <c r="GO44" s="94" t="s">
        <v>270</v>
      </c>
      <c r="GP44" s="94" t="s">
        <v>270</v>
      </c>
      <c r="GQ44" s="94" t="s">
        <v>270</v>
      </c>
      <c r="GR44" s="94" t="s">
        <v>270</v>
      </c>
      <c r="GS44" s="94" t="s">
        <v>270</v>
      </c>
      <c r="GT44" s="94" t="s">
        <v>270</v>
      </c>
      <c r="GU44" s="94" t="s">
        <v>270</v>
      </c>
      <c r="GV44" s="94" t="s">
        <v>270</v>
      </c>
      <c r="GW44" s="94" t="s">
        <v>270</v>
      </c>
      <c r="GX44" s="94" t="s">
        <v>270</v>
      </c>
      <c r="GY44" s="94" t="s">
        <v>270</v>
      </c>
      <c r="GZ44" s="94" t="s">
        <v>270</v>
      </c>
      <c r="HA44" s="94" t="s">
        <v>270</v>
      </c>
      <c r="HB44" s="94" t="s">
        <v>270</v>
      </c>
      <c r="HC44" s="94" t="s">
        <v>270</v>
      </c>
      <c r="HD44" s="94" t="s">
        <v>270</v>
      </c>
      <c r="HE44" s="94" t="s">
        <v>270</v>
      </c>
      <c r="HF44" s="94" t="s">
        <v>270</v>
      </c>
      <c r="HG44" s="94" t="s">
        <v>270</v>
      </c>
      <c r="HH44" s="94" t="s">
        <v>270</v>
      </c>
      <c r="HI44" s="94" t="s">
        <v>270</v>
      </c>
      <c r="HJ44" s="94" t="s">
        <v>270</v>
      </c>
      <c r="HK44" s="94" t="s">
        <v>270</v>
      </c>
      <c r="HL44" s="94" t="s">
        <v>270</v>
      </c>
      <c r="HM44" s="94" t="s">
        <v>270</v>
      </c>
      <c r="HN44" s="94" t="s">
        <v>270</v>
      </c>
      <c r="HO44" s="94" t="s">
        <v>270</v>
      </c>
      <c r="HP44" s="94" t="s">
        <v>270</v>
      </c>
      <c r="HQ44" s="94" t="s">
        <v>270</v>
      </c>
      <c r="HR44" s="94" t="s">
        <v>270</v>
      </c>
      <c r="HS44" s="94" t="s">
        <v>270</v>
      </c>
      <c r="HT44" s="94" t="s">
        <v>270</v>
      </c>
      <c r="HU44" s="94" t="s">
        <v>270</v>
      </c>
      <c r="HV44" s="94" t="s">
        <v>270</v>
      </c>
      <c r="HW44" s="94" t="s">
        <v>270</v>
      </c>
      <c r="HX44" s="94" t="s">
        <v>270</v>
      </c>
      <c r="HY44" s="94" t="s">
        <v>270</v>
      </c>
      <c r="HZ44" s="94" t="s">
        <v>270</v>
      </c>
      <c r="IA44" s="94" t="s">
        <v>270</v>
      </c>
      <c r="IB44" s="94" t="s">
        <v>270</v>
      </c>
      <c r="IC44" s="94" t="s">
        <v>270</v>
      </c>
      <c r="ID44" s="94" t="s">
        <v>270</v>
      </c>
      <c r="IE44" s="94" t="s">
        <v>270</v>
      </c>
      <c r="IF44" s="94" t="s">
        <v>270</v>
      </c>
      <c r="IG44" s="94" t="s">
        <v>270</v>
      </c>
      <c r="IH44" s="94" t="s">
        <v>270</v>
      </c>
      <c r="II44" s="94" t="s">
        <v>270</v>
      </c>
      <c r="IJ44" s="94" t="s">
        <v>270</v>
      </c>
      <c r="IK44" s="94" t="s">
        <v>270</v>
      </c>
      <c r="IL44" s="94" t="s">
        <v>270</v>
      </c>
      <c r="IM44" s="94" t="s">
        <v>270</v>
      </c>
      <c r="IN44" s="94" t="s">
        <v>270</v>
      </c>
      <c r="IO44" s="94" t="s">
        <v>270</v>
      </c>
      <c r="IP44" s="94" t="s">
        <v>270</v>
      </c>
      <c r="IQ44" s="94" t="s">
        <v>270</v>
      </c>
      <c r="IR44" s="94" t="s">
        <v>270</v>
      </c>
      <c r="IS44" s="94" t="s">
        <v>270</v>
      </c>
      <c r="IT44" s="94" t="s">
        <v>270</v>
      </c>
      <c r="IU44" s="94" t="s">
        <v>270</v>
      </c>
      <c r="IV44" s="94" t="s">
        <v>270</v>
      </c>
      <c r="IW44" s="94" t="s">
        <v>270</v>
      </c>
      <c r="IX44" s="94" t="s">
        <v>270</v>
      </c>
      <c r="IY44" s="94" t="s">
        <v>270</v>
      </c>
      <c r="IZ44" s="94" t="s">
        <v>270</v>
      </c>
      <c r="JA44" s="94" t="s">
        <v>270</v>
      </c>
      <c r="JB44" s="94" t="s">
        <v>270</v>
      </c>
      <c r="JC44" s="94" t="s">
        <v>270</v>
      </c>
      <c r="JD44" s="94" t="s">
        <v>270</v>
      </c>
      <c r="JE44" s="94" t="s">
        <v>270</v>
      </c>
      <c r="JF44" s="94" t="s">
        <v>270</v>
      </c>
      <c r="JG44" s="94" t="s">
        <v>270</v>
      </c>
      <c r="JH44" s="94" t="s">
        <v>270</v>
      </c>
      <c r="JI44" s="94" t="s">
        <v>270</v>
      </c>
      <c r="JJ44" s="94" t="s">
        <v>270</v>
      </c>
      <c r="JK44" s="94" t="s">
        <v>270</v>
      </c>
      <c r="JL44" s="94" t="s">
        <v>270</v>
      </c>
      <c r="JM44" s="94" t="s">
        <v>270</v>
      </c>
    </row>
    <row r="45" spans="1:273">
      <c r="A45" s="94" t="s">
        <v>626</v>
      </c>
      <c r="B45" s="94" t="s">
        <v>738</v>
      </c>
      <c r="C45" s="94" t="s">
        <v>744</v>
      </c>
      <c r="D45" s="95">
        <v>41528</v>
      </c>
      <c r="E45" s="94" t="s">
        <v>745</v>
      </c>
      <c r="F45" s="94">
        <v>0.84992100378000002</v>
      </c>
      <c r="G45" s="94">
        <v>61.890243902439003</v>
      </c>
      <c r="H45" s="94">
        <v>22.1800003052</v>
      </c>
      <c r="I45" s="94">
        <v>1</v>
      </c>
      <c r="J45" s="94">
        <v>0</v>
      </c>
      <c r="K45" s="94">
        <v>0</v>
      </c>
      <c r="L45" s="94" t="s">
        <v>630</v>
      </c>
      <c r="M45" s="94" t="s">
        <v>631</v>
      </c>
      <c r="N45" s="94">
        <v>2.0471226901566207E-25</v>
      </c>
      <c r="O45" s="96" t="s">
        <v>270</v>
      </c>
      <c r="P45" s="94">
        <v>15.309891999657999</v>
      </c>
      <c r="Q45" s="94">
        <v>0.71999972318867289</v>
      </c>
      <c r="R45" s="94">
        <v>2.4474110178028821</v>
      </c>
      <c r="S45" s="94">
        <v>0.55674380540878521</v>
      </c>
      <c r="T45" s="94" t="s">
        <v>270</v>
      </c>
      <c r="U45" s="94" t="s">
        <v>270</v>
      </c>
      <c r="V45" s="94" t="s">
        <v>632</v>
      </c>
      <c r="W45" s="94" t="s">
        <v>270</v>
      </c>
      <c r="X45" s="94">
        <v>1.7000000000000002</v>
      </c>
      <c r="Y45" s="94">
        <v>0.316227766016839</v>
      </c>
      <c r="Z45" s="94" t="s">
        <v>632</v>
      </c>
      <c r="AA45" s="94" t="s">
        <v>270</v>
      </c>
      <c r="AB45" s="94" t="s">
        <v>632</v>
      </c>
      <c r="AC45" s="94" t="s">
        <v>270</v>
      </c>
      <c r="AD45" s="94" t="s">
        <v>644</v>
      </c>
      <c r="AE45" s="94" t="s">
        <v>98</v>
      </c>
      <c r="AF45" s="94">
        <v>8.4527189947420496E-6</v>
      </c>
      <c r="AG45" s="94">
        <v>19</v>
      </c>
      <c r="AH45" s="97">
        <v>42880.56287037037</v>
      </c>
      <c r="AI45" s="94" t="s">
        <v>645</v>
      </c>
      <c r="AJ45" s="98" t="s">
        <v>746</v>
      </c>
      <c r="AK45" s="96" t="s">
        <v>270</v>
      </c>
      <c r="AL45" s="96" t="s">
        <v>270</v>
      </c>
      <c r="AM45" s="96">
        <v>6.7705245597353469E-2</v>
      </c>
      <c r="AN45" s="96" t="s">
        <v>270</v>
      </c>
      <c r="AO45" s="96" t="s">
        <v>270</v>
      </c>
      <c r="AP45" s="96">
        <v>0.25504985486276599</v>
      </c>
      <c r="AQ45" s="96">
        <v>-0.95272089237959678</v>
      </c>
      <c r="AR45" s="96">
        <v>29.291888521581679</v>
      </c>
      <c r="AS45" s="96" t="s">
        <v>270</v>
      </c>
      <c r="AT45" s="96" t="s">
        <v>270</v>
      </c>
      <c r="AU45" s="96" t="s">
        <v>270</v>
      </c>
      <c r="AV45" s="94" t="s">
        <v>270</v>
      </c>
      <c r="AW45" s="94" t="s">
        <v>270</v>
      </c>
      <c r="AX45" s="94" t="s">
        <v>270</v>
      </c>
      <c r="AY45" s="94" t="s">
        <v>270</v>
      </c>
      <c r="AZ45" s="94" t="s">
        <v>270</v>
      </c>
      <c r="BA45" s="94" t="s">
        <v>270</v>
      </c>
      <c r="BB45" s="94" t="s">
        <v>270</v>
      </c>
      <c r="BC45" s="94" t="s">
        <v>270</v>
      </c>
      <c r="BD45" s="94" t="s">
        <v>270</v>
      </c>
      <c r="BE45" s="94" t="s">
        <v>270</v>
      </c>
      <c r="BF45" s="94" t="s">
        <v>270</v>
      </c>
      <c r="BG45" s="94" t="s">
        <v>270</v>
      </c>
      <c r="BH45" s="94" t="s">
        <v>270</v>
      </c>
      <c r="BI45" s="94" t="s">
        <v>270</v>
      </c>
      <c r="BJ45" s="94" t="s">
        <v>270</v>
      </c>
      <c r="BK45" s="94" t="s">
        <v>270</v>
      </c>
      <c r="BL45" s="94" t="s">
        <v>270</v>
      </c>
      <c r="BM45" s="94" t="s">
        <v>270</v>
      </c>
      <c r="BN45" s="94" t="s">
        <v>270</v>
      </c>
      <c r="BO45" s="94" t="s">
        <v>270</v>
      </c>
      <c r="BP45" s="94" t="s">
        <v>270</v>
      </c>
      <c r="BQ45" s="94" t="s">
        <v>270</v>
      </c>
      <c r="BR45" s="94" t="s">
        <v>270</v>
      </c>
      <c r="BS45" s="94" t="s">
        <v>270</v>
      </c>
      <c r="BT45" s="94" t="s">
        <v>270</v>
      </c>
      <c r="BU45" s="94" t="s">
        <v>270</v>
      </c>
      <c r="BV45" s="94" t="s">
        <v>270</v>
      </c>
      <c r="BW45" s="94" t="s">
        <v>270</v>
      </c>
      <c r="BX45" s="94" t="s">
        <v>270</v>
      </c>
      <c r="BY45" s="94" t="s">
        <v>270</v>
      </c>
      <c r="BZ45" s="94" t="s">
        <v>270</v>
      </c>
      <c r="CA45" s="94" t="s">
        <v>270</v>
      </c>
      <c r="CB45" s="94" t="s">
        <v>270</v>
      </c>
      <c r="CC45" s="94" t="s">
        <v>270</v>
      </c>
      <c r="CD45" s="94" t="s">
        <v>270</v>
      </c>
      <c r="CE45" s="94" t="s">
        <v>270</v>
      </c>
      <c r="CF45" s="94" t="s">
        <v>270</v>
      </c>
      <c r="CG45" s="94" t="s">
        <v>270</v>
      </c>
      <c r="CH45" s="94" t="s">
        <v>270</v>
      </c>
      <c r="CI45" s="94" t="s">
        <v>270</v>
      </c>
      <c r="CJ45" s="94" t="s">
        <v>270</v>
      </c>
      <c r="CK45" s="94" t="s">
        <v>270</v>
      </c>
      <c r="CL45" s="94" t="s">
        <v>270</v>
      </c>
      <c r="CM45" s="94" t="s">
        <v>270</v>
      </c>
      <c r="CN45" s="94" t="s">
        <v>270</v>
      </c>
      <c r="CO45" s="94" t="s">
        <v>270</v>
      </c>
      <c r="CP45" s="94" t="s">
        <v>270</v>
      </c>
      <c r="CQ45" s="94" t="s">
        <v>270</v>
      </c>
      <c r="CR45" s="94">
        <v>0.644856604501578</v>
      </c>
      <c r="CS45" s="94">
        <v>6.44856604501578E-2</v>
      </c>
      <c r="CT45" s="94" t="s">
        <v>270</v>
      </c>
      <c r="CU45" s="94" t="s">
        <v>270</v>
      </c>
      <c r="CV45" s="94" t="s">
        <v>270</v>
      </c>
      <c r="CW45" s="94" t="s">
        <v>270</v>
      </c>
      <c r="CX45" s="94">
        <v>20.137125716733902</v>
      </c>
      <c r="CY45" s="94">
        <v>2.0137125716733904</v>
      </c>
      <c r="CZ45" s="94">
        <v>0.46756540942547697</v>
      </c>
      <c r="DA45" s="94">
        <v>4.6756540942547699E-2</v>
      </c>
      <c r="DB45" s="94">
        <v>20.357699360445402</v>
      </c>
      <c r="DC45" s="94">
        <v>2.0357699360445403</v>
      </c>
      <c r="DD45" s="94" t="s">
        <v>270</v>
      </c>
      <c r="DE45" s="94" t="s">
        <v>270</v>
      </c>
      <c r="DF45" s="94" t="s">
        <v>270</v>
      </c>
      <c r="DG45" s="94" t="s">
        <v>270</v>
      </c>
      <c r="DH45" s="94" t="s">
        <v>270</v>
      </c>
      <c r="DI45" s="94" t="s">
        <v>270</v>
      </c>
      <c r="DJ45" s="94">
        <v>0.99971157401873567</v>
      </c>
      <c r="DK45" s="94">
        <v>0.99257107599482886</v>
      </c>
      <c r="DL45" s="94">
        <v>1.7143595377588521E-2</v>
      </c>
      <c r="DM45" s="94">
        <v>0.99244149606164989</v>
      </c>
      <c r="DN45" s="94">
        <v>4.4924972718629302E-8</v>
      </c>
      <c r="DO45" s="94">
        <v>1.8988619473713715E-7</v>
      </c>
      <c r="DP45" s="94">
        <v>3.3864313030279749E-4</v>
      </c>
      <c r="DQ45" s="94">
        <v>7.7528973302635158E-8</v>
      </c>
      <c r="DR45" s="94">
        <v>1.0879836762940422E-8</v>
      </c>
      <c r="DS45" s="94">
        <v>1.2833449251854584E-2</v>
      </c>
      <c r="DT45" s="94">
        <v>6.9292153570869354E-3</v>
      </c>
      <c r="DU45" s="94">
        <v>3.4003675390786061E-4</v>
      </c>
      <c r="DV45" s="94">
        <v>5.2385221882048393E-8</v>
      </c>
      <c r="DW45" s="94">
        <v>1.0536956374468491E-8</v>
      </c>
      <c r="DX45" s="94">
        <v>2.3185906476297724E-7</v>
      </c>
      <c r="DY45" s="94">
        <v>1.2824433733287102E-8</v>
      </c>
      <c r="DZ45" s="94">
        <v>4.4493932303656381E-8</v>
      </c>
      <c r="EA45" s="94">
        <v>2.2858818906278892E-5</v>
      </c>
      <c r="EB45" s="94">
        <v>2.7900485602952903E-9</v>
      </c>
      <c r="EC45" s="94">
        <v>2.1292475854885041E-10</v>
      </c>
      <c r="ED45" s="94">
        <v>3.2703840527736772E-3</v>
      </c>
      <c r="EE45" s="94">
        <v>5.1263471178899199E-4</v>
      </c>
      <c r="EF45" s="94">
        <v>8.5659385623098857E-7</v>
      </c>
      <c r="EG45" s="94">
        <v>3.4508495351020634E-9</v>
      </c>
      <c r="EH45" s="94">
        <v>1.4194983903256721E-9</v>
      </c>
      <c r="EI45" s="94">
        <v>7.8317152569691617E-10</v>
      </c>
      <c r="EJ45" s="94">
        <v>5.7749406451916403E-8</v>
      </c>
      <c r="EK45" s="94">
        <v>2.3438012704079353E-7</v>
      </c>
      <c r="EL45" s="94">
        <v>3.6150194920907638E-4</v>
      </c>
      <c r="EM45" s="94">
        <v>8.0319021862930448E-8</v>
      </c>
      <c r="EN45" s="94">
        <v>1.1092761521489273E-8</v>
      </c>
      <c r="EO45" s="94">
        <v>1.6103833304628262E-2</v>
      </c>
      <c r="EP45" s="94">
        <v>7.4418500688759274E-3</v>
      </c>
      <c r="EQ45" s="94">
        <v>3.408933477640916E-4</v>
      </c>
      <c r="ER45" s="94">
        <v>5.5836071417150456E-8</v>
      </c>
      <c r="ES45" s="94">
        <v>1.1956454764794163E-8</v>
      </c>
      <c r="ET45" s="94">
        <v>2.3264223628867416E-7</v>
      </c>
      <c r="EU45" s="94">
        <v>2.0028958491518137E-6</v>
      </c>
      <c r="EV45" s="94">
        <v>8.4657811010245346E-6</v>
      </c>
      <c r="EW45" s="94">
        <v>1.5118779550259575E-2</v>
      </c>
      <c r="EX45" s="94">
        <v>3.4677270264756902E-6</v>
      </c>
      <c r="EY45" s="94">
        <v>4.8853322047602762E-7</v>
      </c>
      <c r="EZ45" s="94">
        <v>0.57275736314205383</v>
      </c>
      <c r="FA45" s="94">
        <v>0.30905758862086974</v>
      </c>
      <c r="FB45" s="94">
        <v>1.527059334591657E-2</v>
      </c>
      <c r="FC45" s="94">
        <v>2.3364911494165835E-6</v>
      </c>
      <c r="FD45" s="94">
        <v>4.6997043109157866E-7</v>
      </c>
      <c r="FE45" s="94">
        <v>1.0341402274681356E-5</v>
      </c>
      <c r="FF45" s="94">
        <v>5.7175338208879685E-7</v>
      </c>
      <c r="FG45" s="94">
        <v>1.9836928731338177E-6</v>
      </c>
      <c r="FH45" s="94">
        <v>1.0205358174970817E-3</v>
      </c>
      <c r="FI45" s="94">
        <v>1.2479369177183097E-7</v>
      </c>
      <c r="FJ45" s="94">
        <v>9.5608803954920215E-9</v>
      </c>
      <c r="FK45" s="94">
        <v>0.14597487676185528</v>
      </c>
      <c r="FL45" s="94">
        <v>2.2864587071438125E-2</v>
      </c>
      <c r="FM45" s="94">
        <v>3.8468478159447636E-5</v>
      </c>
      <c r="FN45" s="94">
        <v>1.5391515215663019E-7</v>
      </c>
      <c r="FO45" s="94">
        <v>6.3312615780741461E-8</v>
      </c>
      <c r="FP45" s="94">
        <v>3.4931098361789181E-8</v>
      </c>
      <c r="FQ45" s="94">
        <v>2.5746492312406106E-6</v>
      </c>
      <c r="FR45" s="94">
        <v>1.0449473974158352E-5</v>
      </c>
      <c r="FS45" s="94">
        <v>1.6139315367756656E-2</v>
      </c>
      <c r="FT45" s="94">
        <v>3.5925207182475211E-6</v>
      </c>
      <c r="FU45" s="94">
        <v>4.9809410087151964E-7</v>
      </c>
      <c r="FV45" s="94">
        <v>0.71873223990390911</v>
      </c>
      <c r="FW45" s="94">
        <v>0.33192217569230786</v>
      </c>
      <c r="FX45" s="94">
        <v>1.5309061824076018E-2</v>
      </c>
      <c r="FY45" s="94">
        <v>2.4904063015732137E-6</v>
      </c>
      <c r="FZ45" s="94">
        <v>5.3328304687232012E-7</v>
      </c>
      <c r="GA45" s="94">
        <v>1.0376333373043145E-5</v>
      </c>
      <c r="GB45" s="94">
        <v>8.016831384311202E-6</v>
      </c>
      <c r="GC45" s="94">
        <v>1.7083692288434479E-4</v>
      </c>
      <c r="GD45" s="94">
        <v>0.60396500547376952</v>
      </c>
      <c r="GE45" s="94">
        <v>2.9058858936460989E-4</v>
      </c>
      <c r="GF45" s="94">
        <v>6.4140992115959095E-5</v>
      </c>
      <c r="GG45" s="94">
        <v>16.044881116643612</v>
      </c>
      <c r="GH45" s="94">
        <v>9.8894719667614872</v>
      </c>
      <c r="GI45" s="94">
        <v>0.67205117785711532</v>
      </c>
      <c r="GJ45" s="94">
        <v>3.7483065804869563E-5</v>
      </c>
      <c r="GK45" s="94">
        <v>9.4740399262889168E-7</v>
      </c>
      <c r="GL45" s="94">
        <v>4.5515407003509555E-4</v>
      </c>
      <c r="GM45" s="94" t="s">
        <v>270</v>
      </c>
      <c r="GN45" s="94" t="s">
        <v>270</v>
      </c>
      <c r="GO45" s="94" t="s">
        <v>270</v>
      </c>
      <c r="GP45" s="94" t="s">
        <v>270</v>
      </c>
      <c r="GQ45" s="94" t="s">
        <v>270</v>
      </c>
      <c r="GR45" s="94" t="s">
        <v>270</v>
      </c>
      <c r="GS45" s="94" t="s">
        <v>270</v>
      </c>
      <c r="GT45" s="94" t="s">
        <v>270</v>
      </c>
      <c r="GU45" s="94" t="s">
        <v>270</v>
      </c>
      <c r="GV45" s="94" t="s">
        <v>270</v>
      </c>
      <c r="GW45" s="94" t="s">
        <v>270</v>
      </c>
      <c r="GX45" s="94" t="s">
        <v>270</v>
      </c>
      <c r="GY45" s="94" t="s">
        <v>270</v>
      </c>
      <c r="GZ45" s="94" t="s">
        <v>270</v>
      </c>
      <c r="HA45" s="94" t="s">
        <v>270</v>
      </c>
      <c r="HB45" s="94" t="s">
        <v>270</v>
      </c>
      <c r="HC45" s="94" t="s">
        <v>270</v>
      </c>
      <c r="HD45" s="94" t="s">
        <v>270</v>
      </c>
      <c r="HE45" s="94" t="s">
        <v>270</v>
      </c>
      <c r="HF45" s="94" t="s">
        <v>270</v>
      </c>
      <c r="HG45" s="94" t="s">
        <v>270</v>
      </c>
      <c r="HH45" s="94" t="s">
        <v>270</v>
      </c>
      <c r="HI45" s="94" t="s">
        <v>270</v>
      </c>
      <c r="HJ45" s="94" t="s">
        <v>270</v>
      </c>
      <c r="HK45" s="94" t="s">
        <v>270</v>
      </c>
      <c r="HL45" s="94" t="s">
        <v>270</v>
      </c>
      <c r="HM45" s="94" t="s">
        <v>270</v>
      </c>
      <c r="HN45" s="94" t="s">
        <v>270</v>
      </c>
      <c r="HO45" s="94" t="s">
        <v>270</v>
      </c>
      <c r="HP45" s="94" t="s">
        <v>270</v>
      </c>
      <c r="HQ45" s="94" t="s">
        <v>270</v>
      </c>
      <c r="HR45" s="94" t="s">
        <v>270</v>
      </c>
      <c r="HS45" s="94" t="s">
        <v>270</v>
      </c>
      <c r="HT45" s="94" t="s">
        <v>270</v>
      </c>
      <c r="HU45" s="94" t="s">
        <v>270</v>
      </c>
      <c r="HV45" s="94" t="s">
        <v>270</v>
      </c>
      <c r="HW45" s="94" t="s">
        <v>270</v>
      </c>
      <c r="HX45" s="94" t="s">
        <v>270</v>
      </c>
      <c r="HY45" s="94" t="s">
        <v>270</v>
      </c>
      <c r="HZ45" s="94" t="s">
        <v>270</v>
      </c>
      <c r="IA45" s="94" t="s">
        <v>270</v>
      </c>
      <c r="IB45" s="94" t="s">
        <v>270</v>
      </c>
      <c r="IC45" s="94" t="s">
        <v>270</v>
      </c>
      <c r="ID45" s="94" t="s">
        <v>270</v>
      </c>
      <c r="IE45" s="94" t="s">
        <v>270</v>
      </c>
      <c r="IF45" s="94" t="s">
        <v>270</v>
      </c>
      <c r="IG45" s="94" t="s">
        <v>270</v>
      </c>
      <c r="IH45" s="94" t="s">
        <v>270</v>
      </c>
      <c r="II45" s="94" t="s">
        <v>270</v>
      </c>
      <c r="IJ45" s="94" t="s">
        <v>270</v>
      </c>
      <c r="IK45" s="94" t="s">
        <v>270</v>
      </c>
      <c r="IL45" s="94" t="s">
        <v>270</v>
      </c>
      <c r="IM45" s="94" t="s">
        <v>270</v>
      </c>
      <c r="IN45" s="94" t="s">
        <v>270</v>
      </c>
      <c r="IO45" s="94" t="s">
        <v>270</v>
      </c>
      <c r="IP45" s="94" t="s">
        <v>270</v>
      </c>
      <c r="IQ45" s="94" t="s">
        <v>270</v>
      </c>
      <c r="IR45" s="94" t="s">
        <v>270</v>
      </c>
      <c r="IS45" s="94" t="s">
        <v>270</v>
      </c>
      <c r="IT45" s="94" t="s">
        <v>270</v>
      </c>
      <c r="IU45" s="94" t="s">
        <v>270</v>
      </c>
      <c r="IV45" s="94" t="s">
        <v>270</v>
      </c>
      <c r="IW45" s="94" t="s">
        <v>270</v>
      </c>
      <c r="IX45" s="94" t="s">
        <v>270</v>
      </c>
      <c r="IY45" s="94" t="s">
        <v>270</v>
      </c>
      <c r="IZ45" s="94" t="s">
        <v>270</v>
      </c>
      <c r="JA45" s="94" t="s">
        <v>270</v>
      </c>
      <c r="JB45" s="94" t="s">
        <v>270</v>
      </c>
      <c r="JC45" s="94" t="s">
        <v>270</v>
      </c>
      <c r="JD45" s="94" t="s">
        <v>270</v>
      </c>
      <c r="JE45" s="94" t="s">
        <v>270</v>
      </c>
      <c r="JF45" s="94" t="s">
        <v>270</v>
      </c>
      <c r="JG45" s="94" t="s">
        <v>270</v>
      </c>
      <c r="JH45" s="94" t="s">
        <v>270</v>
      </c>
      <c r="JI45" s="94" t="s">
        <v>270</v>
      </c>
      <c r="JJ45" s="94" t="s">
        <v>270</v>
      </c>
      <c r="JK45" s="94" t="s">
        <v>270</v>
      </c>
      <c r="JL45" s="94" t="s">
        <v>270</v>
      </c>
      <c r="JM45" s="94" t="s">
        <v>270</v>
      </c>
    </row>
    <row r="46" spans="1:273">
      <c r="A46" s="94" t="s">
        <v>626</v>
      </c>
      <c r="B46" s="94" t="s">
        <v>738</v>
      </c>
      <c r="C46" s="94" t="s">
        <v>744</v>
      </c>
      <c r="D46" s="95">
        <v>41528</v>
      </c>
      <c r="E46" s="94" t="s">
        <v>747</v>
      </c>
      <c r="F46" s="94">
        <v>0.84992100378000002</v>
      </c>
      <c r="G46" s="94">
        <v>61.890243902439003</v>
      </c>
      <c r="H46" s="94">
        <v>22.1800003052</v>
      </c>
      <c r="I46" s="94">
        <v>1</v>
      </c>
      <c r="J46" s="94">
        <v>0</v>
      </c>
      <c r="K46" s="94">
        <v>0</v>
      </c>
      <c r="L46" s="94" t="s">
        <v>630</v>
      </c>
      <c r="M46" s="94" t="s">
        <v>631</v>
      </c>
      <c r="N46" s="94">
        <v>5.3537435646651172E-25</v>
      </c>
      <c r="O46" s="96" t="s">
        <v>270</v>
      </c>
      <c r="P46" s="94">
        <v>15.056728839453854</v>
      </c>
      <c r="Q46" s="94">
        <v>0.71324527269062732</v>
      </c>
      <c r="R46" s="94">
        <v>2.4712775835141749</v>
      </c>
      <c r="S46" s="94">
        <v>0.5567336838644944</v>
      </c>
      <c r="T46" s="94" t="s">
        <v>270</v>
      </c>
      <c r="U46" s="94" t="s">
        <v>270</v>
      </c>
      <c r="V46" s="94" t="s">
        <v>632</v>
      </c>
      <c r="W46" s="94" t="s">
        <v>270</v>
      </c>
      <c r="X46" s="94">
        <v>1.7000000000000002</v>
      </c>
      <c r="Y46" s="94">
        <v>0.316227766016839</v>
      </c>
      <c r="Z46" s="94" t="s">
        <v>632</v>
      </c>
      <c r="AA46" s="94" t="s">
        <v>270</v>
      </c>
      <c r="AB46" s="94" t="s">
        <v>632</v>
      </c>
      <c r="AC46" s="94" t="s">
        <v>270</v>
      </c>
      <c r="AD46" s="94" t="s">
        <v>644</v>
      </c>
      <c r="AE46" s="94" t="s">
        <v>98</v>
      </c>
      <c r="AF46" s="94">
        <v>6.1900741712760198E-13</v>
      </c>
      <c r="AG46" s="94">
        <v>5</v>
      </c>
      <c r="AH46" s="97">
        <v>42880.562835648147</v>
      </c>
      <c r="AI46" s="94" t="s">
        <v>645</v>
      </c>
      <c r="AJ46" s="98" t="s">
        <v>748</v>
      </c>
      <c r="AK46" s="96" t="s">
        <v>270</v>
      </c>
      <c r="AL46" s="96" t="s">
        <v>270</v>
      </c>
      <c r="AM46" s="96">
        <v>6.7996331207944349E-2</v>
      </c>
      <c r="AN46" s="96" t="s">
        <v>270</v>
      </c>
      <c r="AO46" s="96" t="s">
        <v>270</v>
      </c>
      <c r="AP46" s="96">
        <v>0.25523102912844053</v>
      </c>
      <c r="AQ46" s="96">
        <v>-0.91028311123442984</v>
      </c>
      <c r="AR46" s="96">
        <v>29.262627636127398</v>
      </c>
      <c r="AS46" s="96" t="s">
        <v>270</v>
      </c>
      <c r="AT46" s="96" t="s">
        <v>270</v>
      </c>
      <c r="AU46" s="96" t="s">
        <v>270</v>
      </c>
      <c r="AV46" s="94" t="s">
        <v>270</v>
      </c>
      <c r="AW46" s="94" t="s">
        <v>270</v>
      </c>
      <c r="AX46" s="94" t="s">
        <v>270</v>
      </c>
      <c r="AY46" s="94" t="s">
        <v>270</v>
      </c>
      <c r="AZ46" s="94" t="s">
        <v>270</v>
      </c>
      <c r="BA46" s="94" t="s">
        <v>270</v>
      </c>
      <c r="BB46" s="94" t="s">
        <v>270</v>
      </c>
      <c r="BC46" s="94" t="s">
        <v>270</v>
      </c>
      <c r="BD46" s="94" t="s">
        <v>270</v>
      </c>
      <c r="BE46" s="94" t="s">
        <v>270</v>
      </c>
      <c r="BF46" s="94" t="s">
        <v>270</v>
      </c>
      <c r="BG46" s="94" t="s">
        <v>270</v>
      </c>
      <c r="BH46" s="94" t="s">
        <v>270</v>
      </c>
      <c r="BI46" s="94" t="s">
        <v>270</v>
      </c>
      <c r="BJ46" s="94" t="s">
        <v>270</v>
      </c>
      <c r="BK46" s="94" t="s">
        <v>270</v>
      </c>
      <c r="BL46" s="94" t="s">
        <v>270</v>
      </c>
      <c r="BM46" s="94" t="s">
        <v>270</v>
      </c>
      <c r="BN46" s="94" t="s">
        <v>270</v>
      </c>
      <c r="BO46" s="94" t="s">
        <v>270</v>
      </c>
      <c r="BP46" s="94" t="s">
        <v>270</v>
      </c>
      <c r="BQ46" s="94" t="s">
        <v>270</v>
      </c>
      <c r="BR46" s="94" t="s">
        <v>270</v>
      </c>
      <c r="BS46" s="94" t="s">
        <v>270</v>
      </c>
      <c r="BT46" s="94" t="s">
        <v>270</v>
      </c>
      <c r="BU46" s="94" t="s">
        <v>270</v>
      </c>
      <c r="BV46" s="94" t="s">
        <v>270</v>
      </c>
      <c r="BW46" s="94" t="s">
        <v>270</v>
      </c>
      <c r="BX46" s="94" t="s">
        <v>270</v>
      </c>
      <c r="BY46" s="94" t="s">
        <v>270</v>
      </c>
      <c r="BZ46" s="94" t="s">
        <v>270</v>
      </c>
      <c r="CA46" s="94" t="s">
        <v>270</v>
      </c>
      <c r="CB46" s="94" t="s">
        <v>270</v>
      </c>
      <c r="CC46" s="94" t="s">
        <v>270</v>
      </c>
      <c r="CD46" s="94" t="s">
        <v>270</v>
      </c>
      <c r="CE46" s="94" t="s">
        <v>270</v>
      </c>
      <c r="CF46" s="94" t="s">
        <v>270</v>
      </c>
      <c r="CG46" s="94" t="s">
        <v>270</v>
      </c>
      <c r="CH46" s="94" t="s">
        <v>270</v>
      </c>
      <c r="CI46" s="94" t="s">
        <v>270</v>
      </c>
      <c r="CJ46" s="94" t="s">
        <v>270</v>
      </c>
      <c r="CK46" s="94" t="s">
        <v>270</v>
      </c>
      <c r="CL46" s="94" t="s">
        <v>270</v>
      </c>
      <c r="CM46" s="94" t="s">
        <v>270</v>
      </c>
      <c r="CN46" s="94" t="s">
        <v>270</v>
      </c>
      <c r="CO46" s="94" t="s">
        <v>270</v>
      </c>
      <c r="CP46" s="94" t="s">
        <v>270</v>
      </c>
      <c r="CQ46" s="94" t="s">
        <v>270</v>
      </c>
      <c r="CR46" s="94">
        <v>0.64853000310912301</v>
      </c>
      <c r="CS46" s="94">
        <v>6.4853000310912304E-2</v>
      </c>
      <c r="CT46" s="94" t="s">
        <v>270</v>
      </c>
      <c r="CU46" s="94" t="s">
        <v>270</v>
      </c>
      <c r="CV46" s="94" t="s">
        <v>270</v>
      </c>
      <c r="CW46" s="94" t="s">
        <v>270</v>
      </c>
      <c r="CX46" s="94">
        <v>20.2407096401977</v>
      </c>
      <c r="CY46" s="94">
        <v>2.0240709640197703</v>
      </c>
      <c r="CZ46" s="94">
        <v>0.89209129703911205</v>
      </c>
      <c r="DA46" s="94">
        <v>8.9209129703911205E-2</v>
      </c>
      <c r="DB46" s="94">
        <v>20.5062625603748</v>
      </c>
      <c r="DC46" s="94">
        <v>2.0506262560374799</v>
      </c>
      <c r="DD46" s="94" t="s">
        <v>270</v>
      </c>
      <c r="DE46" s="94" t="s">
        <v>270</v>
      </c>
      <c r="DF46" s="94" t="s">
        <v>270</v>
      </c>
      <c r="DG46" s="94" t="s">
        <v>270</v>
      </c>
      <c r="DH46" s="94" t="s">
        <v>270</v>
      </c>
      <c r="DI46" s="94" t="s">
        <v>270</v>
      </c>
      <c r="DJ46" s="94">
        <v>0.99975076497068915</v>
      </c>
      <c r="DK46" s="94">
        <v>0.99257107599482886</v>
      </c>
      <c r="DL46" s="94">
        <v>1.686671549459105E-2</v>
      </c>
      <c r="DM46" s="94">
        <v>0.9924436247635452</v>
      </c>
      <c r="DN46" s="94">
        <v>4.4966181437236775E-8</v>
      </c>
      <c r="DO46" s="94">
        <v>1.9029568244138695E-7</v>
      </c>
      <c r="DP46" s="94">
        <v>3.4046602568135628E-4</v>
      </c>
      <c r="DQ46" s="94">
        <v>7.8053212106063804E-8</v>
      </c>
      <c r="DR46" s="94">
        <v>1.0969340345733719E-8</v>
      </c>
      <c r="DS46" s="94">
        <v>1.2897096145470174E-2</v>
      </c>
      <c r="DT46" s="94">
        <v>6.9667307861589825E-3</v>
      </c>
      <c r="DU46" s="94">
        <v>3.4283596073845363E-4</v>
      </c>
      <c r="DV46" s="94">
        <v>5.2692422991084117E-8</v>
      </c>
      <c r="DW46" s="94">
        <v>1.0561037242884153E-8</v>
      </c>
      <c r="DX46" s="94">
        <v>2.3387244988712003E-7</v>
      </c>
      <c r="DY46" s="94">
        <v>1.2949494537614278E-8</v>
      </c>
      <c r="DZ46" s="94">
        <v>4.4927826468287692E-8</v>
      </c>
      <c r="EA46" s="94">
        <v>2.3081732630022395E-5</v>
      </c>
      <c r="EB46" s="94">
        <v>2.817256445206162E-9</v>
      </c>
      <c r="EC46" s="94">
        <v>2.1500114976573267E-10</v>
      </c>
      <c r="ED46" s="94">
        <v>3.2890200219436831E-3</v>
      </c>
      <c r="EE46" s="94">
        <v>5.1763380264287923E-4</v>
      </c>
      <c r="EF46" s="94">
        <v>8.6494715422993527E-7</v>
      </c>
      <c r="EG46" s="94">
        <v>3.4845013927549874E-9</v>
      </c>
      <c r="EH46" s="94">
        <v>1.4333409984382216E-9</v>
      </c>
      <c r="EI46" s="94">
        <v>7.9080882672452694E-10</v>
      </c>
      <c r="EJ46" s="94">
        <v>5.7915675974851052E-8</v>
      </c>
      <c r="EK46" s="94">
        <v>2.3522350890967464E-7</v>
      </c>
      <c r="EL46" s="94">
        <v>3.6354775831137868E-4</v>
      </c>
      <c r="EM46" s="94">
        <v>8.0870468551269966E-8</v>
      </c>
      <c r="EN46" s="94">
        <v>1.1184341495499452E-8</v>
      </c>
      <c r="EO46" s="94">
        <v>1.6186116167413857E-2</v>
      </c>
      <c r="EP46" s="94">
        <v>7.4843645888018617E-3</v>
      </c>
      <c r="EQ46" s="94">
        <v>3.4370090789268356E-4</v>
      </c>
      <c r="ER46" s="94">
        <v>5.6176924383839104E-8</v>
      </c>
      <c r="ES46" s="94">
        <v>1.1994378241322374E-8</v>
      </c>
      <c r="ET46" s="94">
        <v>2.3466325871384456E-7</v>
      </c>
      <c r="EU46" s="94">
        <v>2.004811652829494E-6</v>
      </c>
      <c r="EV46" s="94">
        <v>8.4843700678218866E-6</v>
      </c>
      <c r="EW46" s="94">
        <v>1.5200758901977649E-2</v>
      </c>
      <c r="EX46" s="94">
        <v>3.4913121167462494E-6</v>
      </c>
      <c r="EY46" s="94">
        <v>4.9257147536767352E-7</v>
      </c>
      <c r="EZ46" s="94">
        <v>0.57562049133701221</v>
      </c>
      <c r="FA46" s="94">
        <v>0.31074303706644474</v>
      </c>
      <c r="FB46" s="94">
        <v>1.5396905530197662E-2</v>
      </c>
      <c r="FC46" s="94">
        <v>2.3502850983088906E-6</v>
      </c>
      <c r="FD46" s="94">
        <v>4.7106295451313325E-7</v>
      </c>
      <c r="FE46" s="94">
        <v>1.0431612415464326E-5</v>
      </c>
      <c r="FF46" s="94">
        <v>5.7735161664766723E-7</v>
      </c>
      <c r="FG46" s="94">
        <v>2.0031158942202741E-6</v>
      </c>
      <c r="FH46" s="94">
        <v>1.0305282356638194E-3</v>
      </c>
      <c r="FI46" s="94">
        <v>1.2601558984867942E-7</v>
      </c>
      <c r="FJ46" s="94">
        <v>9.6544942729434304E-9</v>
      </c>
      <c r="FK46" s="94">
        <v>0.14680997697717557</v>
      </c>
      <c r="FL46" s="94">
        <v>2.3088462129334575E-2</v>
      </c>
      <c r="FM46" s="94">
        <v>3.8845136296690105E-5</v>
      </c>
      <c r="FN46" s="94">
        <v>1.5542218849595033E-7</v>
      </c>
      <c r="FO46" s="94">
        <v>6.3932531438050434E-8</v>
      </c>
      <c r="FP46" s="94">
        <v>3.5273120793407516E-8</v>
      </c>
      <c r="FQ46" s="94">
        <v>2.5821632694771613E-6</v>
      </c>
      <c r="FR46" s="94">
        <v>1.0487485962042161E-5</v>
      </c>
      <c r="FS46" s="94">
        <v>1.6231287137641468E-2</v>
      </c>
      <c r="FT46" s="94">
        <v>3.6173277065949288E-6</v>
      </c>
      <c r="FU46" s="94">
        <v>5.0222596964061695E-7</v>
      </c>
      <c r="FV46" s="94">
        <v>0.72243046831418778</v>
      </c>
      <c r="FW46" s="94">
        <v>0.33383149919577931</v>
      </c>
      <c r="FX46" s="94">
        <v>1.5435750666494353E-2</v>
      </c>
      <c r="FY46" s="94">
        <v>2.5057072868048409E-6</v>
      </c>
      <c r="FZ46" s="94">
        <v>5.3499548595118369E-7</v>
      </c>
      <c r="GA46" s="94">
        <v>1.0466885536257733E-5</v>
      </c>
      <c r="GB46" s="94">
        <v>8.0244996188107207E-6</v>
      </c>
      <c r="GC46" s="94">
        <v>1.7121204265762533E-4</v>
      </c>
      <c r="GD46" s="94">
        <v>0.60723991661620313</v>
      </c>
      <c r="GE46" s="94">
        <v>2.925649727591022E-4</v>
      </c>
      <c r="GF46" s="94">
        <v>6.4671186715447958E-5</v>
      </c>
      <c r="GG46" s="94">
        <v>16.125087072020257</v>
      </c>
      <c r="GH46" s="94">
        <v>9.943404294481752</v>
      </c>
      <c r="GI46" s="94">
        <v>0.67761011393123405</v>
      </c>
      <c r="GJ46" s="94">
        <v>3.770435467821644E-5</v>
      </c>
      <c r="GK46" s="94">
        <v>9.4960638874393513E-7</v>
      </c>
      <c r="GL46" s="94">
        <v>4.5912447091934827E-4</v>
      </c>
      <c r="GM46" s="94" t="s">
        <v>270</v>
      </c>
      <c r="GN46" s="94" t="s">
        <v>270</v>
      </c>
      <c r="GO46" s="94" t="s">
        <v>270</v>
      </c>
      <c r="GP46" s="94" t="s">
        <v>270</v>
      </c>
      <c r="GQ46" s="94" t="s">
        <v>270</v>
      </c>
      <c r="GR46" s="94" t="s">
        <v>270</v>
      </c>
      <c r="GS46" s="94" t="s">
        <v>270</v>
      </c>
      <c r="GT46" s="94" t="s">
        <v>270</v>
      </c>
      <c r="GU46" s="94" t="s">
        <v>270</v>
      </c>
      <c r="GV46" s="94" t="s">
        <v>270</v>
      </c>
      <c r="GW46" s="94" t="s">
        <v>270</v>
      </c>
      <c r="GX46" s="94" t="s">
        <v>270</v>
      </c>
      <c r="GY46" s="94" t="s">
        <v>270</v>
      </c>
      <c r="GZ46" s="94" t="s">
        <v>270</v>
      </c>
      <c r="HA46" s="94" t="s">
        <v>270</v>
      </c>
      <c r="HB46" s="94" t="s">
        <v>270</v>
      </c>
      <c r="HC46" s="94" t="s">
        <v>270</v>
      </c>
      <c r="HD46" s="94" t="s">
        <v>270</v>
      </c>
      <c r="HE46" s="94" t="s">
        <v>270</v>
      </c>
      <c r="HF46" s="94" t="s">
        <v>270</v>
      </c>
      <c r="HG46" s="94" t="s">
        <v>270</v>
      </c>
      <c r="HH46" s="94" t="s">
        <v>270</v>
      </c>
      <c r="HI46" s="94" t="s">
        <v>270</v>
      </c>
      <c r="HJ46" s="94" t="s">
        <v>270</v>
      </c>
      <c r="HK46" s="94" t="s">
        <v>270</v>
      </c>
      <c r="HL46" s="94" t="s">
        <v>270</v>
      </c>
      <c r="HM46" s="94" t="s">
        <v>270</v>
      </c>
      <c r="HN46" s="94" t="s">
        <v>270</v>
      </c>
      <c r="HO46" s="94" t="s">
        <v>270</v>
      </c>
      <c r="HP46" s="94" t="s">
        <v>270</v>
      </c>
      <c r="HQ46" s="94" t="s">
        <v>270</v>
      </c>
      <c r="HR46" s="94" t="s">
        <v>270</v>
      </c>
      <c r="HS46" s="94" t="s">
        <v>270</v>
      </c>
      <c r="HT46" s="94" t="s">
        <v>270</v>
      </c>
      <c r="HU46" s="94" t="s">
        <v>270</v>
      </c>
      <c r="HV46" s="94" t="s">
        <v>270</v>
      </c>
      <c r="HW46" s="94" t="s">
        <v>270</v>
      </c>
      <c r="HX46" s="94" t="s">
        <v>270</v>
      </c>
      <c r="HY46" s="94" t="s">
        <v>270</v>
      </c>
      <c r="HZ46" s="94" t="s">
        <v>270</v>
      </c>
      <c r="IA46" s="94" t="s">
        <v>270</v>
      </c>
      <c r="IB46" s="94" t="s">
        <v>270</v>
      </c>
      <c r="IC46" s="94" t="s">
        <v>270</v>
      </c>
      <c r="ID46" s="94" t="s">
        <v>270</v>
      </c>
      <c r="IE46" s="94" t="s">
        <v>270</v>
      </c>
      <c r="IF46" s="94" t="s">
        <v>270</v>
      </c>
      <c r="IG46" s="94" t="s">
        <v>270</v>
      </c>
      <c r="IH46" s="94" t="s">
        <v>270</v>
      </c>
      <c r="II46" s="94" t="s">
        <v>270</v>
      </c>
      <c r="IJ46" s="94" t="s">
        <v>270</v>
      </c>
      <c r="IK46" s="94" t="s">
        <v>270</v>
      </c>
      <c r="IL46" s="94" t="s">
        <v>270</v>
      </c>
      <c r="IM46" s="94" t="s">
        <v>270</v>
      </c>
      <c r="IN46" s="94" t="s">
        <v>270</v>
      </c>
      <c r="IO46" s="94" t="s">
        <v>270</v>
      </c>
      <c r="IP46" s="94" t="s">
        <v>270</v>
      </c>
      <c r="IQ46" s="94" t="s">
        <v>270</v>
      </c>
      <c r="IR46" s="94" t="s">
        <v>270</v>
      </c>
      <c r="IS46" s="94" t="s">
        <v>270</v>
      </c>
      <c r="IT46" s="94" t="s">
        <v>270</v>
      </c>
      <c r="IU46" s="94" t="s">
        <v>270</v>
      </c>
      <c r="IV46" s="94" t="s">
        <v>270</v>
      </c>
      <c r="IW46" s="94" t="s">
        <v>270</v>
      </c>
      <c r="IX46" s="94" t="s">
        <v>270</v>
      </c>
      <c r="IY46" s="94" t="s">
        <v>270</v>
      </c>
      <c r="IZ46" s="94" t="s">
        <v>270</v>
      </c>
      <c r="JA46" s="94" t="s">
        <v>270</v>
      </c>
      <c r="JB46" s="94" t="s">
        <v>270</v>
      </c>
      <c r="JC46" s="94" t="s">
        <v>270</v>
      </c>
      <c r="JD46" s="94" t="s">
        <v>270</v>
      </c>
      <c r="JE46" s="94" t="s">
        <v>270</v>
      </c>
      <c r="JF46" s="94" t="s">
        <v>270</v>
      </c>
      <c r="JG46" s="94" t="s">
        <v>270</v>
      </c>
      <c r="JH46" s="94" t="s">
        <v>270</v>
      </c>
      <c r="JI46" s="94" t="s">
        <v>270</v>
      </c>
      <c r="JJ46" s="94" t="s">
        <v>270</v>
      </c>
      <c r="JK46" s="94" t="s">
        <v>270</v>
      </c>
      <c r="JL46" s="94" t="s">
        <v>270</v>
      </c>
      <c r="JM46" s="94" t="s">
        <v>270</v>
      </c>
    </row>
    <row r="47" spans="1:273">
      <c r="A47" s="94" t="s">
        <v>626</v>
      </c>
      <c r="B47" s="94" t="s">
        <v>738</v>
      </c>
      <c r="C47" s="94" t="s">
        <v>749</v>
      </c>
      <c r="D47" s="95">
        <v>41513</v>
      </c>
      <c r="E47" s="94" t="s">
        <v>750</v>
      </c>
      <c r="F47" s="94">
        <v>1.5401885613799999</v>
      </c>
      <c r="G47" s="94">
        <v>134.451219512195</v>
      </c>
      <c r="H47" s="94">
        <v>21.290000915499999</v>
      </c>
      <c r="I47" s="94">
        <v>1</v>
      </c>
      <c r="J47" s="94">
        <v>0</v>
      </c>
      <c r="K47" s="94">
        <v>0</v>
      </c>
      <c r="L47" s="94" t="s">
        <v>630</v>
      </c>
      <c r="M47" s="94" t="s">
        <v>631</v>
      </c>
      <c r="N47" s="94">
        <v>1.4611305711956617E-22</v>
      </c>
      <c r="O47" s="96" t="s">
        <v>270</v>
      </c>
      <c r="P47" s="94">
        <v>12.964519796539356</v>
      </c>
      <c r="Q47" s="94">
        <v>0.72938661367320923</v>
      </c>
      <c r="R47" s="94">
        <v>2.5193899347798632</v>
      </c>
      <c r="S47" s="94">
        <v>0.60710974765487857</v>
      </c>
      <c r="T47" s="94" t="s">
        <v>270</v>
      </c>
      <c r="U47" s="94" t="s">
        <v>270</v>
      </c>
      <c r="V47" s="94" t="s">
        <v>632</v>
      </c>
      <c r="W47" s="94" t="s">
        <v>270</v>
      </c>
      <c r="X47" s="94">
        <v>1.8500000000000003</v>
      </c>
      <c r="Y47" s="94">
        <v>0.34520525295346832</v>
      </c>
      <c r="Z47" s="94" t="s">
        <v>632</v>
      </c>
      <c r="AA47" s="94" t="s">
        <v>270</v>
      </c>
      <c r="AB47" s="94" t="s">
        <v>632</v>
      </c>
      <c r="AC47" s="94" t="s">
        <v>270</v>
      </c>
      <c r="AD47" s="94" t="s">
        <v>644</v>
      </c>
      <c r="AE47" s="94" t="s">
        <v>98</v>
      </c>
      <c r="AF47" s="94">
        <v>4.1908139721592565E-5</v>
      </c>
      <c r="AG47" s="94">
        <v>15</v>
      </c>
      <c r="AH47" s="97">
        <v>42880.562835648147</v>
      </c>
      <c r="AI47" s="94" t="s">
        <v>693</v>
      </c>
      <c r="AJ47" s="98" t="s">
        <v>751</v>
      </c>
      <c r="AK47" s="96" t="s">
        <v>270</v>
      </c>
      <c r="AL47" s="96" t="s">
        <v>270</v>
      </c>
      <c r="AM47" s="96">
        <v>6.7193897317074702E-2</v>
      </c>
      <c r="AN47" s="96" t="s">
        <v>270</v>
      </c>
      <c r="AO47" s="96" t="s">
        <v>270</v>
      </c>
      <c r="AP47" s="96">
        <v>0.26006307018596186</v>
      </c>
      <c r="AQ47" s="96">
        <v>-0.94430063710333545</v>
      </c>
      <c r="AR47" s="96">
        <v>54.385906825436315</v>
      </c>
      <c r="AS47" s="96" t="s">
        <v>270</v>
      </c>
      <c r="AT47" s="96" t="s">
        <v>270</v>
      </c>
      <c r="AU47" s="96" t="s">
        <v>270</v>
      </c>
      <c r="AV47" s="94" t="s">
        <v>270</v>
      </c>
      <c r="AW47" s="94" t="s">
        <v>270</v>
      </c>
      <c r="AX47" s="94" t="s">
        <v>270</v>
      </c>
      <c r="AY47" s="94" t="s">
        <v>270</v>
      </c>
      <c r="AZ47" s="94" t="s">
        <v>270</v>
      </c>
      <c r="BA47" s="94" t="s">
        <v>270</v>
      </c>
      <c r="BB47" s="94" t="s">
        <v>270</v>
      </c>
      <c r="BC47" s="94" t="s">
        <v>270</v>
      </c>
      <c r="BD47" s="94" t="s">
        <v>270</v>
      </c>
      <c r="BE47" s="94" t="s">
        <v>270</v>
      </c>
      <c r="BF47" s="94" t="s">
        <v>270</v>
      </c>
      <c r="BG47" s="94" t="s">
        <v>270</v>
      </c>
      <c r="BH47" s="94" t="s">
        <v>270</v>
      </c>
      <c r="BI47" s="94" t="s">
        <v>270</v>
      </c>
      <c r="BJ47" s="94" t="s">
        <v>270</v>
      </c>
      <c r="BK47" s="94" t="s">
        <v>270</v>
      </c>
      <c r="BL47" s="94" t="s">
        <v>270</v>
      </c>
      <c r="BM47" s="94" t="s">
        <v>270</v>
      </c>
      <c r="BN47" s="94" t="s">
        <v>270</v>
      </c>
      <c r="BO47" s="94" t="s">
        <v>270</v>
      </c>
      <c r="BP47" s="94" t="s">
        <v>270</v>
      </c>
      <c r="BQ47" s="94" t="s">
        <v>270</v>
      </c>
      <c r="BR47" s="94" t="s">
        <v>270</v>
      </c>
      <c r="BS47" s="94" t="s">
        <v>270</v>
      </c>
      <c r="BT47" s="94" t="s">
        <v>270</v>
      </c>
      <c r="BU47" s="94" t="s">
        <v>270</v>
      </c>
      <c r="BV47" s="94" t="s">
        <v>270</v>
      </c>
      <c r="BW47" s="94" t="s">
        <v>270</v>
      </c>
      <c r="BX47" s="94" t="s">
        <v>270</v>
      </c>
      <c r="BY47" s="94" t="s">
        <v>270</v>
      </c>
      <c r="BZ47" s="94" t="s">
        <v>270</v>
      </c>
      <c r="CA47" s="94" t="s">
        <v>270</v>
      </c>
      <c r="CB47" s="94" t="s">
        <v>270</v>
      </c>
      <c r="CC47" s="94" t="s">
        <v>270</v>
      </c>
      <c r="CD47" s="94" t="s">
        <v>270</v>
      </c>
      <c r="CE47" s="94" t="s">
        <v>270</v>
      </c>
      <c r="CF47" s="94" t="s">
        <v>270</v>
      </c>
      <c r="CG47" s="94" t="s">
        <v>270</v>
      </c>
      <c r="CH47" s="94" t="s">
        <v>270</v>
      </c>
      <c r="CI47" s="94" t="s">
        <v>270</v>
      </c>
      <c r="CJ47" s="94" t="s">
        <v>270</v>
      </c>
      <c r="CK47" s="94" t="s">
        <v>270</v>
      </c>
      <c r="CL47" s="94" t="s">
        <v>270</v>
      </c>
      <c r="CM47" s="94" t="s">
        <v>270</v>
      </c>
      <c r="CN47" s="94" t="s">
        <v>270</v>
      </c>
      <c r="CO47" s="94" t="s">
        <v>270</v>
      </c>
      <c r="CP47" s="94" t="s">
        <v>270</v>
      </c>
      <c r="CQ47" s="94" t="s">
        <v>270</v>
      </c>
      <c r="CR47" s="94">
        <v>0.66935689863703995</v>
      </c>
      <c r="CS47" s="94">
        <v>6.6935689863704004E-2</v>
      </c>
      <c r="CT47" s="94" t="s">
        <v>270</v>
      </c>
      <c r="CU47" s="94" t="s">
        <v>270</v>
      </c>
      <c r="CV47" s="94" t="s">
        <v>270</v>
      </c>
      <c r="CW47" s="94" t="s">
        <v>270</v>
      </c>
      <c r="CX47" s="94">
        <v>20.907551544655899</v>
      </c>
      <c r="CY47" s="94">
        <v>2.0907551544655898</v>
      </c>
      <c r="CZ47" s="94">
        <v>0.57225177231139301</v>
      </c>
      <c r="DA47" s="94">
        <v>5.7225177231139304E-2</v>
      </c>
      <c r="DB47" s="94">
        <v>39.726961083331098</v>
      </c>
      <c r="DC47" s="94">
        <v>3.97269610833311</v>
      </c>
      <c r="DD47" s="94" t="s">
        <v>270</v>
      </c>
      <c r="DE47" s="94" t="s">
        <v>270</v>
      </c>
      <c r="DF47" s="94" t="s">
        <v>270</v>
      </c>
      <c r="DG47" s="94" t="s">
        <v>270</v>
      </c>
      <c r="DH47" s="94" t="s">
        <v>270</v>
      </c>
      <c r="DI47" s="94" t="s">
        <v>270</v>
      </c>
      <c r="DJ47" s="94">
        <v>1.0005813656721994</v>
      </c>
      <c r="DK47" s="94">
        <v>0.98393155516340614</v>
      </c>
      <c r="DL47" s="94">
        <v>1.471925144718862E-2</v>
      </c>
      <c r="DM47" s="94">
        <v>0.98369150634456692</v>
      </c>
      <c r="DN47" s="94">
        <v>4.4753230242011214E-8</v>
      </c>
      <c r="DO47" s="94">
        <v>1.9130075175380085E-7</v>
      </c>
      <c r="DP47" s="94">
        <v>3.5137205160979491E-4</v>
      </c>
      <c r="DQ47" s="94">
        <v>8.146031969403935E-8</v>
      </c>
      <c r="DR47" s="94">
        <v>1.1599228553424679E-8</v>
      </c>
      <c r="DS47" s="94">
        <v>1.3259895341494179E-2</v>
      </c>
      <c r="DT47" s="94">
        <v>7.1923395768086883E-3</v>
      </c>
      <c r="DU47" s="94">
        <v>3.6260342238168868E-4</v>
      </c>
      <c r="DV47" s="94">
        <v>5.4595687244772859E-8</v>
      </c>
      <c r="DW47" s="94">
        <v>1.0632355757576897E-8</v>
      </c>
      <c r="DX47" s="94">
        <v>2.4819968182695844E-7</v>
      </c>
      <c r="DY47" s="94">
        <v>1.3201603258246479E-8</v>
      </c>
      <c r="DZ47" s="94">
        <v>4.5802509014297912E-8</v>
      </c>
      <c r="EA47" s="94">
        <v>2.3531101990843914E-5</v>
      </c>
      <c r="EB47" s="94">
        <v>2.8721045256490405E-9</v>
      </c>
      <c r="EC47" s="94">
        <v>2.1918692432584842E-10</v>
      </c>
      <c r="ED47" s="94">
        <v>3.4465305085676721E-3</v>
      </c>
      <c r="EE47" s="94">
        <v>5.2771141573899026E-4</v>
      </c>
      <c r="EF47" s="94">
        <v>8.8178647717293166E-7</v>
      </c>
      <c r="EG47" s="94">
        <v>3.55233980803961E-9</v>
      </c>
      <c r="EH47" s="94">
        <v>1.4612461621723206E-9</v>
      </c>
      <c r="EI47" s="94">
        <v>8.0620477912955801E-10</v>
      </c>
      <c r="EJ47" s="94">
        <v>5.7954833500257693E-8</v>
      </c>
      <c r="EK47" s="94">
        <v>2.3710326076809876E-7</v>
      </c>
      <c r="EL47" s="94">
        <v>3.7490315360063883E-4</v>
      </c>
      <c r="EM47" s="94">
        <v>8.4332424219688391E-8</v>
      </c>
      <c r="EN47" s="94">
        <v>1.1818415477750528E-8</v>
      </c>
      <c r="EO47" s="94">
        <v>1.6706425850061851E-2</v>
      </c>
      <c r="EP47" s="94">
        <v>7.7200509925476786E-3</v>
      </c>
      <c r="EQ47" s="94">
        <v>3.6348520885886161E-4</v>
      </c>
      <c r="ER47" s="94">
        <v>5.8148027052812469E-8</v>
      </c>
      <c r="ES47" s="94">
        <v>1.2093601919749218E-8</v>
      </c>
      <c r="ET47" s="94">
        <v>2.49005886606088E-7</v>
      </c>
      <c r="EU47" s="94">
        <v>1.9969749751285458E-6</v>
      </c>
      <c r="EV47" s="94">
        <v>8.5362673889456638E-6</v>
      </c>
      <c r="EW47" s="94">
        <v>1.5700712798673973E-2</v>
      </c>
      <c r="EX47" s="94">
        <v>3.6467389112693683E-6</v>
      </c>
      <c r="EY47" s="94">
        <v>5.2128894895881803E-7</v>
      </c>
      <c r="EZ47" s="94">
        <v>0.59230455172317997</v>
      </c>
      <c r="FA47" s="94">
        <v>0.32107258660397275</v>
      </c>
      <c r="FB47" s="94">
        <v>1.6298199881590376E-2</v>
      </c>
      <c r="FC47" s="94">
        <v>2.437201182438971E-6</v>
      </c>
      <c r="FD47" s="94">
        <v>4.7463804069907032E-7</v>
      </c>
      <c r="FE47" s="94">
        <v>1.1079859757375901E-5</v>
      </c>
      <c r="FF47" s="94">
        <v>5.8908085954308801E-7</v>
      </c>
      <c r="FG47" s="94">
        <v>2.0438103899028331E-6</v>
      </c>
      <c r="FH47" s="94">
        <v>1.0514640322185666E-3</v>
      </c>
      <c r="FI47" s="94">
        <v>1.2857567181489469E-7</v>
      </c>
      <c r="FJ47" s="94">
        <v>9.8506310899100706E-9</v>
      </c>
      <c r="FK47" s="94">
        <v>0.15391423268095972</v>
      </c>
      <c r="FL47" s="94">
        <v>2.3557518026275037E-2</v>
      </c>
      <c r="FM47" s="94">
        <v>3.963429843946778E-5</v>
      </c>
      <c r="FN47" s="94">
        <v>1.5857968307575582E-7</v>
      </c>
      <c r="FO47" s="94">
        <v>6.52313589957009E-8</v>
      </c>
      <c r="FP47" s="94">
        <v>3.5989715307972939E-8</v>
      </c>
      <c r="FQ47" s="94">
        <v>2.5860558346716338E-6</v>
      </c>
      <c r="FR47" s="94">
        <v>1.0580077778848497E-5</v>
      </c>
      <c r="FS47" s="94">
        <v>1.6752176830892539E-2</v>
      </c>
      <c r="FT47" s="94">
        <v>3.775314583084263E-6</v>
      </c>
      <c r="FU47" s="94">
        <v>5.311395800487281E-7</v>
      </c>
      <c r="FV47" s="94">
        <v>0.74621878440413969</v>
      </c>
      <c r="FW47" s="94">
        <v>0.34463010463024779</v>
      </c>
      <c r="FX47" s="94">
        <v>1.6337834180029844E-2</v>
      </c>
      <c r="FY47" s="94">
        <v>2.5957808655147268E-6</v>
      </c>
      <c r="FZ47" s="94">
        <v>5.3986939969477122E-7</v>
      </c>
      <c r="GA47" s="94">
        <v>1.1115849472683873E-5</v>
      </c>
      <c r="GB47" s="94">
        <v>7.9931323743440145E-6</v>
      </c>
      <c r="GC47" s="94">
        <v>1.7225931502870681E-4</v>
      </c>
      <c r="GD47" s="94">
        <v>0.62721207488142783</v>
      </c>
      <c r="GE47" s="94">
        <v>3.0558942728655053E-4</v>
      </c>
      <c r="GF47" s="94">
        <v>6.8441589975650098E-5</v>
      </c>
      <c r="GG47" s="94">
        <v>16.59246432924213</v>
      </c>
      <c r="GH47" s="94">
        <v>10.273937484223204</v>
      </c>
      <c r="GI47" s="94">
        <v>0.71727562768885167</v>
      </c>
      <c r="GJ47" s="94">
        <v>3.9098702481229888E-5</v>
      </c>
      <c r="GK47" s="94">
        <v>9.5681333348444194E-7</v>
      </c>
      <c r="GL47" s="94">
        <v>4.8765565152943401E-4</v>
      </c>
      <c r="GM47" s="94" t="s">
        <v>270</v>
      </c>
      <c r="GN47" s="94" t="s">
        <v>270</v>
      </c>
      <c r="GO47" s="94" t="s">
        <v>270</v>
      </c>
      <c r="GP47" s="94" t="s">
        <v>270</v>
      </c>
      <c r="GQ47" s="94" t="s">
        <v>270</v>
      </c>
      <c r="GR47" s="94" t="s">
        <v>270</v>
      </c>
      <c r="GS47" s="94" t="s">
        <v>270</v>
      </c>
      <c r="GT47" s="94" t="s">
        <v>270</v>
      </c>
      <c r="GU47" s="94" t="s">
        <v>270</v>
      </c>
      <c r="GV47" s="94" t="s">
        <v>270</v>
      </c>
      <c r="GW47" s="94" t="s">
        <v>270</v>
      </c>
      <c r="GX47" s="94" t="s">
        <v>270</v>
      </c>
      <c r="GY47" s="94" t="s">
        <v>270</v>
      </c>
      <c r="GZ47" s="94" t="s">
        <v>270</v>
      </c>
      <c r="HA47" s="94" t="s">
        <v>270</v>
      </c>
      <c r="HB47" s="94" t="s">
        <v>270</v>
      </c>
      <c r="HC47" s="94" t="s">
        <v>270</v>
      </c>
      <c r="HD47" s="94" t="s">
        <v>270</v>
      </c>
      <c r="HE47" s="94" t="s">
        <v>270</v>
      </c>
      <c r="HF47" s="94" t="s">
        <v>270</v>
      </c>
      <c r="HG47" s="94" t="s">
        <v>270</v>
      </c>
      <c r="HH47" s="94" t="s">
        <v>270</v>
      </c>
      <c r="HI47" s="94" t="s">
        <v>270</v>
      </c>
      <c r="HJ47" s="94" t="s">
        <v>270</v>
      </c>
      <c r="HK47" s="94" t="s">
        <v>270</v>
      </c>
      <c r="HL47" s="94" t="s">
        <v>270</v>
      </c>
      <c r="HM47" s="94" t="s">
        <v>270</v>
      </c>
      <c r="HN47" s="94" t="s">
        <v>270</v>
      </c>
      <c r="HO47" s="94" t="s">
        <v>270</v>
      </c>
      <c r="HP47" s="94" t="s">
        <v>270</v>
      </c>
      <c r="HQ47" s="94" t="s">
        <v>270</v>
      </c>
      <c r="HR47" s="94" t="s">
        <v>270</v>
      </c>
      <c r="HS47" s="94" t="s">
        <v>270</v>
      </c>
      <c r="HT47" s="94" t="s">
        <v>270</v>
      </c>
      <c r="HU47" s="94" t="s">
        <v>270</v>
      </c>
      <c r="HV47" s="94" t="s">
        <v>270</v>
      </c>
      <c r="HW47" s="94" t="s">
        <v>270</v>
      </c>
      <c r="HX47" s="94" t="s">
        <v>270</v>
      </c>
      <c r="HY47" s="94" t="s">
        <v>270</v>
      </c>
      <c r="HZ47" s="94" t="s">
        <v>270</v>
      </c>
      <c r="IA47" s="94" t="s">
        <v>270</v>
      </c>
      <c r="IB47" s="94" t="s">
        <v>270</v>
      </c>
      <c r="IC47" s="94" t="s">
        <v>270</v>
      </c>
      <c r="ID47" s="94" t="s">
        <v>270</v>
      </c>
      <c r="IE47" s="94" t="s">
        <v>270</v>
      </c>
      <c r="IF47" s="94" t="s">
        <v>270</v>
      </c>
      <c r="IG47" s="94" t="s">
        <v>270</v>
      </c>
      <c r="IH47" s="94" t="s">
        <v>270</v>
      </c>
      <c r="II47" s="94" t="s">
        <v>270</v>
      </c>
      <c r="IJ47" s="94" t="s">
        <v>270</v>
      </c>
      <c r="IK47" s="94" t="s">
        <v>270</v>
      </c>
      <c r="IL47" s="94" t="s">
        <v>270</v>
      </c>
      <c r="IM47" s="94" t="s">
        <v>270</v>
      </c>
      <c r="IN47" s="94" t="s">
        <v>270</v>
      </c>
      <c r="IO47" s="94" t="s">
        <v>270</v>
      </c>
      <c r="IP47" s="94" t="s">
        <v>270</v>
      </c>
      <c r="IQ47" s="94" t="s">
        <v>270</v>
      </c>
      <c r="IR47" s="94" t="s">
        <v>270</v>
      </c>
      <c r="IS47" s="94" t="s">
        <v>270</v>
      </c>
      <c r="IT47" s="94" t="s">
        <v>270</v>
      </c>
      <c r="IU47" s="94" t="s">
        <v>270</v>
      </c>
      <c r="IV47" s="94" t="s">
        <v>270</v>
      </c>
      <c r="IW47" s="94" t="s">
        <v>270</v>
      </c>
      <c r="IX47" s="94" t="s">
        <v>270</v>
      </c>
      <c r="IY47" s="94" t="s">
        <v>270</v>
      </c>
      <c r="IZ47" s="94" t="s">
        <v>270</v>
      </c>
      <c r="JA47" s="94" t="s">
        <v>270</v>
      </c>
      <c r="JB47" s="94" t="s">
        <v>270</v>
      </c>
      <c r="JC47" s="94" t="s">
        <v>270</v>
      </c>
      <c r="JD47" s="94" t="s">
        <v>270</v>
      </c>
      <c r="JE47" s="94" t="s">
        <v>270</v>
      </c>
      <c r="JF47" s="94" t="s">
        <v>270</v>
      </c>
      <c r="JG47" s="94" t="s">
        <v>270</v>
      </c>
      <c r="JH47" s="94" t="s">
        <v>270</v>
      </c>
      <c r="JI47" s="94" t="s">
        <v>270</v>
      </c>
      <c r="JJ47" s="94" t="s">
        <v>270</v>
      </c>
      <c r="JK47" s="94" t="s">
        <v>270</v>
      </c>
      <c r="JL47" s="94" t="s">
        <v>270</v>
      </c>
      <c r="JM47" s="94" t="s">
        <v>270</v>
      </c>
    </row>
    <row r="48" spans="1:273">
      <c r="A48" s="94" t="s">
        <v>626</v>
      </c>
      <c r="B48" s="94" t="s">
        <v>738</v>
      </c>
      <c r="C48" s="94" t="s">
        <v>749</v>
      </c>
      <c r="D48" s="95">
        <v>41513</v>
      </c>
      <c r="E48" s="94" t="s">
        <v>752</v>
      </c>
      <c r="F48" s="94">
        <v>1.5401885613799999</v>
      </c>
      <c r="G48" s="94">
        <v>134.451219512195</v>
      </c>
      <c r="H48" s="94">
        <v>21.290000915499999</v>
      </c>
      <c r="I48" s="94">
        <v>1</v>
      </c>
      <c r="J48" s="94">
        <v>0</v>
      </c>
      <c r="K48" s="94">
        <v>0</v>
      </c>
      <c r="L48" s="94" t="s">
        <v>630</v>
      </c>
      <c r="M48" s="94" t="s">
        <v>631</v>
      </c>
      <c r="N48" s="94">
        <v>7.1954405159582015E-24</v>
      </c>
      <c r="O48" s="96" t="s">
        <v>270</v>
      </c>
      <c r="P48" s="94">
        <v>13.657590015125601</v>
      </c>
      <c r="Q48" s="94">
        <v>0.6860826372950295</v>
      </c>
      <c r="R48" s="94">
        <v>2.4994491051324688</v>
      </c>
      <c r="S48" s="94">
        <v>0.55617809719050904</v>
      </c>
      <c r="T48" s="94" t="s">
        <v>270</v>
      </c>
      <c r="U48" s="94" t="s">
        <v>270</v>
      </c>
      <c r="V48" s="94" t="s">
        <v>632</v>
      </c>
      <c r="W48" s="94" t="s">
        <v>270</v>
      </c>
      <c r="X48" s="94">
        <v>1.5000000000000002</v>
      </c>
      <c r="Y48" s="94">
        <v>0.3162277660168375</v>
      </c>
      <c r="Z48" s="94" t="s">
        <v>632</v>
      </c>
      <c r="AA48" s="94" t="s">
        <v>270</v>
      </c>
      <c r="AB48" s="94" t="s">
        <v>632</v>
      </c>
      <c r="AC48" s="94" t="s">
        <v>270</v>
      </c>
      <c r="AD48" s="94" t="s">
        <v>644</v>
      </c>
      <c r="AE48" s="94" t="s">
        <v>82</v>
      </c>
      <c r="AF48" s="94">
        <v>3.1732972521252791E-20</v>
      </c>
      <c r="AG48" s="94">
        <v>5</v>
      </c>
      <c r="AH48" s="97">
        <v>42880.562835648147</v>
      </c>
      <c r="AI48" s="94" t="s">
        <v>645</v>
      </c>
      <c r="AJ48" s="98" t="s">
        <v>753</v>
      </c>
      <c r="AK48" s="96" t="s">
        <v>270</v>
      </c>
      <c r="AL48" s="96" t="s">
        <v>270</v>
      </c>
      <c r="AM48" s="96">
        <v>6.7647915181642926E-2</v>
      </c>
      <c r="AN48" s="96" t="s">
        <v>270</v>
      </c>
      <c r="AO48" s="96" t="s">
        <v>270</v>
      </c>
      <c r="AP48" s="96">
        <v>0.24112687670039845</v>
      </c>
      <c r="AQ48" s="96">
        <v>-0.93171772188950308</v>
      </c>
      <c r="AR48" s="96">
        <v>48.637730844005837</v>
      </c>
      <c r="AS48" s="96" t="s">
        <v>270</v>
      </c>
      <c r="AT48" s="96" t="s">
        <v>270</v>
      </c>
      <c r="AU48" s="96" t="s">
        <v>270</v>
      </c>
      <c r="AV48" s="94" t="s">
        <v>270</v>
      </c>
      <c r="AW48" s="94" t="s">
        <v>270</v>
      </c>
      <c r="AX48" s="94" t="s">
        <v>270</v>
      </c>
      <c r="AY48" s="94" t="s">
        <v>270</v>
      </c>
      <c r="AZ48" s="94" t="s">
        <v>270</v>
      </c>
      <c r="BA48" s="94" t="s">
        <v>270</v>
      </c>
      <c r="BB48" s="94" t="s">
        <v>270</v>
      </c>
      <c r="BC48" s="94" t="s">
        <v>270</v>
      </c>
      <c r="BD48" s="94" t="s">
        <v>270</v>
      </c>
      <c r="BE48" s="94" t="s">
        <v>270</v>
      </c>
      <c r="BF48" s="94" t="s">
        <v>270</v>
      </c>
      <c r="BG48" s="94" t="s">
        <v>270</v>
      </c>
      <c r="BH48" s="94" t="s">
        <v>270</v>
      </c>
      <c r="BI48" s="94" t="s">
        <v>270</v>
      </c>
      <c r="BJ48" s="94" t="s">
        <v>270</v>
      </c>
      <c r="BK48" s="94" t="s">
        <v>270</v>
      </c>
      <c r="BL48" s="94" t="s">
        <v>270</v>
      </c>
      <c r="BM48" s="94" t="s">
        <v>270</v>
      </c>
      <c r="BN48" s="94" t="s">
        <v>270</v>
      </c>
      <c r="BO48" s="94" t="s">
        <v>270</v>
      </c>
      <c r="BP48" s="94" t="s">
        <v>270</v>
      </c>
      <c r="BQ48" s="94" t="s">
        <v>270</v>
      </c>
      <c r="BR48" s="94" t="s">
        <v>270</v>
      </c>
      <c r="BS48" s="94" t="s">
        <v>270</v>
      </c>
      <c r="BT48" s="94" t="s">
        <v>270</v>
      </c>
      <c r="BU48" s="94" t="s">
        <v>270</v>
      </c>
      <c r="BV48" s="94" t="s">
        <v>270</v>
      </c>
      <c r="BW48" s="94" t="s">
        <v>270</v>
      </c>
      <c r="BX48" s="94" t="s">
        <v>270</v>
      </c>
      <c r="BY48" s="94" t="s">
        <v>270</v>
      </c>
      <c r="BZ48" s="94" t="s">
        <v>270</v>
      </c>
      <c r="CA48" s="94" t="s">
        <v>270</v>
      </c>
      <c r="CB48" s="94" t="s">
        <v>270</v>
      </c>
      <c r="CC48" s="94" t="s">
        <v>270</v>
      </c>
      <c r="CD48" s="94" t="s">
        <v>270</v>
      </c>
      <c r="CE48" s="94" t="s">
        <v>270</v>
      </c>
      <c r="CF48" s="94" t="s">
        <v>270</v>
      </c>
      <c r="CG48" s="94" t="s">
        <v>270</v>
      </c>
      <c r="CH48" s="94" t="s">
        <v>270</v>
      </c>
      <c r="CI48" s="94" t="s">
        <v>270</v>
      </c>
      <c r="CJ48" s="94" t="s">
        <v>270</v>
      </c>
      <c r="CK48" s="94" t="s">
        <v>270</v>
      </c>
      <c r="CL48" s="94" t="s">
        <v>270</v>
      </c>
      <c r="CM48" s="94" t="s">
        <v>270</v>
      </c>
      <c r="CN48" s="94" t="s">
        <v>270</v>
      </c>
      <c r="CO48" s="94" t="s">
        <v>270</v>
      </c>
      <c r="CP48" s="94" t="s">
        <v>270</v>
      </c>
      <c r="CQ48" s="94" t="s">
        <v>270</v>
      </c>
      <c r="CR48" s="94">
        <v>0.65951185895159004</v>
      </c>
      <c r="CS48" s="94">
        <v>6.5951185895159012E-2</v>
      </c>
      <c r="CT48" s="94" t="s">
        <v>270</v>
      </c>
      <c r="CU48" s="94" t="s">
        <v>270</v>
      </c>
      <c r="CV48" s="94" t="s">
        <v>270</v>
      </c>
      <c r="CW48" s="94" t="s">
        <v>270</v>
      </c>
      <c r="CX48" s="94">
        <v>20.305013201946299</v>
      </c>
      <c r="CY48" s="94">
        <v>2.03050132019463</v>
      </c>
      <c r="CZ48" s="94">
        <v>0.69083194830636696</v>
      </c>
      <c r="DA48" s="94">
        <v>6.9083194830636699E-2</v>
      </c>
      <c r="DB48" s="94">
        <v>34.790811524215499</v>
      </c>
      <c r="DC48" s="94">
        <v>3.4790811524215499</v>
      </c>
      <c r="DD48" s="94" t="s">
        <v>270</v>
      </c>
      <c r="DE48" s="94" t="s">
        <v>270</v>
      </c>
      <c r="DF48" s="94" t="s">
        <v>270</v>
      </c>
      <c r="DG48" s="94" t="s">
        <v>270</v>
      </c>
      <c r="DH48" s="94" t="s">
        <v>270</v>
      </c>
      <c r="DI48" s="94" t="s">
        <v>270</v>
      </c>
      <c r="DJ48" s="94">
        <v>1.0004883994500737</v>
      </c>
      <c r="DK48" s="94">
        <v>0.98393155516340614</v>
      </c>
      <c r="DL48" s="94">
        <v>1.5400395229921942E-2</v>
      </c>
      <c r="DM48" s="94">
        <v>0.98368022416549095</v>
      </c>
      <c r="DN48" s="94">
        <v>4.4633692722657715E-8</v>
      </c>
      <c r="DO48" s="94">
        <v>1.9013291439275989E-7</v>
      </c>
      <c r="DP48" s="94">
        <v>3.4608893125715948E-4</v>
      </c>
      <c r="DQ48" s="94">
        <v>7.9931786520385473E-8</v>
      </c>
      <c r="DR48" s="94">
        <v>1.1335015797906555E-8</v>
      </c>
      <c r="DS48" s="94">
        <v>1.3075450247075973E-2</v>
      </c>
      <c r="DT48" s="94">
        <v>7.0833390458443285E-3</v>
      </c>
      <c r="DU48" s="94">
        <v>3.5435520561005951E-4</v>
      </c>
      <c r="DV48" s="94">
        <v>5.3698389150823101E-8</v>
      </c>
      <c r="DW48" s="94">
        <v>1.0562879420703508E-8</v>
      </c>
      <c r="DX48" s="94">
        <v>2.4224698473489389E-7</v>
      </c>
      <c r="DY48" s="94">
        <v>1.3097113310894134E-8</v>
      </c>
      <c r="DZ48" s="94">
        <v>4.5439984731308272E-8</v>
      </c>
      <c r="EA48" s="94">
        <v>2.3344854641937256E-5</v>
      </c>
      <c r="EB48" s="94">
        <v>2.8493719798510192E-9</v>
      </c>
      <c r="EC48" s="94">
        <v>2.17452072146524E-10</v>
      </c>
      <c r="ED48" s="94">
        <v>3.1510942218685271E-3</v>
      </c>
      <c r="EE48" s="94">
        <v>5.2353460956104658E-4</v>
      </c>
      <c r="EF48" s="94">
        <v>8.748071867963449E-7</v>
      </c>
      <c r="EG48" s="94">
        <v>3.5242232382367785E-9</v>
      </c>
      <c r="EH48" s="94">
        <v>1.4496804809768316E-9</v>
      </c>
      <c r="EI48" s="94">
        <v>7.9982371364241085E-10</v>
      </c>
      <c r="EJ48" s="94">
        <v>5.7730806033551849E-8</v>
      </c>
      <c r="EK48" s="94">
        <v>2.3557289912406816E-7</v>
      </c>
      <c r="EL48" s="94">
        <v>3.6943378589909673E-4</v>
      </c>
      <c r="EM48" s="94">
        <v>8.2781158500236492E-8</v>
      </c>
      <c r="EN48" s="94">
        <v>1.1552467870053079E-8</v>
      </c>
      <c r="EO48" s="94">
        <v>1.62265444689445E-2</v>
      </c>
      <c r="EP48" s="94">
        <v>7.606873655405375E-3</v>
      </c>
      <c r="EQ48" s="94">
        <v>3.5523001279685586E-4</v>
      </c>
      <c r="ER48" s="94">
        <v>5.7222612389059879E-8</v>
      </c>
      <c r="ES48" s="94">
        <v>1.201255990168034E-8</v>
      </c>
      <c r="ET48" s="94">
        <v>2.430468084485363E-7</v>
      </c>
      <c r="EU48" s="94">
        <v>1.9914559339710958E-6</v>
      </c>
      <c r="EV48" s="94">
        <v>8.4833675923785891E-6</v>
      </c>
      <c r="EW48" s="94">
        <v>1.5463204934038369E-2</v>
      </c>
      <c r="EX48" s="94">
        <v>3.5779785082334908E-6</v>
      </c>
      <c r="EY48" s="94">
        <v>5.0936745001182757E-7</v>
      </c>
      <c r="EZ48" s="94">
        <v>0.58401133080919809</v>
      </c>
      <c r="FA48" s="94">
        <v>0.31617732420536293</v>
      </c>
      <c r="FB48" s="94">
        <v>1.5925981424806175E-2</v>
      </c>
      <c r="FC48" s="94">
        <v>2.3969222545977604E-6</v>
      </c>
      <c r="FD48" s="94">
        <v>4.714927422683936E-7</v>
      </c>
      <c r="FE48" s="94">
        <v>1.0813121175560828E-5</v>
      </c>
      <c r="FF48" s="94">
        <v>5.8436401807353939E-7</v>
      </c>
      <c r="FG48" s="94">
        <v>2.0274453536827373E-6</v>
      </c>
      <c r="FH48" s="94">
        <v>1.0430448329345268E-3</v>
      </c>
      <c r="FI48" s="94">
        <v>1.2754615090793161E-7</v>
      </c>
      <c r="FJ48" s="94">
        <v>9.7717558990539268E-9</v>
      </c>
      <c r="FK48" s="94">
        <v>0.14071659097511036</v>
      </c>
      <c r="FL48" s="94">
        <v>2.3368890139040366E-2</v>
      </c>
      <c r="FM48" s="94">
        <v>3.9316941833039687E-5</v>
      </c>
      <c r="FN48" s="94">
        <v>1.5730991643295595E-7</v>
      </c>
      <c r="FO48" s="94">
        <v>6.4709043639088236E-8</v>
      </c>
      <c r="FP48" s="94">
        <v>3.5701541318117531E-8</v>
      </c>
      <c r="FQ48" s="94">
        <v>2.5758199520446352E-6</v>
      </c>
      <c r="FR48" s="94">
        <v>1.0510812946061326E-5</v>
      </c>
      <c r="FS48" s="94">
        <v>1.6506249766972896E-2</v>
      </c>
      <c r="FT48" s="94">
        <v>3.7055246591414224E-6</v>
      </c>
      <c r="FU48" s="94">
        <v>5.191392059108815E-7</v>
      </c>
      <c r="FV48" s="94">
        <v>0.72472792178430845</v>
      </c>
      <c r="FW48" s="94">
        <v>0.3395462143444033</v>
      </c>
      <c r="FX48" s="94">
        <v>1.5965298366639215E-2</v>
      </c>
      <c r="FY48" s="94">
        <v>2.5542321710307163E-6</v>
      </c>
      <c r="FZ48" s="94">
        <v>5.3620178590748184E-7</v>
      </c>
      <c r="GA48" s="94">
        <v>1.0848822716878946E-5</v>
      </c>
      <c r="GB48" s="94">
        <v>7.971041748722574E-6</v>
      </c>
      <c r="GC48" s="94">
        <v>1.7119181300392222E-4</v>
      </c>
      <c r="GD48" s="94">
        <v>0.6177241107049648</v>
      </c>
      <c r="GE48" s="94">
        <v>2.9982744303295008E-4</v>
      </c>
      <c r="GF48" s="94">
        <v>6.6876380614402884E-5</v>
      </c>
      <c r="GG48" s="94">
        <v>16.36014301449039</v>
      </c>
      <c r="GH48" s="94">
        <v>10.117294961782568</v>
      </c>
      <c r="GI48" s="94">
        <v>0.70089447951500738</v>
      </c>
      <c r="GJ48" s="94">
        <v>3.8452529392494384E-5</v>
      </c>
      <c r="GK48" s="94">
        <v>9.5047278928400932E-7</v>
      </c>
      <c r="GL48" s="94">
        <v>4.759157396757236E-4</v>
      </c>
      <c r="GM48" s="94" t="s">
        <v>270</v>
      </c>
      <c r="GN48" s="94" t="s">
        <v>270</v>
      </c>
      <c r="GO48" s="94" t="s">
        <v>270</v>
      </c>
      <c r="GP48" s="94" t="s">
        <v>270</v>
      </c>
      <c r="GQ48" s="94" t="s">
        <v>270</v>
      </c>
      <c r="GR48" s="94" t="s">
        <v>270</v>
      </c>
      <c r="GS48" s="94" t="s">
        <v>270</v>
      </c>
      <c r="GT48" s="94" t="s">
        <v>270</v>
      </c>
      <c r="GU48" s="94" t="s">
        <v>270</v>
      </c>
      <c r="GV48" s="94" t="s">
        <v>270</v>
      </c>
      <c r="GW48" s="94" t="s">
        <v>270</v>
      </c>
      <c r="GX48" s="94" t="s">
        <v>270</v>
      </c>
      <c r="GY48" s="94" t="s">
        <v>270</v>
      </c>
      <c r="GZ48" s="94" t="s">
        <v>270</v>
      </c>
      <c r="HA48" s="94" t="s">
        <v>270</v>
      </c>
      <c r="HB48" s="94" t="s">
        <v>270</v>
      </c>
      <c r="HC48" s="94" t="s">
        <v>270</v>
      </c>
      <c r="HD48" s="94" t="s">
        <v>270</v>
      </c>
      <c r="HE48" s="94" t="s">
        <v>270</v>
      </c>
      <c r="HF48" s="94" t="s">
        <v>270</v>
      </c>
      <c r="HG48" s="94" t="s">
        <v>270</v>
      </c>
      <c r="HH48" s="94" t="s">
        <v>270</v>
      </c>
      <c r="HI48" s="94" t="s">
        <v>270</v>
      </c>
      <c r="HJ48" s="94" t="s">
        <v>270</v>
      </c>
      <c r="HK48" s="94" t="s">
        <v>270</v>
      </c>
      <c r="HL48" s="94" t="s">
        <v>270</v>
      </c>
      <c r="HM48" s="94" t="s">
        <v>270</v>
      </c>
      <c r="HN48" s="94" t="s">
        <v>270</v>
      </c>
      <c r="HO48" s="94" t="s">
        <v>270</v>
      </c>
      <c r="HP48" s="94" t="s">
        <v>270</v>
      </c>
      <c r="HQ48" s="94" t="s">
        <v>270</v>
      </c>
      <c r="HR48" s="94" t="s">
        <v>270</v>
      </c>
      <c r="HS48" s="94" t="s">
        <v>270</v>
      </c>
      <c r="HT48" s="94" t="s">
        <v>270</v>
      </c>
      <c r="HU48" s="94" t="s">
        <v>270</v>
      </c>
      <c r="HV48" s="94" t="s">
        <v>270</v>
      </c>
      <c r="HW48" s="94" t="s">
        <v>270</v>
      </c>
      <c r="HX48" s="94" t="s">
        <v>270</v>
      </c>
      <c r="HY48" s="94" t="s">
        <v>270</v>
      </c>
      <c r="HZ48" s="94" t="s">
        <v>270</v>
      </c>
      <c r="IA48" s="94" t="s">
        <v>270</v>
      </c>
      <c r="IB48" s="94" t="s">
        <v>270</v>
      </c>
      <c r="IC48" s="94" t="s">
        <v>270</v>
      </c>
      <c r="ID48" s="94" t="s">
        <v>270</v>
      </c>
      <c r="IE48" s="94" t="s">
        <v>270</v>
      </c>
      <c r="IF48" s="94" t="s">
        <v>270</v>
      </c>
      <c r="IG48" s="94" t="s">
        <v>270</v>
      </c>
      <c r="IH48" s="94" t="s">
        <v>270</v>
      </c>
      <c r="II48" s="94" t="s">
        <v>270</v>
      </c>
      <c r="IJ48" s="94" t="s">
        <v>270</v>
      </c>
      <c r="IK48" s="94" t="s">
        <v>270</v>
      </c>
      <c r="IL48" s="94" t="s">
        <v>270</v>
      </c>
      <c r="IM48" s="94" t="s">
        <v>270</v>
      </c>
      <c r="IN48" s="94" t="s">
        <v>270</v>
      </c>
      <c r="IO48" s="94" t="s">
        <v>270</v>
      </c>
      <c r="IP48" s="94" t="s">
        <v>270</v>
      </c>
      <c r="IQ48" s="94" t="s">
        <v>270</v>
      </c>
      <c r="IR48" s="94" t="s">
        <v>270</v>
      </c>
      <c r="IS48" s="94" t="s">
        <v>270</v>
      </c>
      <c r="IT48" s="94" t="s">
        <v>270</v>
      </c>
      <c r="IU48" s="94" t="s">
        <v>270</v>
      </c>
      <c r="IV48" s="94" t="s">
        <v>270</v>
      </c>
      <c r="IW48" s="94" t="s">
        <v>270</v>
      </c>
      <c r="IX48" s="94" t="s">
        <v>270</v>
      </c>
      <c r="IY48" s="94" t="s">
        <v>270</v>
      </c>
      <c r="IZ48" s="94" t="s">
        <v>270</v>
      </c>
      <c r="JA48" s="94" t="s">
        <v>270</v>
      </c>
      <c r="JB48" s="94" t="s">
        <v>270</v>
      </c>
      <c r="JC48" s="94" t="s">
        <v>270</v>
      </c>
      <c r="JD48" s="94" t="s">
        <v>270</v>
      </c>
      <c r="JE48" s="94" t="s">
        <v>270</v>
      </c>
      <c r="JF48" s="94" t="s">
        <v>270</v>
      </c>
      <c r="JG48" s="94" t="s">
        <v>270</v>
      </c>
      <c r="JH48" s="94" t="s">
        <v>270</v>
      </c>
      <c r="JI48" s="94" t="s">
        <v>270</v>
      </c>
      <c r="JJ48" s="94" t="s">
        <v>270</v>
      </c>
      <c r="JK48" s="94" t="s">
        <v>270</v>
      </c>
      <c r="JL48" s="94" t="s">
        <v>270</v>
      </c>
      <c r="JM48" s="94" t="s">
        <v>270</v>
      </c>
    </row>
    <row r="49" spans="1:273">
      <c r="A49" s="94" t="s">
        <v>626</v>
      </c>
      <c r="B49" s="94" t="s">
        <v>738</v>
      </c>
      <c r="C49" s="94" t="s">
        <v>754</v>
      </c>
      <c r="D49" s="95">
        <v>41494</v>
      </c>
      <c r="E49" s="94" t="s">
        <v>755</v>
      </c>
      <c r="F49" s="94">
        <v>0.32665329450000002</v>
      </c>
      <c r="G49" s="94">
        <v>100</v>
      </c>
      <c r="H49" s="94">
        <v>20.9300003052</v>
      </c>
      <c r="I49" s="94">
        <v>1</v>
      </c>
      <c r="J49" s="94">
        <v>0</v>
      </c>
      <c r="K49" s="94">
        <v>0</v>
      </c>
      <c r="L49" s="94" t="s">
        <v>630</v>
      </c>
      <c r="M49" s="94" t="s">
        <v>631</v>
      </c>
      <c r="N49" s="94">
        <v>3.1568021728761461E-20</v>
      </c>
      <c r="O49" s="96" t="s">
        <v>270</v>
      </c>
      <c r="P49" s="94">
        <v>12.36050885835729</v>
      </c>
      <c r="Q49" s="94">
        <v>5.3153877561714875</v>
      </c>
      <c r="R49" s="94">
        <v>2.1912604252570627</v>
      </c>
      <c r="S49" s="94">
        <v>0.51719273552853073</v>
      </c>
      <c r="T49" s="94" t="s">
        <v>270</v>
      </c>
      <c r="U49" s="94" t="s">
        <v>270</v>
      </c>
      <c r="V49" s="94" t="s">
        <v>632</v>
      </c>
      <c r="W49" s="94" t="s">
        <v>270</v>
      </c>
      <c r="X49" s="94">
        <v>0.73514621015442538</v>
      </c>
      <c r="Y49" s="94">
        <v>2.4166699809347763</v>
      </c>
      <c r="Z49" s="94" t="s">
        <v>632</v>
      </c>
      <c r="AA49" s="94" t="s">
        <v>270</v>
      </c>
      <c r="AB49" s="94" t="s">
        <v>632</v>
      </c>
      <c r="AC49" s="94" t="s">
        <v>270</v>
      </c>
      <c r="AD49" s="94" t="s">
        <v>633</v>
      </c>
      <c r="AE49" s="94" t="s">
        <v>73</v>
      </c>
      <c r="AF49" s="94">
        <v>4.1482151735379591E-8</v>
      </c>
      <c r="AG49" s="94">
        <v>4</v>
      </c>
      <c r="AH49" s="97">
        <v>42880.574386574073</v>
      </c>
      <c r="AJ49" s="98" t="s">
        <v>756</v>
      </c>
      <c r="AK49" s="96">
        <v>1.8091821994219339</v>
      </c>
      <c r="AL49" s="96">
        <v>0.20475186947973345</v>
      </c>
      <c r="AM49" s="96">
        <v>5.6745414450199982E-2</v>
      </c>
      <c r="AN49" s="96" t="s">
        <v>270</v>
      </c>
      <c r="AO49" s="96" t="s">
        <v>270</v>
      </c>
      <c r="AP49" s="96">
        <v>0.16898140572079567</v>
      </c>
      <c r="AQ49" s="96">
        <v>-0.97726690309214526</v>
      </c>
      <c r="AR49" s="96">
        <v>15.465042545460509</v>
      </c>
      <c r="AS49" s="96" t="s">
        <v>270</v>
      </c>
      <c r="AT49" s="96" t="s">
        <v>270</v>
      </c>
      <c r="AU49" s="96" t="s">
        <v>270</v>
      </c>
      <c r="AV49" s="94">
        <v>1.2739999999999999E-7</v>
      </c>
      <c r="AW49" s="94">
        <v>1E-10</v>
      </c>
      <c r="AX49" s="94">
        <v>2.3440000000000001E-7</v>
      </c>
      <c r="AY49" s="94">
        <v>2.8000000000000002E-10</v>
      </c>
      <c r="AZ49" s="94" t="s">
        <v>270</v>
      </c>
      <c r="BA49" s="94" t="s">
        <v>270</v>
      </c>
      <c r="BB49" s="94" t="s">
        <v>270</v>
      </c>
      <c r="BC49" s="94" t="s">
        <v>270</v>
      </c>
      <c r="BD49" s="94" t="s">
        <v>270</v>
      </c>
      <c r="BE49" s="94" t="s">
        <v>270</v>
      </c>
      <c r="BF49" s="94" t="s">
        <v>270</v>
      </c>
      <c r="BG49" s="94" t="s">
        <v>270</v>
      </c>
      <c r="BH49" s="94" t="s">
        <v>270</v>
      </c>
      <c r="BI49" s="94" t="s">
        <v>270</v>
      </c>
      <c r="BJ49" s="94" t="s">
        <v>270</v>
      </c>
      <c r="BK49" s="94" t="s">
        <v>270</v>
      </c>
      <c r="BL49" s="94" t="s">
        <v>270</v>
      </c>
      <c r="BM49" s="94" t="s">
        <v>270</v>
      </c>
      <c r="BN49" s="94" t="s">
        <v>270</v>
      </c>
      <c r="BO49" s="94" t="s">
        <v>270</v>
      </c>
      <c r="BP49" s="94" t="s">
        <v>270</v>
      </c>
      <c r="BQ49" s="94" t="s">
        <v>270</v>
      </c>
      <c r="BR49" s="94" t="s">
        <v>270</v>
      </c>
      <c r="BS49" s="94" t="s">
        <v>270</v>
      </c>
      <c r="BT49" s="94" t="s">
        <v>270</v>
      </c>
      <c r="BU49" s="94" t="s">
        <v>270</v>
      </c>
      <c r="BV49" s="94" t="s">
        <v>270</v>
      </c>
      <c r="BW49" s="94" t="s">
        <v>270</v>
      </c>
      <c r="BX49" s="94" t="s">
        <v>270</v>
      </c>
      <c r="BY49" s="94" t="s">
        <v>270</v>
      </c>
      <c r="BZ49" s="94" t="s">
        <v>270</v>
      </c>
      <c r="CA49" s="94" t="s">
        <v>270</v>
      </c>
      <c r="CB49" s="94" t="s">
        <v>270</v>
      </c>
      <c r="CC49" s="94" t="s">
        <v>270</v>
      </c>
      <c r="CD49" s="94" t="s">
        <v>270</v>
      </c>
      <c r="CE49" s="94" t="s">
        <v>270</v>
      </c>
      <c r="CF49" s="94" t="s">
        <v>270</v>
      </c>
      <c r="CG49" s="94" t="s">
        <v>270</v>
      </c>
      <c r="CH49" s="94" t="s">
        <v>270</v>
      </c>
      <c r="CI49" s="94" t="s">
        <v>270</v>
      </c>
      <c r="CJ49" s="94" t="s">
        <v>270</v>
      </c>
      <c r="CK49" s="94" t="s">
        <v>270</v>
      </c>
      <c r="CL49" s="94" t="s">
        <v>270</v>
      </c>
      <c r="CM49" s="94" t="s">
        <v>270</v>
      </c>
      <c r="CN49" s="94" t="s">
        <v>270</v>
      </c>
      <c r="CO49" s="94" t="s">
        <v>270</v>
      </c>
      <c r="CP49" s="94" t="s">
        <v>270</v>
      </c>
      <c r="CQ49" s="94" t="s">
        <v>270</v>
      </c>
      <c r="CR49" s="94">
        <v>0.67975215809604805</v>
      </c>
      <c r="CS49" s="94">
        <v>6.7975215809604805E-2</v>
      </c>
      <c r="CT49" s="94" t="s">
        <v>270</v>
      </c>
      <c r="CU49" s="94" t="s">
        <v>270</v>
      </c>
      <c r="CV49" s="94" t="s">
        <v>270</v>
      </c>
      <c r="CW49" s="94" t="s">
        <v>270</v>
      </c>
      <c r="CX49" s="94">
        <v>19.884128338298598</v>
      </c>
      <c r="CY49" s="94">
        <v>1.9884128338298599</v>
      </c>
      <c r="CZ49" s="94">
        <v>0.239554143136127</v>
      </c>
      <c r="DA49" s="94">
        <v>2.39554143136127E-2</v>
      </c>
      <c r="DB49" s="94">
        <v>12.1752725384688</v>
      </c>
      <c r="DC49" s="94">
        <v>1.21752725384688</v>
      </c>
      <c r="DD49" s="94" t="s">
        <v>270</v>
      </c>
      <c r="DE49" s="94" t="s">
        <v>270</v>
      </c>
      <c r="DF49" s="94" t="s">
        <v>270</v>
      </c>
      <c r="DG49" s="94" t="s">
        <v>270</v>
      </c>
      <c r="DH49" s="94" t="s">
        <v>270</v>
      </c>
      <c r="DI49" s="94" t="s">
        <v>270</v>
      </c>
      <c r="DJ49" s="94">
        <v>0.99971299674244685</v>
      </c>
      <c r="DK49" s="94">
        <v>0.98802409609545883</v>
      </c>
      <c r="DL49" s="94">
        <v>1.415672932940487E-2</v>
      </c>
      <c r="DM49" s="94">
        <v>0.98785212187288673</v>
      </c>
      <c r="DN49" s="94">
        <v>4.5351276975276299E-8</v>
      </c>
      <c r="DO49" s="94">
        <v>1.9456288546887631E-7</v>
      </c>
      <c r="DP49" s="94">
        <v>3.6067006594158927E-4</v>
      </c>
      <c r="DQ49" s="94">
        <v>8.3923739351771801E-8</v>
      </c>
      <c r="DR49" s="94">
        <v>1.1975378847267715E-8</v>
      </c>
      <c r="DS49" s="94">
        <v>1.3605209396230387E-2</v>
      </c>
      <c r="DT49" s="94">
        <v>7.3833833973569723E-3</v>
      </c>
      <c r="DU49" s="94">
        <v>3.7414395365752444E-4</v>
      </c>
      <c r="DV49" s="94">
        <v>5.6132359417023656E-8</v>
      </c>
      <c r="DW49" s="94">
        <v>1.0813101022742568E-8</v>
      </c>
      <c r="DX49" s="94">
        <v>2.5655904691936564E-7</v>
      </c>
      <c r="DY49" s="94">
        <v>1.1482204628347009E-8</v>
      </c>
      <c r="DZ49" s="94">
        <v>3.9837114531173386E-8</v>
      </c>
      <c r="EA49" s="94">
        <v>2.0466372371900964E-5</v>
      </c>
      <c r="EB49" s="94">
        <v>2.4980368847930525E-9</v>
      </c>
      <c r="EC49" s="94">
        <v>1.9063965699736396E-10</v>
      </c>
      <c r="ED49" s="94">
        <v>2.2988586499561366E-3</v>
      </c>
      <c r="EE49" s="94">
        <v>4.5898140867434503E-4</v>
      </c>
      <c r="EF49" s="94">
        <v>7.6694114883998563E-7</v>
      </c>
      <c r="EG49" s="94">
        <v>3.0896771996124555E-9</v>
      </c>
      <c r="EH49" s="94">
        <v>1.2709310466490969E-9</v>
      </c>
      <c r="EI49" s="94">
        <v>7.0120333608226128E-10</v>
      </c>
      <c r="EJ49" s="94">
        <v>5.6833481603623307E-8</v>
      </c>
      <c r="EK49" s="94">
        <v>2.3440000000004969E-7</v>
      </c>
      <c r="EL49" s="94">
        <v>3.8113643831349023E-4</v>
      </c>
      <c r="EM49" s="94">
        <v>8.6421776236564853E-8</v>
      </c>
      <c r="EN49" s="94">
        <v>1.2166018504265079E-8</v>
      </c>
      <c r="EO49" s="94">
        <v>1.5904068046186524E-2</v>
      </c>
      <c r="EP49" s="94">
        <v>7.8423648060313173E-3</v>
      </c>
      <c r="EQ49" s="94">
        <v>3.7491089480636442E-4</v>
      </c>
      <c r="ER49" s="94">
        <v>5.9222036616636112E-8</v>
      </c>
      <c r="ES49" s="94">
        <v>1.2084032069391665E-8</v>
      </c>
      <c r="ET49" s="94">
        <v>2.572602502554479E-7</v>
      </c>
      <c r="EU49" s="94">
        <v>2.0219047042104057E-6</v>
      </c>
      <c r="EV49" s="94">
        <v>8.674296439116127E-6</v>
      </c>
      <c r="EW49" s="94">
        <v>1.6102198714820048E-2</v>
      </c>
      <c r="EX49" s="94">
        <v>3.7537583806779433E-6</v>
      </c>
      <c r="EY49" s="94">
        <v>5.3772670013452739E-7</v>
      </c>
      <c r="EZ49" s="94">
        <v>0.60720191396747303</v>
      </c>
      <c r="FA49" s="94">
        <v>0.32931490774828975</v>
      </c>
      <c r="FB49" s="94">
        <v>1.6802325732178741E-2</v>
      </c>
      <c r="FC49" s="94">
        <v>2.5036249329444467E-6</v>
      </c>
      <c r="FD49" s="94">
        <v>4.8228774995649094E-7</v>
      </c>
      <c r="FE49" s="94">
        <v>1.144308974913648E-5</v>
      </c>
      <c r="FF49" s="94">
        <v>5.1191333742195848E-7</v>
      </c>
      <c r="FG49" s="94">
        <v>1.7760784123326382E-6</v>
      </c>
      <c r="FH49" s="94">
        <v>9.1372593964375234E-4</v>
      </c>
      <c r="FI49" s="94">
        <v>1.1173271072002797E-7</v>
      </c>
      <c r="FJ49" s="94">
        <v>8.5602330397555609E-9</v>
      </c>
      <c r="FK49" s="94">
        <v>0.10260583297899617</v>
      </c>
      <c r="FL49" s="94">
        <v>2.0471565963901983E-2</v>
      </c>
      <c r="FM49" s="94">
        <v>3.444234464902371E-5</v>
      </c>
      <c r="FN49" s="94">
        <v>1.3780630196267419E-7</v>
      </c>
      <c r="FO49" s="94">
        <v>5.66862802399653E-8</v>
      </c>
      <c r="FP49" s="94">
        <v>3.1275189097912474E-8</v>
      </c>
      <c r="FQ49" s="94">
        <v>2.5338180416323642E-6</v>
      </c>
      <c r="FR49" s="94">
        <v>1.0450374851448765E-5</v>
      </c>
      <c r="FS49" s="94">
        <v>1.7015924654463801E-2</v>
      </c>
      <c r="FT49" s="94">
        <v>3.8654910913979713E-6</v>
      </c>
      <c r="FU49" s="94">
        <v>5.4628693317428295E-7</v>
      </c>
      <c r="FV49" s="94">
        <v>0.7098077469464692</v>
      </c>
      <c r="FW49" s="94">
        <v>0.34978647371219174</v>
      </c>
      <c r="FX49" s="94">
        <v>1.6836768076827765E-2</v>
      </c>
      <c r="FY49" s="94">
        <v>2.6414312349071209E-6</v>
      </c>
      <c r="FZ49" s="94">
        <v>5.3897403019645624E-7</v>
      </c>
      <c r="GA49" s="94">
        <v>1.1474364938234392E-5</v>
      </c>
      <c r="GB49" s="94">
        <v>8.0929166115475952E-6</v>
      </c>
      <c r="GC49" s="94">
        <v>1.7504469985243172E-4</v>
      </c>
      <c r="GD49" s="94">
        <v>0.64325063425963125</v>
      </c>
      <c r="GE49" s="94">
        <v>3.1455744478405028E-4</v>
      </c>
      <c r="GF49" s="94">
        <v>7.0599751640762509E-5</v>
      </c>
      <c r="GG49" s="94">
        <v>17.00979009673641</v>
      </c>
      <c r="GH49" s="94">
        <v>10.537681870055973</v>
      </c>
      <c r="GI49" s="94">
        <v>0.73946195431032036</v>
      </c>
      <c r="GJ49" s="94">
        <v>4.0164302841763965E-5</v>
      </c>
      <c r="GK49" s="94">
        <v>9.7223422938229091E-7</v>
      </c>
      <c r="GL49" s="94">
        <v>5.0364242051079405E-4</v>
      </c>
      <c r="GM49" s="94" t="s">
        <v>270</v>
      </c>
      <c r="GN49" s="94" t="s">
        <v>270</v>
      </c>
      <c r="GO49" s="94" t="s">
        <v>270</v>
      </c>
      <c r="GP49" s="94" t="s">
        <v>270</v>
      </c>
      <c r="GQ49" s="94" t="s">
        <v>270</v>
      </c>
      <c r="GR49" s="94" t="s">
        <v>270</v>
      </c>
      <c r="GS49" s="94" t="s">
        <v>270</v>
      </c>
      <c r="GT49" s="94" t="s">
        <v>270</v>
      </c>
      <c r="GU49" s="94" t="s">
        <v>270</v>
      </c>
      <c r="GV49" s="94" t="s">
        <v>270</v>
      </c>
      <c r="GW49" s="94" t="s">
        <v>270</v>
      </c>
      <c r="GX49" s="94" t="s">
        <v>270</v>
      </c>
      <c r="GY49" s="94" t="s">
        <v>270</v>
      </c>
      <c r="GZ49" s="94" t="s">
        <v>270</v>
      </c>
      <c r="HA49" s="94" t="s">
        <v>270</v>
      </c>
      <c r="HB49" s="94" t="s">
        <v>270</v>
      </c>
      <c r="HC49" s="94" t="s">
        <v>270</v>
      </c>
      <c r="HD49" s="94" t="s">
        <v>270</v>
      </c>
      <c r="HE49" s="94" t="s">
        <v>270</v>
      </c>
      <c r="HF49" s="94" t="s">
        <v>270</v>
      </c>
      <c r="HG49" s="94" t="s">
        <v>270</v>
      </c>
      <c r="HH49" s="94" t="s">
        <v>270</v>
      </c>
      <c r="HI49" s="94" t="s">
        <v>270</v>
      </c>
      <c r="HJ49" s="94" t="s">
        <v>270</v>
      </c>
      <c r="HK49" s="94" t="s">
        <v>270</v>
      </c>
      <c r="HL49" s="94" t="s">
        <v>270</v>
      </c>
      <c r="HM49" s="94" t="s">
        <v>270</v>
      </c>
      <c r="HN49" s="94" t="s">
        <v>270</v>
      </c>
      <c r="HO49" s="94" t="s">
        <v>270</v>
      </c>
      <c r="HP49" s="94" t="s">
        <v>270</v>
      </c>
      <c r="HQ49" s="94" t="s">
        <v>270</v>
      </c>
      <c r="HR49" s="94" t="s">
        <v>270</v>
      </c>
      <c r="HS49" s="94" t="s">
        <v>270</v>
      </c>
      <c r="HT49" s="94" t="s">
        <v>270</v>
      </c>
      <c r="HU49" s="94" t="s">
        <v>270</v>
      </c>
      <c r="HV49" s="94" t="s">
        <v>270</v>
      </c>
      <c r="HW49" s="94" t="s">
        <v>270</v>
      </c>
      <c r="HX49" s="94" t="s">
        <v>270</v>
      </c>
      <c r="HY49" s="94" t="s">
        <v>270</v>
      </c>
      <c r="HZ49" s="94" t="s">
        <v>270</v>
      </c>
      <c r="IA49" s="94" t="s">
        <v>270</v>
      </c>
      <c r="IB49" s="94" t="s">
        <v>270</v>
      </c>
      <c r="IC49" s="94" t="s">
        <v>270</v>
      </c>
      <c r="ID49" s="94" t="s">
        <v>270</v>
      </c>
      <c r="IE49" s="94" t="s">
        <v>270</v>
      </c>
      <c r="IF49" s="94" t="s">
        <v>270</v>
      </c>
      <c r="IG49" s="94" t="s">
        <v>270</v>
      </c>
      <c r="IH49" s="94" t="s">
        <v>270</v>
      </c>
      <c r="II49" s="94" t="s">
        <v>270</v>
      </c>
      <c r="IJ49" s="94" t="s">
        <v>270</v>
      </c>
      <c r="IK49" s="94" t="s">
        <v>270</v>
      </c>
      <c r="IL49" s="94" t="s">
        <v>270</v>
      </c>
      <c r="IM49" s="94" t="s">
        <v>270</v>
      </c>
      <c r="IN49" s="94" t="s">
        <v>270</v>
      </c>
      <c r="IO49" s="94" t="s">
        <v>270</v>
      </c>
      <c r="IP49" s="94" t="s">
        <v>270</v>
      </c>
      <c r="IQ49" s="94" t="s">
        <v>270</v>
      </c>
      <c r="IR49" s="94" t="s">
        <v>270</v>
      </c>
      <c r="IS49" s="94" t="s">
        <v>270</v>
      </c>
      <c r="IT49" s="94" t="s">
        <v>270</v>
      </c>
      <c r="IU49" s="94" t="s">
        <v>270</v>
      </c>
      <c r="IV49" s="94" t="s">
        <v>270</v>
      </c>
      <c r="IW49" s="94" t="s">
        <v>270</v>
      </c>
      <c r="IX49" s="94" t="s">
        <v>270</v>
      </c>
      <c r="IY49" s="94" t="s">
        <v>270</v>
      </c>
      <c r="IZ49" s="94" t="s">
        <v>270</v>
      </c>
      <c r="JA49" s="94" t="s">
        <v>270</v>
      </c>
      <c r="JB49" s="94" t="s">
        <v>270</v>
      </c>
      <c r="JC49" s="94" t="s">
        <v>270</v>
      </c>
      <c r="JD49" s="94" t="s">
        <v>270</v>
      </c>
      <c r="JE49" s="94" t="s">
        <v>270</v>
      </c>
      <c r="JF49" s="94" t="s">
        <v>270</v>
      </c>
      <c r="JG49" s="94" t="s">
        <v>270</v>
      </c>
      <c r="JH49" s="94" t="s">
        <v>270</v>
      </c>
      <c r="JI49" s="94" t="s">
        <v>270</v>
      </c>
      <c r="JJ49" s="94" t="s">
        <v>270</v>
      </c>
      <c r="JK49" s="94" t="s">
        <v>270</v>
      </c>
      <c r="JL49" s="94" t="s">
        <v>270</v>
      </c>
      <c r="JM49" s="94" t="s">
        <v>270</v>
      </c>
    </row>
    <row r="50" spans="1:273">
      <c r="A50" s="94" t="s">
        <v>626</v>
      </c>
      <c r="B50" s="94" t="s">
        <v>738</v>
      </c>
      <c r="C50" s="94" t="s">
        <v>754</v>
      </c>
      <c r="D50" s="95">
        <v>41494</v>
      </c>
      <c r="E50" s="94" t="s">
        <v>757</v>
      </c>
      <c r="F50" s="94">
        <v>0.32665329450000002</v>
      </c>
      <c r="G50" s="94">
        <v>100</v>
      </c>
      <c r="H50" s="94">
        <v>20.9300003052</v>
      </c>
      <c r="I50" s="94">
        <v>1</v>
      </c>
      <c r="J50" s="94">
        <v>0</v>
      </c>
      <c r="K50" s="94">
        <v>0</v>
      </c>
      <c r="L50" s="94" t="s">
        <v>630</v>
      </c>
      <c r="M50" s="94" t="s">
        <v>631</v>
      </c>
      <c r="N50" s="94">
        <v>1.1822482015782311E-19</v>
      </c>
      <c r="O50" s="96" t="s">
        <v>270</v>
      </c>
      <c r="P50" s="94">
        <v>12.006384155091729</v>
      </c>
      <c r="Q50" s="94">
        <v>5.2761720332257926</v>
      </c>
      <c r="R50" s="94">
        <v>2.1566285735721622</v>
      </c>
      <c r="S50" s="94">
        <v>0.51918684512826074</v>
      </c>
      <c r="T50" s="94" t="s">
        <v>270</v>
      </c>
      <c r="U50" s="94" t="s">
        <v>270</v>
      </c>
      <c r="V50" s="94" t="s">
        <v>632</v>
      </c>
      <c r="W50" s="94" t="s">
        <v>270</v>
      </c>
      <c r="X50" s="94">
        <v>0.82168431856547497</v>
      </c>
      <c r="Y50" s="94">
        <v>2.4371068032019512</v>
      </c>
      <c r="Z50" s="94" t="s">
        <v>632</v>
      </c>
      <c r="AA50" s="94" t="s">
        <v>270</v>
      </c>
      <c r="AB50" s="94" t="s">
        <v>632</v>
      </c>
      <c r="AC50" s="94" t="s">
        <v>270</v>
      </c>
      <c r="AD50" s="94" t="s">
        <v>633</v>
      </c>
      <c r="AE50" s="94" t="s">
        <v>73</v>
      </c>
      <c r="AF50" s="94">
        <v>8.7835831489792066E-8</v>
      </c>
      <c r="AG50" s="94">
        <v>4</v>
      </c>
      <c r="AH50" s="97">
        <v>42880.574386574073</v>
      </c>
      <c r="AJ50" s="98" t="s">
        <v>758</v>
      </c>
      <c r="AK50" s="96">
        <v>1.8051376730012749</v>
      </c>
      <c r="AL50" s="96">
        <v>0.20086585789618283</v>
      </c>
      <c r="AM50" s="96">
        <v>5.5408481928230113E-2</v>
      </c>
      <c r="AN50" s="96" t="s">
        <v>270</v>
      </c>
      <c r="AO50" s="96" t="s">
        <v>270</v>
      </c>
      <c r="AP50" s="96">
        <v>0.1708220971891623</v>
      </c>
      <c r="AQ50" s="96">
        <v>-0.97613609513218402</v>
      </c>
      <c r="AR50" s="96">
        <v>15.596101579792315</v>
      </c>
      <c r="AS50" s="96" t="s">
        <v>270</v>
      </c>
      <c r="AT50" s="96" t="s">
        <v>270</v>
      </c>
      <c r="AU50" s="96" t="s">
        <v>270</v>
      </c>
      <c r="AV50" s="94">
        <v>1.2739999999999999E-7</v>
      </c>
      <c r="AW50" s="94">
        <v>1E-10</v>
      </c>
      <c r="AX50" s="94">
        <v>2.3440000000000001E-7</v>
      </c>
      <c r="AY50" s="94">
        <v>2.8000000000000002E-10</v>
      </c>
      <c r="AZ50" s="94" t="s">
        <v>270</v>
      </c>
      <c r="BA50" s="94" t="s">
        <v>270</v>
      </c>
      <c r="BB50" s="94" t="s">
        <v>270</v>
      </c>
      <c r="BC50" s="94" t="s">
        <v>270</v>
      </c>
      <c r="BD50" s="94" t="s">
        <v>270</v>
      </c>
      <c r="BE50" s="94" t="s">
        <v>270</v>
      </c>
      <c r="BF50" s="94" t="s">
        <v>270</v>
      </c>
      <c r="BG50" s="94" t="s">
        <v>270</v>
      </c>
      <c r="BH50" s="94" t="s">
        <v>270</v>
      </c>
      <c r="BI50" s="94" t="s">
        <v>270</v>
      </c>
      <c r="BJ50" s="94" t="s">
        <v>270</v>
      </c>
      <c r="BK50" s="94" t="s">
        <v>270</v>
      </c>
      <c r="BL50" s="94" t="s">
        <v>270</v>
      </c>
      <c r="BM50" s="94" t="s">
        <v>270</v>
      </c>
      <c r="BN50" s="94" t="s">
        <v>270</v>
      </c>
      <c r="BO50" s="94" t="s">
        <v>270</v>
      </c>
      <c r="BP50" s="94" t="s">
        <v>270</v>
      </c>
      <c r="BQ50" s="94" t="s">
        <v>270</v>
      </c>
      <c r="BR50" s="94" t="s">
        <v>270</v>
      </c>
      <c r="BS50" s="94" t="s">
        <v>270</v>
      </c>
      <c r="BT50" s="94" t="s">
        <v>270</v>
      </c>
      <c r="BU50" s="94" t="s">
        <v>270</v>
      </c>
      <c r="BV50" s="94" t="s">
        <v>270</v>
      </c>
      <c r="BW50" s="94" t="s">
        <v>270</v>
      </c>
      <c r="BX50" s="94" t="s">
        <v>270</v>
      </c>
      <c r="BY50" s="94" t="s">
        <v>270</v>
      </c>
      <c r="BZ50" s="94" t="s">
        <v>270</v>
      </c>
      <c r="CA50" s="94" t="s">
        <v>270</v>
      </c>
      <c r="CB50" s="94" t="s">
        <v>270</v>
      </c>
      <c r="CC50" s="94" t="s">
        <v>270</v>
      </c>
      <c r="CD50" s="94" t="s">
        <v>270</v>
      </c>
      <c r="CE50" s="94" t="s">
        <v>270</v>
      </c>
      <c r="CF50" s="94" t="s">
        <v>270</v>
      </c>
      <c r="CG50" s="94" t="s">
        <v>270</v>
      </c>
      <c r="CH50" s="94" t="s">
        <v>270</v>
      </c>
      <c r="CI50" s="94" t="s">
        <v>270</v>
      </c>
      <c r="CJ50" s="94" t="s">
        <v>270</v>
      </c>
      <c r="CK50" s="94" t="s">
        <v>270</v>
      </c>
      <c r="CL50" s="94" t="s">
        <v>270</v>
      </c>
      <c r="CM50" s="94" t="s">
        <v>270</v>
      </c>
      <c r="CN50" s="94" t="s">
        <v>270</v>
      </c>
      <c r="CO50" s="94" t="s">
        <v>270</v>
      </c>
      <c r="CP50" s="94" t="s">
        <v>270</v>
      </c>
      <c r="CQ50" s="94" t="s">
        <v>270</v>
      </c>
      <c r="CR50" s="94">
        <v>0.68431289806906603</v>
      </c>
      <c r="CS50" s="94">
        <v>6.8431289806906603E-2</v>
      </c>
      <c r="CT50" s="94" t="s">
        <v>270</v>
      </c>
      <c r="CU50" s="94" t="s">
        <v>270</v>
      </c>
      <c r="CV50" s="94" t="s">
        <v>270</v>
      </c>
      <c r="CW50" s="94" t="s">
        <v>270</v>
      </c>
      <c r="CX50" s="94">
        <v>20.062847104330899</v>
      </c>
      <c r="CY50" s="94">
        <v>2.0062847104330901</v>
      </c>
      <c r="CZ50" s="94">
        <v>0.25349737203519201</v>
      </c>
      <c r="DA50" s="94">
        <v>2.5349737203519202E-2</v>
      </c>
      <c r="DB50" s="94">
        <v>12.4202772986617</v>
      </c>
      <c r="DC50" s="94">
        <v>1.2420277298661702</v>
      </c>
      <c r="DD50" s="94" t="s">
        <v>270</v>
      </c>
      <c r="DE50" s="94" t="s">
        <v>270</v>
      </c>
      <c r="DF50" s="94" t="s">
        <v>270</v>
      </c>
      <c r="DG50" s="94" t="s">
        <v>270</v>
      </c>
      <c r="DH50" s="94" t="s">
        <v>270</v>
      </c>
      <c r="DI50" s="94" t="s">
        <v>270</v>
      </c>
      <c r="DJ50" s="94">
        <v>0.99975452935167819</v>
      </c>
      <c r="DK50" s="94">
        <v>0.98802409609545883</v>
      </c>
      <c r="DL50" s="94">
        <v>1.3830405271306589E-2</v>
      </c>
      <c r="DM50" s="94">
        <v>0.98785614161240098</v>
      </c>
      <c r="DN50" s="94">
        <v>4.5416665722396468E-8</v>
      </c>
      <c r="DO50" s="94">
        <v>1.9519249253255423E-7</v>
      </c>
      <c r="DP50" s="94">
        <v>3.6353479062495688E-4</v>
      </c>
      <c r="DQ50" s="94">
        <v>8.4755114194648923E-8</v>
      </c>
      <c r="DR50" s="94">
        <v>1.2119967312674746E-8</v>
      </c>
      <c r="DS50" s="94">
        <v>1.3705342302107477E-2</v>
      </c>
      <c r="DT50" s="94">
        <v>7.4425926141927926E-3</v>
      </c>
      <c r="DU50" s="94">
        <v>3.7864311348562835E-4</v>
      </c>
      <c r="DV50" s="94">
        <v>5.6621580772545585E-8</v>
      </c>
      <c r="DW50" s="94">
        <v>1.085076617667936E-8</v>
      </c>
      <c r="DX50" s="94">
        <v>2.5981665441119235E-7</v>
      </c>
      <c r="DY50" s="94">
        <v>1.1300733725518131E-8</v>
      </c>
      <c r="DZ50" s="94">
        <v>3.9207507467541912E-8</v>
      </c>
      <c r="EA50" s="94">
        <v>2.0142910877164017E-5</v>
      </c>
      <c r="EB50" s="94">
        <v>2.4585565738722596E-9</v>
      </c>
      <c r="EC50" s="94">
        <v>1.8762668590077748E-10</v>
      </c>
      <c r="ED50" s="94">
        <v>2.3410139930556718E-3</v>
      </c>
      <c r="EE50" s="94">
        <v>4.5172742102042498E-4</v>
      </c>
      <c r="EF50" s="94">
        <v>7.5482000075024385E-7</v>
      </c>
      <c r="EG50" s="94">
        <v>3.0408462887367543E-9</v>
      </c>
      <c r="EH50" s="94">
        <v>1.2508445726718543E-9</v>
      </c>
      <c r="EI50" s="94">
        <v>6.901211435430774E-10</v>
      </c>
      <c r="EJ50" s="94">
        <v>5.6717399447914598E-8</v>
      </c>
      <c r="EK50" s="94">
        <v>2.3440000000009615E-7</v>
      </c>
      <c r="EL50" s="94">
        <v>3.836777015021209E-4</v>
      </c>
      <c r="EM50" s="94">
        <v>8.7213670768521182E-8</v>
      </c>
      <c r="EN50" s="94">
        <v>1.2307593998575524E-8</v>
      </c>
      <c r="EO50" s="94">
        <v>1.6046356295163149E-2</v>
      </c>
      <c r="EP50" s="94">
        <v>7.8943200352132176E-3</v>
      </c>
      <c r="EQ50" s="94">
        <v>3.793979334863786E-4</v>
      </c>
      <c r="ER50" s="94">
        <v>5.966242706128234E-8</v>
      </c>
      <c r="ES50" s="94">
        <v>1.2101610749351215E-8</v>
      </c>
      <c r="ET50" s="94">
        <v>2.6050677555473543E-7</v>
      </c>
      <c r="EU50" s="94">
        <v>2.0249040634983136E-6</v>
      </c>
      <c r="EV50" s="94">
        <v>8.702728067974796E-6</v>
      </c>
      <c r="EW50" s="94">
        <v>1.6230769284203583E-2</v>
      </c>
      <c r="EX50" s="94">
        <v>3.7911017797012982E-6</v>
      </c>
      <c r="EY50" s="94">
        <v>5.4424172021460951E-7</v>
      </c>
      <c r="EZ50" s="94">
        <v>0.61169626757746132</v>
      </c>
      <c r="FA50" s="94">
        <v>0.33196955814038509</v>
      </c>
      <c r="FB50" s="94">
        <v>1.7005083676163626E-2</v>
      </c>
      <c r="FC50" s="94">
        <v>2.5255501845455669E-6</v>
      </c>
      <c r="FD50" s="94">
        <v>4.8398780369729558E-7</v>
      </c>
      <c r="FE50" s="94">
        <v>1.1588867540313608E-5</v>
      </c>
      <c r="FF50" s="94">
        <v>5.0384371633934757E-7</v>
      </c>
      <c r="FG50" s="94">
        <v>1.748080939415234E-6</v>
      </c>
      <c r="FH50" s="94">
        <v>8.9932228658909374E-4</v>
      </c>
      <c r="FI50" s="94">
        <v>1.0997139572365699E-7</v>
      </c>
      <c r="FJ50" s="94">
        <v>8.425292548934258E-9</v>
      </c>
      <c r="FK50" s="94">
        <v>0.1044912392712074</v>
      </c>
      <c r="FL50" s="94">
        <v>2.0148859427033206E-2</v>
      </c>
      <c r="FM50" s="94">
        <v>3.3899407690368005E-5</v>
      </c>
      <c r="FN50" s="94">
        <v>1.3563397208114577E-7</v>
      </c>
      <c r="FO50" s="94">
        <v>5.5792697735506807E-8</v>
      </c>
      <c r="FP50" s="94">
        <v>3.0782178060969565E-8</v>
      </c>
      <c r="FQ50" s="94">
        <v>2.5287477798376612E-6</v>
      </c>
      <c r="FR50" s="94">
        <v>1.045080900739003E-5</v>
      </c>
      <c r="FS50" s="94">
        <v>1.7130091570792677E-2</v>
      </c>
      <c r="FT50" s="94">
        <v>3.9010731754249552E-6</v>
      </c>
      <c r="FU50" s="94">
        <v>5.5266701276354377E-7</v>
      </c>
      <c r="FV50" s="94">
        <v>0.71618750684866872</v>
      </c>
      <c r="FW50" s="94">
        <v>0.3521184175674183</v>
      </c>
      <c r="FX50" s="94">
        <v>1.7038983083853994E-2</v>
      </c>
      <c r="FY50" s="94">
        <v>2.6611841566267126E-6</v>
      </c>
      <c r="FZ50" s="94">
        <v>5.3978050143280239E-7</v>
      </c>
      <c r="GA50" s="94">
        <v>1.1619649718374577E-5</v>
      </c>
      <c r="GB50" s="94">
        <v>8.1049219076204331E-6</v>
      </c>
      <c r="GC50" s="94">
        <v>1.7561844159331099E-4</v>
      </c>
      <c r="GD50" s="94">
        <v>0.64838677136536471</v>
      </c>
      <c r="GE50" s="94">
        <v>3.1768674693540938E-4</v>
      </c>
      <c r="GF50" s="94">
        <v>7.1455128172136735E-5</v>
      </c>
      <c r="GG50" s="94">
        <v>17.135692222154454</v>
      </c>
      <c r="GH50" s="94">
        <v>10.622627497022554</v>
      </c>
      <c r="GI50" s="94">
        <v>0.74838523004612312</v>
      </c>
      <c r="GJ50" s="94">
        <v>4.0516037813564871E-5</v>
      </c>
      <c r="GK50" s="94">
        <v>9.7566133371730419E-7</v>
      </c>
      <c r="GL50" s="94">
        <v>5.100585092783147E-4</v>
      </c>
      <c r="GM50" s="94" t="s">
        <v>270</v>
      </c>
      <c r="GN50" s="94" t="s">
        <v>270</v>
      </c>
      <c r="GO50" s="94" t="s">
        <v>270</v>
      </c>
      <c r="GP50" s="94" t="s">
        <v>270</v>
      </c>
      <c r="GQ50" s="94" t="s">
        <v>270</v>
      </c>
      <c r="GR50" s="94" t="s">
        <v>270</v>
      </c>
      <c r="GS50" s="94" t="s">
        <v>270</v>
      </c>
      <c r="GT50" s="94" t="s">
        <v>270</v>
      </c>
      <c r="GU50" s="94" t="s">
        <v>270</v>
      </c>
      <c r="GV50" s="94" t="s">
        <v>270</v>
      </c>
      <c r="GW50" s="94" t="s">
        <v>270</v>
      </c>
      <c r="GX50" s="94" t="s">
        <v>270</v>
      </c>
      <c r="GY50" s="94" t="s">
        <v>270</v>
      </c>
      <c r="GZ50" s="94" t="s">
        <v>270</v>
      </c>
      <c r="HA50" s="94" t="s">
        <v>270</v>
      </c>
      <c r="HB50" s="94" t="s">
        <v>270</v>
      </c>
      <c r="HC50" s="94" t="s">
        <v>270</v>
      </c>
      <c r="HD50" s="94" t="s">
        <v>270</v>
      </c>
      <c r="HE50" s="94" t="s">
        <v>270</v>
      </c>
      <c r="HF50" s="94" t="s">
        <v>270</v>
      </c>
      <c r="HG50" s="94" t="s">
        <v>270</v>
      </c>
      <c r="HH50" s="94" t="s">
        <v>270</v>
      </c>
      <c r="HI50" s="94" t="s">
        <v>270</v>
      </c>
      <c r="HJ50" s="94" t="s">
        <v>270</v>
      </c>
      <c r="HK50" s="94" t="s">
        <v>270</v>
      </c>
      <c r="HL50" s="94" t="s">
        <v>270</v>
      </c>
      <c r="HM50" s="94" t="s">
        <v>270</v>
      </c>
      <c r="HN50" s="94" t="s">
        <v>270</v>
      </c>
      <c r="HO50" s="94" t="s">
        <v>270</v>
      </c>
      <c r="HP50" s="94" t="s">
        <v>270</v>
      </c>
      <c r="HQ50" s="94" t="s">
        <v>270</v>
      </c>
      <c r="HR50" s="94" t="s">
        <v>270</v>
      </c>
      <c r="HS50" s="94" t="s">
        <v>270</v>
      </c>
      <c r="HT50" s="94" t="s">
        <v>270</v>
      </c>
      <c r="HU50" s="94" t="s">
        <v>270</v>
      </c>
      <c r="HV50" s="94" t="s">
        <v>270</v>
      </c>
      <c r="HW50" s="94" t="s">
        <v>270</v>
      </c>
      <c r="HX50" s="94" t="s">
        <v>270</v>
      </c>
      <c r="HY50" s="94" t="s">
        <v>270</v>
      </c>
      <c r="HZ50" s="94" t="s">
        <v>270</v>
      </c>
      <c r="IA50" s="94" t="s">
        <v>270</v>
      </c>
      <c r="IB50" s="94" t="s">
        <v>270</v>
      </c>
      <c r="IC50" s="94" t="s">
        <v>270</v>
      </c>
      <c r="ID50" s="94" t="s">
        <v>270</v>
      </c>
      <c r="IE50" s="94" t="s">
        <v>270</v>
      </c>
      <c r="IF50" s="94" t="s">
        <v>270</v>
      </c>
      <c r="IG50" s="94" t="s">
        <v>270</v>
      </c>
      <c r="IH50" s="94" t="s">
        <v>270</v>
      </c>
      <c r="II50" s="94" t="s">
        <v>270</v>
      </c>
      <c r="IJ50" s="94" t="s">
        <v>270</v>
      </c>
      <c r="IK50" s="94" t="s">
        <v>270</v>
      </c>
      <c r="IL50" s="94" t="s">
        <v>270</v>
      </c>
      <c r="IM50" s="94" t="s">
        <v>270</v>
      </c>
      <c r="IN50" s="94" t="s">
        <v>270</v>
      </c>
      <c r="IO50" s="94" t="s">
        <v>270</v>
      </c>
      <c r="IP50" s="94" t="s">
        <v>270</v>
      </c>
      <c r="IQ50" s="94" t="s">
        <v>270</v>
      </c>
      <c r="IR50" s="94" t="s">
        <v>270</v>
      </c>
      <c r="IS50" s="94" t="s">
        <v>270</v>
      </c>
      <c r="IT50" s="94" t="s">
        <v>270</v>
      </c>
      <c r="IU50" s="94" t="s">
        <v>270</v>
      </c>
      <c r="IV50" s="94" t="s">
        <v>270</v>
      </c>
      <c r="IW50" s="94" t="s">
        <v>270</v>
      </c>
      <c r="IX50" s="94" t="s">
        <v>270</v>
      </c>
      <c r="IY50" s="94" t="s">
        <v>270</v>
      </c>
      <c r="IZ50" s="94" t="s">
        <v>270</v>
      </c>
      <c r="JA50" s="94" t="s">
        <v>270</v>
      </c>
      <c r="JB50" s="94" t="s">
        <v>270</v>
      </c>
      <c r="JC50" s="94" t="s">
        <v>270</v>
      </c>
      <c r="JD50" s="94" t="s">
        <v>270</v>
      </c>
      <c r="JE50" s="94" t="s">
        <v>270</v>
      </c>
      <c r="JF50" s="94" t="s">
        <v>270</v>
      </c>
      <c r="JG50" s="94" t="s">
        <v>270</v>
      </c>
      <c r="JH50" s="94" t="s">
        <v>270</v>
      </c>
      <c r="JI50" s="94" t="s">
        <v>270</v>
      </c>
      <c r="JJ50" s="94" t="s">
        <v>270</v>
      </c>
      <c r="JK50" s="94" t="s">
        <v>270</v>
      </c>
      <c r="JL50" s="94" t="s">
        <v>270</v>
      </c>
      <c r="JM50" s="94" t="s">
        <v>270</v>
      </c>
    </row>
    <row r="51" spans="1:273">
      <c r="A51" s="94" t="s">
        <v>626</v>
      </c>
      <c r="B51" s="94" t="s">
        <v>738</v>
      </c>
      <c r="C51" s="94" t="s">
        <v>759</v>
      </c>
      <c r="D51" s="95">
        <v>41492</v>
      </c>
      <c r="E51" s="94" t="s">
        <v>760</v>
      </c>
      <c r="F51" s="94">
        <v>0.23046814937999999</v>
      </c>
      <c r="G51" s="94">
        <v>33.536585365853597</v>
      </c>
      <c r="H51" s="94">
        <v>20.670000076299999</v>
      </c>
      <c r="I51" s="94">
        <v>1</v>
      </c>
      <c r="J51" s="94">
        <v>0</v>
      </c>
      <c r="K51" s="94">
        <v>0</v>
      </c>
      <c r="L51" s="94" t="s">
        <v>630</v>
      </c>
      <c r="M51" s="94" t="s">
        <v>631</v>
      </c>
      <c r="N51" s="94">
        <v>5.498537046534985E-22</v>
      </c>
      <c r="O51" s="96" t="s">
        <v>270</v>
      </c>
      <c r="P51" s="94">
        <v>16.603181980631291</v>
      </c>
      <c r="Q51" s="94">
        <v>5.7080131531501577</v>
      </c>
      <c r="R51" s="94">
        <v>1.981642934907822</v>
      </c>
      <c r="S51" s="94">
        <v>0.49224252551091396</v>
      </c>
      <c r="T51" s="94" t="s">
        <v>270</v>
      </c>
      <c r="U51" s="94" t="s">
        <v>270</v>
      </c>
      <c r="V51" s="94" t="s">
        <v>632</v>
      </c>
      <c r="W51" s="94" t="s">
        <v>270</v>
      </c>
      <c r="X51" s="94">
        <v>0.65578618021461066</v>
      </c>
      <c r="Y51" s="94">
        <v>2.2221692482180266</v>
      </c>
      <c r="Z51" s="94" t="s">
        <v>632</v>
      </c>
      <c r="AA51" s="94" t="s">
        <v>270</v>
      </c>
      <c r="AB51" s="94" t="s">
        <v>632</v>
      </c>
      <c r="AC51" s="94" t="s">
        <v>270</v>
      </c>
      <c r="AD51" s="94" t="s">
        <v>633</v>
      </c>
      <c r="AE51" s="94" t="s">
        <v>73</v>
      </c>
      <c r="AF51" s="94">
        <v>8.2748410965092441E-14</v>
      </c>
      <c r="AG51" s="94">
        <v>4</v>
      </c>
      <c r="AH51" s="97">
        <v>42880.574386574073</v>
      </c>
      <c r="AJ51" s="98" t="s">
        <v>761</v>
      </c>
      <c r="AK51" s="96">
        <v>2.36699543732301</v>
      </c>
      <c r="AL51" s="96">
        <v>0.19044012232435947</v>
      </c>
      <c r="AM51" s="96">
        <v>5.5723261703642279E-2</v>
      </c>
      <c r="AN51" s="96" t="s">
        <v>270</v>
      </c>
      <c r="AO51" s="96" t="s">
        <v>270</v>
      </c>
      <c r="AP51" s="96">
        <v>0.16422417906778808</v>
      </c>
      <c r="AQ51" s="96">
        <v>-0.97535029681370766</v>
      </c>
      <c r="AR51" s="96">
        <v>14.595659212276706</v>
      </c>
      <c r="AS51" s="96" t="s">
        <v>270</v>
      </c>
      <c r="AT51" s="96" t="s">
        <v>270</v>
      </c>
      <c r="AU51" s="96" t="s">
        <v>270</v>
      </c>
      <c r="AV51" s="94">
        <v>1.5160000000000001E-7</v>
      </c>
      <c r="AW51" s="94">
        <v>1E-10</v>
      </c>
      <c r="AX51" s="94">
        <v>2.252E-7</v>
      </c>
      <c r="AY51" s="94">
        <v>2.8000000000000002E-10</v>
      </c>
      <c r="AZ51" s="94" t="s">
        <v>270</v>
      </c>
      <c r="BA51" s="94" t="s">
        <v>270</v>
      </c>
      <c r="BB51" s="94" t="s">
        <v>270</v>
      </c>
      <c r="BC51" s="94" t="s">
        <v>270</v>
      </c>
      <c r="BD51" s="94" t="s">
        <v>270</v>
      </c>
      <c r="BE51" s="94" t="s">
        <v>270</v>
      </c>
      <c r="BF51" s="94" t="s">
        <v>270</v>
      </c>
      <c r="BG51" s="94" t="s">
        <v>270</v>
      </c>
      <c r="BH51" s="94" t="s">
        <v>270</v>
      </c>
      <c r="BI51" s="94" t="s">
        <v>270</v>
      </c>
      <c r="BJ51" s="94" t="s">
        <v>270</v>
      </c>
      <c r="BK51" s="94" t="s">
        <v>270</v>
      </c>
      <c r="BL51" s="94" t="s">
        <v>270</v>
      </c>
      <c r="BM51" s="94" t="s">
        <v>270</v>
      </c>
      <c r="BN51" s="94" t="s">
        <v>270</v>
      </c>
      <c r="BO51" s="94" t="s">
        <v>270</v>
      </c>
      <c r="BP51" s="94" t="s">
        <v>270</v>
      </c>
      <c r="BQ51" s="94" t="s">
        <v>270</v>
      </c>
      <c r="BR51" s="94" t="s">
        <v>270</v>
      </c>
      <c r="BS51" s="94" t="s">
        <v>270</v>
      </c>
      <c r="BT51" s="94" t="s">
        <v>270</v>
      </c>
      <c r="BU51" s="94" t="s">
        <v>270</v>
      </c>
      <c r="BV51" s="94" t="s">
        <v>270</v>
      </c>
      <c r="BW51" s="94" t="s">
        <v>270</v>
      </c>
      <c r="BX51" s="94" t="s">
        <v>270</v>
      </c>
      <c r="BY51" s="94" t="s">
        <v>270</v>
      </c>
      <c r="BZ51" s="94" t="s">
        <v>270</v>
      </c>
      <c r="CA51" s="94" t="s">
        <v>270</v>
      </c>
      <c r="CB51" s="94" t="s">
        <v>270</v>
      </c>
      <c r="CC51" s="94" t="s">
        <v>270</v>
      </c>
      <c r="CD51" s="94" t="s">
        <v>270</v>
      </c>
      <c r="CE51" s="94" t="s">
        <v>270</v>
      </c>
      <c r="CF51" s="94" t="s">
        <v>270</v>
      </c>
      <c r="CG51" s="94" t="s">
        <v>270</v>
      </c>
      <c r="CH51" s="94" t="s">
        <v>270</v>
      </c>
      <c r="CI51" s="94" t="s">
        <v>270</v>
      </c>
      <c r="CJ51" s="94" t="s">
        <v>270</v>
      </c>
      <c r="CK51" s="94" t="s">
        <v>270</v>
      </c>
      <c r="CL51" s="94" t="s">
        <v>270</v>
      </c>
      <c r="CM51" s="94" t="s">
        <v>270</v>
      </c>
      <c r="CN51" s="94" t="s">
        <v>270</v>
      </c>
      <c r="CO51" s="94" t="s">
        <v>270</v>
      </c>
      <c r="CP51" s="94" t="s">
        <v>270</v>
      </c>
      <c r="CQ51" s="94" t="s">
        <v>270</v>
      </c>
      <c r="CR51" s="94">
        <v>0.62496555096018902</v>
      </c>
      <c r="CS51" s="94">
        <v>6.2496555096018903E-2</v>
      </c>
      <c r="CT51" s="94" t="s">
        <v>270</v>
      </c>
      <c r="CU51" s="94" t="s">
        <v>270</v>
      </c>
      <c r="CV51" s="94" t="s">
        <v>270</v>
      </c>
      <c r="CW51" s="94" t="s">
        <v>270</v>
      </c>
      <c r="CX51" s="94">
        <v>18.3540797053479</v>
      </c>
      <c r="CY51" s="94">
        <v>1.8354079705347901</v>
      </c>
      <c r="CZ51" s="94">
        <v>0.23889917229200899</v>
      </c>
      <c r="DA51" s="94">
        <v>2.3889917229200901E-2</v>
      </c>
      <c r="DB51" s="94">
        <v>10.118185285200299</v>
      </c>
      <c r="DC51" s="94">
        <v>1.0118185285200301</v>
      </c>
      <c r="DD51" s="94" t="s">
        <v>270</v>
      </c>
      <c r="DE51" s="94" t="s">
        <v>270</v>
      </c>
      <c r="DF51" s="94" t="s">
        <v>270</v>
      </c>
      <c r="DG51" s="94" t="s">
        <v>270</v>
      </c>
      <c r="DH51" s="94" t="s">
        <v>270</v>
      </c>
      <c r="DI51" s="94" t="s">
        <v>270</v>
      </c>
      <c r="DJ51" s="94">
        <v>0.99902292090547118</v>
      </c>
      <c r="DK51" s="94">
        <v>0.99596759959505876</v>
      </c>
      <c r="DL51" s="94">
        <v>1.8627503231590951E-2</v>
      </c>
      <c r="DM51" s="94">
        <v>0.99589106030766128</v>
      </c>
      <c r="DN51" s="94">
        <v>4.5025306039776607E-8</v>
      </c>
      <c r="DO51" s="94">
        <v>1.8917373144336923E-7</v>
      </c>
      <c r="DP51" s="94">
        <v>3.3215114202191196E-4</v>
      </c>
      <c r="DQ51" s="94">
        <v>7.5529140810343403E-8</v>
      </c>
      <c r="DR51" s="94">
        <v>1.0513280514544745E-8</v>
      </c>
      <c r="DS51" s="94">
        <v>1.2618338114418736E-2</v>
      </c>
      <c r="DT51" s="94">
        <v>6.7953710242516872E-3</v>
      </c>
      <c r="DU51" s="94">
        <v>3.2848963756276073E-4</v>
      </c>
      <c r="DV51" s="94">
        <v>5.1268931043006895E-8</v>
      </c>
      <c r="DW51" s="94">
        <v>1.0488724923615458E-8</v>
      </c>
      <c r="DX51" s="94">
        <v>2.2355564599245906E-7</v>
      </c>
      <c r="DY51" s="94">
        <v>1.0383808978916984E-8</v>
      </c>
      <c r="DZ51" s="94">
        <v>3.6026268556624208E-8</v>
      </c>
      <c r="EA51" s="94">
        <v>1.8508545012039059E-5</v>
      </c>
      <c r="EB51" s="94">
        <v>2.2590729457949147E-9</v>
      </c>
      <c r="EC51" s="94">
        <v>1.7240293533698127E-10</v>
      </c>
      <c r="ED51" s="94">
        <v>2.0717233588484884E-3</v>
      </c>
      <c r="EE51" s="94">
        <v>4.1507492914579208E-4</v>
      </c>
      <c r="EF51" s="94">
        <v>6.9357502721775158E-7</v>
      </c>
      <c r="EG51" s="94">
        <v>2.7941165382200299E-9</v>
      </c>
      <c r="EH51" s="94">
        <v>1.1493529022465358E-9</v>
      </c>
      <c r="EI51" s="94">
        <v>6.3412573917050887E-10</v>
      </c>
      <c r="EJ51" s="94">
        <v>5.5409115018693591E-8</v>
      </c>
      <c r="EK51" s="94">
        <v>2.2519999999999344E-7</v>
      </c>
      <c r="EL51" s="94">
        <v>3.5065968703395102E-4</v>
      </c>
      <c r="EM51" s="94">
        <v>7.7788213756138318E-8</v>
      </c>
      <c r="EN51" s="94">
        <v>1.0685683449881726E-8</v>
      </c>
      <c r="EO51" s="94">
        <v>1.4690061473267225E-2</v>
      </c>
      <c r="EP51" s="94">
        <v>7.2104459533974792E-3</v>
      </c>
      <c r="EQ51" s="94">
        <v>3.2918321258997848E-4</v>
      </c>
      <c r="ER51" s="94">
        <v>5.4063047581226925E-8</v>
      </c>
      <c r="ES51" s="94">
        <v>1.1638077825861993E-8</v>
      </c>
      <c r="ET51" s="94">
        <v>2.2418977173162957E-7</v>
      </c>
      <c r="EU51" s="94">
        <v>2.0059862427841626E-6</v>
      </c>
      <c r="EV51" s="94">
        <v>8.4282072437403231E-6</v>
      </c>
      <c r="EW51" s="94">
        <v>1.481872869631627E-2</v>
      </c>
      <c r="EX51" s="94">
        <v>3.3759510991904508E-6</v>
      </c>
      <c r="EY51" s="94">
        <v>4.7174869409926374E-7</v>
      </c>
      <c r="EZ51" s="94">
        <v>0.56276901263883128</v>
      </c>
      <c r="FA51" s="94">
        <v>0.30287906706898921</v>
      </c>
      <c r="FB51" s="94">
        <v>1.4741865918203532E-2</v>
      </c>
      <c r="FC51" s="94">
        <v>2.2851270296370988E-6</v>
      </c>
      <c r="FD51" s="94">
        <v>4.6749694877149679E-7</v>
      </c>
      <c r="FE51" s="94">
        <v>9.9641837442801787E-6</v>
      </c>
      <c r="FF51" s="94">
        <v>4.6262379518319168E-7</v>
      </c>
      <c r="FG51" s="94">
        <v>1.6050688184726667E-6</v>
      </c>
      <c r="FH51" s="94">
        <v>8.2574789725958948E-4</v>
      </c>
      <c r="FI51" s="94">
        <v>1.009745339703815E-7</v>
      </c>
      <c r="FJ51" s="94">
        <v>7.7360115609568577E-9</v>
      </c>
      <c r="FK51" s="94">
        <v>9.2420279105381864E-2</v>
      </c>
      <c r="FL51" s="94">
        <v>1.8500462572939302E-2</v>
      </c>
      <c r="FM51" s="94">
        <v>3.1126065745391146E-5</v>
      </c>
      <c r="FN51" s="94">
        <v>1.2453763118420898E-7</v>
      </c>
      <c r="FO51" s="94">
        <v>5.122824545166031E-8</v>
      </c>
      <c r="FP51" s="94">
        <v>2.826385955953608E-8</v>
      </c>
      <c r="FQ51" s="94">
        <v>2.4686100379673542E-6</v>
      </c>
      <c r="FR51" s="94">
        <v>1.003327606221299E-5</v>
      </c>
      <c r="FS51" s="94">
        <v>1.564447659357586E-2</v>
      </c>
      <c r="FT51" s="94">
        <v>3.4769256331608323E-6</v>
      </c>
      <c r="FU51" s="94">
        <v>4.794847056602206E-7</v>
      </c>
      <c r="FV51" s="94">
        <v>0.65518929174421314</v>
      </c>
      <c r="FW51" s="94">
        <v>0.32137952964192851</v>
      </c>
      <c r="FX51" s="94">
        <v>1.4772991983948923E-2</v>
      </c>
      <c r="FY51" s="94">
        <v>2.4096646608213078E-6</v>
      </c>
      <c r="FZ51" s="94">
        <v>5.187251942231571E-7</v>
      </c>
      <c r="GA51" s="94">
        <v>9.9924476038397148E-6</v>
      </c>
      <c r="GB51" s="94">
        <v>8.0292010562899933E-6</v>
      </c>
      <c r="GC51" s="94">
        <v>1.700786937165066E-4</v>
      </c>
      <c r="GD51" s="94">
        <v>0.5919785739604424</v>
      </c>
      <c r="GE51" s="94">
        <v>2.8289795020996139E-4</v>
      </c>
      <c r="GF51" s="94">
        <v>6.1937301294374636E-5</v>
      </c>
      <c r="GG51" s="94">
        <v>15.765073458656637</v>
      </c>
      <c r="GH51" s="94">
        <v>9.6917666913271709</v>
      </c>
      <c r="GI51" s="94">
        <v>0.64878214812717838</v>
      </c>
      <c r="GJ51" s="94">
        <v>3.665905896787197E-5</v>
      </c>
      <c r="GK51" s="94">
        <v>9.4241774908948499E-7</v>
      </c>
      <c r="GL51" s="94">
        <v>4.3855162630025463E-4</v>
      </c>
      <c r="GM51" s="94" t="s">
        <v>270</v>
      </c>
      <c r="GN51" s="94" t="s">
        <v>270</v>
      </c>
      <c r="GO51" s="94" t="s">
        <v>270</v>
      </c>
      <c r="GP51" s="94" t="s">
        <v>270</v>
      </c>
      <c r="GQ51" s="94" t="s">
        <v>270</v>
      </c>
      <c r="GR51" s="94" t="s">
        <v>270</v>
      </c>
      <c r="GS51" s="94" t="s">
        <v>270</v>
      </c>
      <c r="GT51" s="94" t="s">
        <v>270</v>
      </c>
      <c r="GU51" s="94" t="s">
        <v>270</v>
      </c>
      <c r="GV51" s="94" t="s">
        <v>270</v>
      </c>
      <c r="GW51" s="94" t="s">
        <v>270</v>
      </c>
      <c r="GX51" s="94" t="s">
        <v>270</v>
      </c>
      <c r="GY51" s="94" t="s">
        <v>270</v>
      </c>
      <c r="GZ51" s="94" t="s">
        <v>270</v>
      </c>
      <c r="HA51" s="94" t="s">
        <v>270</v>
      </c>
      <c r="HB51" s="94" t="s">
        <v>270</v>
      </c>
      <c r="HC51" s="94" t="s">
        <v>270</v>
      </c>
      <c r="HD51" s="94" t="s">
        <v>270</v>
      </c>
      <c r="HE51" s="94" t="s">
        <v>270</v>
      </c>
      <c r="HF51" s="94" t="s">
        <v>270</v>
      </c>
      <c r="HG51" s="94" t="s">
        <v>270</v>
      </c>
      <c r="HH51" s="94" t="s">
        <v>270</v>
      </c>
      <c r="HI51" s="94" t="s">
        <v>270</v>
      </c>
      <c r="HJ51" s="94" t="s">
        <v>270</v>
      </c>
      <c r="HK51" s="94" t="s">
        <v>270</v>
      </c>
      <c r="HL51" s="94" t="s">
        <v>270</v>
      </c>
      <c r="HM51" s="94" t="s">
        <v>270</v>
      </c>
      <c r="HN51" s="94" t="s">
        <v>270</v>
      </c>
      <c r="HO51" s="94" t="s">
        <v>270</v>
      </c>
      <c r="HP51" s="94" t="s">
        <v>270</v>
      </c>
      <c r="HQ51" s="94" t="s">
        <v>270</v>
      </c>
      <c r="HR51" s="94" t="s">
        <v>270</v>
      </c>
      <c r="HS51" s="94" t="s">
        <v>270</v>
      </c>
      <c r="HT51" s="94" t="s">
        <v>270</v>
      </c>
      <c r="HU51" s="94" t="s">
        <v>270</v>
      </c>
      <c r="HV51" s="94" t="s">
        <v>270</v>
      </c>
      <c r="HW51" s="94" t="s">
        <v>270</v>
      </c>
      <c r="HX51" s="94" t="s">
        <v>270</v>
      </c>
      <c r="HY51" s="94" t="s">
        <v>270</v>
      </c>
      <c r="HZ51" s="94" t="s">
        <v>270</v>
      </c>
      <c r="IA51" s="94" t="s">
        <v>270</v>
      </c>
      <c r="IB51" s="94" t="s">
        <v>270</v>
      </c>
      <c r="IC51" s="94" t="s">
        <v>270</v>
      </c>
      <c r="ID51" s="94" t="s">
        <v>270</v>
      </c>
      <c r="IE51" s="94" t="s">
        <v>270</v>
      </c>
      <c r="IF51" s="94" t="s">
        <v>270</v>
      </c>
      <c r="IG51" s="94" t="s">
        <v>270</v>
      </c>
      <c r="IH51" s="94" t="s">
        <v>270</v>
      </c>
      <c r="II51" s="94" t="s">
        <v>270</v>
      </c>
      <c r="IJ51" s="94" t="s">
        <v>270</v>
      </c>
      <c r="IK51" s="94" t="s">
        <v>270</v>
      </c>
      <c r="IL51" s="94" t="s">
        <v>270</v>
      </c>
      <c r="IM51" s="94" t="s">
        <v>270</v>
      </c>
      <c r="IN51" s="94" t="s">
        <v>270</v>
      </c>
      <c r="IO51" s="94" t="s">
        <v>270</v>
      </c>
      <c r="IP51" s="94" t="s">
        <v>270</v>
      </c>
      <c r="IQ51" s="94" t="s">
        <v>270</v>
      </c>
      <c r="IR51" s="94" t="s">
        <v>270</v>
      </c>
      <c r="IS51" s="94" t="s">
        <v>270</v>
      </c>
      <c r="IT51" s="94" t="s">
        <v>270</v>
      </c>
      <c r="IU51" s="94" t="s">
        <v>270</v>
      </c>
      <c r="IV51" s="94" t="s">
        <v>270</v>
      </c>
      <c r="IW51" s="94" t="s">
        <v>270</v>
      </c>
      <c r="IX51" s="94" t="s">
        <v>270</v>
      </c>
      <c r="IY51" s="94" t="s">
        <v>270</v>
      </c>
      <c r="IZ51" s="94" t="s">
        <v>270</v>
      </c>
      <c r="JA51" s="94" t="s">
        <v>270</v>
      </c>
      <c r="JB51" s="94" t="s">
        <v>270</v>
      </c>
      <c r="JC51" s="94" t="s">
        <v>270</v>
      </c>
      <c r="JD51" s="94" t="s">
        <v>270</v>
      </c>
      <c r="JE51" s="94" t="s">
        <v>270</v>
      </c>
      <c r="JF51" s="94" t="s">
        <v>270</v>
      </c>
      <c r="JG51" s="94" t="s">
        <v>270</v>
      </c>
      <c r="JH51" s="94" t="s">
        <v>270</v>
      </c>
      <c r="JI51" s="94" t="s">
        <v>270</v>
      </c>
      <c r="JJ51" s="94" t="s">
        <v>270</v>
      </c>
      <c r="JK51" s="94" t="s">
        <v>270</v>
      </c>
      <c r="JL51" s="94" t="s">
        <v>270</v>
      </c>
      <c r="JM51" s="94" t="s">
        <v>270</v>
      </c>
    </row>
    <row r="52" spans="1:273">
      <c r="A52" s="94" t="s">
        <v>626</v>
      </c>
      <c r="B52" s="94" t="s">
        <v>738</v>
      </c>
      <c r="C52" s="94" t="s">
        <v>759</v>
      </c>
      <c r="D52" s="95">
        <v>41492</v>
      </c>
      <c r="E52" s="94" t="s">
        <v>762</v>
      </c>
      <c r="F52" s="94">
        <v>0.23046814937999999</v>
      </c>
      <c r="G52" s="94">
        <v>33.536585365853597</v>
      </c>
      <c r="H52" s="94">
        <v>20.670000076299999</v>
      </c>
      <c r="I52" s="94">
        <v>1</v>
      </c>
      <c r="J52" s="94">
        <v>0</v>
      </c>
      <c r="K52" s="94">
        <v>0</v>
      </c>
      <c r="L52" s="94" t="s">
        <v>630</v>
      </c>
      <c r="M52" s="94" t="s">
        <v>631</v>
      </c>
      <c r="N52" s="94">
        <v>2.434033271673785E-22</v>
      </c>
      <c r="O52" s="96" t="s">
        <v>270</v>
      </c>
      <c r="P52" s="94">
        <v>16.465884778123204</v>
      </c>
      <c r="Q52" s="94">
        <v>5.6923539980359354</v>
      </c>
      <c r="R52" s="94">
        <v>1.9697864414612274</v>
      </c>
      <c r="S52" s="94">
        <v>0.49285978404846054</v>
      </c>
      <c r="T52" s="94" t="s">
        <v>270</v>
      </c>
      <c r="U52" s="94" t="s">
        <v>270</v>
      </c>
      <c r="V52" s="94" t="s">
        <v>632</v>
      </c>
      <c r="W52" s="94" t="s">
        <v>270</v>
      </c>
      <c r="X52" s="94">
        <v>0.64172453993547351</v>
      </c>
      <c r="Y52" s="94">
        <v>2.2253978327733055</v>
      </c>
      <c r="Z52" s="94" t="s">
        <v>632</v>
      </c>
      <c r="AA52" s="94" t="s">
        <v>270</v>
      </c>
      <c r="AB52" s="94" t="s">
        <v>632</v>
      </c>
      <c r="AC52" s="94" t="s">
        <v>270</v>
      </c>
      <c r="AD52" s="94" t="s">
        <v>633</v>
      </c>
      <c r="AE52" s="94" t="s">
        <v>73</v>
      </c>
      <c r="AF52" s="94">
        <v>1.4626455352696848E-13</v>
      </c>
      <c r="AG52" s="94">
        <v>4</v>
      </c>
      <c r="AH52" s="97">
        <v>42880.574386574073</v>
      </c>
      <c r="AJ52" s="98" t="s">
        <v>763</v>
      </c>
      <c r="AK52" s="96">
        <v>2.3653909436186478</v>
      </c>
      <c r="AL52" s="96">
        <v>0.18908523773968255</v>
      </c>
      <c r="AM52" s="96">
        <v>5.5232184705320764E-2</v>
      </c>
      <c r="AN52" s="96" t="s">
        <v>270</v>
      </c>
      <c r="AO52" s="96" t="s">
        <v>270</v>
      </c>
      <c r="AP52" s="96">
        <v>0.16217203959830639</v>
      </c>
      <c r="AQ52" s="96">
        <v>-0.97691418674362707</v>
      </c>
      <c r="AR52" s="96">
        <v>14.572487731565452</v>
      </c>
      <c r="AS52" s="96" t="s">
        <v>270</v>
      </c>
      <c r="AT52" s="96" t="s">
        <v>270</v>
      </c>
      <c r="AU52" s="96" t="s">
        <v>270</v>
      </c>
      <c r="AV52" s="94">
        <v>1.5160000000000001E-7</v>
      </c>
      <c r="AW52" s="94">
        <v>1E-10</v>
      </c>
      <c r="AX52" s="94">
        <v>2.252E-7</v>
      </c>
      <c r="AY52" s="94">
        <v>2.8000000000000002E-10</v>
      </c>
      <c r="AZ52" s="94" t="s">
        <v>270</v>
      </c>
      <c r="BA52" s="94" t="s">
        <v>270</v>
      </c>
      <c r="BB52" s="94" t="s">
        <v>270</v>
      </c>
      <c r="BC52" s="94" t="s">
        <v>270</v>
      </c>
      <c r="BD52" s="94" t="s">
        <v>270</v>
      </c>
      <c r="BE52" s="94" t="s">
        <v>270</v>
      </c>
      <c r="BF52" s="94" t="s">
        <v>270</v>
      </c>
      <c r="BG52" s="94" t="s">
        <v>270</v>
      </c>
      <c r="BH52" s="94" t="s">
        <v>270</v>
      </c>
      <c r="BI52" s="94" t="s">
        <v>270</v>
      </c>
      <c r="BJ52" s="94" t="s">
        <v>270</v>
      </c>
      <c r="BK52" s="94" t="s">
        <v>270</v>
      </c>
      <c r="BL52" s="94" t="s">
        <v>270</v>
      </c>
      <c r="BM52" s="94" t="s">
        <v>270</v>
      </c>
      <c r="BN52" s="94" t="s">
        <v>270</v>
      </c>
      <c r="BO52" s="94" t="s">
        <v>270</v>
      </c>
      <c r="BP52" s="94" t="s">
        <v>270</v>
      </c>
      <c r="BQ52" s="94" t="s">
        <v>270</v>
      </c>
      <c r="BR52" s="94" t="s">
        <v>270</v>
      </c>
      <c r="BS52" s="94" t="s">
        <v>270</v>
      </c>
      <c r="BT52" s="94" t="s">
        <v>270</v>
      </c>
      <c r="BU52" s="94" t="s">
        <v>270</v>
      </c>
      <c r="BV52" s="94" t="s">
        <v>270</v>
      </c>
      <c r="BW52" s="94" t="s">
        <v>270</v>
      </c>
      <c r="BX52" s="94" t="s">
        <v>270</v>
      </c>
      <c r="BY52" s="94" t="s">
        <v>270</v>
      </c>
      <c r="BZ52" s="94" t="s">
        <v>270</v>
      </c>
      <c r="CA52" s="94" t="s">
        <v>270</v>
      </c>
      <c r="CB52" s="94" t="s">
        <v>270</v>
      </c>
      <c r="CC52" s="94" t="s">
        <v>270</v>
      </c>
      <c r="CD52" s="94" t="s">
        <v>270</v>
      </c>
      <c r="CE52" s="94" t="s">
        <v>270</v>
      </c>
      <c r="CF52" s="94" t="s">
        <v>270</v>
      </c>
      <c r="CG52" s="94" t="s">
        <v>270</v>
      </c>
      <c r="CH52" s="94" t="s">
        <v>270</v>
      </c>
      <c r="CI52" s="94" t="s">
        <v>270</v>
      </c>
      <c r="CJ52" s="94" t="s">
        <v>270</v>
      </c>
      <c r="CK52" s="94" t="s">
        <v>270</v>
      </c>
      <c r="CL52" s="94" t="s">
        <v>270</v>
      </c>
      <c r="CM52" s="94" t="s">
        <v>270</v>
      </c>
      <c r="CN52" s="94" t="s">
        <v>270</v>
      </c>
      <c r="CO52" s="94" t="s">
        <v>270</v>
      </c>
      <c r="CP52" s="94" t="s">
        <v>270</v>
      </c>
      <c r="CQ52" s="94" t="s">
        <v>270</v>
      </c>
      <c r="CR52" s="94">
        <v>0.62647269982155096</v>
      </c>
      <c r="CS52" s="94">
        <v>6.2647269982155099E-2</v>
      </c>
      <c r="CT52" s="94" t="s">
        <v>270</v>
      </c>
      <c r="CU52" s="94" t="s">
        <v>270</v>
      </c>
      <c r="CV52" s="94" t="s">
        <v>270</v>
      </c>
      <c r="CW52" s="94" t="s">
        <v>270</v>
      </c>
      <c r="CX52" s="94">
        <v>18.3702314954615</v>
      </c>
      <c r="CY52" s="94">
        <v>1.83702314954615</v>
      </c>
      <c r="CZ52" s="94">
        <v>0.224388945735082</v>
      </c>
      <c r="DA52" s="94">
        <v>2.24388945735082E-2</v>
      </c>
      <c r="DB52" s="94">
        <v>10.147633985280899</v>
      </c>
      <c r="DC52" s="94">
        <v>1.0147633985280899</v>
      </c>
      <c r="DD52" s="94" t="s">
        <v>270</v>
      </c>
      <c r="DE52" s="94" t="s">
        <v>270</v>
      </c>
      <c r="DF52" s="94" t="s">
        <v>270</v>
      </c>
      <c r="DG52" s="94" t="s">
        <v>270</v>
      </c>
      <c r="DH52" s="94" t="s">
        <v>270</v>
      </c>
      <c r="DI52" s="94" t="s">
        <v>270</v>
      </c>
      <c r="DJ52" s="94">
        <v>0.99904612082689603</v>
      </c>
      <c r="DK52" s="94">
        <v>0.99596759959505876</v>
      </c>
      <c r="DL52" s="94">
        <v>1.8465454090566689E-2</v>
      </c>
      <c r="DM52" s="94">
        <v>0.99589173868434244</v>
      </c>
      <c r="DN52" s="94">
        <v>4.5046772437377393E-8</v>
      </c>
      <c r="DO52" s="94">
        <v>1.8938928249423054E-7</v>
      </c>
      <c r="DP52" s="94">
        <v>3.330993597557907E-4</v>
      </c>
      <c r="DQ52" s="94">
        <v>7.5800592669025288E-8</v>
      </c>
      <c r="DR52" s="94">
        <v>1.0559214220301644E-8</v>
      </c>
      <c r="DS52" s="94">
        <v>1.2651449399193753E-2</v>
      </c>
      <c r="DT52" s="94">
        <v>6.8148518276816075E-3</v>
      </c>
      <c r="DU52" s="94">
        <v>3.2992824296287909E-4</v>
      </c>
      <c r="DV52" s="94">
        <v>5.1427973118315908E-8</v>
      </c>
      <c r="DW52" s="94">
        <v>1.0501312978776228E-8</v>
      </c>
      <c r="DX52" s="94">
        <v>2.2458788450854519E-7</v>
      </c>
      <c r="DY52" s="94">
        <v>1.032168095325683E-8</v>
      </c>
      <c r="DZ52" s="94">
        <v>3.5810717505765101E-8</v>
      </c>
      <c r="EA52" s="94">
        <v>1.8397805363247846E-5</v>
      </c>
      <c r="EB52" s="94">
        <v>2.2455565432657928E-9</v>
      </c>
      <c r="EC52" s="94">
        <v>1.7137142040712601E-10</v>
      </c>
      <c r="ED52" s="94">
        <v>2.0512214183653933E-3</v>
      </c>
      <c r="EE52" s="94">
        <v>4.1259146802846876E-4</v>
      </c>
      <c r="EF52" s="94">
        <v>6.894252545114072E-7</v>
      </c>
      <c r="EG52" s="94">
        <v>2.777398882460332E-9</v>
      </c>
      <c r="EH52" s="94">
        <v>1.1424761360475128E-9</v>
      </c>
      <c r="EI52" s="94">
        <v>6.3033166126759327E-10</v>
      </c>
      <c r="EJ52" s="94">
        <v>5.5368453390634223E-8</v>
      </c>
      <c r="EK52" s="94">
        <v>2.2519999999999564E-7</v>
      </c>
      <c r="EL52" s="94">
        <v>3.5149716511903854E-4</v>
      </c>
      <c r="EM52" s="94">
        <v>7.8046149212291081E-8</v>
      </c>
      <c r="EN52" s="94">
        <v>1.073058564070877E-8</v>
      </c>
      <c r="EO52" s="94">
        <v>1.4702670817559146E-2</v>
      </c>
      <c r="EP52" s="94">
        <v>7.2274432957100763E-3</v>
      </c>
      <c r="EQ52" s="94">
        <v>3.306176682173905E-4</v>
      </c>
      <c r="ER52" s="94">
        <v>5.420537200077624E-8</v>
      </c>
      <c r="ES52" s="94">
        <v>1.164378911482374E-8</v>
      </c>
      <c r="ET52" s="94">
        <v>2.2521821616981278E-7</v>
      </c>
      <c r="EU52" s="94">
        <v>2.0069892291464162E-6</v>
      </c>
      <c r="EV52" s="94">
        <v>8.4380065807228961E-6</v>
      </c>
      <c r="EW52" s="94">
        <v>1.4861377987241436E-2</v>
      </c>
      <c r="EX52" s="94">
        <v>3.3881629532657102E-6</v>
      </c>
      <c r="EY52" s="94">
        <v>4.7382082033690079E-7</v>
      </c>
      <c r="EZ52" s="94">
        <v>0.56425885593160541</v>
      </c>
      <c r="FA52" s="94">
        <v>0.30375440717655894</v>
      </c>
      <c r="FB52" s="94">
        <v>1.4806771092192535E-2</v>
      </c>
      <c r="FC52" s="94">
        <v>2.2922689857162219E-6</v>
      </c>
      <c r="FD52" s="94">
        <v>4.6806888529649003E-7</v>
      </c>
      <c r="FE52" s="94">
        <v>1.0010424502676052E-5</v>
      </c>
      <c r="FF52" s="94">
        <v>4.5986652048535129E-7</v>
      </c>
      <c r="FG52" s="94">
        <v>1.5955024803648009E-6</v>
      </c>
      <c r="FH52" s="94">
        <v>8.2082637396654889E-4</v>
      </c>
      <c r="FI52" s="94">
        <v>1.0037271769862552E-7</v>
      </c>
      <c r="FJ52" s="94">
        <v>7.689904315369114E-9</v>
      </c>
      <c r="FK52" s="94">
        <v>9.1507009527821426E-2</v>
      </c>
      <c r="FL52" s="94">
        <v>1.8390198341220465E-2</v>
      </c>
      <c r="FM52" s="94">
        <v>3.0940551912300718E-5</v>
      </c>
      <c r="FN52" s="94">
        <v>1.2379537697470087E-7</v>
      </c>
      <c r="FO52" s="94">
        <v>5.0922921025054325E-8</v>
      </c>
      <c r="FP52" s="94">
        <v>2.809540470347743E-8</v>
      </c>
      <c r="FQ52" s="94">
        <v>2.4668557496317675E-6</v>
      </c>
      <c r="FR52" s="94">
        <v>1.0033509061087697E-5</v>
      </c>
      <c r="FS52" s="94">
        <v>1.5682204361207985E-2</v>
      </c>
      <c r="FT52" s="94">
        <v>3.4885356709643357E-6</v>
      </c>
      <c r="FU52" s="94">
        <v>4.815107246522699E-7</v>
      </c>
      <c r="FV52" s="94">
        <v>0.65576586545942683</v>
      </c>
      <c r="FW52" s="94">
        <v>0.3221446055177794</v>
      </c>
      <c r="FX52" s="94">
        <v>1.4837711644104835E-2</v>
      </c>
      <c r="FY52" s="94">
        <v>2.4160643626909228E-6</v>
      </c>
      <c r="FZ52" s="94">
        <v>5.1899180632154435E-7</v>
      </c>
      <c r="GA52" s="94">
        <v>1.0038519907379529E-5</v>
      </c>
      <c r="GB52" s="94">
        <v>8.0332156297638741E-6</v>
      </c>
      <c r="GC52" s="94">
        <v>1.7027644139701382E-4</v>
      </c>
      <c r="GD52" s="94">
        <v>0.59368232783432096</v>
      </c>
      <c r="GE52" s="94">
        <v>2.8392127915775997E-4</v>
      </c>
      <c r="GF52" s="94">
        <v>6.2209356964492714E-5</v>
      </c>
      <c r="GG52" s="94">
        <v>15.806809034754435</v>
      </c>
      <c r="GH52" s="94">
        <v>9.7197765243612739</v>
      </c>
      <c r="GI52" s="94">
        <v>0.6516385923818474</v>
      </c>
      <c r="GJ52" s="94">
        <v>3.677363351259306E-5</v>
      </c>
      <c r="GK52" s="94">
        <v>9.4357070449148842E-7</v>
      </c>
      <c r="GL52" s="94">
        <v>4.4058681155138054E-4</v>
      </c>
      <c r="GM52" s="94" t="s">
        <v>270</v>
      </c>
      <c r="GN52" s="94" t="s">
        <v>270</v>
      </c>
      <c r="GO52" s="94" t="s">
        <v>270</v>
      </c>
      <c r="GP52" s="94" t="s">
        <v>270</v>
      </c>
      <c r="GQ52" s="94" t="s">
        <v>270</v>
      </c>
      <c r="GR52" s="94" t="s">
        <v>270</v>
      </c>
      <c r="GS52" s="94" t="s">
        <v>270</v>
      </c>
      <c r="GT52" s="94" t="s">
        <v>270</v>
      </c>
      <c r="GU52" s="94" t="s">
        <v>270</v>
      </c>
      <c r="GV52" s="94" t="s">
        <v>270</v>
      </c>
      <c r="GW52" s="94" t="s">
        <v>270</v>
      </c>
      <c r="GX52" s="94" t="s">
        <v>270</v>
      </c>
      <c r="GY52" s="94" t="s">
        <v>270</v>
      </c>
      <c r="GZ52" s="94" t="s">
        <v>270</v>
      </c>
      <c r="HA52" s="94" t="s">
        <v>270</v>
      </c>
      <c r="HB52" s="94" t="s">
        <v>270</v>
      </c>
      <c r="HC52" s="94" t="s">
        <v>270</v>
      </c>
      <c r="HD52" s="94" t="s">
        <v>270</v>
      </c>
      <c r="HE52" s="94" t="s">
        <v>270</v>
      </c>
      <c r="HF52" s="94" t="s">
        <v>270</v>
      </c>
      <c r="HG52" s="94" t="s">
        <v>270</v>
      </c>
      <c r="HH52" s="94" t="s">
        <v>270</v>
      </c>
      <c r="HI52" s="94" t="s">
        <v>270</v>
      </c>
      <c r="HJ52" s="94" t="s">
        <v>270</v>
      </c>
      <c r="HK52" s="94" t="s">
        <v>270</v>
      </c>
      <c r="HL52" s="94" t="s">
        <v>270</v>
      </c>
      <c r="HM52" s="94" t="s">
        <v>270</v>
      </c>
      <c r="HN52" s="94" t="s">
        <v>270</v>
      </c>
      <c r="HO52" s="94" t="s">
        <v>270</v>
      </c>
      <c r="HP52" s="94" t="s">
        <v>270</v>
      </c>
      <c r="HQ52" s="94" t="s">
        <v>270</v>
      </c>
      <c r="HR52" s="94" t="s">
        <v>270</v>
      </c>
      <c r="HS52" s="94" t="s">
        <v>270</v>
      </c>
      <c r="HT52" s="94" t="s">
        <v>270</v>
      </c>
      <c r="HU52" s="94" t="s">
        <v>270</v>
      </c>
      <c r="HV52" s="94" t="s">
        <v>270</v>
      </c>
      <c r="HW52" s="94" t="s">
        <v>270</v>
      </c>
      <c r="HX52" s="94" t="s">
        <v>270</v>
      </c>
      <c r="HY52" s="94" t="s">
        <v>270</v>
      </c>
      <c r="HZ52" s="94" t="s">
        <v>270</v>
      </c>
      <c r="IA52" s="94" t="s">
        <v>270</v>
      </c>
      <c r="IB52" s="94" t="s">
        <v>270</v>
      </c>
      <c r="IC52" s="94" t="s">
        <v>270</v>
      </c>
      <c r="ID52" s="94" t="s">
        <v>270</v>
      </c>
      <c r="IE52" s="94" t="s">
        <v>270</v>
      </c>
      <c r="IF52" s="94" t="s">
        <v>270</v>
      </c>
      <c r="IG52" s="94" t="s">
        <v>270</v>
      </c>
      <c r="IH52" s="94" t="s">
        <v>270</v>
      </c>
      <c r="II52" s="94" t="s">
        <v>270</v>
      </c>
      <c r="IJ52" s="94" t="s">
        <v>270</v>
      </c>
      <c r="IK52" s="94" t="s">
        <v>270</v>
      </c>
      <c r="IL52" s="94" t="s">
        <v>270</v>
      </c>
      <c r="IM52" s="94" t="s">
        <v>270</v>
      </c>
      <c r="IN52" s="94" t="s">
        <v>270</v>
      </c>
      <c r="IO52" s="94" t="s">
        <v>270</v>
      </c>
      <c r="IP52" s="94" t="s">
        <v>270</v>
      </c>
      <c r="IQ52" s="94" t="s">
        <v>270</v>
      </c>
      <c r="IR52" s="94" t="s">
        <v>270</v>
      </c>
      <c r="IS52" s="94" t="s">
        <v>270</v>
      </c>
      <c r="IT52" s="94" t="s">
        <v>270</v>
      </c>
      <c r="IU52" s="94" t="s">
        <v>270</v>
      </c>
      <c r="IV52" s="94" t="s">
        <v>270</v>
      </c>
      <c r="IW52" s="94" t="s">
        <v>270</v>
      </c>
      <c r="IX52" s="94" t="s">
        <v>270</v>
      </c>
      <c r="IY52" s="94" t="s">
        <v>270</v>
      </c>
      <c r="IZ52" s="94" t="s">
        <v>270</v>
      </c>
      <c r="JA52" s="94" t="s">
        <v>270</v>
      </c>
      <c r="JB52" s="94" t="s">
        <v>270</v>
      </c>
      <c r="JC52" s="94" t="s">
        <v>270</v>
      </c>
      <c r="JD52" s="94" t="s">
        <v>270</v>
      </c>
      <c r="JE52" s="94" t="s">
        <v>270</v>
      </c>
      <c r="JF52" s="94" t="s">
        <v>270</v>
      </c>
      <c r="JG52" s="94" t="s">
        <v>270</v>
      </c>
      <c r="JH52" s="94" t="s">
        <v>270</v>
      </c>
      <c r="JI52" s="94" t="s">
        <v>270</v>
      </c>
      <c r="JJ52" s="94" t="s">
        <v>270</v>
      </c>
      <c r="JK52" s="94" t="s">
        <v>270</v>
      </c>
      <c r="JL52" s="94" t="s">
        <v>270</v>
      </c>
      <c r="JM52" s="94" t="s">
        <v>270</v>
      </c>
    </row>
    <row r="53" spans="1:273">
      <c r="A53" s="94" t="s">
        <v>626</v>
      </c>
      <c r="B53" s="94" t="s">
        <v>738</v>
      </c>
      <c r="C53" s="94" t="s">
        <v>764</v>
      </c>
      <c r="D53" s="95">
        <v>41500</v>
      </c>
      <c r="E53" s="94" t="s">
        <v>765</v>
      </c>
      <c r="F53" s="94">
        <v>0.70302982272000003</v>
      </c>
      <c r="G53" s="94">
        <v>100</v>
      </c>
      <c r="H53" s="94">
        <v>20.459999084500001</v>
      </c>
      <c r="I53" s="94">
        <v>1</v>
      </c>
      <c r="J53" s="94">
        <v>0</v>
      </c>
      <c r="K53" s="94">
        <v>0</v>
      </c>
      <c r="L53" s="94" t="s">
        <v>630</v>
      </c>
      <c r="M53" s="94" t="s">
        <v>631</v>
      </c>
      <c r="N53" s="94">
        <v>4.6111390916044476E-25</v>
      </c>
      <c r="O53" s="96" t="s">
        <v>270</v>
      </c>
      <c r="P53" s="94">
        <v>16.10292681238537</v>
      </c>
      <c r="Q53" s="94">
        <v>6.2800049692671633</v>
      </c>
      <c r="R53" s="94">
        <v>6.0316135382643727</v>
      </c>
      <c r="S53" s="94">
        <v>0.6084953372091122</v>
      </c>
      <c r="T53" s="94" t="s">
        <v>270</v>
      </c>
      <c r="U53" s="94" t="s">
        <v>270</v>
      </c>
      <c r="V53" s="94" t="s">
        <v>632</v>
      </c>
      <c r="W53" s="94" t="s">
        <v>270</v>
      </c>
      <c r="X53" s="94">
        <v>0.86995415253437058</v>
      </c>
      <c r="Y53" s="94">
        <v>2.6496065033493439</v>
      </c>
      <c r="Z53" s="94" t="s">
        <v>632</v>
      </c>
      <c r="AA53" s="94" t="s">
        <v>270</v>
      </c>
      <c r="AB53" s="94" t="s">
        <v>632</v>
      </c>
      <c r="AC53" s="94" t="s">
        <v>270</v>
      </c>
      <c r="AD53" s="94" t="s">
        <v>633</v>
      </c>
      <c r="AE53" s="94" t="s">
        <v>73</v>
      </c>
      <c r="AF53" s="94">
        <v>1.2118008841205466E-15</v>
      </c>
      <c r="AG53" s="94">
        <v>4</v>
      </c>
      <c r="AH53" s="97">
        <v>42880.574386574073</v>
      </c>
      <c r="AJ53" s="98" t="s">
        <v>766</v>
      </c>
      <c r="AK53" s="96">
        <v>162.14462141680733</v>
      </c>
      <c r="AL53" s="96">
        <v>0.58356952653018834</v>
      </c>
      <c r="AM53" s="96">
        <v>0.16977413256284368</v>
      </c>
      <c r="AN53" s="96" t="s">
        <v>270</v>
      </c>
      <c r="AO53" s="96" t="s">
        <v>270</v>
      </c>
      <c r="AP53" s="96">
        <v>0.42927824805267578</v>
      </c>
      <c r="AQ53" s="96">
        <v>-0.97438001723225376</v>
      </c>
      <c r="AR53" s="96">
        <v>8.7428380822819971</v>
      </c>
      <c r="AS53" s="96">
        <v>94546.986629040082</v>
      </c>
      <c r="AT53" s="96" t="s">
        <v>270</v>
      </c>
      <c r="AU53" s="96" t="s">
        <v>270</v>
      </c>
      <c r="AV53" s="94">
        <v>7.2802601683677401E-6</v>
      </c>
      <c r="AW53" s="94">
        <v>7.2802601683677404E-8</v>
      </c>
      <c r="AX53" s="94">
        <v>2.9755819573653701E-7</v>
      </c>
      <c r="AY53" s="94">
        <v>4.4633729360480602E-9</v>
      </c>
      <c r="AZ53" s="94" t="s">
        <v>270</v>
      </c>
      <c r="BA53" s="94" t="s">
        <v>270</v>
      </c>
      <c r="BB53" s="94" t="s">
        <v>270</v>
      </c>
      <c r="BC53" s="94" t="s">
        <v>270</v>
      </c>
      <c r="BD53" s="94" t="s">
        <v>270</v>
      </c>
      <c r="BE53" s="94" t="s">
        <v>270</v>
      </c>
      <c r="BF53" s="94" t="s">
        <v>270</v>
      </c>
      <c r="BG53" s="94" t="s">
        <v>270</v>
      </c>
      <c r="BH53" s="94" t="s">
        <v>270</v>
      </c>
      <c r="BI53" s="94" t="s">
        <v>270</v>
      </c>
      <c r="BJ53" s="94" t="s">
        <v>270</v>
      </c>
      <c r="BK53" s="94" t="s">
        <v>270</v>
      </c>
      <c r="BL53" s="94" t="s">
        <v>270</v>
      </c>
      <c r="BM53" s="94" t="s">
        <v>270</v>
      </c>
      <c r="BN53" s="94" t="s">
        <v>270</v>
      </c>
      <c r="BO53" s="94" t="s">
        <v>270</v>
      </c>
      <c r="BP53" s="94" t="s">
        <v>270</v>
      </c>
      <c r="BQ53" s="94" t="s">
        <v>270</v>
      </c>
      <c r="BR53" s="94" t="s">
        <v>270</v>
      </c>
      <c r="BS53" s="94" t="s">
        <v>270</v>
      </c>
      <c r="BT53" s="94" t="s">
        <v>270</v>
      </c>
      <c r="BU53" s="94" t="s">
        <v>270</v>
      </c>
      <c r="BV53" s="94" t="s">
        <v>270</v>
      </c>
      <c r="BW53" s="94" t="s">
        <v>270</v>
      </c>
      <c r="BX53" s="94" t="s">
        <v>270</v>
      </c>
      <c r="BY53" s="94" t="s">
        <v>270</v>
      </c>
      <c r="BZ53" s="94" t="s">
        <v>270</v>
      </c>
      <c r="CA53" s="94" t="s">
        <v>270</v>
      </c>
      <c r="CB53" s="94" t="s">
        <v>270</v>
      </c>
      <c r="CC53" s="94" t="s">
        <v>270</v>
      </c>
      <c r="CD53" s="94" t="s">
        <v>270</v>
      </c>
      <c r="CE53" s="94" t="s">
        <v>270</v>
      </c>
      <c r="CF53" s="94" t="s">
        <v>270</v>
      </c>
      <c r="CG53" s="94" t="s">
        <v>270</v>
      </c>
      <c r="CH53" s="94" t="s">
        <v>270</v>
      </c>
      <c r="CI53" s="94" t="s">
        <v>270</v>
      </c>
      <c r="CJ53" s="94" t="s">
        <v>270</v>
      </c>
      <c r="CK53" s="94" t="s">
        <v>270</v>
      </c>
      <c r="CL53" s="94" t="s">
        <v>270</v>
      </c>
      <c r="CM53" s="94" t="s">
        <v>270</v>
      </c>
      <c r="CN53" s="94" t="s">
        <v>270</v>
      </c>
      <c r="CO53" s="94" t="s">
        <v>270</v>
      </c>
      <c r="CP53" s="94" t="s">
        <v>270</v>
      </c>
      <c r="CQ53" s="94" t="s">
        <v>270</v>
      </c>
      <c r="CR53" s="94">
        <v>0.69211109491882705</v>
      </c>
      <c r="CS53" s="94">
        <v>6.9211109491882708E-2</v>
      </c>
      <c r="CT53" s="94" t="s">
        <v>270</v>
      </c>
      <c r="CU53" s="94" t="s">
        <v>270</v>
      </c>
      <c r="CV53" s="94" t="s">
        <v>270</v>
      </c>
      <c r="CW53" s="94" t="s">
        <v>270</v>
      </c>
      <c r="CX53" s="94">
        <v>22.496772284271501</v>
      </c>
      <c r="CY53" s="94">
        <v>2.2496772284271502</v>
      </c>
      <c r="CZ53" s="94">
        <v>0.248184714446466</v>
      </c>
      <c r="DA53" s="94">
        <v>2.4818471444646602E-2</v>
      </c>
      <c r="DB53" s="94">
        <v>6.35667538188466</v>
      </c>
      <c r="DC53" s="94">
        <v>0.635667538188466</v>
      </c>
      <c r="DD53" s="94">
        <v>3.4668166114222898</v>
      </c>
      <c r="DE53" s="94">
        <v>0.34668166114222898</v>
      </c>
      <c r="DF53" s="94" t="s">
        <v>270</v>
      </c>
      <c r="DG53" s="94" t="s">
        <v>270</v>
      </c>
      <c r="DH53" s="94" t="s">
        <v>270</v>
      </c>
      <c r="DI53" s="94" t="s">
        <v>270</v>
      </c>
      <c r="DJ53" s="94">
        <v>0.99947088787166738</v>
      </c>
      <c r="DK53" s="94">
        <v>0.98802409609545883</v>
      </c>
      <c r="DL53" s="94">
        <v>1.8038365758969301E-2</v>
      </c>
      <c r="DM53" s="94">
        <v>0.98780410202706392</v>
      </c>
      <c r="DN53" s="94">
        <v>4.462457974491165E-8</v>
      </c>
      <c r="DO53" s="94">
        <v>1.879034616108878E-7</v>
      </c>
      <c r="DP53" s="94">
        <v>3.3182481687274527E-4</v>
      </c>
      <c r="DQ53" s="94">
        <v>7.5646993394294052E-8</v>
      </c>
      <c r="DR53" s="94">
        <v>1.0565910016630497E-8</v>
      </c>
      <c r="DS53" s="94">
        <v>1.2592585070700022E-2</v>
      </c>
      <c r="DT53" s="94">
        <v>6.7890924651513055E-3</v>
      </c>
      <c r="DU53" s="94">
        <v>3.3019662899506181E-4</v>
      </c>
      <c r="DV53" s="94">
        <v>5.1257431209353413E-8</v>
      </c>
      <c r="DW53" s="94">
        <v>1.0422404060615506E-8</v>
      </c>
      <c r="DX53" s="94">
        <v>2.2485470548239635E-7</v>
      </c>
      <c r="DY53" s="94">
        <v>3.160565494050531E-8</v>
      </c>
      <c r="DZ53" s="94">
        <v>1.096547341256463E-7</v>
      </c>
      <c r="EA53" s="94">
        <v>5.6335270447389224E-5</v>
      </c>
      <c r="EB53" s="94">
        <v>6.8760394336213888E-9</v>
      </c>
      <c r="EC53" s="94">
        <v>5.2475037782899987E-10</v>
      </c>
      <c r="ED53" s="94">
        <v>5.4053545967573773E-3</v>
      </c>
      <c r="EE53" s="94">
        <v>1.2633817717248559E-3</v>
      </c>
      <c r="EF53" s="94">
        <v>2.1110647383925513E-6</v>
      </c>
      <c r="EG53" s="94">
        <v>8.5045750889527689E-9</v>
      </c>
      <c r="EH53" s="94">
        <v>3.4983358521933352E-9</v>
      </c>
      <c r="EI53" s="94">
        <v>1.9301163322446124E-9</v>
      </c>
      <c r="EJ53" s="94">
        <v>7.623023468541696E-8</v>
      </c>
      <c r="EK53" s="94">
        <v>2.975581957365341E-7</v>
      </c>
      <c r="EL53" s="94">
        <v>3.8816008732013449E-4</v>
      </c>
      <c r="EM53" s="94">
        <v>8.2523032827915441E-8</v>
      </c>
      <c r="EN53" s="94">
        <v>1.1090660394459497E-8</v>
      </c>
      <c r="EO53" s="94">
        <v>1.7997939667457399E-2</v>
      </c>
      <c r="EP53" s="94">
        <v>8.0524742368761615E-3</v>
      </c>
      <c r="EQ53" s="94">
        <v>3.3230769373345436E-4</v>
      </c>
      <c r="ER53" s="94">
        <v>5.9762006298306182E-8</v>
      </c>
      <c r="ES53" s="94">
        <v>1.3920739912808841E-8</v>
      </c>
      <c r="ET53" s="94">
        <v>2.2678482181464097E-7</v>
      </c>
      <c r="EU53" s="94">
        <v>1.9890244064294429E-6</v>
      </c>
      <c r="EV53" s="94">
        <v>8.3753671217449714E-6</v>
      </c>
      <c r="EW53" s="94">
        <v>1.4810808156062739E-2</v>
      </c>
      <c r="EX53" s="94">
        <v>3.3827349510182718E-6</v>
      </c>
      <c r="EY53" s="94">
        <v>4.743228624111773E-7</v>
      </c>
      <c r="EZ53" s="94">
        <v>0.56187227845448251</v>
      </c>
      <c r="FA53" s="94">
        <v>0.30273491005566261</v>
      </c>
      <c r="FB53" s="94">
        <v>1.4825116479669647E-2</v>
      </c>
      <c r="FC53" s="94">
        <v>2.2856388989396522E-6</v>
      </c>
      <c r="FD53" s="94">
        <v>4.647492388784086E-7</v>
      </c>
      <c r="FE53" s="94">
        <v>1.0026578572794367E-5</v>
      </c>
      <c r="FF53" s="94">
        <v>1.4087397442666234E-6</v>
      </c>
      <c r="FG53" s="94">
        <v>4.8876090257530898E-6</v>
      </c>
      <c r="FH53" s="94">
        <v>2.5144921072499955E-3</v>
      </c>
      <c r="FI53" s="94">
        <v>3.0747843203039168E-7</v>
      </c>
      <c r="FJ53" s="94">
        <v>2.3556996119731643E-8</v>
      </c>
      <c r="FK53" s="94">
        <v>0.24119954732429572</v>
      </c>
      <c r="FL53" s="94">
        <v>5.6335919563965442E-2</v>
      </c>
      <c r="FM53" s="94">
        <v>9.4782253646995621E-5</v>
      </c>
      <c r="FN53" s="94">
        <v>3.7923062439220487E-7</v>
      </c>
      <c r="FO53" s="94">
        <v>1.5599557599111983E-7</v>
      </c>
      <c r="FP53" s="94">
        <v>8.6066524684755006E-8</v>
      </c>
      <c r="FQ53" s="94">
        <v>3.3977641506960663E-6</v>
      </c>
      <c r="FR53" s="94">
        <v>1.3262976147498061E-5</v>
      </c>
      <c r="FS53" s="94">
        <v>1.7325300263312735E-2</v>
      </c>
      <c r="FT53" s="94">
        <v>3.6902133830486635E-6</v>
      </c>
      <c r="FU53" s="94">
        <v>4.9787985853090895E-7</v>
      </c>
      <c r="FV53" s="94">
        <v>0.80307182577877823</v>
      </c>
      <c r="FW53" s="94">
        <v>0.35907082961962805</v>
      </c>
      <c r="FX53" s="94">
        <v>1.4919898733316643E-2</v>
      </c>
      <c r="FY53" s="94">
        <v>2.6648695233318571E-6</v>
      </c>
      <c r="FZ53" s="94">
        <v>6.2074481486952843E-7</v>
      </c>
      <c r="GA53" s="94">
        <v>1.0112645097479122E-5</v>
      </c>
      <c r="GB53" s="94">
        <v>7.961309267467498E-6</v>
      </c>
      <c r="GC53" s="94">
        <v>1.69012395906677E-4</v>
      </c>
      <c r="GD53" s="94">
        <v>0.59166216421839435</v>
      </c>
      <c r="GE53" s="94">
        <v>2.8346642342542917E-4</v>
      </c>
      <c r="GF53" s="94">
        <v>6.2275271574550699E-5</v>
      </c>
      <c r="GG53" s="94">
        <v>15.7399528852568</v>
      </c>
      <c r="GH53" s="94">
        <v>9.6871538398891364</v>
      </c>
      <c r="GI53" s="94">
        <v>0.65244596371202135</v>
      </c>
      <c r="GJ53" s="94">
        <v>3.6667270610683411E-5</v>
      </c>
      <c r="GK53" s="94">
        <v>9.3687869567020634E-7</v>
      </c>
      <c r="GL53" s="94">
        <v>4.412977974086839E-4</v>
      </c>
      <c r="GM53" s="94" t="s">
        <v>270</v>
      </c>
      <c r="GN53" s="94" t="s">
        <v>270</v>
      </c>
      <c r="GO53" s="94" t="s">
        <v>270</v>
      </c>
      <c r="GP53" s="94" t="s">
        <v>270</v>
      </c>
      <c r="GQ53" s="94" t="s">
        <v>270</v>
      </c>
      <c r="GR53" s="94" t="s">
        <v>270</v>
      </c>
      <c r="GS53" s="94" t="s">
        <v>270</v>
      </c>
      <c r="GT53" s="94" t="s">
        <v>270</v>
      </c>
      <c r="GU53" s="94" t="s">
        <v>270</v>
      </c>
      <c r="GV53" s="94" t="s">
        <v>270</v>
      </c>
      <c r="GW53" s="94" t="s">
        <v>270</v>
      </c>
      <c r="GX53" s="94" t="s">
        <v>270</v>
      </c>
      <c r="GY53" s="94" t="s">
        <v>270</v>
      </c>
      <c r="GZ53" s="94" t="s">
        <v>270</v>
      </c>
      <c r="HA53" s="94" t="s">
        <v>270</v>
      </c>
      <c r="HB53" s="94" t="s">
        <v>270</v>
      </c>
      <c r="HC53" s="94" t="s">
        <v>270</v>
      </c>
      <c r="HD53" s="94" t="s">
        <v>270</v>
      </c>
      <c r="HE53" s="94" t="s">
        <v>270</v>
      </c>
      <c r="HF53" s="94" t="s">
        <v>270</v>
      </c>
      <c r="HG53" s="94" t="s">
        <v>270</v>
      </c>
      <c r="HH53" s="94" t="s">
        <v>270</v>
      </c>
      <c r="HI53" s="94" t="s">
        <v>270</v>
      </c>
      <c r="HJ53" s="94" t="s">
        <v>270</v>
      </c>
      <c r="HK53" s="94" t="s">
        <v>270</v>
      </c>
      <c r="HL53" s="94" t="s">
        <v>270</v>
      </c>
      <c r="HM53" s="94" t="s">
        <v>270</v>
      </c>
      <c r="HN53" s="94" t="s">
        <v>270</v>
      </c>
      <c r="HO53" s="94" t="s">
        <v>270</v>
      </c>
      <c r="HP53" s="94" t="s">
        <v>270</v>
      </c>
      <c r="HQ53" s="94" t="s">
        <v>270</v>
      </c>
      <c r="HR53" s="94" t="s">
        <v>270</v>
      </c>
      <c r="HS53" s="94" t="s">
        <v>270</v>
      </c>
      <c r="HT53" s="94" t="s">
        <v>270</v>
      </c>
      <c r="HU53" s="94" t="s">
        <v>270</v>
      </c>
      <c r="HV53" s="94" t="s">
        <v>270</v>
      </c>
      <c r="HW53" s="94" t="s">
        <v>270</v>
      </c>
      <c r="HX53" s="94" t="s">
        <v>270</v>
      </c>
      <c r="HY53" s="94" t="s">
        <v>270</v>
      </c>
      <c r="HZ53" s="94" t="s">
        <v>270</v>
      </c>
      <c r="IA53" s="94" t="s">
        <v>270</v>
      </c>
      <c r="IB53" s="94" t="s">
        <v>270</v>
      </c>
      <c r="IC53" s="94" t="s">
        <v>270</v>
      </c>
      <c r="ID53" s="94" t="s">
        <v>270</v>
      </c>
      <c r="IE53" s="94" t="s">
        <v>270</v>
      </c>
      <c r="IF53" s="94" t="s">
        <v>270</v>
      </c>
      <c r="IG53" s="94" t="s">
        <v>270</v>
      </c>
      <c r="IH53" s="94" t="s">
        <v>270</v>
      </c>
      <c r="II53" s="94" t="s">
        <v>270</v>
      </c>
      <c r="IJ53" s="94" t="s">
        <v>270</v>
      </c>
      <c r="IK53" s="94" t="s">
        <v>270</v>
      </c>
      <c r="IL53" s="94" t="s">
        <v>270</v>
      </c>
      <c r="IM53" s="94" t="s">
        <v>270</v>
      </c>
      <c r="IN53" s="94" t="s">
        <v>270</v>
      </c>
      <c r="IO53" s="94" t="s">
        <v>270</v>
      </c>
      <c r="IP53" s="94" t="s">
        <v>270</v>
      </c>
      <c r="IQ53" s="94" t="s">
        <v>270</v>
      </c>
      <c r="IR53" s="94" t="s">
        <v>270</v>
      </c>
      <c r="IS53" s="94" t="s">
        <v>270</v>
      </c>
      <c r="IT53" s="94" t="s">
        <v>270</v>
      </c>
      <c r="IU53" s="94" t="s">
        <v>270</v>
      </c>
      <c r="IV53" s="94" t="s">
        <v>270</v>
      </c>
      <c r="IW53" s="94" t="s">
        <v>270</v>
      </c>
      <c r="IX53" s="94" t="s">
        <v>270</v>
      </c>
      <c r="IY53" s="94" t="s">
        <v>270</v>
      </c>
      <c r="IZ53" s="94" t="s">
        <v>270</v>
      </c>
      <c r="JA53" s="94" t="s">
        <v>270</v>
      </c>
      <c r="JB53" s="94" t="s">
        <v>270</v>
      </c>
      <c r="JC53" s="94" t="s">
        <v>270</v>
      </c>
      <c r="JD53" s="94" t="s">
        <v>270</v>
      </c>
      <c r="JE53" s="94" t="s">
        <v>270</v>
      </c>
      <c r="JF53" s="94" t="s">
        <v>270</v>
      </c>
      <c r="JG53" s="94" t="s">
        <v>270</v>
      </c>
      <c r="JH53" s="94" t="s">
        <v>270</v>
      </c>
      <c r="JI53" s="94" t="s">
        <v>270</v>
      </c>
      <c r="JJ53" s="94" t="s">
        <v>270</v>
      </c>
      <c r="JK53" s="94" t="s">
        <v>270</v>
      </c>
      <c r="JL53" s="94" t="s">
        <v>270</v>
      </c>
      <c r="JM53" s="94" t="s">
        <v>270</v>
      </c>
    </row>
    <row r="54" spans="1:273">
      <c r="A54" s="94" t="s">
        <v>626</v>
      </c>
      <c r="B54" s="94" t="s">
        <v>738</v>
      </c>
      <c r="C54" s="94" t="s">
        <v>764</v>
      </c>
      <c r="D54" s="95">
        <v>41500</v>
      </c>
      <c r="E54" s="94" t="s">
        <v>767</v>
      </c>
      <c r="F54" s="94">
        <v>0.70302982272000003</v>
      </c>
      <c r="G54" s="94">
        <v>100</v>
      </c>
      <c r="H54" s="94">
        <v>20.459999084500001</v>
      </c>
      <c r="I54" s="94">
        <v>1</v>
      </c>
      <c r="J54" s="94">
        <v>0</v>
      </c>
      <c r="K54" s="94">
        <v>0</v>
      </c>
      <c r="L54" s="94" t="s">
        <v>630</v>
      </c>
      <c r="M54" s="94" t="s">
        <v>631</v>
      </c>
      <c r="N54" s="94">
        <v>7.9302931841817496E-26</v>
      </c>
      <c r="O54" s="96" t="s">
        <v>270</v>
      </c>
      <c r="P54" s="94">
        <v>15.950615081660072</v>
      </c>
      <c r="Q54" s="94">
        <v>6.2592247913509098</v>
      </c>
      <c r="R54" s="94">
        <v>6.0184271952654997</v>
      </c>
      <c r="S54" s="94">
        <v>0.60903383180813986</v>
      </c>
      <c r="T54" s="94" t="s">
        <v>270</v>
      </c>
      <c r="U54" s="94" t="s">
        <v>270</v>
      </c>
      <c r="V54" s="94" t="s">
        <v>632</v>
      </c>
      <c r="W54" s="94" t="s">
        <v>270</v>
      </c>
      <c r="X54" s="94">
        <v>1.0253084328820341</v>
      </c>
      <c r="Y54" s="94">
        <v>2.6676567005030178</v>
      </c>
      <c r="Z54" s="94" t="s">
        <v>632</v>
      </c>
      <c r="AA54" s="94" t="s">
        <v>270</v>
      </c>
      <c r="AB54" s="94" t="s">
        <v>632</v>
      </c>
      <c r="AC54" s="94" t="s">
        <v>270</v>
      </c>
      <c r="AD54" s="94" t="s">
        <v>633</v>
      </c>
      <c r="AE54" s="94" t="s">
        <v>73</v>
      </c>
      <c r="AF54" s="94">
        <v>2.1810416188457468E-15</v>
      </c>
      <c r="AG54" s="94">
        <v>4</v>
      </c>
      <c r="AH54" s="97">
        <v>42880.574386574073</v>
      </c>
      <c r="AJ54" s="98" t="s">
        <v>768</v>
      </c>
      <c r="AK54" s="96">
        <v>162.05703199457187</v>
      </c>
      <c r="AL54" s="96">
        <v>0.58155177873586483</v>
      </c>
      <c r="AM54" s="96">
        <v>0.16886395128419807</v>
      </c>
      <c r="AN54" s="96" t="s">
        <v>270</v>
      </c>
      <c r="AO54" s="96" t="s">
        <v>270</v>
      </c>
      <c r="AP54" s="96">
        <v>0.43704558461584408</v>
      </c>
      <c r="AQ54" s="96">
        <v>-0.97483696747833426</v>
      </c>
      <c r="AR54" s="96">
        <v>8.8679822636052261</v>
      </c>
      <c r="AS54" s="96">
        <v>95830.981955544441</v>
      </c>
      <c r="AT54" s="96" t="s">
        <v>270</v>
      </c>
      <c r="AU54" s="96" t="s">
        <v>270</v>
      </c>
      <c r="AV54" s="94">
        <v>7.2802601683677401E-6</v>
      </c>
      <c r="AW54" s="94">
        <v>7.2802601683677404E-8</v>
      </c>
      <c r="AX54" s="94">
        <v>2.9755819573653701E-7</v>
      </c>
      <c r="AY54" s="94">
        <v>4.4633729360480602E-9</v>
      </c>
      <c r="AZ54" s="94" t="s">
        <v>270</v>
      </c>
      <c r="BA54" s="94" t="s">
        <v>270</v>
      </c>
      <c r="BB54" s="94" t="s">
        <v>270</v>
      </c>
      <c r="BC54" s="94" t="s">
        <v>270</v>
      </c>
      <c r="BD54" s="94" t="s">
        <v>270</v>
      </c>
      <c r="BE54" s="94" t="s">
        <v>270</v>
      </c>
      <c r="BF54" s="94" t="s">
        <v>270</v>
      </c>
      <c r="BG54" s="94" t="s">
        <v>270</v>
      </c>
      <c r="BH54" s="94" t="s">
        <v>270</v>
      </c>
      <c r="BI54" s="94" t="s">
        <v>270</v>
      </c>
      <c r="BJ54" s="94" t="s">
        <v>270</v>
      </c>
      <c r="BK54" s="94" t="s">
        <v>270</v>
      </c>
      <c r="BL54" s="94" t="s">
        <v>270</v>
      </c>
      <c r="BM54" s="94" t="s">
        <v>270</v>
      </c>
      <c r="BN54" s="94" t="s">
        <v>270</v>
      </c>
      <c r="BO54" s="94" t="s">
        <v>270</v>
      </c>
      <c r="BP54" s="94" t="s">
        <v>270</v>
      </c>
      <c r="BQ54" s="94" t="s">
        <v>270</v>
      </c>
      <c r="BR54" s="94" t="s">
        <v>270</v>
      </c>
      <c r="BS54" s="94" t="s">
        <v>270</v>
      </c>
      <c r="BT54" s="94" t="s">
        <v>270</v>
      </c>
      <c r="BU54" s="94" t="s">
        <v>270</v>
      </c>
      <c r="BV54" s="94" t="s">
        <v>270</v>
      </c>
      <c r="BW54" s="94" t="s">
        <v>270</v>
      </c>
      <c r="BX54" s="94" t="s">
        <v>270</v>
      </c>
      <c r="BY54" s="94" t="s">
        <v>270</v>
      </c>
      <c r="BZ54" s="94" t="s">
        <v>270</v>
      </c>
      <c r="CA54" s="94" t="s">
        <v>270</v>
      </c>
      <c r="CB54" s="94" t="s">
        <v>270</v>
      </c>
      <c r="CC54" s="94" t="s">
        <v>270</v>
      </c>
      <c r="CD54" s="94" t="s">
        <v>270</v>
      </c>
      <c r="CE54" s="94" t="s">
        <v>270</v>
      </c>
      <c r="CF54" s="94" t="s">
        <v>270</v>
      </c>
      <c r="CG54" s="94" t="s">
        <v>270</v>
      </c>
      <c r="CH54" s="94" t="s">
        <v>270</v>
      </c>
      <c r="CI54" s="94" t="s">
        <v>270</v>
      </c>
      <c r="CJ54" s="94" t="s">
        <v>270</v>
      </c>
      <c r="CK54" s="94" t="s">
        <v>270</v>
      </c>
      <c r="CL54" s="94" t="s">
        <v>270</v>
      </c>
      <c r="CM54" s="94" t="s">
        <v>270</v>
      </c>
      <c r="CN54" s="94" t="s">
        <v>270</v>
      </c>
      <c r="CO54" s="94" t="s">
        <v>270</v>
      </c>
      <c r="CP54" s="94" t="s">
        <v>270</v>
      </c>
      <c r="CQ54" s="94" t="s">
        <v>270</v>
      </c>
      <c r="CR54" s="94">
        <v>0.69379746228552897</v>
      </c>
      <c r="CS54" s="94">
        <v>6.9379746228552905E-2</v>
      </c>
      <c r="CT54" s="94" t="s">
        <v>270</v>
      </c>
      <c r="CU54" s="94" t="s">
        <v>270</v>
      </c>
      <c r="CV54" s="94" t="s">
        <v>270</v>
      </c>
      <c r="CW54" s="94" t="s">
        <v>270</v>
      </c>
      <c r="CX54" s="94">
        <v>22.686020910717598</v>
      </c>
      <c r="CY54" s="94">
        <v>2.2686020910717599</v>
      </c>
      <c r="CZ54" s="94">
        <v>0.244546086170469</v>
      </c>
      <c r="DA54" s="94">
        <v>2.4454608617046902E-2</v>
      </c>
      <c r="DB54" s="94">
        <v>6.4699771288838104</v>
      </c>
      <c r="DC54" s="94">
        <v>0.64699771288838104</v>
      </c>
      <c r="DD54" s="94">
        <v>3.5261848712849302</v>
      </c>
      <c r="DE54" s="94">
        <v>0.35261848712849303</v>
      </c>
      <c r="DF54" s="94" t="s">
        <v>270</v>
      </c>
      <c r="DG54" s="94" t="s">
        <v>270</v>
      </c>
      <c r="DH54" s="94" t="s">
        <v>270</v>
      </c>
      <c r="DI54" s="94" t="s">
        <v>270</v>
      </c>
      <c r="DJ54" s="94">
        <v>0.99949589823786389</v>
      </c>
      <c r="DK54" s="94">
        <v>0.98802409609545883</v>
      </c>
      <c r="DL54" s="94">
        <v>1.7863675212686263E-2</v>
      </c>
      <c r="DM54" s="94">
        <v>0.98780627128608178</v>
      </c>
      <c r="DN54" s="94">
        <v>4.4648550751310734E-8</v>
      </c>
      <c r="DO54" s="94">
        <v>1.8814318932660899E-7</v>
      </c>
      <c r="DP54" s="94">
        <v>3.3288401447610882E-4</v>
      </c>
      <c r="DQ54" s="94">
        <v>7.5950735915330386E-8</v>
      </c>
      <c r="DR54" s="94">
        <v>1.0617491458854782E-8</v>
      </c>
      <c r="DS54" s="94">
        <v>1.2629564678789238E-2</v>
      </c>
      <c r="DT54" s="94">
        <v>6.8108669602552551E-3</v>
      </c>
      <c r="DU54" s="94">
        <v>3.3181163016256156E-4</v>
      </c>
      <c r="DV54" s="94">
        <v>5.1435384888313535E-8</v>
      </c>
      <c r="DW54" s="94">
        <v>1.0436440820275406E-8</v>
      </c>
      <c r="DX54" s="94">
        <v>2.2601441672857055E-7</v>
      </c>
      <c r="DY54" s="94">
        <v>3.153655850319121E-8</v>
      </c>
      <c r="DZ54" s="94">
        <v>1.0941500640992681E-7</v>
      </c>
      <c r="EA54" s="94">
        <v>5.6212110003779777E-5</v>
      </c>
      <c r="EB54" s="94">
        <v>6.8610070026026642E-9</v>
      </c>
      <c r="EC54" s="94">
        <v>5.2360316598809792E-10</v>
      </c>
      <c r="ED54" s="94">
        <v>5.5192819805520623E-3</v>
      </c>
      <c r="EE54" s="94">
        <v>1.2606197603203121E-3</v>
      </c>
      <c r="EF54" s="94">
        <v>2.1064495183429417E-6</v>
      </c>
      <c r="EG54" s="94">
        <v>8.4859823453243492E-9</v>
      </c>
      <c r="EH54" s="94">
        <v>3.4906877732539894E-9</v>
      </c>
      <c r="EI54" s="94">
        <v>1.9258967024849551E-9</v>
      </c>
      <c r="EJ54" s="94">
        <v>7.6185109254501943E-8</v>
      </c>
      <c r="EK54" s="94">
        <v>2.9755819573653579E-7</v>
      </c>
      <c r="EL54" s="94">
        <v>3.890961244798886E-4</v>
      </c>
      <c r="EM54" s="94">
        <v>8.281174291793305E-8</v>
      </c>
      <c r="EN54" s="94">
        <v>1.114109462484288E-8</v>
      </c>
      <c r="EO54" s="94">
        <v>1.81488466593413E-2</v>
      </c>
      <c r="EP54" s="94">
        <v>8.0714867205755672E-3</v>
      </c>
      <c r="EQ54" s="94">
        <v>3.339180796809045E-4</v>
      </c>
      <c r="ER54" s="94">
        <v>5.9921367233637884E-8</v>
      </c>
      <c r="ES54" s="94">
        <v>1.3927128593529395E-8</v>
      </c>
      <c r="ET54" s="94">
        <v>2.279403134310555E-7</v>
      </c>
      <c r="EU54" s="94">
        <v>1.9901426509016942E-6</v>
      </c>
      <c r="EV54" s="94">
        <v>8.3862622857631419E-6</v>
      </c>
      <c r="EW54" s="94">
        <v>1.485845662934554E-2</v>
      </c>
      <c r="EX54" s="94">
        <v>3.3964025072668375E-6</v>
      </c>
      <c r="EY54" s="94">
        <v>4.766503741108808E-7</v>
      </c>
      <c r="EZ54" s="94">
        <v>0.56353638388710559</v>
      </c>
      <c r="FA54" s="94">
        <v>0.30371346436240365</v>
      </c>
      <c r="FB54" s="94">
        <v>1.4897999341229028E-2</v>
      </c>
      <c r="FC54" s="94">
        <v>2.2936314901470145E-6</v>
      </c>
      <c r="FD54" s="94">
        <v>4.6538680253714092E-7</v>
      </c>
      <c r="FE54" s="94">
        <v>1.0078543877167374E-5</v>
      </c>
      <c r="FF54" s="94">
        <v>1.4056951252334846E-6</v>
      </c>
      <c r="FG54" s="94">
        <v>4.8770457492309985E-6</v>
      </c>
      <c r="FH54" s="94">
        <v>2.5090576964160796E-3</v>
      </c>
      <c r="FI54" s="94">
        <v>3.0681389857753119E-7</v>
      </c>
      <c r="FJ54" s="94">
        <v>2.3506083891946719E-8</v>
      </c>
      <c r="FK54" s="94">
        <v>0.24629108834823532</v>
      </c>
      <c r="FL54" s="94">
        <v>5.6214164347182571E-2</v>
      </c>
      <c r="FM54" s="94">
        <v>9.4577406829382885E-5</v>
      </c>
      <c r="FN54" s="94">
        <v>3.7841101751898905E-7</v>
      </c>
      <c r="FO54" s="94">
        <v>1.5565843273830757E-7</v>
      </c>
      <c r="FP54" s="94">
        <v>8.5880514614239213E-8</v>
      </c>
      <c r="FQ54" s="94">
        <v>3.3958377761351788E-6</v>
      </c>
      <c r="FR54" s="94">
        <v>1.326330803499414E-5</v>
      </c>
      <c r="FS54" s="94">
        <v>1.736751432576162E-2</v>
      </c>
      <c r="FT54" s="94">
        <v>3.7032164058443687E-6</v>
      </c>
      <c r="FU54" s="94">
        <v>5.0015645800282752E-7</v>
      </c>
      <c r="FV54" s="94">
        <v>0.80982747223534091</v>
      </c>
      <c r="FW54" s="94">
        <v>0.35992762870958622</v>
      </c>
      <c r="FX54" s="94">
        <v>1.4992576748058411E-2</v>
      </c>
      <c r="FY54" s="94">
        <v>2.6720425076660035E-6</v>
      </c>
      <c r="FZ54" s="94">
        <v>6.2104523527544849E-7</v>
      </c>
      <c r="GA54" s="94">
        <v>1.0164424391781613E-5</v>
      </c>
      <c r="GB54" s="94">
        <v>7.9657851753806703E-6</v>
      </c>
      <c r="GC54" s="94">
        <v>1.6923225704801447E-4</v>
      </c>
      <c r="GD54" s="94">
        <v>0.59356562542909563</v>
      </c>
      <c r="GE54" s="94">
        <v>2.8461173730394646E-4</v>
      </c>
      <c r="GF54" s="94">
        <v>6.2580857568139873E-5</v>
      </c>
      <c r="GG54" s="94">
        <v>15.786570136383045</v>
      </c>
      <c r="GH54" s="94">
        <v>9.718466403439681</v>
      </c>
      <c r="GI54" s="94">
        <v>0.65565350200781891</v>
      </c>
      <c r="GJ54" s="94">
        <v>3.6795491435423872E-5</v>
      </c>
      <c r="GK54" s="94">
        <v>9.3816394749857169E-7</v>
      </c>
      <c r="GL54" s="94">
        <v>4.4358493595699215E-4</v>
      </c>
      <c r="GM54" s="94" t="s">
        <v>270</v>
      </c>
      <c r="GN54" s="94" t="s">
        <v>270</v>
      </c>
      <c r="GO54" s="94" t="s">
        <v>270</v>
      </c>
      <c r="GP54" s="94" t="s">
        <v>270</v>
      </c>
      <c r="GQ54" s="94" t="s">
        <v>270</v>
      </c>
      <c r="GR54" s="94" t="s">
        <v>270</v>
      </c>
      <c r="GS54" s="94" t="s">
        <v>270</v>
      </c>
      <c r="GT54" s="94" t="s">
        <v>270</v>
      </c>
      <c r="GU54" s="94" t="s">
        <v>270</v>
      </c>
      <c r="GV54" s="94" t="s">
        <v>270</v>
      </c>
      <c r="GW54" s="94" t="s">
        <v>270</v>
      </c>
      <c r="GX54" s="94" t="s">
        <v>270</v>
      </c>
      <c r="GY54" s="94" t="s">
        <v>270</v>
      </c>
      <c r="GZ54" s="94" t="s">
        <v>270</v>
      </c>
      <c r="HA54" s="94" t="s">
        <v>270</v>
      </c>
      <c r="HB54" s="94" t="s">
        <v>270</v>
      </c>
      <c r="HC54" s="94" t="s">
        <v>270</v>
      </c>
      <c r="HD54" s="94" t="s">
        <v>270</v>
      </c>
      <c r="HE54" s="94" t="s">
        <v>270</v>
      </c>
      <c r="HF54" s="94" t="s">
        <v>270</v>
      </c>
      <c r="HG54" s="94" t="s">
        <v>270</v>
      </c>
      <c r="HH54" s="94" t="s">
        <v>270</v>
      </c>
      <c r="HI54" s="94" t="s">
        <v>270</v>
      </c>
      <c r="HJ54" s="94" t="s">
        <v>270</v>
      </c>
      <c r="HK54" s="94" t="s">
        <v>270</v>
      </c>
      <c r="HL54" s="94" t="s">
        <v>270</v>
      </c>
      <c r="HM54" s="94" t="s">
        <v>270</v>
      </c>
      <c r="HN54" s="94" t="s">
        <v>270</v>
      </c>
      <c r="HO54" s="94" t="s">
        <v>270</v>
      </c>
      <c r="HP54" s="94" t="s">
        <v>270</v>
      </c>
      <c r="HQ54" s="94" t="s">
        <v>270</v>
      </c>
      <c r="HR54" s="94" t="s">
        <v>270</v>
      </c>
      <c r="HS54" s="94" t="s">
        <v>270</v>
      </c>
      <c r="HT54" s="94" t="s">
        <v>270</v>
      </c>
      <c r="HU54" s="94" t="s">
        <v>270</v>
      </c>
      <c r="HV54" s="94" t="s">
        <v>270</v>
      </c>
      <c r="HW54" s="94" t="s">
        <v>270</v>
      </c>
      <c r="HX54" s="94" t="s">
        <v>270</v>
      </c>
      <c r="HY54" s="94" t="s">
        <v>270</v>
      </c>
      <c r="HZ54" s="94" t="s">
        <v>270</v>
      </c>
      <c r="IA54" s="94" t="s">
        <v>270</v>
      </c>
      <c r="IB54" s="94" t="s">
        <v>270</v>
      </c>
      <c r="IC54" s="94" t="s">
        <v>270</v>
      </c>
      <c r="ID54" s="94" t="s">
        <v>270</v>
      </c>
      <c r="IE54" s="94" t="s">
        <v>270</v>
      </c>
      <c r="IF54" s="94" t="s">
        <v>270</v>
      </c>
      <c r="IG54" s="94" t="s">
        <v>270</v>
      </c>
      <c r="IH54" s="94" t="s">
        <v>270</v>
      </c>
      <c r="II54" s="94" t="s">
        <v>270</v>
      </c>
      <c r="IJ54" s="94" t="s">
        <v>270</v>
      </c>
      <c r="IK54" s="94" t="s">
        <v>270</v>
      </c>
      <c r="IL54" s="94" t="s">
        <v>270</v>
      </c>
      <c r="IM54" s="94" t="s">
        <v>270</v>
      </c>
      <c r="IN54" s="94" t="s">
        <v>270</v>
      </c>
      <c r="IO54" s="94" t="s">
        <v>270</v>
      </c>
      <c r="IP54" s="94" t="s">
        <v>270</v>
      </c>
      <c r="IQ54" s="94" t="s">
        <v>270</v>
      </c>
      <c r="IR54" s="94" t="s">
        <v>270</v>
      </c>
      <c r="IS54" s="94" t="s">
        <v>270</v>
      </c>
      <c r="IT54" s="94" t="s">
        <v>270</v>
      </c>
      <c r="IU54" s="94" t="s">
        <v>270</v>
      </c>
      <c r="IV54" s="94" t="s">
        <v>270</v>
      </c>
      <c r="IW54" s="94" t="s">
        <v>270</v>
      </c>
      <c r="IX54" s="94" t="s">
        <v>270</v>
      </c>
      <c r="IY54" s="94" t="s">
        <v>270</v>
      </c>
      <c r="IZ54" s="94" t="s">
        <v>270</v>
      </c>
      <c r="JA54" s="94" t="s">
        <v>270</v>
      </c>
      <c r="JB54" s="94" t="s">
        <v>270</v>
      </c>
      <c r="JC54" s="94" t="s">
        <v>270</v>
      </c>
      <c r="JD54" s="94" t="s">
        <v>270</v>
      </c>
      <c r="JE54" s="94" t="s">
        <v>270</v>
      </c>
      <c r="JF54" s="94" t="s">
        <v>270</v>
      </c>
      <c r="JG54" s="94" t="s">
        <v>270</v>
      </c>
      <c r="JH54" s="94" t="s">
        <v>270</v>
      </c>
      <c r="JI54" s="94" t="s">
        <v>270</v>
      </c>
      <c r="JJ54" s="94" t="s">
        <v>270</v>
      </c>
      <c r="JK54" s="94" t="s">
        <v>270</v>
      </c>
      <c r="JL54" s="94" t="s">
        <v>270</v>
      </c>
      <c r="JM54" s="94" t="s">
        <v>270</v>
      </c>
    </row>
  </sheetData>
  <mergeCells count="309">
    <mergeCell ref="JH1:KA1"/>
    <mergeCell ref="A2:A3"/>
    <mergeCell ref="B2:B3"/>
    <mergeCell ref="C2:C3"/>
    <mergeCell ref="D2:D3"/>
    <mergeCell ref="E2:E3"/>
    <mergeCell ref="F2:F3"/>
    <mergeCell ref="EW1:FF1"/>
    <mergeCell ref="FG1:FP1"/>
    <mergeCell ref="FQ1:FZ1"/>
    <mergeCell ref="GA1:GJ1"/>
    <mergeCell ref="GK1:GT1"/>
    <mergeCell ref="GU1:HD1"/>
    <mergeCell ref="CK1:DD1"/>
    <mergeCell ref="DE1:DH1"/>
    <mergeCell ref="DI1:DR1"/>
    <mergeCell ref="DS1:EB1"/>
    <mergeCell ref="EC1:EL1"/>
    <mergeCell ref="EM1:EV1"/>
    <mergeCell ref="A1:E1"/>
    <mergeCell ref="F1:K1"/>
    <mergeCell ref="L1:AJ1"/>
    <mergeCell ref="AK1:AV1"/>
    <mergeCell ref="AW1:BP1"/>
    <mergeCell ref="G2:G3"/>
    <mergeCell ref="H2:H3"/>
    <mergeCell ref="I2:I3"/>
    <mergeCell ref="J2:J3"/>
    <mergeCell ref="K2:K3"/>
    <mergeCell ref="L2:L3"/>
    <mergeCell ref="HE1:HS1"/>
    <mergeCell ref="HT1:IM1"/>
    <mergeCell ref="IN1:JG1"/>
    <mergeCell ref="BQ1:CJ1"/>
    <mergeCell ref="S2:S3"/>
    <mergeCell ref="T2:T3"/>
    <mergeCell ref="U2:U3"/>
    <mergeCell ref="V2:V3"/>
    <mergeCell ref="W2:W3"/>
    <mergeCell ref="X2:X3"/>
    <mergeCell ref="M2:M3"/>
    <mergeCell ref="N2:N3"/>
    <mergeCell ref="O2:O3"/>
    <mergeCell ref="P2:P3"/>
    <mergeCell ref="Q2:Q3"/>
    <mergeCell ref="R2:R3"/>
    <mergeCell ref="AE2:AE3"/>
    <mergeCell ref="AF2:AF3"/>
    <mergeCell ref="AG2:AG3"/>
    <mergeCell ref="AH2:AH3"/>
    <mergeCell ref="AI2:AI3"/>
    <mergeCell ref="AJ2:AJ3"/>
    <mergeCell ref="Y2:Y3"/>
    <mergeCell ref="Z2:Z3"/>
    <mergeCell ref="AA2:AA3"/>
    <mergeCell ref="AB2:AB3"/>
    <mergeCell ref="AC2:AC3"/>
    <mergeCell ref="AD2:AD3"/>
    <mergeCell ref="AQ2:AQ3"/>
    <mergeCell ref="AR2:AR3"/>
    <mergeCell ref="AS2:AS3"/>
    <mergeCell ref="AT2:AT3"/>
    <mergeCell ref="AU2:AU3"/>
    <mergeCell ref="AV2:AV3"/>
    <mergeCell ref="AK2:AK3"/>
    <mergeCell ref="AL2:AL3"/>
    <mergeCell ref="AM2:AM3"/>
    <mergeCell ref="AN2:AN3"/>
    <mergeCell ref="AO2:AO3"/>
    <mergeCell ref="AP2:AP3"/>
    <mergeCell ref="BC2:BC3"/>
    <mergeCell ref="BD2:BD3"/>
    <mergeCell ref="BE2:BE3"/>
    <mergeCell ref="BF2:BF3"/>
    <mergeCell ref="BG2:BG3"/>
    <mergeCell ref="BH2:BH3"/>
    <mergeCell ref="AW2:AW3"/>
    <mergeCell ref="AX2:AX3"/>
    <mergeCell ref="AY2:AY3"/>
    <mergeCell ref="AZ2:AZ3"/>
    <mergeCell ref="BA2:BA3"/>
    <mergeCell ref="BB2:BB3"/>
    <mergeCell ref="BO2:BO3"/>
    <mergeCell ref="BP2:BP3"/>
    <mergeCell ref="BQ2:BQ3"/>
    <mergeCell ref="BR2:BR3"/>
    <mergeCell ref="BS2:BS3"/>
    <mergeCell ref="BT2:BT3"/>
    <mergeCell ref="BI2:BI3"/>
    <mergeCell ref="BJ2:BJ3"/>
    <mergeCell ref="BK2:BK3"/>
    <mergeCell ref="BL2:BL3"/>
    <mergeCell ref="BM2:BM3"/>
    <mergeCell ref="BN2:BN3"/>
    <mergeCell ref="CA2:CA3"/>
    <mergeCell ref="CB2:CB3"/>
    <mergeCell ref="CC2:CC3"/>
    <mergeCell ref="CD2:CD3"/>
    <mergeCell ref="CE2:CE3"/>
    <mergeCell ref="CF2:CF3"/>
    <mergeCell ref="BU2:BU3"/>
    <mergeCell ref="BV2:BV3"/>
    <mergeCell ref="BW2:BW3"/>
    <mergeCell ref="BX2:BX3"/>
    <mergeCell ref="BY2:BY3"/>
    <mergeCell ref="BZ2:BZ3"/>
    <mergeCell ref="CM2:CM3"/>
    <mergeCell ref="CN2:CN3"/>
    <mergeCell ref="CO2:CO3"/>
    <mergeCell ref="CP2:CP3"/>
    <mergeCell ref="CQ2:CQ3"/>
    <mergeCell ref="CR2:CR3"/>
    <mergeCell ref="CG2:CG3"/>
    <mergeCell ref="CH2:CH3"/>
    <mergeCell ref="CI2:CI3"/>
    <mergeCell ref="CJ2:CJ3"/>
    <mergeCell ref="CK2:CK3"/>
    <mergeCell ref="CL2:CL3"/>
    <mergeCell ref="CY2:CY3"/>
    <mergeCell ref="CZ2:CZ3"/>
    <mergeCell ref="DA2:DA3"/>
    <mergeCell ref="DB2:DB3"/>
    <mergeCell ref="DC2:DC3"/>
    <mergeCell ref="DD2:DD3"/>
    <mergeCell ref="CS2:CS3"/>
    <mergeCell ref="CT2:CT3"/>
    <mergeCell ref="CU2:CU3"/>
    <mergeCell ref="CV2:CV3"/>
    <mergeCell ref="CW2:CW3"/>
    <mergeCell ref="CX2:CX3"/>
    <mergeCell ref="DK2:DK3"/>
    <mergeCell ref="DL2:DL3"/>
    <mergeCell ref="DM2:DM3"/>
    <mergeCell ref="DN2:DN3"/>
    <mergeCell ref="DO2:DO3"/>
    <mergeCell ref="DP2:DP3"/>
    <mergeCell ref="DE2:DE3"/>
    <mergeCell ref="DF2:DF3"/>
    <mergeCell ref="DG2:DG3"/>
    <mergeCell ref="DH2:DH3"/>
    <mergeCell ref="DI2:DI3"/>
    <mergeCell ref="DJ2:DJ3"/>
    <mergeCell ref="DW2:DW3"/>
    <mergeCell ref="DX2:DX3"/>
    <mergeCell ref="DY2:DY3"/>
    <mergeCell ref="DZ2:DZ3"/>
    <mergeCell ref="EA2:EA3"/>
    <mergeCell ref="EB2:EB3"/>
    <mergeCell ref="DQ2:DQ3"/>
    <mergeCell ref="DR2:DR3"/>
    <mergeCell ref="DS2:DS3"/>
    <mergeCell ref="DT2:DT3"/>
    <mergeCell ref="DU2:DU3"/>
    <mergeCell ref="DV2:DV3"/>
    <mergeCell ref="EI2:EI3"/>
    <mergeCell ref="EJ2:EJ3"/>
    <mergeCell ref="EK2:EK3"/>
    <mergeCell ref="EL2:EL3"/>
    <mergeCell ref="EM2:EM3"/>
    <mergeCell ref="EN2:EN3"/>
    <mergeCell ref="EC2:EC3"/>
    <mergeCell ref="ED2:ED3"/>
    <mergeCell ref="EE2:EE3"/>
    <mergeCell ref="EF2:EF3"/>
    <mergeCell ref="EG2:EG3"/>
    <mergeCell ref="EH2:EH3"/>
    <mergeCell ref="EU2:EU3"/>
    <mergeCell ref="EV2:EV3"/>
    <mergeCell ref="EW2:EW3"/>
    <mergeCell ref="EX2:EX3"/>
    <mergeCell ref="EY2:EY3"/>
    <mergeCell ref="EZ2:EZ3"/>
    <mergeCell ref="EO2:EO3"/>
    <mergeCell ref="EP2:EP3"/>
    <mergeCell ref="EQ2:EQ3"/>
    <mergeCell ref="ER2:ER3"/>
    <mergeCell ref="ES2:ES3"/>
    <mergeCell ref="ET2:ET3"/>
    <mergeCell ref="FG2:FG3"/>
    <mergeCell ref="FH2:FH3"/>
    <mergeCell ref="FI2:FI3"/>
    <mergeCell ref="FJ2:FJ3"/>
    <mergeCell ref="FK2:FK3"/>
    <mergeCell ref="FL2:FL3"/>
    <mergeCell ref="FA2:FA3"/>
    <mergeCell ref="FB2:FB3"/>
    <mergeCell ref="FC2:FC3"/>
    <mergeCell ref="FD2:FD3"/>
    <mergeCell ref="FE2:FE3"/>
    <mergeCell ref="FF2:FF3"/>
    <mergeCell ref="FS2:FS3"/>
    <mergeCell ref="FT2:FT3"/>
    <mergeCell ref="FU2:FU3"/>
    <mergeCell ref="FV2:FV3"/>
    <mergeCell ref="FW2:FW3"/>
    <mergeCell ref="FX2:FX3"/>
    <mergeCell ref="FM2:FM3"/>
    <mergeCell ref="FN2:FN3"/>
    <mergeCell ref="FO2:FO3"/>
    <mergeCell ref="FP2:FP3"/>
    <mergeCell ref="FQ2:FQ3"/>
    <mergeCell ref="FR2:FR3"/>
    <mergeCell ref="GE2:GE3"/>
    <mergeCell ref="GF2:GF3"/>
    <mergeCell ref="GG2:GG3"/>
    <mergeCell ref="GH2:GH3"/>
    <mergeCell ref="GI2:GI3"/>
    <mergeCell ref="GJ2:GJ3"/>
    <mergeCell ref="FY2:FY3"/>
    <mergeCell ref="FZ2:FZ3"/>
    <mergeCell ref="GA2:GA3"/>
    <mergeCell ref="GB2:GB3"/>
    <mergeCell ref="GC2:GC3"/>
    <mergeCell ref="GD2:GD3"/>
    <mergeCell ref="GQ2:GQ3"/>
    <mergeCell ref="GR2:GR3"/>
    <mergeCell ref="GS2:GS3"/>
    <mergeCell ref="GT2:GT3"/>
    <mergeCell ref="GU2:GU3"/>
    <mergeCell ref="GV2:GV3"/>
    <mergeCell ref="GK2:GK3"/>
    <mergeCell ref="GL2:GL3"/>
    <mergeCell ref="GM2:GM3"/>
    <mergeCell ref="GN2:GN3"/>
    <mergeCell ref="GO2:GO3"/>
    <mergeCell ref="GP2:GP3"/>
    <mergeCell ref="HC2:HC3"/>
    <mergeCell ref="HD2:HD3"/>
    <mergeCell ref="HE2:HE3"/>
    <mergeCell ref="HF2:HF3"/>
    <mergeCell ref="HG2:HG3"/>
    <mergeCell ref="HH2:HH3"/>
    <mergeCell ref="GW2:GW3"/>
    <mergeCell ref="GX2:GX3"/>
    <mergeCell ref="GY2:GY3"/>
    <mergeCell ref="GZ2:GZ3"/>
    <mergeCell ref="HA2:HA3"/>
    <mergeCell ref="HB2:HB3"/>
    <mergeCell ref="HO2:HO3"/>
    <mergeCell ref="HP2:HP3"/>
    <mergeCell ref="HQ2:HQ3"/>
    <mergeCell ref="HR2:HR3"/>
    <mergeCell ref="HS2:HS3"/>
    <mergeCell ref="HT2:HT3"/>
    <mergeCell ref="HI2:HI3"/>
    <mergeCell ref="HJ2:HJ3"/>
    <mergeCell ref="HK2:HK3"/>
    <mergeCell ref="HL2:HL3"/>
    <mergeCell ref="HM2:HM3"/>
    <mergeCell ref="HN2:HN3"/>
    <mergeCell ref="IA2:IA3"/>
    <mergeCell ref="IB2:IB3"/>
    <mergeCell ref="IC2:IC3"/>
    <mergeCell ref="ID2:ID3"/>
    <mergeCell ref="IE2:IE3"/>
    <mergeCell ref="IF2:IF3"/>
    <mergeCell ref="HU2:HU3"/>
    <mergeCell ref="HV2:HV3"/>
    <mergeCell ref="HW2:HW3"/>
    <mergeCell ref="HX2:HX3"/>
    <mergeCell ref="HY2:HY3"/>
    <mergeCell ref="HZ2:HZ3"/>
    <mergeCell ref="IM2:IM3"/>
    <mergeCell ref="IN2:IN3"/>
    <mergeCell ref="IO2:IO3"/>
    <mergeCell ref="IP2:IP3"/>
    <mergeCell ref="IQ2:IQ3"/>
    <mergeCell ref="IR2:IR3"/>
    <mergeCell ref="IG2:IG3"/>
    <mergeCell ref="IH2:IH3"/>
    <mergeCell ref="II2:II3"/>
    <mergeCell ref="IJ2:IJ3"/>
    <mergeCell ref="IK2:IK3"/>
    <mergeCell ref="IL2:IL3"/>
    <mergeCell ref="IY2:IY3"/>
    <mergeCell ref="IZ2:IZ3"/>
    <mergeCell ref="JA2:JA3"/>
    <mergeCell ref="JB2:JB3"/>
    <mergeCell ref="JC2:JC3"/>
    <mergeCell ref="JD2:JD3"/>
    <mergeCell ref="IS2:IS3"/>
    <mergeCell ref="IT2:IT3"/>
    <mergeCell ref="IU2:IU3"/>
    <mergeCell ref="IV2:IV3"/>
    <mergeCell ref="IW2:IW3"/>
    <mergeCell ref="IX2:IX3"/>
    <mergeCell ref="JK2:JK3"/>
    <mergeCell ref="JL2:JL3"/>
    <mergeCell ref="JM2:JM3"/>
    <mergeCell ref="JN2:JN3"/>
    <mergeCell ref="JO2:JO3"/>
    <mergeCell ref="JP2:JP3"/>
    <mergeCell ref="JE2:JE3"/>
    <mergeCell ref="JF2:JF3"/>
    <mergeCell ref="JG2:JG3"/>
    <mergeCell ref="JH2:JH3"/>
    <mergeCell ref="JI2:JI3"/>
    <mergeCell ref="JJ2:JJ3"/>
    <mergeCell ref="JW2:JW3"/>
    <mergeCell ref="JX2:JX3"/>
    <mergeCell ref="JY2:JY3"/>
    <mergeCell ref="JZ2:JZ3"/>
    <mergeCell ref="KA2:KA3"/>
    <mergeCell ref="JQ2:JQ3"/>
    <mergeCell ref="JR2:JR3"/>
    <mergeCell ref="JS2:JS3"/>
    <mergeCell ref="JT2:JT3"/>
    <mergeCell ref="JU2:JU3"/>
    <mergeCell ref="JV2:JV3"/>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633E1-84E2-49C8-BD7A-DA88527782E2}">
  <dimension ref="A1:CH93"/>
  <sheetViews>
    <sheetView topLeftCell="BP1" workbookViewId="0">
      <selection activeCell="A4" sqref="A4:BQ29"/>
    </sheetView>
  </sheetViews>
  <sheetFormatPr defaultRowHeight="13.2"/>
  <cols>
    <col min="1" max="1" width="3.33203125" style="93" bestFit="1" customWidth="1"/>
    <col min="2" max="2" width="7.77734375" style="93" bestFit="1" customWidth="1"/>
    <col min="3" max="3" width="16.109375" style="93" bestFit="1" customWidth="1"/>
    <col min="4" max="4" width="10.109375" style="161" bestFit="1" customWidth="1"/>
    <col min="5" max="5" width="13.109375" style="93" bestFit="1" customWidth="1"/>
    <col min="6" max="8" width="8.88671875" style="93"/>
    <col min="9" max="9" width="8.88671875" style="162"/>
    <col min="10" max="49" width="8.88671875" style="93"/>
    <col min="50" max="50" width="8.88671875" style="161"/>
    <col min="51" max="54" width="8.88671875" style="93"/>
    <col min="55" max="56" width="8.88671875" style="162"/>
    <col min="57" max="66" width="8.88671875" style="93"/>
    <col min="67" max="67" width="13.77734375" style="93" bestFit="1" customWidth="1"/>
    <col min="68" max="68" width="8.88671875" style="93"/>
    <col min="69" max="69" width="45" style="93" bestFit="1" customWidth="1"/>
    <col min="70" max="70" width="11" style="93" bestFit="1" customWidth="1"/>
    <col min="71" max="16384" width="8.88671875" style="93"/>
  </cols>
  <sheetData>
    <row r="1" spans="1:86" ht="13.8">
      <c r="A1" s="155" t="s">
        <v>141</v>
      </c>
      <c r="B1" s="152"/>
      <c r="C1" s="152"/>
      <c r="D1" s="152"/>
      <c r="E1" s="152"/>
      <c r="F1" s="155" t="s">
        <v>830</v>
      </c>
      <c r="G1" s="152"/>
      <c r="H1" s="152"/>
      <c r="I1" s="152"/>
      <c r="J1" s="152"/>
      <c r="K1" s="152"/>
      <c r="L1" s="152"/>
      <c r="M1" s="152"/>
      <c r="N1" s="152"/>
      <c r="O1" s="152"/>
      <c r="P1" s="152"/>
      <c r="Q1" s="152"/>
      <c r="R1" s="152"/>
      <c r="S1" s="152"/>
      <c r="T1" s="152"/>
      <c r="U1" s="152"/>
      <c r="V1" s="155" t="s">
        <v>861</v>
      </c>
      <c r="W1" s="152"/>
      <c r="X1" s="152"/>
      <c r="Y1" s="152"/>
      <c r="Z1" s="152"/>
      <c r="AA1" s="152"/>
      <c r="AB1" s="152"/>
      <c r="AC1" s="152"/>
      <c r="AD1" s="152"/>
      <c r="AE1" s="152"/>
      <c r="AF1" s="152"/>
      <c r="AG1" s="152"/>
      <c r="AH1" s="152"/>
      <c r="AI1" s="152"/>
      <c r="AJ1" s="152"/>
      <c r="AK1" s="152"/>
      <c r="AL1" s="152"/>
      <c r="AM1" s="152"/>
      <c r="AN1" s="152"/>
      <c r="AO1" s="152"/>
      <c r="AP1" s="155" t="s">
        <v>882</v>
      </c>
      <c r="AQ1" s="152"/>
      <c r="AR1" s="152"/>
      <c r="AS1" s="152"/>
      <c r="AT1" s="152"/>
      <c r="AU1" s="152"/>
      <c r="AV1" s="152"/>
      <c r="AW1" s="152"/>
      <c r="AX1" s="152"/>
      <c r="AY1" s="152"/>
      <c r="AZ1" s="152"/>
      <c r="BA1" s="152"/>
      <c r="BB1" s="152"/>
      <c r="BC1" s="152"/>
      <c r="BD1" s="152"/>
      <c r="BE1" s="152"/>
      <c r="BF1" s="152"/>
      <c r="BG1" s="152"/>
      <c r="BH1" s="152"/>
      <c r="BI1" s="152"/>
      <c r="BJ1" s="152"/>
      <c r="BK1" s="152"/>
      <c r="BL1" s="152"/>
      <c r="BM1" s="152"/>
      <c r="BN1" s="152"/>
      <c r="BO1" s="152"/>
      <c r="BP1" s="152"/>
      <c r="BQ1" s="152"/>
      <c r="BR1" s="152"/>
      <c r="BS1" s="152"/>
      <c r="BT1" s="152"/>
      <c r="BU1" s="152"/>
      <c r="BV1" s="152"/>
      <c r="BW1" s="152"/>
      <c r="BX1" s="152"/>
      <c r="BY1" s="152"/>
      <c r="BZ1" s="152"/>
      <c r="CA1" s="152"/>
      <c r="CB1" s="152"/>
      <c r="CC1" s="170"/>
      <c r="CD1" s="170"/>
      <c r="CE1" s="170"/>
      <c r="CF1" s="170"/>
      <c r="CG1" s="152"/>
      <c r="CH1" s="152"/>
    </row>
    <row r="2" spans="1:86">
      <c r="A2" s="153" t="s">
        <v>142</v>
      </c>
      <c r="B2" s="153" t="s">
        <v>143</v>
      </c>
      <c r="C2" s="153" t="s">
        <v>144</v>
      </c>
      <c r="D2" s="156" t="s">
        <v>145</v>
      </c>
      <c r="E2" s="153" t="s">
        <v>146</v>
      </c>
      <c r="F2" s="153" t="s">
        <v>353</v>
      </c>
      <c r="G2" s="153" t="s">
        <v>354</v>
      </c>
      <c r="H2" s="153" t="s">
        <v>355</v>
      </c>
      <c r="I2" s="154" t="s">
        <v>356</v>
      </c>
      <c r="J2" s="153" t="s">
        <v>349</v>
      </c>
      <c r="K2" s="153" t="s">
        <v>366</v>
      </c>
      <c r="L2" s="153" t="s">
        <v>350</v>
      </c>
      <c r="M2" s="153" t="s">
        <v>367</v>
      </c>
      <c r="N2" s="153" t="s">
        <v>831</v>
      </c>
      <c r="O2" s="153" t="s">
        <v>832</v>
      </c>
      <c r="P2" s="153" t="s">
        <v>833</v>
      </c>
      <c r="Q2" s="153" t="s">
        <v>834</v>
      </c>
      <c r="R2" s="153" t="s">
        <v>362</v>
      </c>
      <c r="S2" s="153" t="s">
        <v>363</v>
      </c>
      <c r="T2" s="153" t="s">
        <v>364</v>
      </c>
      <c r="U2" s="153" t="s">
        <v>365</v>
      </c>
      <c r="V2" s="153" t="s">
        <v>860</v>
      </c>
      <c r="W2" s="153" t="s">
        <v>862</v>
      </c>
      <c r="X2" s="153" t="s">
        <v>863</v>
      </c>
      <c r="Y2" s="153" t="s">
        <v>864</v>
      </c>
      <c r="Z2" s="153" t="s">
        <v>865</v>
      </c>
      <c r="AA2" s="153" t="s">
        <v>866</v>
      </c>
      <c r="AB2" s="153" t="s">
        <v>867</v>
      </c>
      <c r="AC2" s="153" t="s">
        <v>868</v>
      </c>
      <c r="AD2" s="153" t="s">
        <v>869</v>
      </c>
      <c r="AE2" s="153" t="s">
        <v>870</v>
      </c>
      <c r="AF2" s="153" t="s">
        <v>871</v>
      </c>
      <c r="AG2" s="153" t="s">
        <v>872</v>
      </c>
      <c r="AH2" s="153" t="s">
        <v>873</v>
      </c>
      <c r="AI2" s="153" t="s">
        <v>874</v>
      </c>
      <c r="AJ2" s="153" t="s">
        <v>875</v>
      </c>
      <c r="AK2" s="153" t="s">
        <v>876</v>
      </c>
      <c r="AL2" s="153" t="s">
        <v>877</v>
      </c>
      <c r="AM2" s="153" t="s">
        <v>878</v>
      </c>
      <c r="AN2" s="153" t="s">
        <v>879</v>
      </c>
      <c r="AO2" s="153" t="s">
        <v>880</v>
      </c>
      <c r="AP2" s="153" t="s">
        <v>881</v>
      </c>
      <c r="AQ2" s="153" t="s">
        <v>883</v>
      </c>
      <c r="AR2" s="153" t="s">
        <v>884</v>
      </c>
      <c r="AS2" s="153" t="s">
        <v>885</v>
      </c>
      <c r="AT2" s="153" t="s">
        <v>886</v>
      </c>
      <c r="AU2" s="153" t="s">
        <v>887</v>
      </c>
      <c r="AV2" s="153" t="s">
        <v>389</v>
      </c>
      <c r="AW2" s="153" t="s">
        <v>888</v>
      </c>
      <c r="AX2" s="156" t="s">
        <v>171</v>
      </c>
      <c r="AY2" s="153" t="s">
        <v>889</v>
      </c>
      <c r="AZ2" s="153" t="s">
        <v>890</v>
      </c>
      <c r="BA2" s="153" t="s">
        <v>891</v>
      </c>
      <c r="BB2" s="153" t="s">
        <v>892</v>
      </c>
      <c r="BC2" s="154" t="s">
        <v>893</v>
      </c>
      <c r="BD2" s="154" t="s">
        <v>894</v>
      </c>
      <c r="BE2" s="153" t="s">
        <v>895</v>
      </c>
      <c r="BF2" s="153" t="s">
        <v>896</v>
      </c>
      <c r="BG2" s="153" t="s">
        <v>897</v>
      </c>
      <c r="BH2" s="153" t="s">
        <v>898</v>
      </c>
      <c r="BI2" s="153" t="s">
        <v>899</v>
      </c>
      <c r="BJ2" s="153" t="s">
        <v>900</v>
      </c>
      <c r="BK2" s="153" t="s">
        <v>901</v>
      </c>
      <c r="BL2" s="153" t="s">
        <v>902</v>
      </c>
      <c r="BM2" s="153" t="s">
        <v>903</v>
      </c>
      <c r="BN2" s="153" t="s">
        <v>904</v>
      </c>
      <c r="BO2" s="153" t="s">
        <v>905</v>
      </c>
      <c r="BP2" s="153" t="s">
        <v>906</v>
      </c>
      <c r="BQ2" s="153" t="s">
        <v>907</v>
      </c>
      <c r="BR2" s="164">
        <v>0.5</v>
      </c>
      <c r="CB2" s="159"/>
      <c r="CC2" s="153" t="s">
        <v>913</v>
      </c>
      <c r="CD2" s="153" t="s">
        <v>914</v>
      </c>
      <c r="CE2" s="153" t="s">
        <v>915</v>
      </c>
      <c r="CF2" s="153" t="s">
        <v>916</v>
      </c>
      <c r="CG2" s="159"/>
    </row>
    <row r="3" spans="1:86" ht="52.5" customHeight="1">
      <c r="A3" s="140"/>
      <c r="B3" s="140"/>
      <c r="C3" s="140"/>
      <c r="D3" s="148"/>
      <c r="E3" s="140"/>
      <c r="F3" s="140"/>
      <c r="G3" s="140"/>
      <c r="H3" s="140"/>
      <c r="I3" s="145"/>
      <c r="J3" s="140"/>
      <c r="K3" s="140"/>
      <c r="L3" s="140"/>
      <c r="M3" s="140"/>
      <c r="N3" s="140"/>
      <c r="O3" s="140"/>
      <c r="P3" s="140"/>
      <c r="Q3" s="140"/>
      <c r="R3" s="140"/>
      <c r="S3" s="140"/>
      <c r="T3" s="140"/>
      <c r="U3" s="140"/>
      <c r="V3" s="140"/>
      <c r="W3" s="140"/>
      <c r="X3" s="140"/>
      <c r="Y3" s="140"/>
      <c r="Z3" s="140"/>
      <c r="AA3" s="140"/>
      <c r="AB3" s="140"/>
      <c r="AC3" s="140"/>
      <c r="AD3" s="140"/>
      <c r="AE3" s="140"/>
      <c r="AF3" s="140"/>
      <c r="AG3" s="140"/>
      <c r="AH3" s="140"/>
      <c r="AI3" s="140"/>
      <c r="AJ3" s="140"/>
      <c r="AK3" s="140"/>
      <c r="AL3" s="140"/>
      <c r="AM3" s="140"/>
      <c r="AN3" s="140"/>
      <c r="AO3" s="140"/>
      <c r="AP3" s="140"/>
      <c r="AQ3" s="140"/>
      <c r="AR3" s="140"/>
      <c r="AS3" s="140"/>
      <c r="AT3" s="140"/>
      <c r="AU3" s="140"/>
      <c r="AV3" s="140"/>
      <c r="AW3" s="140"/>
      <c r="AX3" s="148"/>
      <c r="AY3" s="140"/>
      <c r="AZ3" s="140"/>
      <c r="BA3" s="140"/>
      <c r="BB3" s="140"/>
      <c r="BC3" s="145"/>
      <c r="BD3" s="145"/>
      <c r="BE3" s="140"/>
      <c r="BF3" s="140"/>
      <c r="BG3" s="140"/>
      <c r="BH3" s="140"/>
      <c r="BI3" s="140"/>
      <c r="BJ3" s="140"/>
      <c r="BK3" s="140"/>
      <c r="BL3" s="140"/>
      <c r="BM3" s="140"/>
      <c r="BN3" s="140"/>
      <c r="BO3" s="140"/>
      <c r="BP3" s="140"/>
      <c r="BQ3" s="140"/>
      <c r="BR3" s="166" t="s">
        <v>908</v>
      </c>
      <c r="CB3" s="160"/>
      <c r="CC3" s="140"/>
      <c r="CD3" s="140"/>
      <c r="CE3" s="140"/>
      <c r="CF3" s="140"/>
      <c r="CG3" s="160"/>
    </row>
    <row r="4" spans="1:86">
      <c r="A4" s="94" t="s">
        <v>626</v>
      </c>
      <c r="B4" s="94" t="s">
        <v>627</v>
      </c>
      <c r="C4" s="94" t="s">
        <v>628</v>
      </c>
      <c r="D4" s="95">
        <v>41541</v>
      </c>
      <c r="E4" s="94" t="s">
        <v>629</v>
      </c>
      <c r="F4" s="93" t="s">
        <v>630</v>
      </c>
      <c r="G4" s="93" t="s">
        <v>631</v>
      </c>
      <c r="H4" s="93">
        <v>0.80477247768666604</v>
      </c>
      <c r="I4" s="162" t="s">
        <v>270</v>
      </c>
      <c r="J4" s="93">
        <v>0.60750157991999998</v>
      </c>
      <c r="K4" s="93">
        <v>6.0750157991999995E-2</v>
      </c>
      <c r="L4" s="93">
        <v>5.48780487804878</v>
      </c>
      <c r="M4" s="93">
        <v>0.54878048780487798</v>
      </c>
      <c r="N4" s="93">
        <v>23.610664594430364</v>
      </c>
      <c r="O4" s="93">
        <v>6.8561798327244308</v>
      </c>
      <c r="P4" s="93">
        <v>4.0694622398512541</v>
      </c>
      <c r="Q4" s="93">
        <v>0.54391171643270031</v>
      </c>
      <c r="R4" s="93" t="s">
        <v>270</v>
      </c>
      <c r="S4" s="93" t="s">
        <v>270</v>
      </c>
      <c r="T4" s="93">
        <v>0</v>
      </c>
      <c r="U4" s="93">
        <v>2.0097376359084502</v>
      </c>
      <c r="V4" s="93" t="s">
        <v>270</v>
      </c>
      <c r="W4" s="93" t="s">
        <v>270</v>
      </c>
      <c r="X4" s="93" t="s">
        <v>270</v>
      </c>
      <c r="Y4" s="93" t="s">
        <v>270</v>
      </c>
      <c r="Z4" s="93" t="s">
        <v>270</v>
      </c>
      <c r="AA4" s="93" t="s">
        <v>270</v>
      </c>
      <c r="AB4" s="93" t="s">
        <v>270</v>
      </c>
      <c r="AC4" s="93" t="s">
        <v>270</v>
      </c>
      <c r="AD4" s="93" t="s">
        <v>270</v>
      </c>
      <c r="AE4" s="93" t="s">
        <v>270</v>
      </c>
      <c r="AF4" s="93" t="s">
        <v>270</v>
      </c>
      <c r="AG4" s="93" t="s">
        <v>270</v>
      </c>
      <c r="AH4" s="93">
        <v>0.14840705965873327</v>
      </c>
      <c r="AI4" s="93">
        <v>1.4840705965873328E-2</v>
      </c>
      <c r="AJ4" s="93">
        <v>0.35446572235045765</v>
      </c>
      <c r="AK4" s="93">
        <v>0.12390467933588746</v>
      </c>
      <c r="AL4" s="93" t="s">
        <v>270</v>
      </c>
      <c r="AM4" s="93" t="s">
        <v>270</v>
      </c>
      <c r="AN4" s="93" t="s">
        <v>270</v>
      </c>
      <c r="AO4" s="93" t="s">
        <v>270</v>
      </c>
      <c r="AP4" s="93">
        <v>-6.8965517241379309E-2</v>
      </c>
      <c r="AQ4" s="93">
        <v>3.1347962382445145E-2</v>
      </c>
      <c r="AR4" s="93">
        <v>4.5101277117751E-8</v>
      </c>
      <c r="AS4" s="93">
        <v>1.384E-8</v>
      </c>
      <c r="AT4" s="93">
        <v>4.4477003383180896E-6</v>
      </c>
      <c r="AU4" s="93">
        <v>4.4477003383180903E-8</v>
      </c>
      <c r="AV4" s="93">
        <v>2.5373849131212002E-7</v>
      </c>
      <c r="AW4" s="93">
        <v>3.8060773696818E-9</v>
      </c>
      <c r="AX4" s="161">
        <v>41754</v>
      </c>
      <c r="AY4" s="93">
        <v>4.4127643785604958E-8</v>
      </c>
      <c r="AZ4" s="93">
        <v>1.4252844651072732E-8</v>
      </c>
      <c r="BA4" s="93">
        <v>2.1323982136820577E-8</v>
      </c>
      <c r="BB4" s="93">
        <v>7.4538693087358112E-9</v>
      </c>
      <c r="BC4" s="162">
        <v>99.791702360709095</v>
      </c>
      <c r="BD4" s="162">
        <v>0.41405822502785794</v>
      </c>
      <c r="BE4" s="93">
        <v>4.3822487123956642E-6</v>
      </c>
      <c r="BF4" s="93">
        <v>2.0726264804168174E-13</v>
      </c>
      <c r="BG4" s="93">
        <v>2.7927138739338435E-2</v>
      </c>
      <c r="BH4" s="93">
        <v>1.1732379241912134E-2</v>
      </c>
      <c r="BI4" s="93">
        <v>0.99003076514378618</v>
      </c>
      <c r="BJ4" s="93">
        <v>1.1615180791028775E-2</v>
      </c>
      <c r="BK4" s="93">
        <f>$CC$5</f>
        <v>4.4322825446866948E-8</v>
      </c>
      <c r="BL4" s="93">
        <f>1 * 10 ^ (INT(LOG10($BK$4)))</f>
        <v>1E-8</v>
      </c>
      <c r="BM4" s="93">
        <f>Helium3TU($AP$4,$AR$4,$AT$4,$BK$4,$N$4,$J$4,$L$4,$D$4,$AX$4,$BA$4)</f>
        <v>-33.472943920351412</v>
      </c>
      <c r="BN4" s="93">
        <f>Helium3TUerr($AQ$4,$AR$4,$AS$4,$AT$4,$AU$4,1,$BE$4,$BK$4,$J$4,$D$4,$AX$4)</f>
        <v>30.386716439716572</v>
      </c>
      <c r="BO4" s="93" t="str">
        <f>ReptHe3TU($BM$4,$BN$4,$BI$4*100)</f>
        <v>&lt;1</v>
      </c>
      <c r="BP4" s="93" t="str">
        <f>ReptHe3TUerr($BO$4,$BN$4)</f>
        <v>na</v>
      </c>
      <c r="BQ4" s="93" t="s">
        <v>920</v>
      </c>
      <c r="BR4" s="93" t="str">
        <f>TritiumCat($AP$4,$BR$2)</f>
        <v>Tritium Dead</v>
      </c>
      <c r="CB4" s="167" t="s">
        <v>909</v>
      </c>
      <c r="CC4" s="93" t="s">
        <v>270</v>
      </c>
      <c r="CD4" s="93" t="s">
        <v>270</v>
      </c>
      <c r="CE4" s="93" t="s">
        <v>270</v>
      </c>
      <c r="CF4" s="171">
        <v>0.1</v>
      </c>
    </row>
    <row r="5" spans="1:86">
      <c r="A5" s="94" t="s">
        <v>626</v>
      </c>
      <c r="B5" s="94" t="s">
        <v>627</v>
      </c>
      <c r="C5" s="94" t="s">
        <v>628</v>
      </c>
      <c r="D5" s="95">
        <v>41541</v>
      </c>
      <c r="E5" s="94" t="s">
        <v>629</v>
      </c>
      <c r="F5" s="93" t="s">
        <v>630</v>
      </c>
      <c r="G5" s="93" t="s">
        <v>631</v>
      </c>
      <c r="H5" s="93">
        <v>0.80477247768666604</v>
      </c>
      <c r="I5" s="162" t="s">
        <v>270</v>
      </c>
      <c r="J5" s="93">
        <v>0.60750157991999998</v>
      </c>
      <c r="K5" s="93">
        <v>6.0750157991999995E-2</v>
      </c>
      <c r="L5" s="93">
        <v>5.48780487804878</v>
      </c>
      <c r="M5" s="93">
        <v>0.54878048780487798</v>
      </c>
      <c r="N5" s="93">
        <v>23.610664594430364</v>
      </c>
      <c r="O5" s="93">
        <v>6.8561798327244308</v>
      </c>
      <c r="P5" s="93">
        <v>4.0694622398512541</v>
      </c>
      <c r="Q5" s="93">
        <v>0.54391171643270031</v>
      </c>
      <c r="R5" s="93" t="s">
        <v>270</v>
      </c>
      <c r="S5" s="93" t="s">
        <v>270</v>
      </c>
      <c r="T5" s="93">
        <v>0</v>
      </c>
      <c r="U5" s="93">
        <v>2.0097376359084502</v>
      </c>
      <c r="V5" s="93" t="s">
        <v>270</v>
      </c>
      <c r="W5" s="93" t="s">
        <v>270</v>
      </c>
      <c r="X5" s="93" t="s">
        <v>270</v>
      </c>
      <c r="Y5" s="93" t="s">
        <v>270</v>
      </c>
      <c r="Z5" s="93" t="s">
        <v>270</v>
      </c>
      <c r="AA5" s="93" t="s">
        <v>270</v>
      </c>
      <c r="AB5" s="93" t="s">
        <v>270</v>
      </c>
      <c r="AC5" s="93" t="s">
        <v>270</v>
      </c>
      <c r="AD5" s="93" t="s">
        <v>270</v>
      </c>
      <c r="AE5" s="93" t="s">
        <v>270</v>
      </c>
      <c r="AF5" s="93" t="s">
        <v>270</v>
      </c>
      <c r="AG5" s="93" t="s">
        <v>270</v>
      </c>
      <c r="AH5" s="93">
        <v>0.15118975408655308</v>
      </c>
      <c r="AI5" s="93">
        <v>1.5118975408655309E-2</v>
      </c>
      <c r="AJ5" s="93">
        <v>0.36111210287107387</v>
      </c>
      <c r="AK5" s="93">
        <v>0.1262279438865202</v>
      </c>
      <c r="AL5" s="93" t="s">
        <v>270</v>
      </c>
      <c r="AM5" s="93" t="s">
        <v>270</v>
      </c>
      <c r="AN5" s="93" t="s">
        <v>270</v>
      </c>
      <c r="AO5" s="93" t="s">
        <v>270</v>
      </c>
      <c r="AP5" s="93">
        <v>-6.8965517241379309E-2</v>
      </c>
      <c r="AQ5" s="93">
        <v>3.1347962382445145E-2</v>
      </c>
      <c r="AR5" s="93">
        <v>4.5101277117751E-8</v>
      </c>
      <c r="AS5" s="93">
        <v>1.384E-8</v>
      </c>
      <c r="AT5" s="93">
        <v>4.4477003383180896E-6</v>
      </c>
      <c r="AU5" s="93">
        <v>4.4477003383180903E-8</v>
      </c>
      <c r="AV5" s="93">
        <v>2.5373849131212002E-7</v>
      </c>
      <c r="AW5" s="93">
        <v>3.8060773696818E-9</v>
      </c>
      <c r="AX5" s="161">
        <v>41754</v>
      </c>
      <c r="AY5" s="93">
        <v>4.4127643785604958E-8</v>
      </c>
      <c r="AZ5" s="93">
        <v>1.4252844651072732E-8</v>
      </c>
      <c r="BA5" s="93">
        <v>2.1323982136820577E-8</v>
      </c>
      <c r="BB5" s="93">
        <v>7.4538693087358112E-9</v>
      </c>
      <c r="BC5" s="162">
        <v>99.791702360709095</v>
      </c>
      <c r="BD5" s="162">
        <v>0.41405822502785794</v>
      </c>
      <c r="BE5" s="93">
        <v>4.3822487123956642E-6</v>
      </c>
      <c r="BF5" s="93">
        <v>2.0726264804168174E-13</v>
      </c>
      <c r="BG5" s="93">
        <v>2.7927138739338435E-2</v>
      </c>
      <c r="BH5" s="93">
        <v>1.1732379241912134E-2</v>
      </c>
      <c r="BI5" s="93">
        <v>0.99003076514378618</v>
      </c>
      <c r="BJ5" s="93">
        <v>1.1615180791028775E-2</v>
      </c>
      <c r="BK5" s="93">
        <f>$CC$5</f>
        <v>4.4322825446866948E-8</v>
      </c>
      <c r="BL5" s="93">
        <f>1 * 10 ^ (INT(LOG10($BK$5)))</f>
        <v>1E-8</v>
      </c>
      <c r="BM5" s="93">
        <f>Helium3TU($AP$5,$AR$5,$AT$5,$BK$5,$N$5,$J$5,$L$5,$D$5,$AX$5,$BA$5)</f>
        <v>-33.472943920351412</v>
      </c>
      <c r="BN5" s="93">
        <f>Helium3TUerr($AQ$5,$AR$5,$AS$5,$AT$5,$AU$5,1,$BE$5,$BK$5,$J$5,$D$5,$AX$5)</f>
        <v>30.386716439716572</v>
      </c>
      <c r="BO5" s="93" t="str">
        <f>ReptHe3TU($BM$5,$BN$5,$BI$5*100)</f>
        <v>&lt;1</v>
      </c>
      <c r="BP5" s="93" t="str">
        <f>ReptHe3TUerr($BO$5,$BN$5)</f>
        <v>na</v>
      </c>
      <c r="BQ5" s="93" t="s">
        <v>920</v>
      </c>
      <c r="BR5" s="93" t="str">
        <f>TritiumCat($AP$5,$BR$2)</f>
        <v>Tritium Dead</v>
      </c>
      <c r="CB5" s="167" t="s">
        <v>910</v>
      </c>
      <c r="CC5" s="169">
        <f>HeTerrEstimate($BR$4:$BR$93,$BI$4:$BI$93,$BG$4:$BG$93)</f>
        <v>4.4322825446866948E-8</v>
      </c>
      <c r="CD5" s="93">
        <v>2E-8</v>
      </c>
      <c r="CE5" s="93">
        <v>1.0380000000000001E-5</v>
      </c>
      <c r="CF5" s="93">
        <f>(1-$CF$4)*$CD$5+$CF$4*$CE$5</f>
        <v>1.0560000000000001E-6</v>
      </c>
    </row>
    <row r="6" spans="1:86">
      <c r="A6" s="94" t="s">
        <v>626</v>
      </c>
      <c r="B6" s="94" t="s">
        <v>627</v>
      </c>
      <c r="C6" s="94" t="s">
        <v>628</v>
      </c>
      <c r="D6" s="95">
        <v>41541</v>
      </c>
      <c r="E6" s="94" t="s">
        <v>635</v>
      </c>
      <c r="F6" s="93" t="s">
        <v>630</v>
      </c>
      <c r="G6" s="93" t="s">
        <v>631</v>
      </c>
      <c r="H6" s="93">
        <v>1.1362658029419817</v>
      </c>
      <c r="I6" s="162" t="s">
        <v>270</v>
      </c>
      <c r="J6" s="93">
        <v>0.60750157991999998</v>
      </c>
      <c r="K6" s="93">
        <v>6.0750157991999995E-2</v>
      </c>
      <c r="L6" s="93">
        <v>5.48780487804878</v>
      </c>
      <c r="M6" s="93">
        <v>0.54878048780487798</v>
      </c>
      <c r="N6" s="93">
        <v>24.771653331522945</v>
      </c>
      <c r="O6" s="93">
        <v>7.0117201550685602</v>
      </c>
      <c r="P6" s="93">
        <v>4.151276565406798</v>
      </c>
      <c r="Q6" s="93">
        <v>0.54183641229979407</v>
      </c>
      <c r="R6" s="93" t="s">
        <v>270</v>
      </c>
      <c r="S6" s="93" t="s">
        <v>270</v>
      </c>
      <c r="T6" s="93">
        <v>0</v>
      </c>
      <c r="U6" s="93">
        <v>1.9622407290640105</v>
      </c>
      <c r="V6" s="93" t="s">
        <v>270</v>
      </c>
      <c r="W6" s="93" t="s">
        <v>270</v>
      </c>
      <c r="X6" s="93" t="s">
        <v>270</v>
      </c>
      <c r="Y6" s="93" t="s">
        <v>270</v>
      </c>
      <c r="Z6" s="93" t="s">
        <v>270</v>
      </c>
      <c r="AA6" s="93" t="s">
        <v>270</v>
      </c>
      <c r="AB6" s="93" t="s">
        <v>270</v>
      </c>
      <c r="AC6" s="93" t="s">
        <v>270</v>
      </c>
      <c r="AD6" s="93" t="s">
        <v>270</v>
      </c>
      <c r="AE6" s="93" t="s">
        <v>270</v>
      </c>
      <c r="AF6" s="93" t="s">
        <v>270</v>
      </c>
      <c r="AG6" s="93" t="s">
        <v>270</v>
      </c>
      <c r="AH6" s="93">
        <v>0.14840705965873327</v>
      </c>
      <c r="AI6" s="93">
        <v>1.4840705965873328E-2</v>
      </c>
      <c r="AJ6" s="93">
        <v>0.35877706258368686</v>
      </c>
      <c r="AK6" s="93">
        <v>0.1228023626521063</v>
      </c>
      <c r="AL6" s="93" t="s">
        <v>270</v>
      </c>
      <c r="AM6" s="93" t="s">
        <v>270</v>
      </c>
      <c r="AN6" s="93" t="s">
        <v>270</v>
      </c>
      <c r="AO6" s="93" t="s">
        <v>270</v>
      </c>
      <c r="AP6" s="93">
        <v>-6.8965517241379309E-2</v>
      </c>
      <c r="AQ6" s="93">
        <v>3.1347962382445145E-2</v>
      </c>
      <c r="AR6" s="93">
        <v>4.5101277117751E-8</v>
      </c>
      <c r="AS6" s="93">
        <v>1.384E-8</v>
      </c>
      <c r="AT6" s="93">
        <v>4.4477003383180896E-6</v>
      </c>
      <c r="AU6" s="93">
        <v>4.4477003383180903E-8</v>
      </c>
      <c r="AV6" s="93">
        <v>2.5373849131212002E-7</v>
      </c>
      <c r="AW6" s="93">
        <v>3.8060773696818E-9</v>
      </c>
      <c r="AX6" s="161">
        <v>41754</v>
      </c>
      <c r="AY6" s="93">
        <v>4.3988249352985972E-8</v>
      </c>
      <c r="AZ6" s="93">
        <v>1.3918626697398122E-8</v>
      </c>
      <c r="BA6" s="93">
        <v>2.1752689202731625E-8</v>
      </c>
      <c r="BB6" s="93">
        <v>7.4455195348763798E-9</v>
      </c>
      <c r="BC6" s="162">
        <v>100.11110134498169</v>
      </c>
      <c r="BD6" s="162">
        <v>0.42587362236435378</v>
      </c>
      <c r="BE6" s="93">
        <v>4.3819593997623724E-6</v>
      </c>
      <c r="BF6" s="93">
        <v>2.06806561580258E-13</v>
      </c>
      <c r="BG6" s="93">
        <v>2.7832981607382953E-2</v>
      </c>
      <c r="BH6" s="93">
        <v>1.1732786160917278E-2</v>
      </c>
      <c r="BI6" s="93">
        <v>0.99006129428316691</v>
      </c>
      <c r="BJ6" s="93">
        <v>1.1614796269311977E-2</v>
      </c>
      <c r="BK6" s="93">
        <f>$CC$5</f>
        <v>4.4322825446866948E-8</v>
      </c>
      <c r="BL6" s="93">
        <f>1 * 10 ^ (INT(LOG10($BK$6)))</f>
        <v>1E-8</v>
      </c>
      <c r="BM6" s="93">
        <f>Helium3TU($AP$6,$AR$6,$AT$6,$BK$6,$N$6,$J$6,$L$6,$D$6,$AX$6,$BA$6)</f>
        <v>-33.632438903186582</v>
      </c>
      <c r="BN6" s="93">
        <f>Helium3TUerr($AQ$6,$AR$6,$AS$6,$AT$6,$AU$6,1,$BE$6,$BK$6,$J$6,$D$6,$AX$6)</f>
        <v>30.38604170201922</v>
      </c>
      <c r="BO6" s="93" t="str">
        <f>ReptHe3TU($BM$6,$BN$6,$BI$6*100)</f>
        <v>&lt;1</v>
      </c>
      <c r="BP6" s="93" t="str">
        <f>ReptHe3TUerr($BO$6,$BN$6)</f>
        <v>na</v>
      </c>
      <c r="BQ6" s="93" t="s">
        <v>920</v>
      </c>
      <c r="BR6" s="93" t="str">
        <f>TritiumCat($AP$6,$BR$2)</f>
        <v>Tritium Dead</v>
      </c>
      <c r="CB6" s="167" t="s">
        <v>911</v>
      </c>
      <c r="CC6" s="93">
        <f>$CC$5/0.000001384</f>
        <v>3.202516289513508E-2</v>
      </c>
      <c r="CD6" s="93">
        <f>$CD$5/0.000001384</f>
        <v>1.4450867052023121E-2</v>
      </c>
      <c r="CE6" s="93">
        <f>$CE$5/0.000001384</f>
        <v>7.5</v>
      </c>
      <c r="CF6" s="93">
        <f>$CF$5/0.000001384</f>
        <v>0.76300578034682087</v>
      </c>
    </row>
    <row r="7" spans="1:86">
      <c r="A7" s="94" t="s">
        <v>626</v>
      </c>
      <c r="B7" s="94" t="s">
        <v>627</v>
      </c>
      <c r="C7" s="94" t="s">
        <v>628</v>
      </c>
      <c r="D7" s="95">
        <v>41541</v>
      </c>
      <c r="E7" s="94" t="s">
        <v>635</v>
      </c>
      <c r="F7" s="93" t="s">
        <v>630</v>
      </c>
      <c r="G7" s="93" t="s">
        <v>631</v>
      </c>
      <c r="H7" s="93">
        <v>1.1362658029419817</v>
      </c>
      <c r="I7" s="162" t="s">
        <v>270</v>
      </c>
      <c r="J7" s="93">
        <v>0.60750157991999998</v>
      </c>
      <c r="K7" s="93">
        <v>6.0750157991999995E-2</v>
      </c>
      <c r="L7" s="93">
        <v>5.48780487804878</v>
      </c>
      <c r="M7" s="93">
        <v>0.54878048780487798</v>
      </c>
      <c r="N7" s="93">
        <v>24.771653331522945</v>
      </c>
      <c r="O7" s="93">
        <v>7.0117201550685602</v>
      </c>
      <c r="P7" s="93">
        <v>4.151276565406798</v>
      </c>
      <c r="Q7" s="93">
        <v>0.54183641229979407</v>
      </c>
      <c r="R7" s="93" t="s">
        <v>270</v>
      </c>
      <c r="S7" s="93" t="s">
        <v>270</v>
      </c>
      <c r="T7" s="93">
        <v>0</v>
      </c>
      <c r="U7" s="93">
        <v>1.9622407290640105</v>
      </c>
      <c r="V7" s="93" t="s">
        <v>270</v>
      </c>
      <c r="W7" s="93" t="s">
        <v>270</v>
      </c>
      <c r="X7" s="93" t="s">
        <v>270</v>
      </c>
      <c r="Y7" s="93" t="s">
        <v>270</v>
      </c>
      <c r="Z7" s="93" t="s">
        <v>270</v>
      </c>
      <c r="AA7" s="93" t="s">
        <v>270</v>
      </c>
      <c r="AB7" s="93" t="s">
        <v>270</v>
      </c>
      <c r="AC7" s="93" t="s">
        <v>270</v>
      </c>
      <c r="AD7" s="93" t="s">
        <v>270</v>
      </c>
      <c r="AE7" s="93" t="s">
        <v>270</v>
      </c>
      <c r="AF7" s="93" t="s">
        <v>270</v>
      </c>
      <c r="AG7" s="93" t="s">
        <v>270</v>
      </c>
      <c r="AH7" s="93">
        <v>0.15118975408655308</v>
      </c>
      <c r="AI7" s="93">
        <v>1.5118975408655309E-2</v>
      </c>
      <c r="AJ7" s="93">
        <v>0.36550428253654466</v>
      </c>
      <c r="AK7" s="93">
        <v>0.12510495830396359</v>
      </c>
      <c r="AL7" s="93" t="s">
        <v>270</v>
      </c>
      <c r="AM7" s="93" t="s">
        <v>270</v>
      </c>
      <c r="AN7" s="93" t="s">
        <v>270</v>
      </c>
      <c r="AO7" s="93" t="s">
        <v>270</v>
      </c>
      <c r="AP7" s="93">
        <v>-6.8965517241379309E-2</v>
      </c>
      <c r="AQ7" s="93">
        <v>3.1347962382445145E-2</v>
      </c>
      <c r="AR7" s="93">
        <v>4.5101277117751E-8</v>
      </c>
      <c r="AS7" s="93">
        <v>1.384E-8</v>
      </c>
      <c r="AT7" s="93">
        <v>4.4477003383180896E-6</v>
      </c>
      <c r="AU7" s="93">
        <v>4.4477003383180903E-8</v>
      </c>
      <c r="AV7" s="93">
        <v>2.5373849131212002E-7</v>
      </c>
      <c r="AW7" s="93">
        <v>3.8060773696818E-9</v>
      </c>
      <c r="AX7" s="161">
        <v>41754</v>
      </c>
      <c r="AY7" s="93">
        <v>4.3988249352985972E-8</v>
      </c>
      <c r="AZ7" s="93">
        <v>1.3918626697398122E-8</v>
      </c>
      <c r="BA7" s="93">
        <v>2.1752689202731625E-8</v>
      </c>
      <c r="BB7" s="93">
        <v>7.4455195348763798E-9</v>
      </c>
      <c r="BC7" s="162">
        <v>100.11110134498169</v>
      </c>
      <c r="BD7" s="162">
        <v>0.42587362236435378</v>
      </c>
      <c r="BE7" s="93">
        <v>4.3819593997623724E-6</v>
      </c>
      <c r="BF7" s="93">
        <v>2.06806561580258E-13</v>
      </c>
      <c r="BG7" s="93">
        <v>2.7832981607382953E-2</v>
      </c>
      <c r="BH7" s="93">
        <v>1.1732786160917278E-2</v>
      </c>
      <c r="BI7" s="93">
        <v>0.99006129428316691</v>
      </c>
      <c r="BJ7" s="93">
        <v>1.1614796269311977E-2</v>
      </c>
      <c r="BK7" s="93">
        <f>$CC$5</f>
        <v>4.4322825446866948E-8</v>
      </c>
      <c r="BL7" s="93">
        <f>1 * 10 ^ (INT(LOG10($BK$7)))</f>
        <v>1E-8</v>
      </c>
      <c r="BM7" s="93">
        <f>Helium3TU($AP$7,$AR$7,$AT$7,$BK$7,$N$7,$J$7,$L$7,$D$7,$AX$7,$BA$7)</f>
        <v>-33.632438903186582</v>
      </c>
      <c r="BN7" s="93">
        <f>Helium3TUerr($AQ$7,$AR$7,$AS$7,$AT$7,$AU$7,1,$BE$7,$BK$7,$J$7,$D$7,$AX$7)</f>
        <v>30.38604170201922</v>
      </c>
      <c r="BO7" s="93" t="str">
        <f>ReptHe3TU($BM$7,$BN$7,$BI$7*100)</f>
        <v>&lt;1</v>
      </c>
      <c r="BP7" s="93" t="str">
        <f>ReptHe3TUerr($BO$7,$BN$7)</f>
        <v>na</v>
      </c>
      <c r="BQ7" s="93" t="s">
        <v>920</v>
      </c>
      <c r="BR7" s="93" t="str">
        <f>TritiumCat($AP$7,$BR$2)</f>
        <v>Tritium Dead</v>
      </c>
      <c r="CB7" s="167" t="s">
        <v>912</v>
      </c>
      <c r="CC7" s="93">
        <v>0</v>
      </c>
      <c r="CD7" s="93">
        <v>0</v>
      </c>
      <c r="CE7" s="93">
        <v>0</v>
      </c>
      <c r="CF7" s="93">
        <v>0</v>
      </c>
    </row>
    <row r="8" spans="1:86">
      <c r="A8" s="94" t="s">
        <v>626</v>
      </c>
      <c r="B8" s="94" t="s">
        <v>627</v>
      </c>
      <c r="C8" s="94" t="s">
        <v>637</v>
      </c>
      <c r="D8" s="95">
        <v>41541</v>
      </c>
      <c r="E8" s="94" t="s">
        <v>638</v>
      </c>
      <c r="F8" s="93" t="s">
        <v>630</v>
      </c>
      <c r="G8" s="93" t="s">
        <v>631</v>
      </c>
      <c r="H8" s="93">
        <v>8.4645861094695158E-26</v>
      </c>
      <c r="I8" s="162" t="s">
        <v>270</v>
      </c>
      <c r="J8" s="93">
        <v>0.60581683578000001</v>
      </c>
      <c r="K8" s="93">
        <v>6.0581683577999999E-2</v>
      </c>
      <c r="L8" s="93">
        <v>9.1463414634146307</v>
      </c>
      <c r="M8" s="93">
        <v>0.91463414634146312</v>
      </c>
      <c r="N8" s="93">
        <v>15.427332234696777</v>
      </c>
      <c r="O8" s="93">
        <v>5.7812858694894356</v>
      </c>
      <c r="P8" s="93">
        <v>3.2256100774440539</v>
      </c>
      <c r="Q8" s="93">
        <v>0.56451547424541204</v>
      </c>
      <c r="R8" s="93" t="s">
        <v>270</v>
      </c>
      <c r="S8" s="93" t="s">
        <v>270</v>
      </c>
      <c r="T8" s="93">
        <v>2.3726134914221597E-2</v>
      </c>
      <c r="U8" s="93">
        <v>2.3475884382667993</v>
      </c>
      <c r="V8" s="93" t="s">
        <v>270</v>
      </c>
      <c r="W8" s="93" t="s">
        <v>270</v>
      </c>
      <c r="X8" s="93" t="s">
        <v>270</v>
      </c>
      <c r="Y8" s="93" t="s">
        <v>270</v>
      </c>
      <c r="Z8" s="93" t="s">
        <v>270</v>
      </c>
      <c r="AA8" s="93" t="s">
        <v>270</v>
      </c>
      <c r="AB8" s="93" t="s">
        <v>270</v>
      </c>
      <c r="AC8" s="93" t="s">
        <v>270</v>
      </c>
      <c r="AD8" s="93" t="s">
        <v>270</v>
      </c>
      <c r="AE8" s="93" t="s">
        <v>270</v>
      </c>
      <c r="AF8" s="93" t="s">
        <v>270</v>
      </c>
      <c r="AG8" s="93" t="s">
        <v>270</v>
      </c>
      <c r="AH8" s="93">
        <v>0.26633935680232101</v>
      </c>
      <c r="AI8" s="93">
        <v>2.6633935680232104E-2</v>
      </c>
      <c r="AJ8" s="93">
        <v>0.58000313083525179</v>
      </c>
      <c r="AK8" s="93">
        <v>0.25352243217305931</v>
      </c>
      <c r="AL8" s="93" t="s">
        <v>270</v>
      </c>
      <c r="AM8" s="93" t="s">
        <v>270</v>
      </c>
      <c r="AN8" s="93" t="s">
        <v>270</v>
      </c>
      <c r="AO8" s="93" t="s">
        <v>270</v>
      </c>
      <c r="AP8" s="93">
        <v>1.8808777429467086E-2</v>
      </c>
      <c r="AQ8" s="93">
        <v>3.1347962382445145E-2</v>
      </c>
      <c r="AR8" s="93">
        <v>6.6790404693956095E-8</v>
      </c>
      <c r="AS8" s="93">
        <v>1.384E-8</v>
      </c>
      <c r="AT8" s="93">
        <v>1.9146646739520499E-6</v>
      </c>
      <c r="AU8" s="93">
        <v>1.91466467395205E-8</v>
      </c>
      <c r="AV8" s="93">
        <v>2.49842150704935E-7</v>
      </c>
      <c r="AW8" s="93">
        <v>3.7476322605740302E-9</v>
      </c>
      <c r="AX8" s="161">
        <v>41752</v>
      </c>
      <c r="AY8" s="93">
        <v>4.5257558585542248E-8</v>
      </c>
      <c r="AZ8" s="93">
        <v>1.8127466932327779E-8</v>
      </c>
      <c r="BA8" s="93">
        <v>1.6902196805806846E-8</v>
      </c>
      <c r="BB8" s="93">
        <v>7.3880395043816277E-9</v>
      </c>
      <c r="BC8" s="162">
        <v>41.305964656336968</v>
      </c>
      <c r="BD8" s="162">
        <v>0.30667900378159274</v>
      </c>
      <c r="BE8" s="93">
        <v>1.8525049185607008E-6</v>
      </c>
      <c r="BF8" s="93">
        <v>5.072557188041148E-14</v>
      </c>
      <c r="BG8" s="93">
        <v>3.9782396259910875E-2</v>
      </c>
      <c r="BH8" s="93">
        <v>1.3914048036855817E-2</v>
      </c>
      <c r="BI8" s="93">
        <v>0.97615217918430863</v>
      </c>
      <c r="BJ8" s="93">
        <v>1.3648647875026254E-2</v>
      </c>
      <c r="BK8" s="93">
        <f>$CC$5</f>
        <v>4.4322825446866948E-8</v>
      </c>
      <c r="BL8" s="93">
        <f>1 * 10 ^ (INT(LOG10($BK$8)))</f>
        <v>1E-8</v>
      </c>
      <c r="BM8" s="93">
        <f>Helium3TU($AP$8,$AR$8,$AT$8,$BK$8,$N$8,$J$8,$L$8,$D$8,$AX$8,$BA$8)</f>
        <v>-15.767763586677031</v>
      </c>
      <c r="BN8" s="93">
        <f>Helium3TUerr($AQ$8,$AR$8,$AS$8,$AT$8,$AU$8,1,$BE$8,$BK$8,$J$8,$D$8,$AX$8)</f>
        <v>13.003345934139327</v>
      </c>
      <c r="BO8" s="93" t="str">
        <f>ReptHe3TU($BM$8,$BN$8,$BI$8*100)</f>
        <v>&lt;1</v>
      </c>
      <c r="BP8" s="93" t="str">
        <f>ReptHe3TUerr($BO$8,$BN$8)</f>
        <v>na</v>
      </c>
      <c r="BQ8" s="93" t="s">
        <v>920</v>
      </c>
      <c r="BR8" s="93" t="str">
        <f>TritiumCat($AP$8,$BR$2)</f>
        <v>Tritium Dead</v>
      </c>
    </row>
    <row r="9" spans="1:86">
      <c r="A9" s="94" t="s">
        <v>626</v>
      </c>
      <c r="B9" s="94" t="s">
        <v>627</v>
      </c>
      <c r="C9" s="94" t="s">
        <v>637</v>
      </c>
      <c r="D9" s="95">
        <v>41541</v>
      </c>
      <c r="E9" s="94" t="s">
        <v>638</v>
      </c>
      <c r="F9" s="93" t="s">
        <v>630</v>
      </c>
      <c r="G9" s="93" t="s">
        <v>631</v>
      </c>
      <c r="H9" s="93">
        <v>8.4645861094695158E-26</v>
      </c>
      <c r="I9" s="162" t="s">
        <v>270</v>
      </c>
      <c r="J9" s="93">
        <v>0.60581683578000001</v>
      </c>
      <c r="K9" s="93">
        <v>6.0581683577999999E-2</v>
      </c>
      <c r="L9" s="93">
        <v>9.1463414634146307</v>
      </c>
      <c r="M9" s="93">
        <v>0.91463414634146312</v>
      </c>
      <c r="N9" s="93">
        <v>15.427332234696777</v>
      </c>
      <c r="O9" s="93">
        <v>5.7812858694894356</v>
      </c>
      <c r="P9" s="93">
        <v>3.2256100774440539</v>
      </c>
      <c r="Q9" s="93">
        <v>0.56451547424541204</v>
      </c>
      <c r="R9" s="93" t="s">
        <v>270</v>
      </c>
      <c r="S9" s="93" t="s">
        <v>270</v>
      </c>
      <c r="T9" s="93">
        <v>2.3726134914221597E-2</v>
      </c>
      <c r="U9" s="93">
        <v>2.3475884382667993</v>
      </c>
      <c r="V9" s="93" t="s">
        <v>270</v>
      </c>
      <c r="W9" s="93" t="s">
        <v>270</v>
      </c>
      <c r="X9" s="93" t="s">
        <v>270</v>
      </c>
      <c r="Y9" s="93" t="s">
        <v>270</v>
      </c>
      <c r="Z9" s="93" t="s">
        <v>270</v>
      </c>
      <c r="AA9" s="93" t="s">
        <v>270</v>
      </c>
      <c r="AB9" s="93" t="s">
        <v>270</v>
      </c>
      <c r="AC9" s="93" t="s">
        <v>270</v>
      </c>
      <c r="AD9" s="93" t="s">
        <v>270</v>
      </c>
      <c r="AE9" s="93" t="s">
        <v>270</v>
      </c>
      <c r="AF9" s="93" t="s">
        <v>270</v>
      </c>
      <c r="AG9" s="93" t="s">
        <v>270</v>
      </c>
      <c r="AH9" s="93">
        <v>0.23460878655163234</v>
      </c>
      <c r="AI9" s="93">
        <v>2.3460878655163234E-2</v>
      </c>
      <c r="AJ9" s="93">
        <v>0.51090395484585127</v>
      </c>
      <c r="AK9" s="93">
        <v>0.22331881735332645</v>
      </c>
      <c r="AL9" s="93" t="s">
        <v>270</v>
      </c>
      <c r="AM9" s="93" t="s">
        <v>270</v>
      </c>
      <c r="AN9" s="93" t="s">
        <v>270</v>
      </c>
      <c r="AO9" s="93" t="s">
        <v>270</v>
      </c>
      <c r="AP9" s="93">
        <v>1.8808777429467086E-2</v>
      </c>
      <c r="AQ9" s="93">
        <v>3.1347962382445145E-2</v>
      </c>
      <c r="AR9" s="93">
        <v>6.6790404693956095E-8</v>
      </c>
      <c r="AS9" s="93">
        <v>1.384E-8</v>
      </c>
      <c r="AT9" s="93">
        <v>1.9146646739520499E-6</v>
      </c>
      <c r="AU9" s="93">
        <v>1.91466467395205E-8</v>
      </c>
      <c r="AV9" s="93">
        <v>2.49842150704935E-7</v>
      </c>
      <c r="AW9" s="93">
        <v>3.7476322605740302E-9</v>
      </c>
      <c r="AX9" s="161">
        <v>41752</v>
      </c>
      <c r="AY9" s="93">
        <v>4.5257558585542248E-8</v>
      </c>
      <c r="AZ9" s="93">
        <v>1.8127466932327779E-8</v>
      </c>
      <c r="BA9" s="93">
        <v>1.6902196805806846E-8</v>
      </c>
      <c r="BB9" s="93">
        <v>7.3880395043816277E-9</v>
      </c>
      <c r="BC9" s="162">
        <v>41.305964656336968</v>
      </c>
      <c r="BD9" s="162">
        <v>0.30667900378159274</v>
      </c>
      <c r="BE9" s="93">
        <v>1.8525049185607008E-6</v>
      </c>
      <c r="BF9" s="93">
        <v>5.072557188041148E-14</v>
      </c>
      <c r="BG9" s="93">
        <v>3.9782396259910875E-2</v>
      </c>
      <c r="BH9" s="93">
        <v>1.3914048036855817E-2</v>
      </c>
      <c r="BI9" s="93">
        <v>0.97615217918430863</v>
      </c>
      <c r="BJ9" s="93">
        <v>1.3648647875026254E-2</v>
      </c>
      <c r="BK9" s="93">
        <f>$CC$5</f>
        <v>4.4322825446866948E-8</v>
      </c>
      <c r="BL9" s="93">
        <f>1 * 10 ^ (INT(LOG10($BK$9)))</f>
        <v>1E-8</v>
      </c>
      <c r="BM9" s="93">
        <f>Helium3TU($AP$9,$AR$9,$AT$9,$BK$9,$N$9,$J$9,$L$9,$D$9,$AX$9,$BA$9)</f>
        <v>-15.767763586677031</v>
      </c>
      <c r="BN9" s="93">
        <f>Helium3TUerr($AQ$9,$AR$9,$AS$9,$AT$9,$AU$9,1,$BE$9,$BK$9,$J$9,$D$9,$AX$9)</f>
        <v>13.003345934139327</v>
      </c>
      <c r="BO9" s="93" t="str">
        <f>ReptHe3TU($BM$9,$BN$9,$BI$9*100)</f>
        <v>&lt;1</v>
      </c>
      <c r="BP9" s="93" t="str">
        <f>ReptHe3TUerr($BO$9,$BN$9)</f>
        <v>na</v>
      </c>
      <c r="BQ9" s="93" t="s">
        <v>920</v>
      </c>
      <c r="BR9" s="93" t="str">
        <f>TritiumCat($AP$9,$BR$2)</f>
        <v>Tritium Dead</v>
      </c>
      <c r="CB9" s="153" t="s">
        <v>899</v>
      </c>
      <c r="CC9" s="153" t="s">
        <v>917</v>
      </c>
      <c r="CD9" s="153" t="s">
        <v>917</v>
      </c>
      <c r="CE9" s="153" t="s">
        <v>917</v>
      </c>
      <c r="CF9" s="153" t="s">
        <v>917</v>
      </c>
      <c r="CG9" s="153"/>
    </row>
    <row r="10" spans="1:86">
      <c r="A10" s="94" t="s">
        <v>626</v>
      </c>
      <c r="B10" s="94" t="s">
        <v>627</v>
      </c>
      <c r="C10" s="94" t="s">
        <v>637</v>
      </c>
      <c r="D10" s="95">
        <v>41541</v>
      </c>
      <c r="E10" s="94" t="s">
        <v>640</v>
      </c>
      <c r="F10" s="93" t="s">
        <v>630</v>
      </c>
      <c r="G10" s="93" t="s">
        <v>631</v>
      </c>
      <c r="H10" s="93">
        <v>1.026420989975446E-24</v>
      </c>
      <c r="I10" s="162" t="s">
        <v>270</v>
      </c>
      <c r="J10" s="93">
        <v>0.60581683578000001</v>
      </c>
      <c r="K10" s="93">
        <v>6.0581683577999999E-2</v>
      </c>
      <c r="L10" s="93">
        <v>9.1463414634146307</v>
      </c>
      <c r="M10" s="93">
        <v>0.91463414634146312</v>
      </c>
      <c r="N10" s="93">
        <v>13.768578640869395</v>
      </c>
      <c r="O10" s="93">
        <v>5.5839354642770092</v>
      </c>
      <c r="P10" s="93">
        <v>3.0741039925765734</v>
      </c>
      <c r="Q10" s="93">
        <v>0.57177494749860613</v>
      </c>
      <c r="R10" s="93" t="s">
        <v>270</v>
      </c>
      <c r="S10" s="93" t="s">
        <v>270</v>
      </c>
      <c r="T10" s="93">
        <v>0.43387851642663172</v>
      </c>
      <c r="U10" s="93">
        <v>2.4384493042604469</v>
      </c>
      <c r="V10" s="93" t="s">
        <v>270</v>
      </c>
      <c r="W10" s="93" t="s">
        <v>270</v>
      </c>
      <c r="X10" s="93" t="s">
        <v>270</v>
      </c>
      <c r="Y10" s="93" t="s">
        <v>270</v>
      </c>
      <c r="Z10" s="93" t="s">
        <v>270</v>
      </c>
      <c r="AA10" s="93" t="s">
        <v>270</v>
      </c>
      <c r="AB10" s="93" t="s">
        <v>270</v>
      </c>
      <c r="AC10" s="93" t="s">
        <v>270</v>
      </c>
      <c r="AD10" s="93" t="s">
        <v>270</v>
      </c>
      <c r="AE10" s="93" t="s">
        <v>270</v>
      </c>
      <c r="AF10" s="93" t="s">
        <v>270</v>
      </c>
      <c r="AG10" s="93" t="s">
        <v>270</v>
      </c>
      <c r="AH10" s="93">
        <v>0.26633935680232101</v>
      </c>
      <c r="AI10" s="93">
        <v>2.6633935680232104E-2</v>
      </c>
      <c r="AJ10" s="93">
        <v>0.56308597513459957</v>
      </c>
      <c r="AK10" s="93">
        <v>0.26355250587706514</v>
      </c>
      <c r="AL10" s="93" t="s">
        <v>270</v>
      </c>
      <c r="AM10" s="93" t="s">
        <v>270</v>
      </c>
      <c r="AN10" s="93" t="s">
        <v>270</v>
      </c>
      <c r="AO10" s="93" t="s">
        <v>270</v>
      </c>
      <c r="AP10" s="93">
        <v>1.8808777429467086E-2</v>
      </c>
      <c r="AQ10" s="93">
        <v>3.1347962382445145E-2</v>
      </c>
      <c r="AR10" s="93">
        <v>6.6790404693956095E-8</v>
      </c>
      <c r="AS10" s="93">
        <v>1.384E-8</v>
      </c>
      <c r="AT10" s="93">
        <v>1.9146646739520499E-6</v>
      </c>
      <c r="AU10" s="93">
        <v>1.91466467395205E-8</v>
      </c>
      <c r="AV10" s="93">
        <v>2.49842150704935E-7</v>
      </c>
      <c r="AW10" s="93">
        <v>3.7476322605740302E-9</v>
      </c>
      <c r="AX10" s="161">
        <v>41752</v>
      </c>
      <c r="AY10" s="93">
        <v>4.553631453645487E-8</v>
      </c>
      <c r="AZ10" s="93">
        <v>1.9558152429913324E-8</v>
      </c>
      <c r="BA10" s="93">
        <v>1.6108304921101252E-8</v>
      </c>
      <c r="BB10" s="93">
        <v>7.539495414307349E-9</v>
      </c>
      <c r="BC10" s="162">
        <v>41.04698367539676</v>
      </c>
      <c r="BD10" s="162">
        <v>0.28812271704417869</v>
      </c>
      <c r="BE10" s="93">
        <v>1.8530200544944938E-6</v>
      </c>
      <c r="BF10" s="93">
        <v>5.2606172134510166E-14</v>
      </c>
      <c r="BG10" s="93">
        <v>4.0183916626491317E-2</v>
      </c>
      <c r="BH10" s="93">
        <v>1.3979222085385608E-2</v>
      </c>
      <c r="BI10" s="93">
        <v>0.97601532624427989</v>
      </c>
      <c r="BJ10" s="93">
        <v>1.3718888817516097E-2</v>
      </c>
      <c r="BK10" s="93">
        <f>$CC$5</f>
        <v>4.4322825446866948E-8</v>
      </c>
      <c r="BL10" s="93">
        <f>1 * 10 ^ (INT(LOG10($BK$10)))</f>
        <v>1E-8</v>
      </c>
      <c r="BM10" s="93">
        <f>Helium3TU($AP$10,$AR$10,$AT$10,$BK$10,$N$10,$J$10,$L$10,$D$10,$AX$10,$BA$10)</f>
        <v>-15.484083588954704</v>
      </c>
      <c r="BN10" s="93">
        <f>Helium3TUerr($AQ$10,$AR$10,$AS$10,$AT$10,$AU$10,1,$BE$10,$BK$10,$J$10,$D$10,$AX$10)</f>
        <v>13.00453287487475</v>
      </c>
      <c r="BO10" s="93" t="str">
        <f>ReptHe3TU($BM$10,$BN$10,$BI$10*100)</f>
        <v>&lt;1</v>
      </c>
      <c r="BP10" s="93" t="str">
        <f>ReptHe3TUerr($BO$10,$BN$10)</f>
        <v>na</v>
      </c>
      <c r="BQ10" s="93" t="s">
        <v>920</v>
      </c>
      <c r="BR10" s="93" t="str">
        <f>TritiumCat($AP$10,$BR$2)</f>
        <v>Tritium Dead</v>
      </c>
      <c r="CB10" s="165"/>
      <c r="CC10" s="165"/>
      <c r="CD10" s="165"/>
      <c r="CE10" s="165"/>
      <c r="CF10" s="165"/>
      <c r="CG10" s="165"/>
    </row>
    <row r="11" spans="1:86">
      <c r="A11" s="94" t="s">
        <v>626</v>
      </c>
      <c r="B11" s="94" t="s">
        <v>627</v>
      </c>
      <c r="C11" s="94" t="s">
        <v>637</v>
      </c>
      <c r="D11" s="95">
        <v>41541</v>
      </c>
      <c r="E11" s="94" t="s">
        <v>640</v>
      </c>
      <c r="F11" s="93" t="s">
        <v>630</v>
      </c>
      <c r="G11" s="93" t="s">
        <v>631</v>
      </c>
      <c r="H11" s="93">
        <v>1.026420989975446E-24</v>
      </c>
      <c r="I11" s="162" t="s">
        <v>270</v>
      </c>
      <c r="J11" s="93">
        <v>0.60581683578000001</v>
      </c>
      <c r="K11" s="93">
        <v>6.0581683577999999E-2</v>
      </c>
      <c r="L11" s="93">
        <v>9.1463414634146307</v>
      </c>
      <c r="M11" s="93">
        <v>0.91463414634146312</v>
      </c>
      <c r="N11" s="93">
        <v>13.768578640869395</v>
      </c>
      <c r="O11" s="93">
        <v>5.5839354642770092</v>
      </c>
      <c r="P11" s="93">
        <v>3.0741039925765734</v>
      </c>
      <c r="Q11" s="93">
        <v>0.57177494749860613</v>
      </c>
      <c r="R11" s="93" t="s">
        <v>270</v>
      </c>
      <c r="S11" s="93" t="s">
        <v>270</v>
      </c>
      <c r="T11" s="93">
        <v>0.43387851642663172</v>
      </c>
      <c r="U11" s="93">
        <v>2.4384493042604469</v>
      </c>
      <c r="V11" s="93" t="s">
        <v>270</v>
      </c>
      <c r="W11" s="93" t="s">
        <v>270</v>
      </c>
      <c r="X11" s="93" t="s">
        <v>270</v>
      </c>
      <c r="Y11" s="93" t="s">
        <v>270</v>
      </c>
      <c r="Z11" s="93" t="s">
        <v>270</v>
      </c>
      <c r="AA11" s="93" t="s">
        <v>270</v>
      </c>
      <c r="AB11" s="93" t="s">
        <v>270</v>
      </c>
      <c r="AC11" s="93" t="s">
        <v>270</v>
      </c>
      <c r="AD11" s="93" t="s">
        <v>270</v>
      </c>
      <c r="AE11" s="93" t="s">
        <v>270</v>
      </c>
      <c r="AF11" s="93" t="s">
        <v>270</v>
      </c>
      <c r="AG11" s="93" t="s">
        <v>270</v>
      </c>
      <c r="AH11" s="93">
        <v>0.23460878655163234</v>
      </c>
      <c r="AI11" s="93">
        <v>2.3460878655163234E-2</v>
      </c>
      <c r="AJ11" s="93">
        <v>0.49600223916069691</v>
      </c>
      <c r="AK11" s="93">
        <v>0.23215394952820342</v>
      </c>
      <c r="AL11" s="93" t="s">
        <v>270</v>
      </c>
      <c r="AM11" s="93" t="s">
        <v>270</v>
      </c>
      <c r="AN11" s="93" t="s">
        <v>270</v>
      </c>
      <c r="AO11" s="93" t="s">
        <v>270</v>
      </c>
      <c r="AP11" s="93">
        <v>1.8808777429467086E-2</v>
      </c>
      <c r="AQ11" s="93">
        <v>3.1347962382445145E-2</v>
      </c>
      <c r="AR11" s="93">
        <v>6.6790404693956095E-8</v>
      </c>
      <c r="AS11" s="93">
        <v>1.384E-8</v>
      </c>
      <c r="AT11" s="93">
        <v>1.9146646739520499E-6</v>
      </c>
      <c r="AU11" s="93">
        <v>1.91466467395205E-8</v>
      </c>
      <c r="AV11" s="93">
        <v>2.49842150704935E-7</v>
      </c>
      <c r="AW11" s="93">
        <v>3.7476322605740302E-9</v>
      </c>
      <c r="AX11" s="161">
        <v>41752</v>
      </c>
      <c r="AY11" s="93">
        <v>4.553631453645487E-8</v>
      </c>
      <c r="AZ11" s="93">
        <v>1.9558152429913324E-8</v>
      </c>
      <c r="BA11" s="93">
        <v>1.6108304921101252E-8</v>
      </c>
      <c r="BB11" s="93">
        <v>7.539495414307349E-9</v>
      </c>
      <c r="BC11" s="162">
        <v>41.04698367539676</v>
      </c>
      <c r="BD11" s="162">
        <v>0.28812271704417869</v>
      </c>
      <c r="BE11" s="93">
        <v>1.8530200544944938E-6</v>
      </c>
      <c r="BF11" s="93">
        <v>5.2606172134510166E-14</v>
      </c>
      <c r="BG11" s="93">
        <v>4.0183916626491317E-2</v>
      </c>
      <c r="BH11" s="93">
        <v>1.3979222085385608E-2</v>
      </c>
      <c r="BI11" s="93">
        <v>0.97601532624427989</v>
      </c>
      <c r="BJ11" s="93">
        <v>1.3718888817516097E-2</v>
      </c>
      <c r="BK11" s="93">
        <f>$CC$5</f>
        <v>4.4322825446866948E-8</v>
      </c>
      <c r="BL11" s="93">
        <f>1 * 10 ^ (INT(LOG10($BK$11)))</f>
        <v>1E-8</v>
      </c>
      <c r="BM11" s="93">
        <f>Helium3TU($AP$11,$AR$11,$AT$11,$BK$11,$N$11,$J$11,$L$11,$D$11,$AX$11,$BA$11)</f>
        <v>-15.484083588954704</v>
      </c>
      <c r="BN11" s="93">
        <f>Helium3TUerr($AQ$11,$AR$11,$AS$11,$AT$11,$AU$11,1,$BE$11,$BK$11,$J$11,$D$11,$AX$11)</f>
        <v>13.00453287487475</v>
      </c>
      <c r="BO11" s="93" t="str">
        <f>ReptHe3TU($BM$11,$BN$11,$BI$11*100)</f>
        <v>&lt;1</v>
      </c>
      <c r="BP11" s="93" t="str">
        <f>ReptHe3TUerr($BO$11,$BN$11)</f>
        <v>na</v>
      </c>
      <c r="BQ11" s="93" t="s">
        <v>920</v>
      </c>
      <c r="BR11" s="93" t="str">
        <f>TritiumCat($AP$11,$BR$2)</f>
        <v>Tritium Dead</v>
      </c>
      <c r="CB11" s="165"/>
      <c r="CC11" s="165"/>
      <c r="CD11" s="165"/>
      <c r="CE11" s="165"/>
      <c r="CF11" s="165"/>
      <c r="CG11" s="165"/>
    </row>
    <row r="12" spans="1:86">
      <c r="A12" s="94" t="s">
        <v>626</v>
      </c>
      <c r="B12" s="94" t="s">
        <v>627</v>
      </c>
      <c r="C12" s="94" t="s">
        <v>642</v>
      </c>
      <c r="D12" s="95">
        <v>41493</v>
      </c>
      <c r="E12" s="94" t="s">
        <v>643</v>
      </c>
      <c r="F12" s="93" t="s">
        <v>630</v>
      </c>
      <c r="G12" s="93" t="s">
        <v>631</v>
      </c>
      <c r="H12" s="93">
        <v>3.176913473826568E-22</v>
      </c>
      <c r="I12" s="162" t="s">
        <v>270</v>
      </c>
      <c r="J12" s="93">
        <v>0.27351300200000001</v>
      </c>
      <c r="K12" s="93">
        <v>2.7351300200000001E-2</v>
      </c>
      <c r="L12" s="93">
        <v>32.317073170731703</v>
      </c>
      <c r="M12" s="93">
        <v>3.2317073170731705</v>
      </c>
      <c r="N12" s="93">
        <v>12.235194849771506</v>
      </c>
      <c r="O12" s="93">
        <v>0.63552001464497554</v>
      </c>
      <c r="P12" s="93">
        <v>2.4641938112003907</v>
      </c>
      <c r="Q12" s="93">
        <v>0.55703606754867618</v>
      </c>
      <c r="R12" s="93" t="s">
        <v>270</v>
      </c>
      <c r="S12" s="93" t="s">
        <v>270</v>
      </c>
      <c r="T12" s="93">
        <v>0.6</v>
      </c>
      <c r="U12" s="93">
        <v>0.31622776601683794</v>
      </c>
      <c r="V12" s="93" t="s">
        <v>270</v>
      </c>
      <c r="W12" s="93" t="s">
        <v>270</v>
      </c>
      <c r="X12" s="93" t="s">
        <v>270</v>
      </c>
      <c r="Y12" s="93" t="s">
        <v>270</v>
      </c>
      <c r="Z12" s="93" t="s">
        <v>270</v>
      </c>
      <c r="AA12" s="93" t="s">
        <v>270</v>
      </c>
      <c r="AB12" s="93" t="s">
        <v>270</v>
      </c>
      <c r="AC12" s="93" t="s">
        <v>270</v>
      </c>
      <c r="AD12" s="93" t="s">
        <v>270</v>
      </c>
      <c r="AE12" s="93" t="s">
        <v>270</v>
      </c>
      <c r="AF12" s="93" t="s">
        <v>270</v>
      </c>
      <c r="AG12" s="93" t="s">
        <v>270</v>
      </c>
      <c r="AH12" s="93" t="s">
        <v>270</v>
      </c>
      <c r="AI12" s="93" t="s">
        <v>270</v>
      </c>
      <c r="AJ12" s="93" t="s">
        <v>270</v>
      </c>
      <c r="AK12" s="93" t="s">
        <v>270</v>
      </c>
      <c r="AL12" s="93" t="s">
        <v>270</v>
      </c>
      <c r="AM12" s="93" t="s">
        <v>270</v>
      </c>
      <c r="AN12" s="93" t="s">
        <v>270</v>
      </c>
      <c r="AO12" s="93" t="s">
        <v>270</v>
      </c>
      <c r="AP12" s="93">
        <v>-0.13479623824451412</v>
      </c>
      <c r="AQ12" s="93">
        <v>3.1347962382445145E-2</v>
      </c>
      <c r="AR12" s="93">
        <v>2.4399919999999992E-7</v>
      </c>
      <c r="AS12" s="93">
        <v>1.3839999999999944E-8</v>
      </c>
      <c r="AT12" s="93">
        <v>4.2249999999999998E-7</v>
      </c>
      <c r="AU12" s="93">
        <v>1.3999999999999999E-9</v>
      </c>
      <c r="AV12" s="93">
        <v>2.5260000000000003E-7</v>
      </c>
      <c r="AW12" s="93">
        <v>3E-10</v>
      </c>
      <c r="AX12" s="161">
        <v>41851</v>
      </c>
      <c r="AY12" s="93">
        <v>4.5767360224373328E-8</v>
      </c>
      <c r="AZ12" s="93">
        <v>6.895239364262201E-9</v>
      </c>
      <c r="BA12" s="93">
        <v>1.291237557069005E-8</v>
      </c>
      <c r="BB12" s="93">
        <v>3.5077365422281686E-9</v>
      </c>
      <c r="BC12" s="162">
        <v>8.231469718347407</v>
      </c>
      <c r="BD12" s="162">
        <v>0.28564376101090994</v>
      </c>
      <c r="BE12" s="93">
        <v>3.6382026420493659E-7</v>
      </c>
      <c r="BF12" s="93">
        <v>2.8602970149394779E-15</v>
      </c>
      <c r="BG12" s="93">
        <v>0.15033263596840915</v>
      </c>
      <c r="BH12" s="93">
        <v>1.7682757950943123E-2</v>
      </c>
      <c r="BI12" s="93">
        <v>0.88826003338042503</v>
      </c>
      <c r="BJ12" s="93">
        <v>1.0643256692378986E-2</v>
      </c>
      <c r="BK12" s="93">
        <f>$CC$5</f>
        <v>4.4322825446866948E-8</v>
      </c>
      <c r="BL12" s="93">
        <f>1 * 10 ^ (INT(LOG10($BK$12)))</f>
        <v>1E-8</v>
      </c>
      <c r="BM12" s="93">
        <f>Helium3TU($AP$12,$AR$12,$AT$12,$BK$12,$N$12,$J$12,$L$12,$D$12,$AX$12,$BA$12)</f>
        <v>2.7523486156757593</v>
      </c>
      <c r="BN12" s="93">
        <f>Helium3TUerr($AQ$12,$AR$12,$AS$12,$AT$12,$AU$12,1,$BE$12,$BK$12,$J$12,$D$12,$AX$12)</f>
        <v>2.7708598257109029</v>
      </c>
      <c r="BO12" s="93" t="str">
        <f>ReptHe3TU($BM$12,$BN$12,$BI$12*100)</f>
        <v>Not Quantifiable</v>
      </c>
      <c r="BP12" s="93" t="str">
        <f>ReptHe3TUerr($BO$12,$BN$12)</f>
        <v>na</v>
      </c>
      <c r="BQ12" s="93" t="s">
        <v>920</v>
      </c>
      <c r="BR12" s="93" t="str">
        <f>TritiumCat($AP$12,$BR$2)</f>
        <v>Tritium Dead</v>
      </c>
      <c r="CB12" s="93">
        <v>0</v>
      </c>
      <c r="CC12" s="93">
        <f>Weise_PlotLineY($CB$12,$CC$5,$CC$7,AVERAGE($AY$4:$AY$93))/0.000001384</f>
        <v>0.98299999999999998</v>
      </c>
      <c r="CD12" s="93">
        <f>Weise_PlotLineY($CB$12,$CD$5,$CD$7,AVERAGE($AY$4:$AY$93))/0.000001384</f>
        <v>0.98299999999999998</v>
      </c>
      <c r="CE12" s="93">
        <f>Weise_PlotLineY($CB$12,$CE$5,$CE$7,AVERAGE($AY$4:$AY$93))/0.000001384</f>
        <v>0.98299999999999998</v>
      </c>
      <c r="CF12" s="93">
        <f>Weise_PlotLineY($CB$12,$CF$5,$CF$7,AVERAGE($AY$4:$AY$93))/0.000001384</f>
        <v>0.98299999999999998</v>
      </c>
      <c r="CG12" s="168" t="s">
        <v>918</v>
      </c>
    </row>
    <row r="13" spans="1:86">
      <c r="A13" s="94" t="s">
        <v>626</v>
      </c>
      <c r="B13" s="94" t="s">
        <v>627</v>
      </c>
      <c r="C13" s="94" t="s">
        <v>642</v>
      </c>
      <c r="D13" s="95">
        <v>41493</v>
      </c>
      <c r="E13" s="94" t="s">
        <v>647</v>
      </c>
      <c r="F13" s="93" t="s">
        <v>630</v>
      </c>
      <c r="G13" s="93" t="s">
        <v>631</v>
      </c>
      <c r="H13" s="93">
        <v>2.0797335081525476E-22</v>
      </c>
      <c r="I13" s="162" t="s">
        <v>270</v>
      </c>
      <c r="J13" s="93">
        <v>0.27351300200000001</v>
      </c>
      <c r="K13" s="93">
        <v>2.7351300200000001E-2</v>
      </c>
      <c r="L13" s="93">
        <v>32.317073170731703</v>
      </c>
      <c r="M13" s="93">
        <v>3.2317073170731705</v>
      </c>
      <c r="N13" s="93">
        <v>12.343462207428638</v>
      </c>
      <c r="O13" s="93">
        <v>0.63819658399004797</v>
      </c>
      <c r="P13" s="93">
        <v>2.538992622376409</v>
      </c>
      <c r="Q13" s="93">
        <v>0.55704533671037149</v>
      </c>
      <c r="R13" s="93" t="s">
        <v>270</v>
      </c>
      <c r="S13" s="93" t="s">
        <v>270</v>
      </c>
      <c r="T13" s="93">
        <v>0.5</v>
      </c>
      <c r="U13" s="93">
        <v>0.31622776601683783</v>
      </c>
      <c r="V13" s="93" t="s">
        <v>270</v>
      </c>
      <c r="W13" s="93" t="s">
        <v>270</v>
      </c>
      <c r="X13" s="93" t="s">
        <v>270</v>
      </c>
      <c r="Y13" s="93" t="s">
        <v>270</v>
      </c>
      <c r="Z13" s="93" t="s">
        <v>270</v>
      </c>
      <c r="AA13" s="93" t="s">
        <v>270</v>
      </c>
      <c r="AB13" s="93" t="s">
        <v>270</v>
      </c>
      <c r="AC13" s="93" t="s">
        <v>270</v>
      </c>
      <c r="AD13" s="93" t="s">
        <v>270</v>
      </c>
      <c r="AE13" s="93" t="s">
        <v>270</v>
      </c>
      <c r="AF13" s="93" t="s">
        <v>270</v>
      </c>
      <c r="AG13" s="93" t="s">
        <v>270</v>
      </c>
      <c r="AH13" s="93" t="s">
        <v>270</v>
      </c>
      <c r="AI13" s="93" t="s">
        <v>270</v>
      </c>
      <c r="AJ13" s="93" t="s">
        <v>270</v>
      </c>
      <c r="AK13" s="93" t="s">
        <v>270</v>
      </c>
      <c r="AL13" s="93" t="s">
        <v>270</v>
      </c>
      <c r="AM13" s="93" t="s">
        <v>270</v>
      </c>
      <c r="AN13" s="93" t="s">
        <v>270</v>
      </c>
      <c r="AO13" s="93" t="s">
        <v>270</v>
      </c>
      <c r="AP13" s="93">
        <v>-0.13479623824451412</v>
      </c>
      <c r="AQ13" s="93">
        <v>3.1347962382445145E-2</v>
      </c>
      <c r="AR13" s="93">
        <v>2.4399919999999992E-7</v>
      </c>
      <c r="AS13" s="93">
        <v>1.3839999999999944E-8</v>
      </c>
      <c r="AT13" s="93">
        <v>4.2249999999999998E-7</v>
      </c>
      <c r="AU13" s="93">
        <v>1.3999999999999999E-9</v>
      </c>
      <c r="AV13" s="93">
        <v>2.5260000000000003E-7</v>
      </c>
      <c r="AW13" s="93">
        <v>3E-10</v>
      </c>
      <c r="AX13" s="161">
        <v>41851</v>
      </c>
      <c r="AY13" s="93">
        <v>4.5747312600119335E-8</v>
      </c>
      <c r="AZ13" s="93">
        <v>6.8884609921925556E-9</v>
      </c>
      <c r="BA13" s="93">
        <v>1.330432134125238E-8</v>
      </c>
      <c r="BB13" s="93">
        <v>3.5402475308871984E-9</v>
      </c>
      <c r="BC13" s="162">
        <v>8.235515180817373</v>
      </c>
      <c r="BD13" s="162">
        <v>0.28691055200599225</v>
      </c>
      <c r="BE13" s="93">
        <v>3.6344836605862828E-7</v>
      </c>
      <c r="BF13" s="93">
        <v>2.8605082932914234E-15</v>
      </c>
      <c r="BG13" s="93">
        <v>0.14951878651312925</v>
      </c>
      <c r="BH13" s="93">
        <v>1.7777074699746164E-2</v>
      </c>
      <c r="BI13" s="93">
        <v>0.88820199671024791</v>
      </c>
      <c r="BJ13" s="93">
        <v>1.0723323705569172E-2</v>
      </c>
      <c r="BK13" s="93">
        <f>$CC$5</f>
        <v>4.4322825446866948E-8</v>
      </c>
      <c r="BL13" s="93">
        <f>1 * 10 ^ (INT(LOG10($BK$13)))</f>
        <v>1E-8</v>
      </c>
      <c r="BM13" s="93">
        <f>Helium3TU($AP$13,$AR$13,$AT$13,$BK$13,$N$13,$J$13,$L$13,$D$13,$AX$13,$BA$13)</f>
        <v>2.5516346700734975</v>
      </c>
      <c r="BN13" s="93">
        <f>Helium3TUerr($AQ$13,$AR$13,$AS$13,$AT$13,$AU$13,1,$BE$13,$BK$13,$J$13,$D$13,$AX$13)</f>
        <v>2.7700709478649888</v>
      </c>
      <c r="BO13" s="93" t="str">
        <f>ReptHe3TU($BM$13,$BN$13,$BI$13*100)</f>
        <v>Not Quantifiable</v>
      </c>
      <c r="BP13" s="93" t="str">
        <f>ReptHe3TUerr($BO$13,$BN$13)</f>
        <v>na</v>
      </c>
      <c r="BQ13" s="93" t="s">
        <v>920</v>
      </c>
      <c r="BR13" s="93" t="str">
        <f>TritiumCat($AP$13,$BR$2)</f>
        <v>Tritium Dead</v>
      </c>
      <c r="CB13" s="93">
        <v>0.25</v>
      </c>
      <c r="CC13" s="93">
        <f>Weise_PlotLineY($CB$13,$CC$5,$CC$7,AVERAGE($AY$4:$AY$93))/0.000001384</f>
        <v>0.74525629072378385</v>
      </c>
      <c r="CD13" s="93">
        <f>Weise_PlotLineY($CB$13,$CD$5,$CD$7,AVERAGE($AY$4:$AY$93))/0.000001384</f>
        <v>0.74086271676300575</v>
      </c>
      <c r="CE13" s="93">
        <f>Weise_PlotLineY($CB$13,$CE$5,$CE$7,AVERAGE($AY$4:$AY$93))/0.000001384</f>
        <v>2.61225</v>
      </c>
      <c r="CF13" s="93">
        <f>Weise_PlotLineY($CB$13,$CF$5,$CF$7,AVERAGE($AY$4:$AY$93))/0.000001384</f>
        <v>0.92800144508670512</v>
      </c>
      <c r="CG13" s="163"/>
    </row>
    <row r="14" spans="1:86">
      <c r="A14" s="94" t="s">
        <v>626</v>
      </c>
      <c r="B14" s="94" t="s">
        <v>627</v>
      </c>
      <c r="C14" s="94" t="s">
        <v>649</v>
      </c>
      <c r="D14" s="95">
        <v>41508</v>
      </c>
      <c r="E14" s="94" t="s">
        <v>650</v>
      </c>
      <c r="F14" s="93" t="s">
        <v>630</v>
      </c>
      <c r="G14" s="93" t="s">
        <v>631</v>
      </c>
      <c r="H14" s="93">
        <v>2.7737479278449269E-25</v>
      </c>
      <c r="I14" s="162" t="s">
        <v>270</v>
      </c>
      <c r="J14" s="93">
        <v>0.70640354088000001</v>
      </c>
      <c r="K14" s="93">
        <v>7.0640354087999999E-2</v>
      </c>
      <c r="L14" s="93">
        <v>19.8170731707317</v>
      </c>
      <c r="M14" s="93">
        <v>1.98170731707317</v>
      </c>
      <c r="N14" s="93">
        <v>12.686004942733291</v>
      </c>
      <c r="O14" s="93">
        <v>0.16729321493758914</v>
      </c>
      <c r="P14" s="93">
        <v>1.7399696836991687</v>
      </c>
      <c r="Q14" s="93">
        <v>0.1437303899326601</v>
      </c>
      <c r="R14" s="93" t="s">
        <v>270</v>
      </c>
      <c r="S14" s="93" t="s">
        <v>270</v>
      </c>
      <c r="T14" s="93">
        <v>0.10000000000000002</v>
      </c>
      <c r="U14" s="93">
        <v>8.1649658092772595E-2</v>
      </c>
      <c r="V14" s="93" t="s">
        <v>270</v>
      </c>
      <c r="W14" s="93" t="s">
        <v>270</v>
      </c>
      <c r="X14" s="93" t="s">
        <v>270</v>
      </c>
      <c r="Y14" s="93" t="s">
        <v>270</v>
      </c>
      <c r="Z14" s="93" t="s">
        <v>270</v>
      </c>
      <c r="AA14" s="93" t="s">
        <v>270</v>
      </c>
      <c r="AB14" s="93" t="s">
        <v>270</v>
      </c>
      <c r="AC14" s="93" t="s">
        <v>270</v>
      </c>
      <c r="AD14" s="93" t="s">
        <v>270</v>
      </c>
      <c r="AE14" s="93" t="s">
        <v>270</v>
      </c>
      <c r="AF14" s="93" t="s">
        <v>270</v>
      </c>
      <c r="AG14" s="93" t="s">
        <v>270</v>
      </c>
      <c r="AH14" s="93">
        <v>0.22683903285595164</v>
      </c>
      <c r="AI14" s="93">
        <v>2.2683903285595164E-2</v>
      </c>
      <c r="AJ14" s="93">
        <v>0.53183727193532249</v>
      </c>
      <c r="AK14" s="93">
        <v>8.7385747281760212E-2</v>
      </c>
      <c r="AL14" s="93" t="s">
        <v>270</v>
      </c>
      <c r="AM14" s="93" t="s">
        <v>270</v>
      </c>
      <c r="AN14" s="93" t="s">
        <v>270</v>
      </c>
      <c r="AO14" s="93" t="s">
        <v>270</v>
      </c>
      <c r="AP14" s="93">
        <v>-1.8808777429467086E-2</v>
      </c>
      <c r="AQ14" s="93">
        <v>3.1347962382445145E-2</v>
      </c>
      <c r="AR14" s="93">
        <v>2.7513919999999992E-7</v>
      </c>
      <c r="AS14" s="93">
        <v>1.3840000000000023E-8</v>
      </c>
      <c r="AT14" s="93">
        <v>4.3230000000000003E-7</v>
      </c>
      <c r="AU14" s="93">
        <v>3E-10</v>
      </c>
      <c r="AV14" s="93">
        <v>2.0840000000000001E-7</v>
      </c>
      <c r="AW14" s="93">
        <v>4.8E-10</v>
      </c>
      <c r="AX14" s="161">
        <v>41857</v>
      </c>
      <c r="AY14" s="93">
        <v>4.5644703290876458E-8</v>
      </c>
      <c r="AZ14" s="93">
        <v>6.4831392788033254E-9</v>
      </c>
      <c r="BA14" s="93">
        <v>9.1174411425836432E-9</v>
      </c>
      <c r="BB14" s="93">
        <v>1.4980792990360956E-9</v>
      </c>
      <c r="BC14" s="162">
        <v>8.470978423172463</v>
      </c>
      <c r="BD14" s="162">
        <v>6.6179997020591186E-2</v>
      </c>
      <c r="BE14" s="93">
        <v>3.7753785556653992E-7</v>
      </c>
      <c r="BF14" s="93">
        <v>2.5146780710443497E-15</v>
      </c>
      <c r="BG14" s="93">
        <v>0.18153824289624809</v>
      </c>
      <c r="BH14" s="93">
        <v>1.3125279924792607E-2</v>
      </c>
      <c r="BI14" s="93">
        <v>0.89213957025085711</v>
      </c>
      <c r="BJ14" s="93">
        <v>3.7906517164888183E-3</v>
      </c>
      <c r="BK14" s="93">
        <f>$CC$5</f>
        <v>4.4322825446866948E-8</v>
      </c>
      <c r="BL14" s="93">
        <f>1 * 10 ^ (INT(LOG10($BK$14)))</f>
        <v>1E-8</v>
      </c>
      <c r="BM14" s="93">
        <f>Helium3TU($AP$14,$AR$14,$AT$14,$BK$14,$N$14,$J$14,$L$14,$D$14,$AX$14,$BA$14)</f>
        <v>11.057162535864958</v>
      </c>
      <c r="BN14" s="93">
        <f>Helium3TUerr($AQ$14,$AR$14,$AS$14,$AT$14,$AU$14,1,$BE$14,$BK$14,$J$14,$D$14,$AX$14)</f>
        <v>2.8454338261629002</v>
      </c>
      <c r="BO14" s="93" t="str">
        <f>ReptHe3TU($BM$14,$BN$14,$BI$14*100)</f>
        <v>Not Quantifiable</v>
      </c>
      <c r="BP14" s="93" t="str">
        <f>ReptHe3TUerr($BO$14,$BN$14)</f>
        <v>na</v>
      </c>
      <c r="BQ14" s="93" t="s">
        <v>920</v>
      </c>
      <c r="BR14" s="93" t="str">
        <f>TritiumCat($AP$14,$BR$2)</f>
        <v>Tritium Dead</v>
      </c>
      <c r="CB14" s="93">
        <v>0.5</v>
      </c>
      <c r="CC14" s="93">
        <f>Weise_PlotLineY($CB$14,$CC$5,$CC$7,AVERAGE($AY$4:$AY$93))/0.000001384</f>
        <v>0.50751258144756761</v>
      </c>
      <c r="CD14" s="93">
        <f>Weise_PlotLineY($CB$14,$CD$5,$CD$7,AVERAGE($AY$4:$AY$93))/0.000001384</f>
        <v>0.49872543352601156</v>
      </c>
      <c r="CE14" s="93">
        <f>Weise_PlotLineY($CB$14,$CE$5,$CE$7,AVERAGE($AY$4:$AY$93))/0.000001384</f>
        <v>4.2415000000000003</v>
      </c>
      <c r="CF14" s="93">
        <f>Weise_PlotLineY($CB$14,$CF$5,$CF$7,AVERAGE($AY$4:$AY$93))/0.000001384</f>
        <v>0.87300289017341048</v>
      </c>
      <c r="CG14" s="163"/>
    </row>
    <row r="15" spans="1:86">
      <c r="A15" s="94" t="s">
        <v>626</v>
      </c>
      <c r="B15" s="94" t="s">
        <v>627</v>
      </c>
      <c r="C15" s="94" t="s">
        <v>649</v>
      </c>
      <c r="D15" s="95">
        <v>41508</v>
      </c>
      <c r="E15" s="94" t="s">
        <v>653</v>
      </c>
      <c r="F15" s="93" t="s">
        <v>630</v>
      </c>
      <c r="G15" s="93" t="s">
        <v>631</v>
      </c>
      <c r="H15" s="93">
        <v>1.1919088565333783E-24</v>
      </c>
      <c r="I15" s="162" t="s">
        <v>270</v>
      </c>
      <c r="J15" s="93">
        <v>0.70640354088000001</v>
      </c>
      <c r="K15" s="93">
        <v>7.0640354087999999E-2</v>
      </c>
      <c r="L15" s="93">
        <v>19.8170731707317</v>
      </c>
      <c r="M15" s="93">
        <v>1.98170731707317</v>
      </c>
      <c r="N15" s="93">
        <v>12.549990624909505</v>
      </c>
      <c r="O15" s="93">
        <v>0.1019086224770609</v>
      </c>
      <c r="P15" s="93">
        <v>1.7452930315252524</v>
      </c>
      <c r="Q15" s="93">
        <v>8.8015962414266347E-2</v>
      </c>
      <c r="R15" s="93" t="s">
        <v>270</v>
      </c>
      <c r="S15" s="93" t="s">
        <v>270</v>
      </c>
      <c r="T15" s="93">
        <v>0.05</v>
      </c>
      <c r="U15" s="93">
        <v>0.05</v>
      </c>
      <c r="V15" s="93" t="s">
        <v>270</v>
      </c>
      <c r="W15" s="93" t="s">
        <v>270</v>
      </c>
      <c r="X15" s="93" t="s">
        <v>270</v>
      </c>
      <c r="Y15" s="93" t="s">
        <v>270</v>
      </c>
      <c r="Z15" s="93" t="s">
        <v>270</v>
      </c>
      <c r="AA15" s="93" t="s">
        <v>270</v>
      </c>
      <c r="AB15" s="93" t="s">
        <v>270</v>
      </c>
      <c r="AC15" s="93" t="s">
        <v>270</v>
      </c>
      <c r="AD15" s="93" t="s">
        <v>270</v>
      </c>
      <c r="AE15" s="93" t="s">
        <v>270</v>
      </c>
      <c r="AF15" s="93" t="s">
        <v>270</v>
      </c>
      <c r="AG15" s="93" t="s">
        <v>270</v>
      </c>
      <c r="AH15" s="93">
        <v>0.22683903285595164</v>
      </c>
      <c r="AI15" s="93">
        <v>2.2683903285595164E-2</v>
      </c>
      <c r="AJ15" s="93">
        <v>0.5291988056588125</v>
      </c>
      <c r="AK15" s="93">
        <v>7.9572165090340416E-2</v>
      </c>
      <c r="AL15" s="93" t="s">
        <v>270</v>
      </c>
      <c r="AM15" s="93" t="s">
        <v>270</v>
      </c>
      <c r="AN15" s="93" t="s">
        <v>270</v>
      </c>
      <c r="AO15" s="93" t="s">
        <v>270</v>
      </c>
      <c r="AP15" s="93">
        <v>-1.8808777429467086E-2</v>
      </c>
      <c r="AQ15" s="93">
        <v>3.1347962382445145E-2</v>
      </c>
      <c r="AR15" s="93">
        <v>2.7513919999999992E-7</v>
      </c>
      <c r="AS15" s="93">
        <v>1.3840000000000023E-8</v>
      </c>
      <c r="AT15" s="93">
        <v>4.3230000000000003E-7</v>
      </c>
      <c r="AU15" s="93">
        <v>3E-10</v>
      </c>
      <c r="AV15" s="93">
        <v>2.0840000000000001E-7</v>
      </c>
      <c r="AW15" s="93">
        <v>4.8E-10</v>
      </c>
      <c r="AX15" s="161">
        <v>41857</v>
      </c>
      <c r="AY15" s="93">
        <v>4.5669411366806922E-8</v>
      </c>
      <c r="AZ15" s="93">
        <v>6.4692680445752124E-9</v>
      </c>
      <c r="BA15" s="93">
        <v>9.1453354851923218E-9</v>
      </c>
      <c r="BB15" s="93">
        <v>1.3751243148183654E-9</v>
      </c>
      <c r="BC15" s="162">
        <v>8.4658544321462585</v>
      </c>
      <c r="BD15" s="162">
        <v>6.4875102418836539E-2</v>
      </c>
      <c r="BE15" s="93">
        <v>3.7748525314800076E-7</v>
      </c>
      <c r="BF15" s="93">
        <v>2.49918033670595E-15</v>
      </c>
      <c r="BG15" s="93">
        <v>0.18148428989201079</v>
      </c>
      <c r="BH15" s="93">
        <v>1.2888507280301692E-2</v>
      </c>
      <c r="BI15" s="93">
        <v>0.89207406999003258</v>
      </c>
      <c r="BJ15" s="93">
        <v>3.5314155569448574E-3</v>
      </c>
      <c r="BK15" s="93">
        <f>$CC$5</f>
        <v>4.4322825446866948E-8</v>
      </c>
      <c r="BL15" s="93">
        <f>1 * 10 ^ (INT(LOG10($BK$15)))</f>
        <v>1E-8</v>
      </c>
      <c r="BM15" s="93">
        <f>Helium3TU($AP$15,$AR$15,$AT$15,$BK$15,$N$15,$J$15,$L$15,$D$15,$AX$15,$BA$15)</f>
        <v>11.029346861620306</v>
      </c>
      <c r="BN15" s="93">
        <f>Helium3TUerr($AQ$15,$AR$15,$AS$15,$AT$15,$AU$15,1,$BE$15,$BK$15,$J$15,$D$15,$AX$15)</f>
        <v>2.8453209386540239</v>
      </c>
      <c r="BO15" s="93" t="str">
        <f>ReptHe3TU($BM$15,$BN$15,$BI$15*100)</f>
        <v>Not Quantifiable</v>
      </c>
      <c r="BP15" s="93" t="str">
        <f>ReptHe3TUerr($BO$15,$BN$15)</f>
        <v>na</v>
      </c>
      <c r="BQ15" s="93" t="s">
        <v>920</v>
      </c>
      <c r="BR15" s="93" t="str">
        <f>TritiumCat($AP$15,$BR$2)</f>
        <v>Tritium Dead</v>
      </c>
      <c r="CB15" s="93">
        <v>0.75</v>
      </c>
      <c r="CC15" s="93">
        <f>Weise_PlotLineY($CB$15,$CC$5,$CC$7,AVERAGE($AY$4:$AY$93))/0.000001384</f>
        <v>0.26976887217135131</v>
      </c>
      <c r="CD15" s="93">
        <f>Weise_PlotLineY($CB$15,$CD$5,$CD$7,AVERAGE($AY$4:$AY$93))/0.000001384</f>
        <v>0.25658815028901732</v>
      </c>
      <c r="CE15" s="93">
        <f>Weise_PlotLineY($CB$15,$CE$5,$CE$7,AVERAGE($AY$4:$AY$93))/0.000001384</f>
        <v>5.8707500000000001</v>
      </c>
      <c r="CF15" s="93">
        <f>Weise_PlotLineY($CB$15,$CF$5,$CF$7,AVERAGE($AY$4:$AY$93))/0.000001384</f>
        <v>0.81800433526011573</v>
      </c>
      <c r="CG15" s="163"/>
    </row>
    <row r="16" spans="1:86">
      <c r="A16" s="94" t="s">
        <v>626</v>
      </c>
      <c r="B16" s="94" t="s">
        <v>627</v>
      </c>
      <c r="C16" s="94" t="s">
        <v>656</v>
      </c>
      <c r="D16" s="95">
        <v>41540</v>
      </c>
      <c r="E16" s="94" t="s">
        <v>657</v>
      </c>
      <c r="F16" s="93" t="s">
        <v>630</v>
      </c>
      <c r="G16" s="93" t="s">
        <v>631</v>
      </c>
      <c r="H16" s="93">
        <v>6.6372017242685571E-3</v>
      </c>
      <c r="I16" s="162" t="s">
        <v>270</v>
      </c>
      <c r="J16" s="93">
        <v>0.31042765472</v>
      </c>
      <c r="K16" s="93">
        <v>3.1042765472000002E-2</v>
      </c>
      <c r="L16" s="93">
        <v>7.9268292682926802</v>
      </c>
      <c r="M16" s="93">
        <v>0.792682926829268</v>
      </c>
      <c r="N16" s="93">
        <v>13.928045196433484</v>
      </c>
      <c r="O16" s="93">
        <v>5.5456286524990368</v>
      </c>
      <c r="P16" s="93">
        <v>2.7467883846537662</v>
      </c>
      <c r="Q16" s="93">
        <v>0.51913641960466661</v>
      </c>
      <c r="R16" s="93" t="s">
        <v>270</v>
      </c>
      <c r="S16" s="93" t="s">
        <v>270</v>
      </c>
      <c r="T16" s="93">
        <v>0</v>
      </c>
      <c r="U16" s="93">
        <v>2.3523612358360233</v>
      </c>
      <c r="V16" s="93" t="s">
        <v>270</v>
      </c>
      <c r="W16" s="93" t="s">
        <v>270</v>
      </c>
      <c r="X16" s="93" t="s">
        <v>270</v>
      </c>
      <c r="Y16" s="93" t="s">
        <v>270</v>
      </c>
      <c r="Z16" s="93" t="s">
        <v>270</v>
      </c>
      <c r="AA16" s="93" t="s">
        <v>270</v>
      </c>
      <c r="AB16" s="93" t="s">
        <v>270</v>
      </c>
      <c r="AC16" s="93" t="s">
        <v>270</v>
      </c>
      <c r="AD16" s="93" t="s">
        <v>270</v>
      </c>
      <c r="AE16" s="93" t="s">
        <v>270</v>
      </c>
      <c r="AF16" s="93" t="s">
        <v>270</v>
      </c>
      <c r="AG16" s="93" t="s">
        <v>270</v>
      </c>
      <c r="AH16" s="93">
        <v>0.11976865895868338</v>
      </c>
      <c r="AI16" s="93">
        <v>1.1976865895868339E-2</v>
      </c>
      <c r="AJ16" s="93">
        <v>0.26192209369841413</v>
      </c>
      <c r="AK16" s="93">
        <v>0.12123730130498188</v>
      </c>
      <c r="AL16" s="93" t="s">
        <v>270</v>
      </c>
      <c r="AM16" s="93" t="s">
        <v>270</v>
      </c>
      <c r="AN16" s="93" t="s">
        <v>270</v>
      </c>
      <c r="AO16" s="93" t="s">
        <v>270</v>
      </c>
      <c r="AP16" s="93">
        <v>3.7617554858934171E-2</v>
      </c>
      <c r="AQ16" s="93">
        <v>3.1347962382445145E-2</v>
      </c>
      <c r="AR16" s="93">
        <v>2.0607760000000001E-7</v>
      </c>
      <c r="AS16" s="93">
        <v>1.384000000000001E-8</v>
      </c>
      <c r="AT16" s="93">
        <v>9.1480000000000001E-7</v>
      </c>
      <c r="AU16" s="93">
        <v>3.3000000000000002E-9</v>
      </c>
      <c r="AV16" s="93">
        <v>2.4400000000000001E-7</v>
      </c>
      <c r="AW16" s="93">
        <v>3.1999999999999998E-10</v>
      </c>
      <c r="AX16" s="161">
        <v>41862</v>
      </c>
      <c r="AY16" s="93">
        <v>4.5588585670539798E-8</v>
      </c>
      <c r="AZ16" s="93">
        <v>1.9262651240805478E-8</v>
      </c>
      <c r="BA16" s="93">
        <v>1.4393171135585735E-8</v>
      </c>
      <c r="BB16" s="93">
        <v>6.6622452541495606E-9</v>
      </c>
      <c r="BC16" s="162">
        <v>19.066426421102179</v>
      </c>
      <c r="BD16" s="162">
        <v>0.25737636488708615</v>
      </c>
      <c r="BE16" s="93">
        <v>8.5481824319387447E-7</v>
      </c>
      <c r="BF16" s="93">
        <v>1.7649983637520956E-14</v>
      </c>
      <c r="BG16" s="93">
        <v>0.13529503305605445</v>
      </c>
      <c r="BH16" s="93">
        <v>1.660943026923755E-2</v>
      </c>
      <c r="BI16" s="93">
        <v>0.94936896220298983</v>
      </c>
      <c r="BJ16" s="93">
        <v>1.0503970133243279E-2</v>
      </c>
      <c r="BK16" s="93">
        <f>$CC$5</f>
        <v>4.4322825446866948E-8</v>
      </c>
      <c r="BL16" s="93">
        <f>1 * 10 ^ (INT(LOG10($BK$16)))</f>
        <v>1E-8</v>
      </c>
      <c r="BM16" s="93">
        <f>Helium3TU($AP$16,$AR$16,$AT$16,$BK$16,$N$16,$J$16,$L$16,$D$16,$AX$16,$BA$16)</f>
        <v>27.609621036074152</v>
      </c>
      <c r="BN16" s="93">
        <f>Helium3TUerr($AQ$16,$AR$16,$AS$16,$AT$16,$AU$16,1,$BE$16,$BK$16,$J$16,$D$16,$AX$16)</f>
        <v>6.1452358995245158</v>
      </c>
      <c r="BO16" s="93" t="str">
        <f>ReptHe3TU($BM$16,$BN$16,$BI$16*100)</f>
        <v>Not Quantifiable</v>
      </c>
      <c r="BP16" s="93" t="str">
        <f>ReptHe3TUerr($BO$16,$BN$16)</f>
        <v>na</v>
      </c>
      <c r="BQ16" s="93" t="s">
        <v>920</v>
      </c>
      <c r="BR16" s="93" t="str">
        <f>TritiumCat($AP$16,$BR$2)</f>
        <v>Tritium Dead</v>
      </c>
      <c r="CB16" s="93">
        <v>1</v>
      </c>
      <c r="CC16" s="93">
        <f>Weise_PlotLineY($CB$16,$CC$5,$CC$7,AVERAGE($AY$4:$AY$93))/0.000001384</f>
        <v>3.202516289513508E-2</v>
      </c>
      <c r="CD16" s="93">
        <f>Weise_PlotLineY($CB$16,$CD$5,$CD$7,AVERAGE($AY$4:$AY$93))/0.000001384</f>
        <v>1.4450867052023121E-2</v>
      </c>
      <c r="CE16" s="93">
        <f>Weise_PlotLineY($CB$16,$CE$5,$CE$7,AVERAGE($AY$4:$AY$93))/0.000001384</f>
        <v>7.5</v>
      </c>
      <c r="CF16" s="93">
        <f>Weise_PlotLineY($CB$16,$CF$5,$CF$7,AVERAGE($AY$4:$AY$93))/0.000001384</f>
        <v>0.76300578034682087</v>
      </c>
      <c r="CG16" s="168" t="s">
        <v>919</v>
      </c>
    </row>
    <row r="17" spans="1:70">
      <c r="A17" s="94" t="s">
        <v>626</v>
      </c>
      <c r="B17" s="94" t="s">
        <v>627</v>
      </c>
      <c r="C17" s="94" t="s">
        <v>656</v>
      </c>
      <c r="D17" s="95">
        <v>41540</v>
      </c>
      <c r="E17" s="94" t="s">
        <v>657</v>
      </c>
      <c r="F17" s="93" t="s">
        <v>630</v>
      </c>
      <c r="G17" s="93" t="s">
        <v>631</v>
      </c>
      <c r="H17" s="93">
        <v>6.6372017242685571E-3</v>
      </c>
      <c r="I17" s="162" t="s">
        <v>270</v>
      </c>
      <c r="J17" s="93">
        <v>0.31042765472</v>
      </c>
      <c r="K17" s="93">
        <v>3.1042765472000002E-2</v>
      </c>
      <c r="L17" s="93">
        <v>7.9268292682926802</v>
      </c>
      <c r="M17" s="93">
        <v>0.792682926829268</v>
      </c>
      <c r="N17" s="93">
        <v>13.928045196433484</v>
      </c>
      <c r="O17" s="93">
        <v>5.5456286524990368</v>
      </c>
      <c r="P17" s="93">
        <v>2.7467883846537662</v>
      </c>
      <c r="Q17" s="93">
        <v>0.51913641960466661</v>
      </c>
      <c r="R17" s="93" t="s">
        <v>270</v>
      </c>
      <c r="S17" s="93" t="s">
        <v>270</v>
      </c>
      <c r="T17" s="93">
        <v>0</v>
      </c>
      <c r="U17" s="93">
        <v>2.3523612358360233</v>
      </c>
      <c r="V17" s="93" t="s">
        <v>270</v>
      </c>
      <c r="W17" s="93" t="s">
        <v>270</v>
      </c>
      <c r="X17" s="93" t="s">
        <v>270</v>
      </c>
      <c r="Y17" s="93" t="s">
        <v>270</v>
      </c>
      <c r="Z17" s="93" t="s">
        <v>270</v>
      </c>
      <c r="AA17" s="93" t="s">
        <v>270</v>
      </c>
      <c r="AB17" s="93" t="s">
        <v>270</v>
      </c>
      <c r="AC17" s="93" t="s">
        <v>270</v>
      </c>
      <c r="AD17" s="93" t="s">
        <v>270</v>
      </c>
      <c r="AE17" s="93" t="s">
        <v>270</v>
      </c>
      <c r="AF17" s="93" t="s">
        <v>270</v>
      </c>
      <c r="AG17" s="93" t="s">
        <v>270</v>
      </c>
      <c r="AH17" s="93">
        <v>0.11954540624659668</v>
      </c>
      <c r="AI17" s="93">
        <v>1.1954540624659669E-2</v>
      </c>
      <c r="AJ17" s="93">
        <v>0.26143386231733329</v>
      </c>
      <c r="AK17" s="93">
        <v>0.12101131099534881</v>
      </c>
      <c r="AL17" s="93" t="s">
        <v>270</v>
      </c>
      <c r="AM17" s="93" t="s">
        <v>270</v>
      </c>
      <c r="AN17" s="93" t="s">
        <v>270</v>
      </c>
      <c r="AO17" s="93" t="s">
        <v>270</v>
      </c>
      <c r="AP17" s="93">
        <v>3.7617554858934171E-2</v>
      </c>
      <c r="AQ17" s="93">
        <v>3.1347962382445145E-2</v>
      </c>
      <c r="AR17" s="93">
        <v>2.0607760000000001E-7</v>
      </c>
      <c r="AS17" s="93">
        <v>1.384000000000001E-8</v>
      </c>
      <c r="AT17" s="93">
        <v>9.1480000000000001E-7</v>
      </c>
      <c r="AU17" s="93">
        <v>3.3000000000000002E-9</v>
      </c>
      <c r="AV17" s="93">
        <v>2.4400000000000001E-7</v>
      </c>
      <c r="AW17" s="93">
        <v>3.1999999999999998E-10</v>
      </c>
      <c r="AX17" s="161">
        <v>41862</v>
      </c>
      <c r="AY17" s="93">
        <v>4.5588585670539798E-8</v>
      </c>
      <c r="AZ17" s="93">
        <v>1.9262651240805478E-8</v>
      </c>
      <c r="BA17" s="93">
        <v>1.4393171135585735E-8</v>
      </c>
      <c r="BB17" s="93">
        <v>6.6622452541495606E-9</v>
      </c>
      <c r="BC17" s="162">
        <v>19.066426421102179</v>
      </c>
      <c r="BD17" s="162">
        <v>0.25737636488708615</v>
      </c>
      <c r="BE17" s="93">
        <v>8.5481824319387447E-7</v>
      </c>
      <c r="BF17" s="93">
        <v>1.7649983637520956E-14</v>
      </c>
      <c r="BG17" s="93">
        <v>0.13529503305605445</v>
      </c>
      <c r="BH17" s="93">
        <v>1.660943026923755E-2</v>
      </c>
      <c r="BI17" s="93">
        <v>0.94936896220298983</v>
      </c>
      <c r="BJ17" s="93">
        <v>1.0503970133243279E-2</v>
      </c>
      <c r="BK17" s="93">
        <f>$CC$5</f>
        <v>4.4322825446866948E-8</v>
      </c>
      <c r="BL17" s="93">
        <f>1 * 10 ^ (INT(LOG10($BK$17)))</f>
        <v>1E-8</v>
      </c>
      <c r="BM17" s="93">
        <f>Helium3TU($AP$17,$AR$17,$AT$17,$BK$17,$N$17,$J$17,$L$17,$D$17,$AX$17,$BA$17)</f>
        <v>27.609621036074152</v>
      </c>
      <c r="BN17" s="93">
        <f>Helium3TUerr($AQ$17,$AR$17,$AS$17,$AT$17,$AU$17,1,$BE$17,$BK$17,$J$17,$D$17,$AX$17)</f>
        <v>6.1452358995245158</v>
      </c>
      <c r="BO17" s="93" t="str">
        <f>ReptHe3TU($BM$17,$BN$17,$BI$17*100)</f>
        <v>Not Quantifiable</v>
      </c>
      <c r="BP17" s="93" t="str">
        <f>ReptHe3TUerr($BO$17,$BN$17)</f>
        <v>na</v>
      </c>
      <c r="BQ17" s="93" t="s">
        <v>920</v>
      </c>
      <c r="BR17" s="93" t="str">
        <f>TritiumCat($AP$17,$BR$2)</f>
        <v>Tritium Dead</v>
      </c>
    </row>
    <row r="18" spans="1:70">
      <c r="A18" s="94" t="s">
        <v>626</v>
      </c>
      <c r="B18" s="94" t="s">
        <v>627</v>
      </c>
      <c r="C18" s="94" t="s">
        <v>656</v>
      </c>
      <c r="D18" s="95">
        <v>41540</v>
      </c>
      <c r="E18" s="94" t="s">
        <v>659</v>
      </c>
      <c r="F18" s="93" t="s">
        <v>630</v>
      </c>
      <c r="G18" s="93" t="s">
        <v>631</v>
      </c>
      <c r="H18" s="93">
        <v>6.1203895092076723E-4</v>
      </c>
      <c r="I18" s="162" t="s">
        <v>270</v>
      </c>
      <c r="J18" s="93">
        <v>0.31042765472</v>
      </c>
      <c r="K18" s="93">
        <v>3.1042765472000002E-2</v>
      </c>
      <c r="L18" s="93">
        <v>7.9268292682926802</v>
      </c>
      <c r="M18" s="93">
        <v>0.792682926829268</v>
      </c>
      <c r="N18" s="93">
        <v>13.276896865107274</v>
      </c>
      <c r="O18" s="93">
        <v>5.4705851616099617</v>
      </c>
      <c r="P18" s="93">
        <v>2.6855112634098681</v>
      </c>
      <c r="Q18" s="93">
        <v>0.52256035275304069</v>
      </c>
      <c r="R18" s="93" t="s">
        <v>270</v>
      </c>
      <c r="S18" s="93" t="s">
        <v>270</v>
      </c>
      <c r="T18" s="93">
        <v>0</v>
      </c>
      <c r="U18" s="93">
        <v>2.3853417011995051</v>
      </c>
      <c r="V18" s="93" t="s">
        <v>270</v>
      </c>
      <c r="W18" s="93" t="s">
        <v>270</v>
      </c>
      <c r="X18" s="93" t="s">
        <v>270</v>
      </c>
      <c r="Y18" s="93" t="s">
        <v>270</v>
      </c>
      <c r="Z18" s="93" t="s">
        <v>270</v>
      </c>
      <c r="AA18" s="93" t="s">
        <v>270</v>
      </c>
      <c r="AB18" s="93" t="s">
        <v>270</v>
      </c>
      <c r="AC18" s="93" t="s">
        <v>270</v>
      </c>
      <c r="AD18" s="93" t="s">
        <v>270</v>
      </c>
      <c r="AE18" s="93" t="s">
        <v>270</v>
      </c>
      <c r="AF18" s="93" t="s">
        <v>270</v>
      </c>
      <c r="AG18" s="93" t="s">
        <v>270</v>
      </c>
      <c r="AH18" s="93">
        <v>0.11976865895868338</v>
      </c>
      <c r="AI18" s="93">
        <v>1.1976865895868339E-2</v>
      </c>
      <c r="AJ18" s="93">
        <v>0.25862478098214003</v>
      </c>
      <c r="AK18" s="93">
        <v>0.12339372966969704</v>
      </c>
      <c r="AL18" s="93" t="s">
        <v>270</v>
      </c>
      <c r="AM18" s="93" t="s">
        <v>270</v>
      </c>
      <c r="AN18" s="93" t="s">
        <v>270</v>
      </c>
      <c r="AO18" s="93" t="s">
        <v>270</v>
      </c>
      <c r="AP18" s="93">
        <v>3.7617554858934171E-2</v>
      </c>
      <c r="AQ18" s="93">
        <v>3.1347962382445145E-2</v>
      </c>
      <c r="AR18" s="93">
        <v>2.0607760000000001E-7</v>
      </c>
      <c r="AS18" s="93">
        <v>1.384000000000001E-8</v>
      </c>
      <c r="AT18" s="93">
        <v>9.1480000000000001E-7</v>
      </c>
      <c r="AU18" s="93">
        <v>3.3000000000000002E-9</v>
      </c>
      <c r="AV18" s="93">
        <v>2.4400000000000001E-7</v>
      </c>
      <c r="AW18" s="93">
        <v>3.1999999999999998E-10</v>
      </c>
      <c r="AX18" s="161">
        <v>41862</v>
      </c>
      <c r="AY18" s="93">
        <v>4.5703012247314224E-8</v>
      </c>
      <c r="AZ18" s="93">
        <v>1.9909695685113331E-8</v>
      </c>
      <c r="BA18" s="93">
        <v>1.4072079020267709E-8</v>
      </c>
      <c r="BB18" s="93">
        <v>6.7139982020417473E-9</v>
      </c>
      <c r="BC18" s="162">
        <v>19.016186133415285</v>
      </c>
      <c r="BD18" s="162">
        <v>0.25016964581341461</v>
      </c>
      <c r="BE18" s="93">
        <v>8.5502490873241807E-7</v>
      </c>
      <c r="BF18" s="93">
        <v>1.8185391983549425E-14</v>
      </c>
      <c r="BG18" s="93">
        <v>0.13560328380828152</v>
      </c>
      <c r="BH18" s="93">
        <v>1.664978898353122E-2</v>
      </c>
      <c r="BI18" s="93">
        <v>0.94925997342545709</v>
      </c>
      <c r="BJ18" s="93">
        <v>1.0553561675794899E-2</v>
      </c>
      <c r="BK18" s="93">
        <f>$CC$5</f>
        <v>4.4322825446866948E-8</v>
      </c>
      <c r="BL18" s="93">
        <f>1 * 10 ^ (INT(LOG10($BK$18)))</f>
        <v>1E-8</v>
      </c>
      <c r="BM18" s="93">
        <f>Helium3TU($AP$18,$AR$18,$AT$18,$BK$18,$N$18,$J$18,$L$18,$D$18,$AX$18,$BA$18)</f>
        <v>27.723403138289889</v>
      </c>
      <c r="BN18" s="93">
        <f>Helium3TUerr($AQ$18,$AR$18,$AS$18,$AT$18,$AU$18,1,$BE$18,$BK$18,$J$18,$D$18,$AX$18)</f>
        <v>6.1457005699710772</v>
      </c>
      <c r="BO18" s="93" t="str">
        <f>ReptHe3TU($BM$18,$BN$18,$BI$18*100)</f>
        <v>Not Quantifiable</v>
      </c>
      <c r="BP18" s="93" t="str">
        <f>ReptHe3TUerr($BO$18,$BN$18)</f>
        <v>na</v>
      </c>
      <c r="BQ18" s="93" t="s">
        <v>920</v>
      </c>
      <c r="BR18" s="93" t="str">
        <f>TritiumCat($AP$18,$BR$2)</f>
        <v>Tritium Dead</v>
      </c>
    </row>
    <row r="19" spans="1:70">
      <c r="A19" s="94" t="s">
        <v>626</v>
      </c>
      <c r="B19" s="94" t="s">
        <v>627</v>
      </c>
      <c r="C19" s="94" t="s">
        <v>656</v>
      </c>
      <c r="D19" s="95">
        <v>41540</v>
      </c>
      <c r="E19" s="94" t="s">
        <v>659</v>
      </c>
      <c r="F19" s="93" t="s">
        <v>630</v>
      </c>
      <c r="G19" s="93" t="s">
        <v>631</v>
      </c>
      <c r="H19" s="93">
        <v>6.1203895092076723E-4</v>
      </c>
      <c r="I19" s="162" t="s">
        <v>270</v>
      </c>
      <c r="J19" s="93">
        <v>0.31042765472</v>
      </c>
      <c r="K19" s="93">
        <v>3.1042765472000002E-2</v>
      </c>
      <c r="L19" s="93">
        <v>7.9268292682926802</v>
      </c>
      <c r="M19" s="93">
        <v>0.792682926829268</v>
      </c>
      <c r="N19" s="93">
        <v>13.276896865107274</v>
      </c>
      <c r="O19" s="93">
        <v>5.4705851616099617</v>
      </c>
      <c r="P19" s="93">
        <v>2.6855112634098681</v>
      </c>
      <c r="Q19" s="93">
        <v>0.52256035275304069</v>
      </c>
      <c r="R19" s="93" t="s">
        <v>270</v>
      </c>
      <c r="S19" s="93" t="s">
        <v>270</v>
      </c>
      <c r="T19" s="93">
        <v>0</v>
      </c>
      <c r="U19" s="93">
        <v>2.3853417011995051</v>
      </c>
      <c r="V19" s="93" t="s">
        <v>270</v>
      </c>
      <c r="W19" s="93" t="s">
        <v>270</v>
      </c>
      <c r="X19" s="93" t="s">
        <v>270</v>
      </c>
      <c r="Y19" s="93" t="s">
        <v>270</v>
      </c>
      <c r="Z19" s="93" t="s">
        <v>270</v>
      </c>
      <c r="AA19" s="93" t="s">
        <v>270</v>
      </c>
      <c r="AB19" s="93" t="s">
        <v>270</v>
      </c>
      <c r="AC19" s="93" t="s">
        <v>270</v>
      </c>
      <c r="AD19" s="93" t="s">
        <v>270</v>
      </c>
      <c r="AE19" s="93" t="s">
        <v>270</v>
      </c>
      <c r="AF19" s="93" t="s">
        <v>270</v>
      </c>
      <c r="AG19" s="93" t="s">
        <v>270</v>
      </c>
      <c r="AH19" s="93">
        <v>0.11954540624659668</v>
      </c>
      <c r="AI19" s="93">
        <v>1.1954540624659669E-2</v>
      </c>
      <c r="AJ19" s="93">
        <v>0.25814269590020711</v>
      </c>
      <c r="AK19" s="93">
        <v>0.12316371970680051</v>
      </c>
      <c r="AL19" s="93" t="s">
        <v>270</v>
      </c>
      <c r="AM19" s="93" t="s">
        <v>270</v>
      </c>
      <c r="AN19" s="93" t="s">
        <v>270</v>
      </c>
      <c r="AO19" s="93" t="s">
        <v>270</v>
      </c>
      <c r="AP19" s="93">
        <v>3.7617554858934171E-2</v>
      </c>
      <c r="AQ19" s="93">
        <v>3.1347962382445145E-2</v>
      </c>
      <c r="AR19" s="93">
        <v>2.0607760000000001E-7</v>
      </c>
      <c r="AS19" s="93">
        <v>1.384000000000001E-8</v>
      </c>
      <c r="AT19" s="93">
        <v>9.1480000000000001E-7</v>
      </c>
      <c r="AU19" s="93">
        <v>3.3000000000000002E-9</v>
      </c>
      <c r="AV19" s="93">
        <v>2.4400000000000001E-7</v>
      </c>
      <c r="AW19" s="93">
        <v>3.1999999999999998E-10</v>
      </c>
      <c r="AX19" s="161">
        <v>41862</v>
      </c>
      <c r="AY19" s="93">
        <v>4.5703012247314224E-8</v>
      </c>
      <c r="AZ19" s="93">
        <v>1.9909695685113331E-8</v>
      </c>
      <c r="BA19" s="93">
        <v>1.4072079020267709E-8</v>
      </c>
      <c r="BB19" s="93">
        <v>6.7139982020417473E-9</v>
      </c>
      <c r="BC19" s="162">
        <v>19.016186133415285</v>
      </c>
      <c r="BD19" s="162">
        <v>0.25016964581341461</v>
      </c>
      <c r="BE19" s="93">
        <v>8.5502490873241807E-7</v>
      </c>
      <c r="BF19" s="93">
        <v>1.8185391983549425E-14</v>
      </c>
      <c r="BG19" s="93">
        <v>0.13560328380828152</v>
      </c>
      <c r="BH19" s="93">
        <v>1.664978898353122E-2</v>
      </c>
      <c r="BI19" s="93">
        <v>0.94925997342545709</v>
      </c>
      <c r="BJ19" s="93">
        <v>1.0553561675794899E-2</v>
      </c>
      <c r="BK19" s="93">
        <f>$CC$5</f>
        <v>4.4322825446866948E-8</v>
      </c>
      <c r="BL19" s="93">
        <f>1 * 10 ^ (INT(LOG10($BK$19)))</f>
        <v>1E-8</v>
      </c>
      <c r="BM19" s="93">
        <f>Helium3TU($AP$19,$AR$19,$AT$19,$BK$19,$N$19,$J$19,$L$19,$D$19,$AX$19,$BA$19)</f>
        <v>27.723403138289889</v>
      </c>
      <c r="BN19" s="93">
        <f>Helium3TUerr($AQ$19,$AR$19,$AS$19,$AT$19,$AU$19,1,$BE$19,$BK$19,$J$19,$D$19,$AX$19)</f>
        <v>6.1457005699710772</v>
      </c>
      <c r="BO19" s="93" t="str">
        <f>ReptHe3TU($BM$19,$BN$19,$BI$19*100)</f>
        <v>Not Quantifiable</v>
      </c>
      <c r="BP19" s="93" t="str">
        <f>ReptHe3TUerr($BO$19,$BN$19)</f>
        <v>na</v>
      </c>
      <c r="BQ19" s="93" t="s">
        <v>920</v>
      </c>
      <c r="BR19" s="93" t="str">
        <f>TritiumCat($AP$19,$BR$2)</f>
        <v>Tritium Dead</v>
      </c>
    </row>
    <row r="20" spans="1:70">
      <c r="A20" s="94" t="s">
        <v>626</v>
      </c>
      <c r="B20" s="94" t="s">
        <v>627</v>
      </c>
      <c r="C20" s="94" t="s">
        <v>661</v>
      </c>
      <c r="D20" s="95">
        <v>41507</v>
      </c>
      <c r="E20" s="94" t="s">
        <v>662</v>
      </c>
      <c r="F20" s="93" t="s">
        <v>630</v>
      </c>
      <c r="G20" s="93" t="s">
        <v>631</v>
      </c>
      <c r="H20" s="93">
        <v>1.793225485719617E-2</v>
      </c>
      <c r="I20" s="162" t="s">
        <v>270</v>
      </c>
      <c r="J20" s="93">
        <v>0.22376201802000001</v>
      </c>
      <c r="K20" s="93">
        <v>2.2376201801999999E-2</v>
      </c>
      <c r="L20" s="93">
        <v>39.024390243902403</v>
      </c>
      <c r="M20" s="93">
        <v>3.9024390243902403</v>
      </c>
      <c r="N20" s="93">
        <v>16.75958769321862</v>
      </c>
      <c r="O20" s="93">
        <v>5.7890602445337596</v>
      </c>
      <c r="P20" s="93">
        <v>2.4074200675801829</v>
      </c>
      <c r="Q20" s="93">
        <v>0.49669236242562165</v>
      </c>
      <c r="R20" s="93" t="s">
        <v>270</v>
      </c>
      <c r="S20" s="93" t="s">
        <v>270</v>
      </c>
      <c r="T20" s="93">
        <v>0</v>
      </c>
      <c r="U20" s="93">
        <v>2.187983502428863</v>
      </c>
      <c r="V20" s="93" t="s">
        <v>270</v>
      </c>
      <c r="W20" s="93" t="s">
        <v>270</v>
      </c>
      <c r="X20" s="93" t="s">
        <v>270</v>
      </c>
      <c r="Y20" s="93" t="s">
        <v>270</v>
      </c>
      <c r="Z20" s="93" t="s">
        <v>270</v>
      </c>
      <c r="AA20" s="93" t="s">
        <v>270</v>
      </c>
      <c r="AB20" s="93" t="s">
        <v>270</v>
      </c>
      <c r="AC20" s="93" t="s">
        <v>270</v>
      </c>
      <c r="AD20" s="93" t="s">
        <v>270</v>
      </c>
      <c r="AE20" s="93" t="s">
        <v>270</v>
      </c>
      <c r="AF20" s="93" t="s">
        <v>270</v>
      </c>
      <c r="AG20" s="93" t="s">
        <v>270</v>
      </c>
      <c r="AH20" s="93">
        <v>0.97039890170995624</v>
      </c>
      <c r="AI20" s="93">
        <v>9.7039890170995624E-2</v>
      </c>
      <c r="AJ20" s="93">
        <v>2.3833573655050264</v>
      </c>
      <c r="AK20" s="93">
        <v>1.0164405584945218</v>
      </c>
      <c r="AL20" s="93" t="s">
        <v>270</v>
      </c>
      <c r="AM20" s="93" t="s">
        <v>270</v>
      </c>
      <c r="AN20" s="93" t="s">
        <v>270</v>
      </c>
      <c r="AO20" s="93" t="s">
        <v>270</v>
      </c>
      <c r="AP20" s="93">
        <v>-5.642633228840125E-2</v>
      </c>
      <c r="AQ20" s="93">
        <v>3.1347962382445145E-2</v>
      </c>
      <c r="AR20" s="93">
        <v>1.1801368E-6</v>
      </c>
      <c r="AS20" s="93">
        <v>1.3840000000000023E-8</v>
      </c>
      <c r="AT20" s="93">
        <v>6.5699999999999999E-8</v>
      </c>
      <c r="AU20" s="93">
        <v>0</v>
      </c>
      <c r="AV20" s="93">
        <v>2.326E-7</v>
      </c>
      <c r="AW20" s="93">
        <v>2.8000000000000002E-10</v>
      </c>
      <c r="AX20" s="161">
        <v>41850</v>
      </c>
      <c r="AY20" s="93">
        <v>4.4975589240959899E-8</v>
      </c>
      <c r="AZ20" s="93">
        <v>1.678701263461697E-8</v>
      </c>
      <c r="BA20" s="93">
        <v>1.2614881154120155E-8</v>
      </c>
      <c r="BB20" s="93">
        <v>5.3799220508078974E-9</v>
      </c>
      <c r="BC20" s="162">
        <v>0.46079242337454662</v>
      </c>
      <c r="BD20" s="162">
        <v>0.23184040503742032</v>
      </c>
      <c r="BE20" s="93">
        <v>8.1095296049199446E-9</v>
      </c>
      <c r="BF20" s="93">
        <v>1.4295501110077426E-16</v>
      </c>
      <c r="BG20" s="93">
        <v>0.81769729283040127</v>
      </c>
      <c r="BH20" s="93">
        <v>3.1172182487029479E-2</v>
      </c>
      <c r="BI20" s="93">
        <v>0.15276484391042366</v>
      </c>
      <c r="BJ20" s="93">
        <v>1.5481983844248573E-2</v>
      </c>
      <c r="BK20" s="93">
        <f>$CC$5</f>
        <v>4.4322825446866948E-8</v>
      </c>
      <c r="BL20" s="93">
        <f>1 * 10 ^ (INT(LOG10($BK$20)))</f>
        <v>1E-8</v>
      </c>
      <c r="BM20" s="93">
        <f>Helium3TU($AP$20,$AR$20,$AT$20,$BK$20,$N$20,$J$20,$L$20,$D$20,$AX$20,$BA$20)</f>
        <v>-0.59808788223868392</v>
      </c>
      <c r="BN20" s="93">
        <f>Helium3TUerr($AQ$20,$AR$20,$AS$20,$AT$20,$AU$20,1,$BE$20,$BK$20,$J$20,$D$20,$AX$20)</f>
        <v>0.3669790101534931</v>
      </c>
      <c r="BO20" s="93" t="str">
        <f>ReptHe3TU($BM$20,$BN$20,$BI$20*100)</f>
        <v>&lt;1</v>
      </c>
      <c r="BP20" s="93" t="str">
        <f>ReptHe3TUerr($BO$20,$BN$20)</f>
        <v>na</v>
      </c>
      <c r="BQ20" s="93" t="s">
        <v>921</v>
      </c>
      <c r="BR20" s="93" t="str">
        <f>TritiumCat($AP$20,$BR$2)</f>
        <v>Tritium Dead</v>
      </c>
    </row>
    <row r="21" spans="1:70">
      <c r="A21" s="94" t="s">
        <v>626</v>
      </c>
      <c r="B21" s="94" t="s">
        <v>627</v>
      </c>
      <c r="C21" s="94" t="s">
        <v>661</v>
      </c>
      <c r="D21" s="95">
        <v>41507</v>
      </c>
      <c r="E21" s="94" t="s">
        <v>664</v>
      </c>
      <c r="F21" s="93" t="s">
        <v>630</v>
      </c>
      <c r="G21" s="93" t="s">
        <v>631</v>
      </c>
      <c r="H21" s="93">
        <v>3.4406461269163469E-2</v>
      </c>
      <c r="I21" s="162" t="s">
        <v>270</v>
      </c>
      <c r="J21" s="93">
        <v>0.22376201802000001</v>
      </c>
      <c r="K21" s="93">
        <v>2.2376201801999999E-2</v>
      </c>
      <c r="L21" s="93">
        <v>39.024390243902403</v>
      </c>
      <c r="M21" s="93">
        <v>3.9024390243902403</v>
      </c>
      <c r="N21" s="93">
        <v>17.439438983254476</v>
      </c>
      <c r="O21" s="93">
        <v>5.868579958363016</v>
      </c>
      <c r="P21" s="93">
        <v>2.4651471106276364</v>
      </c>
      <c r="Q21" s="93">
        <v>0.4937707258151674</v>
      </c>
      <c r="R21" s="93" t="s">
        <v>270</v>
      </c>
      <c r="S21" s="93" t="s">
        <v>270</v>
      </c>
      <c r="T21" s="93">
        <v>0</v>
      </c>
      <c r="U21" s="93">
        <v>2.1580057903971266</v>
      </c>
      <c r="V21" s="93" t="s">
        <v>270</v>
      </c>
      <c r="W21" s="93" t="s">
        <v>270</v>
      </c>
      <c r="X21" s="93" t="s">
        <v>270</v>
      </c>
      <c r="Y21" s="93" t="s">
        <v>270</v>
      </c>
      <c r="Z21" s="93" t="s">
        <v>270</v>
      </c>
      <c r="AA21" s="93" t="s">
        <v>270</v>
      </c>
      <c r="AB21" s="93" t="s">
        <v>270</v>
      </c>
      <c r="AC21" s="93" t="s">
        <v>270</v>
      </c>
      <c r="AD21" s="93" t="s">
        <v>270</v>
      </c>
      <c r="AE21" s="93" t="s">
        <v>270</v>
      </c>
      <c r="AF21" s="93" t="s">
        <v>270</v>
      </c>
      <c r="AG21" s="93" t="s">
        <v>270</v>
      </c>
      <c r="AH21" s="93">
        <v>0.97039890170995624</v>
      </c>
      <c r="AI21" s="93">
        <v>9.7039890170995624E-2</v>
      </c>
      <c r="AJ21" s="93">
        <v>2.4116271353744323</v>
      </c>
      <c r="AK21" s="93">
        <v>1.0041196468463403</v>
      </c>
      <c r="AL21" s="93" t="s">
        <v>270</v>
      </c>
      <c r="AM21" s="93" t="s">
        <v>270</v>
      </c>
      <c r="AN21" s="93" t="s">
        <v>270</v>
      </c>
      <c r="AO21" s="93" t="s">
        <v>270</v>
      </c>
      <c r="AP21" s="93">
        <v>-5.642633228840125E-2</v>
      </c>
      <c r="AQ21" s="93">
        <v>3.1347962382445145E-2</v>
      </c>
      <c r="AR21" s="93">
        <v>1.1801368E-6</v>
      </c>
      <c r="AS21" s="93">
        <v>1.3840000000000023E-8</v>
      </c>
      <c r="AT21" s="93">
        <v>6.5699999999999999E-8</v>
      </c>
      <c r="AU21" s="93">
        <v>0</v>
      </c>
      <c r="AV21" s="93">
        <v>2.326E-7</v>
      </c>
      <c r="AW21" s="93">
        <v>2.8000000000000002E-10</v>
      </c>
      <c r="AX21" s="161">
        <v>41850</v>
      </c>
      <c r="AY21" s="93">
        <v>4.4871573686212148E-8</v>
      </c>
      <c r="AZ21" s="93">
        <v>1.6379065170652365E-8</v>
      </c>
      <c r="BA21" s="93">
        <v>1.2917370859688819E-8</v>
      </c>
      <c r="BB21" s="93">
        <v>5.3783545870577187E-9</v>
      </c>
      <c r="BC21" s="162">
        <v>0.46417864591604197</v>
      </c>
      <c r="BD21" s="162">
        <v>0.23872595928386131</v>
      </c>
      <c r="BE21" s="93">
        <v>7.9110554540990331E-9</v>
      </c>
      <c r="BF21" s="93">
        <v>1.3638266658399488E-16</v>
      </c>
      <c r="BG21" s="93">
        <v>0.81665253439818064</v>
      </c>
      <c r="BH21" s="93">
        <v>3.1456477373673727E-2</v>
      </c>
      <c r="BI21" s="93">
        <v>0.14988010096449347</v>
      </c>
      <c r="BJ21" s="93">
        <v>1.5272227656341345E-2</v>
      </c>
      <c r="BK21" s="93">
        <f>$CC$5</f>
        <v>4.4322825446866948E-8</v>
      </c>
      <c r="BL21" s="93">
        <f>1 * 10 ^ (INT(LOG10($BK$21)))</f>
        <v>1E-8</v>
      </c>
      <c r="BM21" s="93">
        <f>Helium3TU($AP$21,$AR$21,$AT$21,$BK$21,$N$21,$J$21,$L$21,$D$21,$AX$21,$BA$21)</f>
        <v>-0.70736884681665047</v>
      </c>
      <c r="BN21" s="93">
        <f>Helium3TUerr($AQ$21,$AR$21,$AS$21,$AT$21,$AU$21,1,$BE$21,$BK$21,$J$21,$D$21,$AX$21)</f>
        <v>0.36690899647022535</v>
      </c>
      <c r="BO21" s="93" t="str">
        <f>ReptHe3TU($BM$21,$BN$21,$BI$21*100)</f>
        <v>&lt;1</v>
      </c>
      <c r="BP21" s="93" t="str">
        <f>ReptHe3TUerr($BO$21,$BN$21)</f>
        <v>na</v>
      </c>
      <c r="BQ21" s="93" t="s">
        <v>921</v>
      </c>
      <c r="BR21" s="93" t="str">
        <f>TritiumCat($AP$21,$BR$2)</f>
        <v>Tritium Dead</v>
      </c>
    </row>
    <row r="22" spans="1:70">
      <c r="A22" s="94" t="s">
        <v>626</v>
      </c>
      <c r="B22" s="94" t="s">
        <v>627</v>
      </c>
      <c r="C22" s="94" t="s">
        <v>666</v>
      </c>
      <c r="D22" s="95">
        <v>41506</v>
      </c>
      <c r="E22" s="94" t="s">
        <v>667</v>
      </c>
      <c r="F22" s="93" t="s">
        <v>630</v>
      </c>
      <c r="G22" s="93" t="s">
        <v>631</v>
      </c>
      <c r="H22" s="93">
        <v>5.8231200097761603E-26</v>
      </c>
      <c r="I22" s="162" t="s">
        <v>270</v>
      </c>
      <c r="J22" s="93">
        <v>0.37143129450000001</v>
      </c>
      <c r="K22" s="93">
        <v>3.7143129449999999E-2</v>
      </c>
      <c r="L22" s="93">
        <v>92.073170731707293</v>
      </c>
      <c r="M22" s="93">
        <v>9.2073170731707297</v>
      </c>
      <c r="N22" s="93">
        <v>15.736258067240243</v>
      </c>
      <c r="O22" s="93">
        <v>0.46250502385526343</v>
      </c>
      <c r="P22" s="93">
        <v>2.1754402125339829</v>
      </c>
      <c r="Q22" s="93">
        <v>0.35233286111620277</v>
      </c>
      <c r="R22" s="93" t="s">
        <v>270</v>
      </c>
      <c r="S22" s="93" t="s">
        <v>270</v>
      </c>
      <c r="T22" s="93">
        <v>0.3</v>
      </c>
      <c r="U22" s="93">
        <v>0.2</v>
      </c>
      <c r="V22" s="93" t="s">
        <v>270</v>
      </c>
      <c r="W22" s="93" t="s">
        <v>270</v>
      </c>
      <c r="X22" s="93" t="s">
        <v>270</v>
      </c>
      <c r="Y22" s="93" t="s">
        <v>270</v>
      </c>
      <c r="Z22" s="93" t="s">
        <v>270</v>
      </c>
      <c r="AA22" s="93" t="s">
        <v>270</v>
      </c>
      <c r="AB22" s="93" t="s">
        <v>270</v>
      </c>
      <c r="AC22" s="93" t="s">
        <v>270</v>
      </c>
      <c r="AD22" s="93" t="s">
        <v>270</v>
      </c>
      <c r="AE22" s="93" t="s">
        <v>270</v>
      </c>
      <c r="AF22" s="93" t="s">
        <v>270</v>
      </c>
      <c r="AG22" s="93" t="s">
        <v>270</v>
      </c>
      <c r="AH22" s="93" t="s">
        <v>270</v>
      </c>
      <c r="AI22" s="93" t="s">
        <v>270</v>
      </c>
      <c r="AJ22" s="93" t="s">
        <v>270</v>
      </c>
      <c r="AK22" s="93" t="s">
        <v>270</v>
      </c>
      <c r="AL22" s="93" t="s">
        <v>270</v>
      </c>
      <c r="AM22" s="93" t="s">
        <v>270</v>
      </c>
      <c r="AN22" s="93" t="s">
        <v>270</v>
      </c>
      <c r="AO22" s="93" t="s">
        <v>270</v>
      </c>
      <c r="AP22" s="93">
        <v>1.5673981191222573E-2</v>
      </c>
      <c r="AQ22" s="93">
        <v>3.1347962382445145E-2</v>
      </c>
      <c r="AR22" s="93">
        <v>3.5278159999999994E-7</v>
      </c>
      <c r="AS22" s="93">
        <v>1.3839999999999997E-8</v>
      </c>
      <c r="AT22" s="93">
        <v>2.3440000000000001E-7</v>
      </c>
      <c r="AU22" s="93">
        <v>4.0000000000000001E-10</v>
      </c>
      <c r="AV22" s="93">
        <v>2.2980000000000001E-7</v>
      </c>
      <c r="AW22" s="93">
        <v>2.8000000000000002E-10</v>
      </c>
      <c r="AX22" s="161">
        <v>41850</v>
      </c>
      <c r="AY22" s="93">
        <v>4.4813194472299352E-8</v>
      </c>
      <c r="AZ22" s="93">
        <v>6.4729604875847355E-9</v>
      </c>
      <c r="BA22" s="93">
        <v>1.1399306713678072E-8</v>
      </c>
      <c r="BB22" s="93">
        <v>2.4737982472532886E-9</v>
      </c>
      <c r="BC22" s="162">
        <v>4.2306023429079813</v>
      </c>
      <c r="BD22" s="162">
        <v>0.21547232251679915</v>
      </c>
      <c r="BE22" s="93">
        <v>1.7818749881402258E-7</v>
      </c>
      <c r="BF22" s="93">
        <v>1.2368175821557451E-15</v>
      </c>
      <c r="BG22" s="93">
        <v>0.21681218601554181</v>
      </c>
      <c r="BH22" s="93">
        <v>1.9270561872024434E-2</v>
      </c>
      <c r="BI22" s="93">
        <v>0.79904480882193729</v>
      </c>
      <c r="BJ22" s="93">
        <v>1.0297248574565314E-2</v>
      </c>
      <c r="BK22" s="93">
        <f>$CC$5</f>
        <v>4.4322825446866948E-8</v>
      </c>
      <c r="BL22" s="93">
        <f>1 * 10 ^ (INT(LOG10($BK$22)))</f>
        <v>1E-8</v>
      </c>
      <c r="BM22" s="93">
        <f>Helium3TU($AP$22,$AR$22,$AT$22,$BK$22,$N$22,$J$22,$L$22,$D$22,$AX$22,$BA$22)</f>
        <v>-0.79186376733349861</v>
      </c>
      <c r="BN22" s="93">
        <f>Helium3TUerr($AQ$22,$AR$22,$AS$22,$AT$22,$AU$22,1,$BE$22,$BK$22,$J$22,$D$22,$AX$22)</f>
        <v>1.4889118023866359</v>
      </c>
      <c r="BO22" s="93" t="str">
        <f>ReptHe3TU($BM$22,$BN$22,$BI$22*100)</f>
        <v>&lt;1</v>
      </c>
      <c r="BP22" s="93" t="str">
        <f>ReptHe3TUerr($BO$22,$BN$22)</f>
        <v>na</v>
      </c>
      <c r="BQ22" s="93" t="s">
        <v>920</v>
      </c>
      <c r="BR22" s="93" t="str">
        <f>TritiumCat($AP$22,$BR$2)</f>
        <v>Tritium Dead</v>
      </c>
    </row>
    <row r="23" spans="1:70">
      <c r="A23" s="94" t="s">
        <v>626</v>
      </c>
      <c r="B23" s="94" t="s">
        <v>627</v>
      </c>
      <c r="C23" s="94" t="s">
        <v>666</v>
      </c>
      <c r="D23" s="95">
        <v>41506</v>
      </c>
      <c r="E23" s="94" t="s">
        <v>670</v>
      </c>
      <c r="F23" s="93" t="s">
        <v>630</v>
      </c>
      <c r="G23" s="93" t="s">
        <v>631</v>
      </c>
      <c r="H23" s="93">
        <v>5.1735921856994736E-26</v>
      </c>
      <c r="I23" s="162" t="s">
        <v>270</v>
      </c>
      <c r="J23" s="93">
        <v>0.37143129450000001</v>
      </c>
      <c r="K23" s="93">
        <v>3.7143129449999999E-2</v>
      </c>
      <c r="L23" s="93">
        <v>92.073170731707293</v>
      </c>
      <c r="M23" s="93">
        <v>9.2073170731707297</v>
      </c>
      <c r="N23" s="93">
        <v>15.466006541588428</v>
      </c>
      <c r="O23" s="93">
        <v>0.45790256850846561</v>
      </c>
      <c r="P23" s="93">
        <v>2.1894303529963581</v>
      </c>
      <c r="Q23" s="93">
        <v>0.35232590602605801</v>
      </c>
      <c r="R23" s="93" t="s">
        <v>270</v>
      </c>
      <c r="S23" s="93" t="s">
        <v>270</v>
      </c>
      <c r="T23" s="93">
        <v>0.3</v>
      </c>
      <c r="U23" s="93">
        <v>0.2</v>
      </c>
      <c r="V23" s="93" t="s">
        <v>270</v>
      </c>
      <c r="W23" s="93" t="s">
        <v>270</v>
      </c>
      <c r="X23" s="93" t="s">
        <v>270</v>
      </c>
      <c r="Y23" s="93" t="s">
        <v>270</v>
      </c>
      <c r="Z23" s="93" t="s">
        <v>270</v>
      </c>
      <c r="AA23" s="93" t="s">
        <v>270</v>
      </c>
      <c r="AB23" s="93" t="s">
        <v>270</v>
      </c>
      <c r="AC23" s="93" t="s">
        <v>270</v>
      </c>
      <c r="AD23" s="93" t="s">
        <v>270</v>
      </c>
      <c r="AE23" s="93" t="s">
        <v>270</v>
      </c>
      <c r="AF23" s="93" t="s">
        <v>270</v>
      </c>
      <c r="AG23" s="93" t="s">
        <v>270</v>
      </c>
      <c r="AH23" s="93" t="s">
        <v>270</v>
      </c>
      <c r="AI23" s="93" t="s">
        <v>270</v>
      </c>
      <c r="AJ23" s="93" t="s">
        <v>270</v>
      </c>
      <c r="AK23" s="93" t="s">
        <v>270</v>
      </c>
      <c r="AL23" s="93" t="s">
        <v>270</v>
      </c>
      <c r="AM23" s="93" t="s">
        <v>270</v>
      </c>
      <c r="AN23" s="93" t="s">
        <v>270</v>
      </c>
      <c r="AO23" s="93" t="s">
        <v>270</v>
      </c>
      <c r="AP23" s="93">
        <v>1.5673981191222573E-2</v>
      </c>
      <c r="AQ23" s="93">
        <v>3.1347962382445145E-2</v>
      </c>
      <c r="AR23" s="93">
        <v>3.5278159999999994E-7</v>
      </c>
      <c r="AS23" s="93">
        <v>1.3839999999999997E-8</v>
      </c>
      <c r="AT23" s="93">
        <v>2.3440000000000001E-7</v>
      </c>
      <c r="AU23" s="93">
        <v>4.0000000000000001E-10</v>
      </c>
      <c r="AV23" s="93">
        <v>2.2980000000000001E-7</v>
      </c>
      <c r="AW23" s="93">
        <v>2.8000000000000002E-10</v>
      </c>
      <c r="AX23" s="161">
        <v>41850</v>
      </c>
      <c r="AY23" s="93">
        <v>4.4856694964520855E-8</v>
      </c>
      <c r="AZ23" s="93">
        <v>6.4812222069946963E-9</v>
      </c>
      <c r="BA23" s="93">
        <v>1.1472615049700915E-8</v>
      </c>
      <c r="BB23" s="93">
        <v>2.4811696624300277E-9</v>
      </c>
      <c r="BC23" s="162">
        <v>4.2255298832291892</v>
      </c>
      <c r="BD23" s="162">
        <v>0.2126963613200783</v>
      </c>
      <c r="BE23" s="93">
        <v>1.7807068998577823E-7</v>
      </c>
      <c r="BF23" s="93">
        <v>1.2378467708820119E-15</v>
      </c>
      <c r="BG23" s="93">
        <v>0.21655463921547255</v>
      </c>
      <c r="BH23" s="93">
        <v>1.9306147495293316E-2</v>
      </c>
      <c r="BI23" s="93">
        <v>0.79878359317632319</v>
      </c>
      <c r="BJ23" s="93">
        <v>1.0323680314196934E-2</v>
      </c>
      <c r="BK23" s="93">
        <f>$CC$5</f>
        <v>4.4322825446866948E-8</v>
      </c>
      <c r="BL23" s="93">
        <f>1 * 10 ^ (INT(LOG10($BK$23)))</f>
        <v>1E-8</v>
      </c>
      <c r="BM23" s="93">
        <f>Helium3TU($AP$23,$AR$23,$AT$23,$BK$23,$N$23,$J$23,$L$23,$D$23,$AX$23,$BA$23)</f>
        <v>-0.85380406554479338</v>
      </c>
      <c r="BN23" s="93">
        <f>Helium3TUerr($AQ$23,$AR$23,$AS$23,$AT$23,$AU$23,1,$BE$23,$BK$23,$J$23,$D$23,$AX$23)</f>
        <v>1.4886858935616356</v>
      </c>
      <c r="BO23" s="93" t="str">
        <f>ReptHe3TU($BM$23,$BN$23,$BI$23*100)</f>
        <v>&lt;1</v>
      </c>
      <c r="BP23" s="93" t="str">
        <f>ReptHe3TUerr($BO$23,$BN$23)</f>
        <v>na</v>
      </c>
      <c r="BQ23" s="93" t="s">
        <v>920</v>
      </c>
      <c r="BR23" s="93" t="str">
        <f>TritiumCat($AP$23,$BR$2)</f>
        <v>Tritium Dead</v>
      </c>
    </row>
    <row r="24" spans="1:70">
      <c r="A24" s="94" t="s">
        <v>626</v>
      </c>
      <c r="B24" s="94" t="s">
        <v>627</v>
      </c>
      <c r="C24" s="94" t="s">
        <v>672</v>
      </c>
      <c r="D24" s="95">
        <v>41507</v>
      </c>
      <c r="E24" s="94" t="s">
        <v>673</v>
      </c>
      <c r="F24" s="93" t="s">
        <v>630</v>
      </c>
      <c r="G24" s="93" t="s">
        <v>631</v>
      </c>
      <c r="H24" s="93">
        <v>5.5991997709386712E-26</v>
      </c>
      <c r="I24" s="162" t="s">
        <v>270</v>
      </c>
      <c r="J24" s="93">
        <v>0.31770079722</v>
      </c>
      <c r="K24" s="93">
        <v>3.1770079722000001E-2</v>
      </c>
      <c r="L24" s="93">
        <v>50.304878048780402</v>
      </c>
      <c r="M24" s="93">
        <v>5.0304878048780406</v>
      </c>
      <c r="N24" s="93">
        <v>13.001063030108252</v>
      </c>
      <c r="O24" s="93">
        <v>0.29345512718208178</v>
      </c>
      <c r="P24" s="93">
        <v>1.9093869861557107</v>
      </c>
      <c r="Q24" s="93">
        <v>0.24909101609909948</v>
      </c>
      <c r="R24" s="93" t="s">
        <v>270</v>
      </c>
      <c r="S24" s="93" t="s">
        <v>270</v>
      </c>
      <c r="T24" s="93">
        <v>0.2</v>
      </c>
      <c r="U24" s="93">
        <v>0.14142135623730953</v>
      </c>
      <c r="V24" s="93" t="s">
        <v>270</v>
      </c>
      <c r="W24" s="93" t="s">
        <v>270</v>
      </c>
      <c r="X24" s="93" t="s">
        <v>270</v>
      </c>
      <c r="Y24" s="93" t="s">
        <v>270</v>
      </c>
      <c r="Z24" s="93" t="s">
        <v>270</v>
      </c>
      <c r="AA24" s="93" t="s">
        <v>270</v>
      </c>
      <c r="AB24" s="93" t="s">
        <v>270</v>
      </c>
      <c r="AC24" s="93" t="s">
        <v>270</v>
      </c>
      <c r="AD24" s="93" t="s">
        <v>270</v>
      </c>
      <c r="AE24" s="93" t="s">
        <v>270</v>
      </c>
      <c r="AF24" s="93" t="s">
        <v>270</v>
      </c>
      <c r="AG24" s="93" t="s">
        <v>270</v>
      </c>
      <c r="AH24" s="93">
        <v>0.72030360377971547</v>
      </c>
      <c r="AI24" s="93">
        <v>7.2030360377971545E-2</v>
      </c>
      <c r="AJ24" s="93">
        <v>1.6750032107588524</v>
      </c>
      <c r="AK24" s="93">
        <v>0.32448513058351591</v>
      </c>
      <c r="AL24" s="93" t="s">
        <v>270</v>
      </c>
      <c r="AM24" s="93" t="s">
        <v>270</v>
      </c>
      <c r="AN24" s="93" t="s">
        <v>270</v>
      </c>
      <c r="AO24" s="93" t="s">
        <v>270</v>
      </c>
      <c r="AP24" s="93">
        <v>9.4043887147335428E-2</v>
      </c>
      <c r="AQ24" s="93">
        <v>3.1347962382445145E-2</v>
      </c>
      <c r="AR24" s="93" t="s">
        <v>270</v>
      </c>
      <c r="AS24" s="93" t="s">
        <v>270</v>
      </c>
      <c r="AT24" s="93" t="s">
        <v>270</v>
      </c>
      <c r="AU24" s="93" t="s">
        <v>270</v>
      </c>
      <c r="AV24" s="93" t="s">
        <v>270</v>
      </c>
      <c r="AW24" s="93" t="s">
        <v>270</v>
      </c>
      <c r="AX24" s="161" t="s">
        <v>270</v>
      </c>
      <c r="AY24" s="93" t="s">
        <v>270</v>
      </c>
      <c r="AZ24" s="93" t="s">
        <v>270</v>
      </c>
      <c r="BA24" s="93" t="s">
        <v>270</v>
      </c>
      <c r="BB24" s="93" t="s">
        <v>270</v>
      </c>
      <c r="BC24" s="162" t="s">
        <v>270</v>
      </c>
      <c r="BD24" s="162" t="s">
        <v>270</v>
      </c>
      <c r="BE24" s="93" t="s">
        <v>270</v>
      </c>
      <c r="BF24" s="93" t="s">
        <v>270</v>
      </c>
      <c r="BG24" s="93" t="s">
        <v>270</v>
      </c>
      <c r="BH24" s="93" t="s">
        <v>270</v>
      </c>
      <c r="BI24" s="93" t="s">
        <v>270</v>
      </c>
      <c r="BJ24" s="93" t="s">
        <v>270</v>
      </c>
      <c r="BK24" s="93" t="s">
        <v>270</v>
      </c>
      <c r="BL24" s="93" t="s">
        <v>270</v>
      </c>
      <c r="BM24" s="93" t="s">
        <v>270</v>
      </c>
      <c r="BN24" s="93" t="s">
        <v>270</v>
      </c>
      <c r="BO24" s="93" t="s">
        <v>270</v>
      </c>
      <c r="BP24" s="93" t="s">
        <v>270</v>
      </c>
    </row>
    <row r="25" spans="1:70">
      <c r="A25" s="94" t="s">
        <v>626</v>
      </c>
      <c r="B25" s="94" t="s">
        <v>627</v>
      </c>
      <c r="C25" s="94" t="s">
        <v>672</v>
      </c>
      <c r="D25" s="95">
        <v>41507</v>
      </c>
      <c r="E25" s="94" t="s">
        <v>673</v>
      </c>
      <c r="F25" s="93" t="s">
        <v>630</v>
      </c>
      <c r="G25" s="93" t="s">
        <v>631</v>
      </c>
      <c r="H25" s="93">
        <v>5.5991997709386712E-26</v>
      </c>
      <c r="I25" s="162" t="s">
        <v>270</v>
      </c>
      <c r="J25" s="93">
        <v>0.31770079722</v>
      </c>
      <c r="K25" s="93">
        <v>3.1770079722000001E-2</v>
      </c>
      <c r="L25" s="93">
        <v>50.304878048780402</v>
      </c>
      <c r="M25" s="93">
        <v>5.0304878048780406</v>
      </c>
      <c r="N25" s="93">
        <v>13.001063030108252</v>
      </c>
      <c r="O25" s="93">
        <v>0.29345512718208178</v>
      </c>
      <c r="P25" s="93">
        <v>1.9093869861557107</v>
      </c>
      <c r="Q25" s="93">
        <v>0.24909101609909948</v>
      </c>
      <c r="R25" s="93" t="s">
        <v>270</v>
      </c>
      <c r="S25" s="93" t="s">
        <v>270</v>
      </c>
      <c r="T25" s="93">
        <v>0.2</v>
      </c>
      <c r="U25" s="93">
        <v>0.14142135623730953</v>
      </c>
      <c r="V25" s="93" t="s">
        <v>270</v>
      </c>
      <c r="W25" s="93" t="s">
        <v>270</v>
      </c>
      <c r="X25" s="93" t="s">
        <v>270</v>
      </c>
      <c r="Y25" s="93" t="s">
        <v>270</v>
      </c>
      <c r="Z25" s="93" t="s">
        <v>270</v>
      </c>
      <c r="AA25" s="93" t="s">
        <v>270</v>
      </c>
      <c r="AB25" s="93" t="s">
        <v>270</v>
      </c>
      <c r="AC25" s="93" t="s">
        <v>270</v>
      </c>
      <c r="AD25" s="93" t="s">
        <v>270</v>
      </c>
      <c r="AE25" s="93" t="s">
        <v>270</v>
      </c>
      <c r="AF25" s="93" t="s">
        <v>270</v>
      </c>
      <c r="AG25" s="93" t="s">
        <v>270</v>
      </c>
      <c r="AH25" s="93">
        <v>0.59529675940114746</v>
      </c>
      <c r="AI25" s="93">
        <v>5.9529675940114747E-2</v>
      </c>
      <c r="AJ25" s="93">
        <v>1.3843106963771408</v>
      </c>
      <c r="AK25" s="93">
        <v>0.26817156778976664</v>
      </c>
      <c r="AL25" s="93" t="s">
        <v>270</v>
      </c>
      <c r="AM25" s="93" t="s">
        <v>270</v>
      </c>
      <c r="AN25" s="93" t="s">
        <v>270</v>
      </c>
      <c r="AO25" s="93" t="s">
        <v>270</v>
      </c>
      <c r="AP25" s="93">
        <v>9.4043887147335428E-2</v>
      </c>
      <c r="AQ25" s="93">
        <v>3.1347962382445145E-2</v>
      </c>
      <c r="AR25" s="93" t="s">
        <v>270</v>
      </c>
      <c r="AS25" s="93" t="s">
        <v>270</v>
      </c>
      <c r="AT25" s="93" t="s">
        <v>270</v>
      </c>
      <c r="AU25" s="93" t="s">
        <v>270</v>
      </c>
      <c r="AV25" s="93" t="s">
        <v>270</v>
      </c>
      <c r="AW25" s="93" t="s">
        <v>270</v>
      </c>
      <c r="AX25" s="161" t="s">
        <v>270</v>
      </c>
      <c r="AY25" s="93" t="s">
        <v>270</v>
      </c>
      <c r="AZ25" s="93" t="s">
        <v>270</v>
      </c>
      <c r="BA25" s="93" t="s">
        <v>270</v>
      </c>
      <c r="BB25" s="93" t="s">
        <v>270</v>
      </c>
      <c r="BC25" s="162" t="s">
        <v>270</v>
      </c>
      <c r="BD25" s="162" t="s">
        <v>270</v>
      </c>
      <c r="BE25" s="93" t="s">
        <v>270</v>
      </c>
      <c r="BF25" s="93" t="s">
        <v>270</v>
      </c>
      <c r="BG25" s="93" t="s">
        <v>270</v>
      </c>
      <c r="BH25" s="93" t="s">
        <v>270</v>
      </c>
      <c r="BI25" s="93" t="s">
        <v>270</v>
      </c>
      <c r="BJ25" s="93" t="s">
        <v>270</v>
      </c>
      <c r="BK25" s="93" t="s">
        <v>270</v>
      </c>
      <c r="BL25" s="93" t="s">
        <v>270</v>
      </c>
      <c r="BM25" s="93" t="s">
        <v>270</v>
      </c>
      <c r="BN25" s="93" t="s">
        <v>270</v>
      </c>
      <c r="BO25" s="93" t="s">
        <v>270</v>
      </c>
      <c r="BP25" s="93" t="s">
        <v>270</v>
      </c>
    </row>
    <row r="26" spans="1:70">
      <c r="A26" s="94" t="s">
        <v>626</v>
      </c>
      <c r="B26" s="94" t="s">
        <v>627</v>
      </c>
      <c r="C26" s="94" t="s">
        <v>672</v>
      </c>
      <c r="D26" s="95">
        <v>41507</v>
      </c>
      <c r="E26" s="94" t="s">
        <v>676</v>
      </c>
      <c r="F26" s="93" t="s">
        <v>630</v>
      </c>
      <c r="G26" s="93" t="s">
        <v>631</v>
      </c>
      <c r="H26" s="93">
        <v>5.3254645871308829E-26</v>
      </c>
      <c r="I26" s="162" t="s">
        <v>270</v>
      </c>
      <c r="J26" s="93">
        <v>0.31770079722</v>
      </c>
      <c r="K26" s="93">
        <v>3.1770079722000001E-2</v>
      </c>
      <c r="L26" s="93">
        <v>50.304878048780402</v>
      </c>
      <c r="M26" s="93">
        <v>5.0304878048780406</v>
      </c>
      <c r="N26" s="93">
        <v>13.303027496490397</v>
      </c>
      <c r="O26" s="93">
        <v>0.29687232102456335</v>
      </c>
      <c r="P26" s="93">
        <v>1.9121145612720589</v>
      </c>
      <c r="Q26" s="93">
        <v>0.24909530906046981</v>
      </c>
      <c r="R26" s="93" t="s">
        <v>270</v>
      </c>
      <c r="S26" s="93" t="s">
        <v>270</v>
      </c>
      <c r="T26" s="93">
        <v>0.2</v>
      </c>
      <c r="U26" s="93">
        <v>0.14142135623730953</v>
      </c>
      <c r="V26" s="93" t="s">
        <v>270</v>
      </c>
      <c r="W26" s="93" t="s">
        <v>270</v>
      </c>
      <c r="X26" s="93" t="s">
        <v>270</v>
      </c>
      <c r="Y26" s="93" t="s">
        <v>270</v>
      </c>
      <c r="Z26" s="93" t="s">
        <v>270</v>
      </c>
      <c r="AA26" s="93" t="s">
        <v>270</v>
      </c>
      <c r="AB26" s="93" t="s">
        <v>270</v>
      </c>
      <c r="AC26" s="93" t="s">
        <v>270</v>
      </c>
      <c r="AD26" s="93" t="s">
        <v>270</v>
      </c>
      <c r="AE26" s="93" t="s">
        <v>270</v>
      </c>
      <c r="AF26" s="93" t="s">
        <v>270</v>
      </c>
      <c r="AG26" s="93" t="s">
        <v>270</v>
      </c>
      <c r="AH26" s="93">
        <v>0.72030360377971547</v>
      </c>
      <c r="AI26" s="93">
        <v>7.2030360377971545E-2</v>
      </c>
      <c r="AJ26" s="93">
        <v>1.690510444287834</v>
      </c>
      <c r="AK26" s="93">
        <v>0.32722993752834034</v>
      </c>
      <c r="AL26" s="93" t="s">
        <v>270</v>
      </c>
      <c r="AM26" s="93" t="s">
        <v>270</v>
      </c>
      <c r="AN26" s="93" t="s">
        <v>270</v>
      </c>
      <c r="AO26" s="93" t="s">
        <v>270</v>
      </c>
      <c r="AP26" s="93">
        <v>9.4043887147335428E-2</v>
      </c>
      <c r="AQ26" s="93">
        <v>3.1347962382445145E-2</v>
      </c>
      <c r="AR26" s="93" t="s">
        <v>270</v>
      </c>
      <c r="AS26" s="93" t="s">
        <v>270</v>
      </c>
      <c r="AT26" s="93" t="s">
        <v>270</v>
      </c>
      <c r="AU26" s="93" t="s">
        <v>270</v>
      </c>
      <c r="AV26" s="93" t="s">
        <v>270</v>
      </c>
      <c r="AW26" s="93" t="s">
        <v>270</v>
      </c>
      <c r="AX26" s="161" t="s">
        <v>270</v>
      </c>
      <c r="AY26" s="93" t="s">
        <v>270</v>
      </c>
      <c r="AZ26" s="93" t="s">
        <v>270</v>
      </c>
      <c r="BA26" s="93" t="s">
        <v>270</v>
      </c>
      <c r="BB26" s="93" t="s">
        <v>270</v>
      </c>
      <c r="BC26" s="162" t="s">
        <v>270</v>
      </c>
      <c r="BD26" s="162" t="s">
        <v>270</v>
      </c>
      <c r="BE26" s="93" t="s">
        <v>270</v>
      </c>
      <c r="BF26" s="93" t="s">
        <v>270</v>
      </c>
      <c r="BG26" s="93" t="s">
        <v>270</v>
      </c>
      <c r="BH26" s="93" t="s">
        <v>270</v>
      </c>
      <c r="BI26" s="93" t="s">
        <v>270</v>
      </c>
      <c r="BJ26" s="93" t="s">
        <v>270</v>
      </c>
      <c r="BK26" s="93" t="s">
        <v>270</v>
      </c>
      <c r="BL26" s="93" t="s">
        <v>270</v>
      </c>
      <c r="BM26" s="93" t="s">
        <v>270</v>
      </c>
      <c r="BN26" s="93" t="s">
        <v>270</v>
      </c>
      <c r="BO26" s="93" t="s">
        <v>270</v>
      </c>
      <c r="BP26" s="93" t="s">
        <v>270</v>
      </c>
    </row>
    <row r="27" spans="1:70">
      <c r="A27" s="94" t="s">
        <v>626</v>
      </c>
      <c r="B27" s="94" t="s">
        <v>627</v>
      </c>
      <c r="C27" s="94" t="s">
        <v>672</v>
      </c>
      <c r="D27" s="95">
        <v>41507</v>
      </c>
      <c r="E27" s="94" t="s">
        <v>676</v>
      </c>
      <c r="F27" s="93" t="s">
        <v>630</v>
      </c>
      <c r="G27" s="93" t="s">
        <v>631</v>
      </c>
      <c r="H27" s="93">
        <v>5.3254645871308829E-26</v>
      </c>
      <c r="I27" s="162" t="s">
        <v>270</v>
      </c>
      <c r="J27" s="93">
        <v>0.31770079722</v>
      </c>
      <c r="K27" s="93">
        <v>3.1770079722000001E-2</v>
      </c>
      <c r="L27" s="93">
        <v>50.304878048780402</v>
      </c>
      <c r="M27" s="93">
        <v>5.0304878048780406</v>
      </c>
      <c r="N27" s="93">
        <v>13.303027496490397</v>
      </c>
      <c r="O27" s="93">
        <v>0.29687232102456335</v>
      </c>
      <c r="P27" s="93">
        <v>1.9121145612720589</v>
      </c>
      <c r="Q27" s="93">
        <v>0.24909530906046981</v>
      </c>
      <c r="R27" s="93" t="s">
        <v>270</v>
      </c>
      <c r="S27" s="93" t="s">
        <v>270</v>
      </c>
      <c r="T27" s="93">
        <v>0.2</v>
      </c>
      <c r="U27" s="93">
        <v>0.14142135623730953</v>
      </c>
      <c r="V27" s="93" t="s">
        <v>270</v>
      </c>
      <c r="W27" s="93" t="s">
        <v>270</v>
      </c>
      <c r="X27" s="93" t="s">
        <v>270</v>
      </c>
      <c r="Y27" s="93" t="s">
        <v>270</v>
      </c>
      <c r="Z27" s="93" t="s">
        <v>270</v>
      </c>
      <c r="AA27" s="93" t="s">
        <v>270</v>
      </c>
      <c r="AB27" s="93" t="s">
        <v>270</v>
      </c>
      <c r="AC27" s="93" t="s">
        <v>270</v>
      </c>
      <c r="AD27" s="93" t="s">
        <v>270</v>
      </c>
      <c r="AE27" s="93" t="s">
        <v>270</v>
      </c>
      <c r="AF27" s="93" t="s">
        <v>270</v>
      </c>
      <c r="AG27" s="93" t="s">
        <v>270</v>
      </c>
      <c r="AH27" s="93">
        <v>0.59529675940114746</v>
      </c>
      <c r="AI27" s="93">
        <v>5.9529675940114747E-2</v>
      </c>
      <c r="AJ27" s="93">
        <v>1.3971266892704692</v>
      </c>
      <c r="AK27" s="93">
        <v>0.27044002052394939</v>
      </c>
      <c r="AL27" s="93" t="s">
        <v>270</v>
      </c>
      <c r="AM27" s="93" t="s">
        <v>270</v>
      </c>
      <c r="AN27" s="93" t="s">
        <v>270</v>
      </c>
      <c r="AO27" s="93" t="s">
        <v>270</v>
      </c>
      <c r="AP27" s="93">
        <v>9.4043887147335428E-2</v>
      </c>
      <c r="AQ27" s="93">
        <v>3.1347962382445145E-2</v>
      </c>
      <c r="AR27" s="93" t="s">
        <v>270</v>
      </c>
      <c r="AS27" s="93" t="s">
        <v>270</v>
      </c>
      <c r="AT27" s="93" t="s">
        <v>270</v>
      </c>
      <c r="AU27" s="93" t="s">
        <v>270</v>
      </c>
      <c r="AV27" s="93" t="s">
        <v>270</v>
      </c>
      <c r="AW27" s="93" t="s">
        <v>270</v>
      </c>
      <c r="AX27" s="161" t="s">
        <v>270</v>
      </c>
      <c r="AY27" s="93" t="s">
        <v>270</v>
      </c>
      <c r="AZ27" s="93" t="s">
        <v>270</v>
      </c>
      <c r="BA27" s="93" t="s">
        <v>270</v>
      </c>
      <c r="BB27" s="93" t="s">
        <v>270</v>
      </c>
      <c r="BC27" s="162" t="s">
        <v>270</v>
      </c>
      <c r="BD27" s="162" t="s">
        <v>270</v>
      </c>
      <c r="BE27" s="93" t="s">
        <v>270</v>
      </c>
      <c r="BF27" s="93" t="s">
        <v>270</v>
      </c>
      <c r="BG27" s="93" t="s">
        <v>270</v>
      </c>
      <c r="BH27" s="93" t="s">
        <v>270</v>
      </c>
      <c r="BI27" s="93" t="s">
        <v>270</v>
      </c>
      <c r="BJ27" s="93" t="s">
        <v>270</v>
      </c>
      <c r="BK27" s="93" t="s">
        <v>270</v>
      </c>
      <c r="BL27" s="93" t="s">
        <v>270</v>
      </c>
      <c r="BM27" s="93" t="s">
        <v>270</v>
      </c>
      <c r="BN27" s="93" t="s">
        <v>270</v>
      </c>
      <c r="BO27" s="93" t="s">
        <v>270</v>
      </c>
      <c r="BP27" s="93" t="s">
        <v>270</v>
      </c>
    </row>
    <row r="28" spans="1:70">
      <c r="A28" s="94" t="s">
        <v>626</v>
      </c>
      <c r="B28" s="94" t="s">
        <v>627</v>
      </c>
      <c r="C28" s="94" t="s">
        <v>678</v>
      </c>
      <c r="D28" s="95">
        <v>41520</v>
      </c>
      <c r="E28" s="94" t="s">
        <v>679</v>
      </c>
      <c r="F28" s="93" t="s">
        <v>630</v>
      </c>
      <c r="G28" s="93" t="s">
        <v>631</v>
      </c>
      <c r="H28" s="93">
        <v>3.1073918030991153E-21</v>
      </c>
      <c r="I28" s="162" t="s">
        <v>270</v>
      </c>
      <c r="J28" s="93">
        <v>0.14891640378000001</v>
      </c>
      <c r="K28" s="93">
        <v>1.4891640378E-2</v>
      </c>
      <c r="L28" s="93">
        <v>61.585365853658502</v>
      </c>
      <c r="M28" s="93">
        <v>6.1585365853658498</v>
      </c>
      <c r="N28" s="93">
        <v>11.390486763298842</v>
      </c>
      <c r="O28" s="93">
        <v>5.2562761533241567</v>
      </c>
      <c r="P28" s="93">
        <v>2.5005424904948477</v>
      </c>
      <c r="Q28" s="93">
        <v>0.53095681206265988</v>
      </c>
      <c r="R28" s="93" t="s">
        <v>270</v>
      </c>
      <c r="S28" s="93" t="s">
        <v>270</v>
      </c>
      <c r="T28" s="93">
        <v>8.9035162279756885E-2</v>
      </c>
      <c r="U28" s="93">
        <v>2.4539856089887269</v>
      </c>
      <c r="V28" s="93" t="s">
        <v>270</v>
      </c>
      <c r="W28" s="93" t="s">
        <v>270</v>
      </c>
      <c r="X28" s="93" t="s">
        <v>270</v>
      </c>
      <c r="Y28" s="93" t="s">
        <v>270</v>
      </c>
      <c r="Z28" s="93" t="s">
        <v>270</v>
      </c>
      <c r="AA28" s="93" t="s">
        <v>270</v>
      </c>
      <c r="AB28" s="93" t="s">
        <v>270</v>
      </c>
      <c r="AC28" s="93" t="s">
        <v>270</v>
      </c>
      <c r="AD28" s="93" t="s">
        <v>270</v>
      </c>
      <c r="AE28" s="93" t="s">
        <v>270</v>
      </c>
      <c r="AF28" s="93" t="s">
        <v>270</v>
      </c>
      <c r="AG28" s="93" t="s">
        <v>270</v>
      </c>
      <c r="AH28" s="93">
        <v>0.21140448341287421</v>
      </c>
      <c r="AI28" s="93">
        <v>2.1140448341287421E-2</v>
      </c>
      <c r="AJ28" s="93">
        <v>0.44060478631863365</v>
      </c>
      <c r="AK28" s="93">
        <v>0.23232617734614761</v>
      </c>
      <c r="AL28" s="93" t="s">
        <v>270</v>
      </c>
      <c r="AM28" s="93" t="s">
        <v>270</v>
      </c>
      <c r="AN28" s="93" t="s">
        <v>270</v>
      </c>
      <c r="AO28" s="93" t="s">
        <v>270</v>
      </c>
      <c r="AP28" s="93">
        <v>2.5078369905956115E-2</v>
      </c>
      <c r="AQ28" s="93">
        <v>3.1347962382445145E-2</v>
      </c>
      <c r="AR28" s="93">
        <v>6.9712079999999992E-7</v>
      </c>
      <c r="AS28" s="93">
        <v>1.3840000000000023E-8</v>
      </c>
      <c r="AT28" s="93">
        <v>1.178E-7</v>
      </c>
      <c r="AU28" s="93">
        <v>1E-10</v>
      </c>
      <c r="AV28" s="93">
        <v>2.4289999999999998E-7</v>
      </c>
      <c r="AW28" s="93">
        <v>2.8999999999999998E-10</v>
      </c>
      <c r="AX28" s="161">
        <v>41850</v>
      </c>
      <c r="AY28" s="93">
        <v>4.5797081524215548E-8</v>
      </c>
      <c r="AZ28" s="93">
        <v>2.2103776477946035E-8</v>
      </c>
      <c r="BA28" s="93">
        <v>1.3102842650193003E-8</v>
      </c>
      <c r="BB28" s="93">
        <v>6.9089883719192511E-9</v>
      </c>
      <c r="BC28" s="162">
        <v>1.5722163089740198</v>
      </c>
      <c r="BD28" s="162">
        <v>0.23010659446589155</v>
      </c>
      <c r="BE28" s="93">
        <v>5.8900075825591445E-8</v>
      </c>
      <c r="BF28" s="93">
        <v>1.3640436787232104E-15</v>
      </c>
      <c r="BG28" s="93">
        <v>0.44158835612917241</v>
      </c>
      <c r="BH28" s="93">
        <v>4.8376777601202729E-2</v>
      </c>
      <c r="BI28" s="93">
        <v>0.56257602052382183</v>
      </c>
      <c r="BJ28" s="93">
        <v>3.7661851438792457E-2</v>
      </c>
      <c r="BK28" s="93">
        <f>$CC$5</f>
        <v>4.4322825446866948E-8</v>
      </c>
      <c r="BL28" s="93">
        <f>1 * 10 ^ (INT(LOG10($BK$28)))</f>
        <v>1E-8</v>
      </c>
      <c r="BM28" s="93">
        <f>Helium3TU($AP$28,$AR$28,$AT$28,$BK$28,$N$28,$J$28,$L$28,$D$28,$AX$28,$BA$28)</f>
        <v>-0.37305922500383182</v>
      </c>
      <c r="BN28" s="93">
        <f>Helium3TUerr($AQ$28,$AR$28,$AS$28,$AT$28,$AU$28,1,$BE$28,$BK$28,$J$28,$D$28,$AX$28)</f>
        <v>0.69728693324900304</v>
      </c>
      <c r="BO28" s="93" t="str">
        <f>ReptHe3TU($BM$28,$BN$28,$BI$28*100)</f>
        <v>&lt;1</v>
      </c>
      <c r="BP28" s="93" t="str">
        <f>ReptHe3TUerr($BO$28,$BN$28)</f>
        <v>na</v>
      </c>
      <c r="BQ28" s="93" t="s">
        <v>920</v>
      </c>
      <c r="BR28" s="93" t="str">
        <f>TritiumCat($AP$28,$BR$2)</f>
        <v>Tritium Dead</v>
      </c>
    </row>
    <row r="29" spans="1:70">
      <c r="A29" s="94" t="s">
        <v>626</v>
      </c>
      <c r="B29" s="94" t="s">
        <v>627</v>
      </c>
      <c r="C29" s="94" t="s">
        <v>678</v>
      </c>
      <c r="D29" s="95">
        <v>41520</v>
      </c>
      <c r="E29" s="94" t="s">
        <v>679</v>
      </c>
      <c r="F29" s="93" t="s">
        <v>630</v>
      </c>
      <c r="G29" s="93" t="s">
        <v>631</v>
      </c>
      <c r="H29" s="93">
        <v>3.1073918030991153E-21</v>
      </c>
      <c r="I29" s="162" t="s">
        <v>270</v>
      </c>
      <c r="J29" s="93">
        <v>0.14891640378000001</v>
      </c>
      <c r="K29" s="93">
        <v>1.4891640378E-2</v>
      </c>
      <c r="L29" s="93">
        <v>61.585365853658502</v>
      </c>
      <c r="M29" s="93">
        <v>6.1585365853658498</v>
      </c>
      <c r="N29" s="93">
        <v>11.390486763298842</v>
      </c>
      <c r="O29" s="93">
        <v>5.2562761533241567</v>
      </c>
      <c r="P29" s="93">
        <v>2.5005424904948477</v>
      </c>
      <c r="Q29" s="93">
        <v>0.53095681206265988</v>
      </c>
      <c r="R29" s="93" t="s">
        <v>270</v>
      </c>
      <c r="S29" s="93" t="s">
        <v>270</v>
      </c>
      <c r="T29" s="93">
        <v>8.9035162279756885E-2</v>
      </c>
      <c r="U29" s="93">
        <v>2.4539856089887269</v>
      </c>
      <c r="V29" s="93" t="s">
        <v>270</v>
      </c>
      <c r="W29" s="93" t="s">
        <v>270</v>
      </c>
      <c r="X29" s="93" t="s">
        <v>270</v>
      </c>
      <c r="Y29" s="93" t="s">
        <v>270</v>
      </c>
      <c r="Z29" s="93" t="s">
        <v>270</v>
      </c>
      <c r="AA29" s="93" t="s">
        <v>270</v>
      </c>
      <c r="AB29" s="93" t="s">
        <v>270</v>
      </c>
      <c r="AC29" s="93" t="s">
        <v>270</v>
      </c>
      <c r="AD29" s="93" t="s">
        <v>270</v>
      </c>
      <c r="AE29" s="93" t="s">
        <v>270</v>
      </c>
      <c r="AF29" s="93" t="s">
        <v>270</v>
      </c>
      <c r="AG29" s="93" t="s">
        <v>270</v>
      </c>
      <c r="AH29" s="93">
        <v>0.21988822400719166</v>
      </c>
      <c r="AI29" s="93">
        <v>2.1988822400719168E-2</v>
      </c>
      <c r="AJ29" s="93">
        <v>0.45828642036629791</v>
      </c>
      <c r="AK29" s="93">
        <v>0.24164951330409293</v>
      </c>
      <c r="AL29" s="93" t="s">
        <v>270</v>
      </c>
      <c r="AM29" s="93" t="s">
        <v>270</v>
      </c>
      <c r="AN29" s="93" t="s">
        <v>270</v>
      </c>
      <c r="AO29" s="93" t="s">
        <v>270</v>
      </c>
      <c r="AP29" s="93">
        <v>2.5078369905956115E-2</v>
      </c>
      <c r="AQ29" s="93">
        <v>3.1347962382445145E-2</v>
      </c>
      <c r="AR29" s="93">
        <v>6.9712079999999992E-7</v>
      </c>
      <c r="AS29" s="93">
        <v>1.3840000000000023E-8</v>
      </c>
      <c r="AT29" s="93">
        <v>1.178E-7</v>
      </c>
      <c r="AU29" s="93">
        <v>1E-10</v>
      </c>
      <c r="AV29" s="93">
        <v>2.4289999999999998E-7</v>
      </c>
      <c r="AW29" s="93">
        <v>2.8999999999999998E-10</v>
      </c>
      <c r="AX29" s="161">
        <v>41850</v>
      </c>
      <c r="AY29" s="93">
        <v>4.5797081524215548E-8</v>
      </c>
      <c r="AZ29" s="93">
        <v>2.2103776477946035E-8</v>
      </c>
      <c r="BA29" s="93">
        <v>1.3102842650193003E-8</v>
      </c>
      <c r="BB29" s="93">
        <v>6.9089883719192511E-9</v>
      </c>
      <c r="BC29" s="162">
        <v>1.5722163089740198</v>
      </c>
      <c r="BD29" s="162">
        <v>0.23010659446589155</v>
      </c>
      <c r="BE29" s="93">
        <v>5.8900075825591445E-8</v>
      </c>
      <c r="BF29" s="93">
        <v>1.3640436787232104E-15</v>
      </c>
      <c r="BG29" s="93">
        <v>0.44158835612917241</v>
      </c>
      <c r="BH29" s="93">
        <v>4.8376777601202729E-2</v>
      </c>
      <c r="BI29" s="93">
        <v>0.56257602052382183</v>
      </c>
      <c r="BJ29" s="93">
        <v>3.7661851438792457E-2</v>
      </c>
      <c r="BK29" s="93">
        <f>$CC$5</f>
        <v>4.4322825446866948E-8</v>
      </c>
      <c r="BL29" s="93">
        <f>1 * 10 ^ (INT(LOG10($BK$29)))</f>
        <v>1E-8</v>
      </c>
      <c r="BM29" s="93">
        <f>Helium3TU($AP$29,$AR$29,$AT$29,$BK$29,$N$29,$J$29,$L$29,$D$29,$AX$29,$BA$29)</f>
        <v>-0.37305922500383182</v>
      </c>
      <c r="BN29" s="93">
        <f>Helium3TUerr($AQ$29,$AR$29,$AS$29,$AT$29,$AU$29,1,$BE$29,$BK$29,$J$29,$D$29,$AX$29)</f>
        <v>0.69728693324900304</v>
      </c>
      <c r="BO29" s="93" t="str">
        <f>ReptHe3TU($BM$29,$BN$29,$BI$29*100)</f>
        <v>&lt;1</v>
      </c>
      <c r="BP29" s="93" t="str">
        <f>ReptHe3TUerr($BO$29,$BN$29)</f>
        <v>na</v>
      </c>
      <c r="BQ29" s="93" t="s">
        <v>920</v>
      </c>
      <c r="BR29" s="93" t="str">
        <f>TritiumCat($AP$29,$BR$2)</f>
        <v>Tritium Dead</v>
      </c>
    </row>
    <row r="30" spans="1:70">
      <c r="A30" s="94" t="s">
        <v>626</v>
      </c>
      <c r="B30" s="94" t="s">
        <v>627</v>
      </c>
      <c r="C30" s="94" t="s">
        <v>678</v>
      </c>
      <c r="D30" s="95">
        <v>41520</v>
      </c>
      <c r="E30" s="94" t="s">
        <v>681</v>
      </c>
      <c r="F30" s="93" t="s">
        <v>630</v>
      </c>
      <c r="G30" s="93" t="s">
        <v>631</v>
      </c>
      <c r="H30" s="93">
        <v>2.887957890342621E-21</v>
      </c>
      <c r="I30" s="162" t="s">
        <v>270</v>
      </c>
      <c r="J30" s="93">
        <v>0.14891640378000001</v>
      </c>
      <c r="K30" s="93">
        <v>1.4891640378E-2</v>
      </c>
      <c r="L30" s="93">
        <v>61.585365853658502</v>
      </c>
      <c r="M30" s="93">
        <v>6.1585365853658498</v>
      </c>
      <c r="N30" s="93">
        <v>11.378677188701138</v>
      </c>
      <c r="O30" s="93">
        <v>5.254960530443169</v>
      </c>
      <c r="P30" s="93">
        <v>2.4993500067441197</v>
      </c>
      <c r="Q30" s="93">
        <v>0.53102656877266308</v>
      </c>
      <c r="R30" s="93" t="s">
        <v>270</v>
      </c>
      <c r="S30" s="93" t="s">
        <v>270</v>
      </c>
      <c r="T30" s="93">
        <v>8.1130982830050824E-2</v>
      </c>
      <c r="U30" s="93">
        <v>2.4538046107305083</v>
      </c>
      <c r="V30" s="93" t="s">
        <v>270</v>
      </c>
      <c r="W30" s="93" t="s">
        <v>270</v>
      </c>
      <c r="X30" s="93" t="s">
        <v>270</v>
      </c>
      <c r="Y30" s="93" t="s">
        <v>270</v>
      </c>
      <c r="Z30" s="93" t="s">
        <v>270</v>
      </c>
      <c r="AA30" s="93" t="s">
        <v>270</v>
      </c>
      <c r="AB30" s="93" t="s">
        <v>270</v>
      </c>
      <c r="AC30" s="93" t="s">
        <v>270</v>
      </c>
      <c r="AD30" s="93" t="s">
        <v>270</v>
      </c>
      <c r="AE30" s="93" t="s">
        <v>270</v>
      </c>
      <c r="AF30" s="93" t="s">
        <v>270</v>
      </c>
      <c r="AG30" s="93" t="s">
        <v>270</v>
      </c>
      <c r="AH30" s="93">
        <v>0.21140448341287421</v>
      </c>
      <c r="AI30" s="93">
        <v>2.1140448341287421E-2</v>
      </c>
      <c r="AJ30" s="93">
        <v>0.44049240261564288</v>
      </c>
      <c r="AK30" s="93">
        <v>0.2324299033484982</v>
      </c>
      <c r="AL30" s="93" t="s">
        <v>270</v>
      </c>
      <c r="AM30" s="93" t="s">
        <v>270</v>
      </c>
      <c r="AN30" s="93" t="s">
        <v>270</v>
      </c>
      <c r="AO30" s="93" t="s">
        <v>270</v>
      </c>
      <c r="AP30" s="93">
        <v>2.5078369905956115E-2</v>
      </c>
      <c r="AQ30" s="93">
        <v>3.1347962382445145E-2</v>
      </c>
      <c r="AR30" s="93">
        <v>6.9712079999999992E-7</v>
      </c>
      <c r="AS30" s="93">
        <v>1.3840000000000023E-8</v>
      </c>
      <c r="AT30" s="93">
        <v>1.178E-7</v>
      </c>
      <c r="AU30" s="93">
        <v>1E-10</v>
      </c>
      <c r="AV30" s="93">
        <v>2.4289999999999998E-7</v>
      </c>
      <c r="AW30" s="93">
        <v>2.8999999999999998E-10</v>
      </c>
      <c r="AX30" s="161">
        <v>41850</v>
      </c>
      <c r="AY30" s="93">
        <v>4.5799350527254152E-8</v>
      </c>
      <c r="AZ30" s="93">
        <v>2.2120781404765252E-8</v>
      </c>
      <c r="BA30" s="93">
        <v>1.3096594035339185E-8</v>
      </c>
      <c r="BB30" s="93">
        <v>6.9105393594824828E-9</v>
      </c>
      <c r="BC30" s="162">
        <v>1.5720888755813229</v>
      </c>
      <c r="BD30" s="162">
        <v>0.2299715424094475</v>
      </c>
      <c r="BE30" s="93">
        <v>5.8904055437406666E-8</v>
      </c>
      <c r="BF30" s="93">
        <v>1.3651191484886811E-15</v>
      </c>
      <c r="BG30" s="93">
        <v>0.44162168174271726</v>
      </c>
      <c r="BH30" s="93">
        <v>4.8380028499348068E-2</v>
      </c>
      <c r="BI30" s="93">
        <v>0.56258045486404684</v>
      </c>
      <c r="BJ30" s="93">
        <v>3.7668234240931575E-2</v>
      </c>
      <c r="BK30" s="93">
        <f>$CC$5</f>
        <v>4.4322825446866948E-8</v>
      </c>
      <c r="BL30" s="93">
        <f>1 * 10 ^ (INT(LOG10($BK$30)))</f>
        <v>1E-8</v>
      </c>
      <c r="BM30" s="93">
        <f>Helium3TU($AP$30,$AR$30,$AT$30,$BK$30,$N$30,$J$30,$L$30,$D$30,$AX$30,$BA$30)</f>
        <v>-0.37086916117200674</v>
      </c>
      <c r="BN30" s="93">
        <f>Helium3TUerr($AQ$30,$AR$30,$AS$30,$AT$30,$AU$30,1,$BE$30,$BK$30,$J$30,$D$30,$AX$30)</f>
        <v>0.69729236479407464</v>
      </c>
      <c r="BO30" s="93" t="str">
        <f>ReptHe3TU($BM$30,$BN$30,$BI$30*100)</f>
        <v>&lt;1</v>
      </c>
      <c r="BP30" s="93" t="str">
        <f>ReptHe3TUerr($BO$30,$BN$30)</f>
        <v>na</v>
      </c>
      <c r="BQ30" s="93" t="s">
        <v>920</v>
      </c>
      <c r="BR30" s="93" t="str">
        <f>TritiumCat($AP$30,$BR$2)</f>
        <v>Tritium Dead</v>
      </c>
    </row>
    <row r="31" spans="1:70">
      <c r="A31" s="94" t="s">
        <v>626</v>
      </c>
      <c r="B31" s="94" t="s">
        <v>627</v>
      </c>
      <c r="C31" s="94" t="s">
        <v>678</v>
      </c>
      <c r="D31" s="95">
        <v>41520</v>
      </c>
      <c r="E31" s="94" t="s">
        <v>681</v>
      </c>
      <c r="F31" s="93" t="s">
        <v>630</v>
      </c>
      <c r="G31" s="93" t="s">
        <v>631</v>
      </c>
      <c r="H31" s="93">
        <v>2.887957890342621E-21</v>
      </c>
      <c r="I31" s="162" t="s">
        <v>270</v>
      </c>
      <c r="J31" s="93">
        <v>0.14891640378000001</v>
      </c>
      <c r="K31" s="93">
        <v>1.4891640378E-2</v>
      </c>
      <c r="L31" s="93">
        <v>61.585365853658502</v>
      </c>
      <c r="M31" s="93">
        <v>6.1585365853658498</v>
      </c>
      <c r="N31" s="93">
        <v>11.378677188701138</v>
      </c>
      <c r="O31" s="93">
        <v>5.254960530443169</v>
      </c>
      <c r="P31" s="93">
        <v>2.4993500067441197</v>
      </c>
      <c r="Q31" s="93">
        <v>0.53102656877266308</v>
      </c>
      <c r="R31" s="93" t="s">
        <v>270</v>
      </c>
      <c r="S31" s="93" t="s">
        <v>270</v>
      </c>
      <c r="T31" s="93">
        <v>8.1130982830050824E-2</v>
      </c>
      <c r="U31" s="93">
        <v>2.4538046107305083</v>
      </c>
      <c r="V31" s="93" t="s">
        <v>270</v>
      </c>
      <c r="W31" s="93" t="s">
        <v>270</v>
      </c>
      <c r="X31" s="93" t="s">
        <v>270</v>
      </c>
      <c r="Y31" s="93" t="s">
        <v>270</v>
      </c>
      <c r="Z31" s="93" t="s">
        <v>270</v>
      </c>
      <c r="AA31" s="93" t="s">
        <v>270</v>
      </c>
      <c r="AB31" s="93" t="s">
        <v>270</v>
      </c>
      <c r="AC31" s="93" t="s">
        <v>270</v>
      </c>
      <c r="AD31" s="93" t="s">
        <v>270</v>
      </c>
      <c r="AE31" s="93" t="s">
        <v>270</v>
      </c>
      <c r="AF31" s="93" t="s">
        <v>270</v>
      </c>
      <c r="AG31" s="93" t="s">
        <v>270</v>
      </c>
      <c r="AH31" s="93">
        <v>0.21988822400719166</v>
      </c>
      <c r="AI31" s="93">
        <v>2.1988822400719168E-2</v>
      </c>
      <c r="AJ31" s="93">
        <v>0.45816952666348215</v>
      </c>
      <c r="AK31" s="93">
        <v>0.24175740186951988</v>
      </c>
      <c r="AL31" s="93" t="s">
        <v>270</v>
      </c>
      <c r="AM31" s="93" t="s">
        <v>270</v>
      </c>
      <c r="AN31" s="93" t="s">
        <v>270</v>
      </c>
      <c r="AO31" s="93" t="s">
        <v>270</v>
      </c>
      <c r="AP31" s="93">
        <v>2.5078369905956115E-2</v>
      </c>
      <c r="AQ31" s="93">
        <v>3.1347962382445145E-2</v>
      </c>
      <c r="AR31" s="93">
        <v>6.9712079999999992E-7</v>
      </c>
      <c r="AS31" s="93">
        <v>1.3840000000000023E-8</v>
      </c>
      <c r="AT31" s="93">
        <v>1.178E-7</v>
      </c>
      <c r="AU31" s="93">
        <v>1E-10</v>
      </c>
      <c r="AV31" s="93">
        <v>2.4289999999999998E-7</v>
      </c>
      <c r="AW31" s="93">
        <v>2.8999999999999998E-10</v>
      </c>
      <c r="AX31" s="161">
        <v>41850</v>
      </c>
      <c r="AY31" s="93">
        <v>4.5799350527254152E-8</v>
      </c>
      <c r="AZ31" s="93">
        <v>2.2120781404765252E-8</v>
      </c>
      <c r="BA31" s="93">
        <v>1.3096594035339185E-8</v>
      </c>
      <c r="BB31" s="93">
        <v>6.9105393594824828E-9</v>
      </c>
      <c r="BC31" s="162">
        <v>1.5720888755813229</v>
      </c>
      <c r="BD31" s="162">
        <v>0.2299715424094475</v>
      </c>
      <c r="BE31" s="93">
        <v>5.8904055437406666E-8</v>
      </c>
      <c r="BF31" s="93">
        <v>1.3651191484886811E-15</v>
      </c>
      <c r="BG31" s="93">
        <v>0.44162168174271726</v>
      </c>
      <c r="BH31" s="93">
        <v>4.8380028499348068E-2</v>
      </c>
      <c r="BI31" s="93">
        <v>0.56258045486404684</v>
      </c>
      <c r="BJ31" s="93">
        <v>3.7668234240931575E-2</v>
      </c>
      <c r="BK31" s="93">
        <f>$CC$5</f>
        <v>4.4322825446866948E-8</v>
      </c>
      <c r="BL31" s="93">
        <f>1 * 10 ^ (INT(LOG10($BK$31)))</f>
        <v>1E-8</v>
      </c>
      <c r="BM31" s="93">
        <f>Helium3TU($AP$31,$AR$31,$AT$31,$BK$31,$N$31,$J$31,$L$31,$D$31,$AX$31,$BA$31)</f>
        <v>-0.37086916117200674</v>
      </c>
      <c r="BN31" s="93">
        <f>Helium3TUerr($AQ$31,$AR$31,$AS$31,$AT$31,$AU$31,1,$BE$31,$BK$31,$J$31,$D$31,$AX$31)</f>
        <v>0.69729236479407464</v>
      </c>
      <c r="BO31" s="93" t="str">
        <f>ReptHe3TU($BM$31,$BN$31,$BI$31*100)</f>
        <v>&lt;1</v>
      </c>
      <c r="BP31" s="93" t="str">
        <f>ReptHe3TUerr($BO$31,$BN$31)</f>
        <v>na</v>
      </c>
      <c r="BQ31" s="93" t="s">
        <v>920</v>
      </c>
      <c r="BR31" s="93" t="str">
        <f>TritiumCat($AP$31,$BR$2)</f>
        <v>Tritium Dead</v>
      </c>
    </row>
    <row r="32" spans="1:70">
      <c r="A32" s="94" t="s">
        <v>626</v>
      </c>
      <c r="B32" s="94" t="s">
        <v>627</v>
      </c>
      <c r="C32" s="94" t="s">
        <v>683</v>
      </c>
      <c r="D32" s="95">
        <v>41521</v>
      </c>
      <c r="E32" s="94" t="s">
        <v>684</v>
      </c>
      <c r="F32" s="93" t="s">
        <v>630</v>
      </c>
      <c r="G32" s="93" t="s">
        <v>631</v>
      </c>
      <c r="H32" s="93">
        <v>1.3636754606405331E-3</v>
      </c>
      <c r="I32" s="162" t="s">
        <v>270</v>
      </c>
      <c r="J32" s="93">
        <v>0.12044944512</v>
      </c>
      <c r="K32" s="93">
        <v>1.2044944512E-2</v>
      </c>
      <c r="L32" s="93">
        <v>61.585365853658502</v>
      </c>
      <c r="M32" s="93">
        <v>6.1585365853658498</v>
      </c>
      <c r="N32" s="93">
        <v>12.277311284333342</v>
      </c>
      <c r="O32" s="93">
        <v>5.4498415110904999</v>
      </c>
      <c r="P32" s="93">
        <v>3.3235533027479658</v>
      </c>
      <c r="Q32" s="93">
        <v>0.53524404960508221</v>
      </c>
      <c r="R32" s="93" t="s">
        <v>270</v>
      </c>
      <c r="S32" s="93" t="s">
        <v>270</v>
      </c>
      <c r="T32" s="93">
        <v>0</v>
      </c>
      <c r="U32" s="93">
        <v>2.4826198874521475</v>
      </c>
      <c r="V32" s="93" t="s">
        <v>270</v>
      </c>
      <c r="W32" s="93" t="s">
        <v>270</v>
      </c>
      <c r="X32" s="93" t="s">
        <v>270</v>
      </c>
      <c r="Y32" s="93" t="s">
        <v>270</v>
      </c>
      <c r="Z32" s="93" t="s">
        <v>270</v>
      </c>
      <c r="AA32" s="93" t="s">
        <v>270</v>
      </c>
      <c r="AB32" s="93" t="s">
        <v>270</v>
      </c>
      <c r="AC32" s="93" t="s">
        <v>270</v>
      </c>
      <c r="AD32" s="93" t="s">
        <v>270</v>
      </c>
      <c r="AE32" s="93" t="s">
        <v>270</v>
      </c>
      <c r="AF32" s="93" t="s">
        <v>270</v>
      </c>
      <c r="AG32" s="93" t="s">
        <v>270</v>
      </c>
      <c r="AH32" s="93">
        <v>0.18296164431399911</v>
      </c>
      <c r="AI32" s="93">
        <v>1.8296164431399912E-2</v>
      </c>
      <c r="AJ32" s="93">
        <v>0.36290906193534112</v>
      </c>
      <c r="AK32" s="93">
        <v>0.17888833358114262</v>
      </c>
      <c r="AL32" s="93" t="s">
        <v>270</v>
      </c>
      <c r="AM32" s="93" t="s">
        <v>270</v>
      </c>
      <c r="AN32" s="93" t="s">
        <v>270</v>
      </c>
      <c r="AO32" s="93" t="s">
        <v>270</v>
      </c>
      <c r="AP32" s="93">
        <v>-7.2100313479623826E-2</v>
      </c>
      <c r="AQ32" s="93">
        <v>3.1347962382445145E-2</v>
      </c>
      <c r="AR32" s="93">
        <v>4.3263840000000006E-7</v>
      </c>
      <c r="AS32" s="93">
        <v>1.3839999999999917E-8</v>
      </c>
      <c r="AT32" s="93">
        <v>2.2100000000000001E-7</v>
      </c>
      <c r="AU32" s="93">
        <v>4.0000000000000001E-10</v>
      </c>
      <c r="AV32" s="93">
        <v>2.5629999999999999E-7</v>
      </c>
      <c r="AW32" s="93">
        <v>2.8999999999999998E-10</v>
      </c>
      <c r="AX32" s="161">
        <v>41849</v>
      </c>
      <c r="AY32" s="93">
        <v>4.5637003655954409E-8</v>
      </c>
      <c r="AZ32" s="93">
        <v>2.1261314176184519E-8</v>
      </c>
      <c r="BA32" s="93">
        <v>1.7415419306399344E-8</v>
      </c>
      <c r="BB32" s="93">
        <v>8.5845619884071826E-9</v>
      </c>
      <c r="BC32" s="162">
        <v>3.8425615683724983</v>
      </c>
      <c r="BD32" s="162">
        <v>0.30837928513234791</v>
      </c>
      <c r="BE32" s="93">
        <v>1.5794757703764623E-7</v>
      </c>
      <c r="BF32" s="93">
        <v>3.6221280882786052E-15</v>
      </c>
      <c r="BG32" s="93">
        <v>0.2537972112948948</v>
      </c>
      <c r="BH32" s="93">
        <v>4.251812263239288E-2</v>
      </c>
      <c r="BI32" s="93">
        <v>0.77583293664566444</v>
      </c>
      <c r="BJ32" s="93">
        <v>3.4238934442843108E-2</v>
      </c>
      <c r="BK32" s="93">
        <f>$CC$5</f>
        <v>4.4322825446866948E-8</v>
      </c>
      <c r="BL32" s="93">
        <f>1 * 10 ^ (INT(LOG10($BK$32)))</f>
        <v>1E-8</v>
      </c>
      <c r="BM32" s="93">
        <f>Helium3TU($AP$32,$AR$32,$AT$32,$BK$32,$N$32,$J$32,$L$32,$D$32,$AX$32,$BA$32)</f>
        <v>0.97690597092144404</v>
      </c>
      <c r="BN32" s="93">
        <f>Helium3TUerr($AQ$32,$AR$32,$AS$32,$AT$32,$AU$32,1,$BE$32,$BK$32,$J$32,$D$32,$AX$32)</f>
        <v>1.3850703420385881</v>
      </c>
      <c r="BO32" s="93" t="str">
        <f>ReptHe3TU($BM$32,$BN$32,$BI$32*100)</f>
        <v>Not Quantifiable</v>
      </c>
      <c r="BP32" s="93" t="str">
        <f>ReptHe3TUerr($BO$32,$BN$32)</f>
        <v>na</v>
      </c>
      <c r="BQ32" s="93" t="s">
        <v>920</v>
      </c>
      <c r="BR32" s="93" t="str">
        <f>TritiumCat($AP$32,$BR$2)</f>
        <v>Tritium Dead</v>
      </c>
    </row>
    <row r="33" spans="1:70">
      <c r="A33" s="94" t="s">
        <v>626</v>
      </c>
      <c r="B33" s="94" t="s">
        <v>627</v>
      </c>
      <c r="C33" s="94" t="s">
        <v>683</v>
      </c>
      <c r="D33" s="95">
        <v>41521</v>
      </c>
      <c r="E33" s="94" t="s">
        <v>684</v>
      </c>
      <c r="F33" s="93" t="s">
        <v>630</v>
      </c>
      <c r="G33" s="93" t="s">
        <v>631</v>
      </c>
      <c r="H33" s="93">
        <v>1.3636754606405331E-3</v>
      </c>
      <c r="I33" s="162" t="s">
        <v>270</v>
      </c>
      <c r="J33" s="93">
        <v>0.12044944512</v>
      </c>
      <c r="K33" s="93">
        <v>1.2044944512E-2</v>
      </c>
      <c r="L33" s="93">
        <v>61.585365853658502</v>
      </c>
      <c r="M33" s="93">
        <v>6.1585365853658498</v>
      </c>
      <c r="N33" s="93">
        <v>12.277311284333342</v>
      </c>
      <c r="O33" s="93">
        <v>5.4498415110904999</v>
      </c>
      <c r="P33" s="93">
        <v>3.3235533027479658</v>
      </c>
      <c r="Q33" s="93">
        <v>0.53524404960508221</v>
      </c>
      <c r="R33" s="93" t="s">
        <v>270</v>
      </c>
      <c r="S33" s="93" t="s">
        <v>270</v>
      </c>
      <c r="T33" s="93">
        <v>0</v>
      </c>
      <c r="U33" s="93">
        <v>2.4826198874521475</v>
      </c>
      <c r="V33" s="93" t="s">
        <v>270</v>
      </c>
      <c r="W33" s="93" t="s">
        <v>270</v>
      </c>
      <c r="X33" s="93" t="s">
        <v>270</v>
      </c>
      <c r="Y33" s="93" t="s">
        <v>270</v>
      </c>
      <c r="Z33" s="93" t="s">
        <v>270</v>
      </c>
      <c r="AA33" s="93" t="s">
        <v>270</v>
      </c>
      <c r="AB33" s="93" t="s">
        <v>270</v>
      </c>
      <c r="AC33" s="93" t="s">
        <v>270</v>
      </c>
      <c r="AD33" s="93" t="s">
        <v>270</v>
      </c>
      <c r="AE33" s="93" t="s">
        <v>270</v>
      </c>
      <c r="AF33" s="93" t="s">
        <v>270</v>
      </c>
      <c r="AG33" s="93" t="s">
        <v>270</v>
      </c>
      <c r="AH33" s="93">
        <v>0.16940868867400052</v>
      </c>
      <c r="AI33" s="93">
        <v>1.6940868867400052E-2</v>
      </c>
      <c r="AJ33" s="93">
        <v>0.33602643068109828</v>
      </c>
      <c r="AK33" s="93">
        <v>0.16563711003301129</v>
      </c>
      <c r="AL33" s="93" t="s">
        <v>270</v>
      </c>
      <c r="AM33" s="93" t="s">
        <v>270</v>
      </c>
      <c r="AN33" s="93" t="s">
        <v>270</v>
      </c>
      <c r="AO33" s="93" t="s">
        <v>270</v>
      </c>
      <c r="AP33" s="93">
        <v>-7.2100313479623826E-2</v>
      </c>
      <c r="AQ33" s="93">
        <v>3.1347962382445145E-2</v>
      </c>
      <c r="AR33" s="93">
        <v>4.3263840000000006E-7</v>
      </c>
      <c r="AS33" s="93">
        <v>1.3839999999999917E-8</v>
      </c>
      <c r="AT33" s="93">
        <v>2.2100000000000001E-7</v>
      </c>
      <c r="AU33" s="93">
        <v>4.0000000000000001E-10</v>
      </c>
      <c r="AV33" s="93">
        <v>2.5629999999999999E-7</v>
      </c>
      <c r="AW33" s="93">
        <v>2.8999999999999998E-10</v>
      </c>
      <c r="AX33" s="161">
        <v>41849</v>
      </c>
      <c r="AY33" s="93">
        <v>4.5637003655954409E-8</v>
      </c>
      <c r="AZ33" s="93">
        <v>2.1261314176184519E-8</v>
      </c>
      <c r="BA33" s="93">
        <v>1.7415419306399344E-8</v>
      </c>
      <c r="BB33" s="93">
        <v>8.5845619884071826E-9</v>
      </c>
      <c r="BC33" s="162">
        <v>3.8425615683724983</v>
      </c>
      <c r="BD33" s="162">
        <v>0.30837928513234791</v>
      </c>
      <c r="BE33" s="93">
        <v>1.5794757703764623E-7</v>
      </c>
      <c r="BF33" s="93">
        <v>3.6221280882786052E-15</v>
      </c>
      <c r="BG33" s="93">
        <v>0.2537972112948948</v>
      </c>
      <c r="BH33" s="93">
        <v>4.251812263239288E-2</v>
      </c>
      <c r="BI33" s="93">
        <v>0.77583293664566444</v>
      </c>
      <c r="BJ33" s="93">
        <v>3.4238934442843108E-2</v>
      </c>
      <c r="BK33" s="93">
        <f>$CC$5</f>
        <v>4.4322825446866948E-8</v>
      </c>
      <c r="BL33" s="93">
        <f>1 * 10 ^ (INT(LOG10($BK$33)))</f>
        <v>1E-8</v>
      </c>
      <c r="BM33" s="93">
        <f>Helium3TU($AP$33,$AR$33,$AT$33,$BK$33,$N$33,$J$33,$L$33,$D$33,$AX$33,$BA$33)</f>
        <v>0.97690597092144404</v>
      </c>
      <c r="BN33" s="93">
        <f>Helium3TUerr($AQ$33,$AR$33,$AS$33,$AT$33,$AU$33,1,$BE$33,$BK$33,$J$33,$D$33,$AX$33)</f>
        <v>1.3850703420385881</v>
      </c>
      <c r="BO33" s="93" t="str">
        <f>ReptHe3TU($BM$33,$BN$33,$BI$33*100)</f>
        <v>Not Quantifiable</v>
      </c>
      <c r="BP33" s="93" t="str">
        <f>ReptHe3TUerr($BO$33,$BN$33)</f>
        <v>na</v>
      </c>
      <c r="BQ33" s="93" t="s">
        <v>920</v>
      </c>
      <c r="BR33" s="93" t="str">
        <f>TritiumCat($AP$33,$BR$2)</f>
        <v>Tritium Dead</v>
      </c>
    </row>
    <row r="34" spans="1:70">
      <c r="A34" s="94" t="s">
        <v>626</v>
      </c>
      <c r="B34" s="94" t="s">
        <v>627</v>
      </c>
      <c r="C34" s="94" t="s">
        <v>683</v>
      </c>
      <c r="D34" s="95">
        <v>41521</v>
      </c>
      <c r="E34" s="94" t="s">
        <v>686</v>
      </c>
      <c r="F34" s="93" t="s">
        <v>630</v>
      </c>
      <c r="G34" s="93" t="s">
        <v>631</v>
      </c>
      <c r="H34" s="93">
        <v>1.5441014070374186E-22</v>
      </c>
      <c r="I34" s="162" t="s">
        <v>270</v>
      </c>
      <c r="J34" s="93">
        <v>0.12044944512</v>
      </c>
      <c r="K34" s="93">
        <v>1.2044944512E-2</v>
      </c>
      <c r="L34" s="93">
        <v>61.585365853658502</v>
      </c>
      <c r="M34" s="93">
        <v>6.1585365853658498</v>
      </c>
      <c r="N34" s="93">
        <v>11.814013175131587</v>
      </c>
      <c r="O34" s="93">
        <v>5.395829705815979</v>
      </c>
      <c r="P34" s="93">
        <v>3.2782253706641002</v>
      </c>
      <c r="Q34" s="93">
        <v>0.53784909702471495</v>
      </c>
      <c r="R34" s="93" t="s">
        <v>270</v>
      </c>
      <c r="S34" s="93" t="s">
        <v>270</v>
      </c>
      <c r="T34" s="93">
        <v>2.2646171836390814E-4</v>
      </c>
      <c r="U34" s="93">
        <v>2.5037827759532849</v>
      </c>
      <c r="V34" s="93" t="s">
        <v>270</v>
      </c>
      <c r="W34" s="93" t="s">
        <v>270</v>
      </c>
      <c r="X34" s="93" t="s">
        <v>270</v>
      </c>
      <c r="Y34" s="93" t="s">
        <v>270</v>
      </c>
      <c r="Z34" s="93" t="s">
        <v>270</v>
      </c>
      <c r="AA34" s="93" t="s">
        <v>270</v>
      </c>
      <c r="AB34" s="93" t="s">
        <v>270</v>
      </c>
      <c r="AC34" s="93" t="s">
        <v>270</v>
      </c>
      <c r="AD34" s="93" t="s">
        <v>270</v>
      </c>
      <c r="AE34" s="93" t="s">
        <v>270</v>
      </c>
      <c r="AF34" s="93" t="s">
        <v>270</v>
      </c>
      <c r="AG34" s="93" t="s">
        <v>270</v>
      </c>
      <c r="AH34" s="93">
        <v>0.18296164431399911</v>
      </c>
      <c r="AI34" s="93">
        <v>1.8296164431399912E-2</v>
      </c>
      <c r="AJ34" s="93">
        <v>0.35961965220122427</v>
      </c>
      <c r="AK34" s="93">
        <v>0.18178462847162236</v>
      </c>
      <c r="AL34" s="93" t="s">
        <v>270</v>
      </c>
      <c r="AM34" s="93" t="s">
        <v>270</v>
      </c>
      <c r="AN34" s="93" t="s">
        <v>270</v>
      </c>
      <c r="AO34" s="93" t="s">
        <v>270</v>
      </c>
      <c r="AP34" s="93">
        <v>-7.2100313479623826E-2</v>
      </c>
      <c r="AQ34" s="93">
        <v>3.1347962382445145E-2</v>
      </c>
      <c r="AR34" s="93">
        <v>4.3263840000000006E-7</v>
      </c>
      <c r="AS34" s="93">
        <v>1.3839999999999917E-8</v>
      </c>
      <c r="AT34" s="93">
        <v>2.2100000000000001E-7</v>
      </c>
      <c r="AU34" s="93">
        <v>4.0000000000000001E-10</v>
      </c>
      <c r="AV34" s="93">
        <v>2.5629999999999999E-7</v>
      </c>
      <c r="AW34" s="93">
        <v>2.8999999999999998E-10</v>
      </c>
      <c r="AX34" s="161">
        <v>41849</v>
      </c>
      <c r="AY34" s="93">
        <v>4.5723633936086741E-8</v>
      </c>
      <c r="AZ34" s="93">
        <v>2.1861611198503024E-8</v>
      </c>
      <c r="BA34" s="93">
        <v>1.7177900942279881E-8</v>
      </c>
      <c r="BB34" s="93">
        <v>8.6832805760220036E-9</v>
      </c>
      <c r="BC34" s="162">
        <v>3.833386609404613</v>
      </c>
      <c r="BD34" s="162">
        <v>0.30283912207089858</v>
      </c>
      <c r="BE34" s="93">
        <v>1.5809846512163339E-7</v>
      </c>
      <c r="BF34" s="93">
        <v>3.7194807033399938E-15</v>
      </c>
      <c r="BG34" s="93">
        <v>0.25466677849291852</v>
      </c>
      <c r="BH34" s="93">
        <v>4.2793504825425162E-2</v>
      </c>
      <c r="BI34" s="93">
        <v>0.77566913471394083</v>
      </c>
      <c r="BJ34" s="93">
        <v>3.4567499880239556E-2</v>
      </c>
      <c r="BK34" s="93">
        <f>$CC$5</f>
        <v>4.4322825446866948E-8</v>
      </c>
      <c r="BL34" s="93">
        <f>1 * 10 ^ (INT(LOG10($BK$34)))</f>
        <v>1E-8</v>
      </c>
      <c r="BM34" s="93">
        <f>Helium3TU($AP$34,$AR$34,$AT$34,$BK$34,$N$34,$J$34,$L$34,$D$34,$AX$34,$BA$34)</f>
        <v>1.0599741213379517</v>
      </c>
      <c r="BN34" s="93">
        <f>Helium3TUerr($AQ$34,$AR$34,$AS$34,$AT$34,$AU$34,1,$BE$34,$BK$34,$J$34,$D$34,$AX$34)</f>
        <v>1.3853484417360817</v>
      </c>
      <c r="BO34" s="93" t="str">
        <f>ReptHe3TU($BM$34,$BN$34,$BI$34*100)</f>
        <v>Not Quantifiable</v>
      </c>
      <c r="BP34" s="93" t="str">
        <f>ReptHe3TUerr($BO$34,$BN$34)</f>
        <v>na</v>
      </c>
      <c r="BQ34" s="93" t="s">
        <v>920</v>
      </c>
      <c r="BR34" s="93" t="str">
        <f>TritiumCat($AP$34,$BR$2)</f>
        <v>Tritium Dead</v>
      </c>
    </row>
    <row r="35" spans="1:70">
      <c r="A35" s="94" t="s">
        <v>626</v>
      </c>
      <c r="B35" s="94" t="s">
        <v>627</v>
      </c>
      <c r="C35" s="94" t="s">
        <v>683</v>
      </c>
      <c r="D35" s="95">
        <v>41521</v>
      </c>
      <c r="E35" s="94" t="s">
        <v>686</v>
      </c>
      <c r="F35" s="93" t="s">
        <v>630</v>
      </c>
      <c r="G35" s="93" t="s">
        <v>631</v>
      </c>
      <c r="H35" s="93">
        <v>1.5441014070374186E-22</v>
      </c>
      <c r="I35" s="162" t="s">
        <v>270</v>
      </c>
      <c r="J35" s="93">
        <v>0.12044944512</v>
      </c>
      <c r="K35" s="93">
        <v>1.2044944512E-2</v>
      </c>
      <c r="L35" s="93">
        <v>61.585365853658502</v>
      </c>
      <c r="M35" s="93">
        <v>6.1585365853658498</v>
      </c>
      <c r="N35" s="93">
        <v>11.814013175131587</v>
      </c>
      <c r="O35" s="93">
        <v>5.395829705815979</v>
      </c>
      <c r="P35" s="93">
        <v>3.2782253706641002</v>
      </c>
      <c r="Q35" s="93">
        <v>0.53784909702471495</v>
      </c>
      <c r="R35" s="93" t="s">
        <v>270</v>
      </c>
      <c r="S35" s="93" t="s">
        <v>270</v>
      </c>
      <c r="T35" s="93">
        <v>2.2646171836390814E-4</v>
      </c>
      <c r="U35" s="93">
        <v>2.5037827759532849</v>
      </c>
      <c r="V35" s="93" t="s">
        <v>270</v>
      </c>
      <c r="W35" s="93" t="s">
        <v>270</v>
      </c>
      <c r="X35" s="93" t="s">
        <v>270</v>
      </c>
      <c r="Y35" s="93" t="s">
        <v>270</v>
      </c>
      <c r="Z35" s="93" t="s">
        <v>270</v>
      </c>
      <c r="AA35" s="93" t="s">
        <v>270</v>
      </c>
      <c r="AB35" s="93" t="s">
        <v>270</v>
      </c>
      <c r="AC35" s="93" t="s">
        <v>270</v>
      </c>
      <c r="AD35" s="93" t="s">
        <v>270</v>
      </c>
      <c r="AE35" s="93" t="s">
        <v>270</v>
      </c>
      <c r="AF35" s="93" t="s">
        <v>270</v>
      </c>
      <c r="AG35" s="93" t="s">
        <v>270</v>
      </c>
      <c r="AH35" s="93">
        <v>0.16940868867400052</v>
      </c>
      <c r="AI35" s="93">
        <v>1.6940868867400052E-2</v>
      </c>
      <c r="AJ35" s="93">
        <v>0.3329806852645788</v>
      </c>
      <c r="AK35" s="93">
        <v>0.16831886074228733</v>
      </c>
      <c r="AL35" s="93" t="s">
        <v>270</v>
      </c>
      <c r="AM35" s="93" t="s">
        <v>270</v>
      </c>
      <c r="AN35" s="93" t="s">
        <v>270</v>
      </c>
      <c r="AO35" s="93" t="s">
        <v>270</v>
      </c>
      <c r="AP35" s="93">
        <v>-7.2100313479623826E-2</v>
      </c>
      <c r="AQ35" s="93">
        <v>3.1347962382445145E-2</v>
      </c>
      <c r="AR35" s="93">
        <v>4.3263840000000006E-7</v>
      </c>
      <c r="AS35" s="93">
        <v>1.3839999999999917E-8</v>
      </c>
      <c r="AT35" s="93">
        <v>2.2100000000000001E-7</v>
      </c>
      <c r="AU35" s="93">
        <v>4.0000000000000001E-10</v>
      </c>
      <c r="AV35" s="93">
        <v>2.5629999999999999E-7</v>
      </c>
      <c r="AW35" s="93">
        <v>2.8999999999999998E-10</v>
      </c>
      <c r="AX35" s="161">
        <v>41849</v>
      </c>
      <c r="AY35" s="93">
        <v>4.5723633936086741E-8</v>
      </c>
      <c r="AZ35" s="93">
        <v>2.1861611198503024E-8</v>
      </c>
      <c r="BA35" s="93">
        <v>1.7177900942279881E-8</v>
      </c>
      <c r="BB35" s="93">
        <v>8.6832805760220036E-9</v>
      </c>
      <c r="BC35" s="162">
        <v>3.833386609404613</v>
      </c>
      <c r="BD35" s="162">
        <v>0.30283912207089858</v>
      </c>
      <c r="BE35" s="93">
        <v>1.5809846512163339E-7</v>
      </c>
      <c r="BF35" s="93">
        <v>3.7194807033399938E-15</v>
      </c>
      <c r="BG35" s="93">
        <v>0.25466677849291852</v>
      </c>
      <c r="BH35" s="93">
        <v>4.2793504825425162E-2</v>
      </c>
      <c r="BI35" s="93">
        <v>0.77566913471394083</v>
      </c>
      <c r="BJ35" s="93">
        <v>3.4567499880239556E-2</v>
      </c>
      <c r="BK35" s="93">
        <f>$CC$5</f>
        <v>4.4322825446866948E-8</v>
      </c>
      <c r="BL35" s="93">
        <f>1 * 10 ^ (INT(LOG10($BK$35)))</f>
        <v>1E-8</v>
      </c>
      <c r="BM35" s="93">
        <f>Helium3TU($AP$35,$AR$35,$AT$35,$BK$35,$N$35,$J$35,$L$35,$D$35,$AX$35,$BA$35)</f>
        <v>1.0599741213379517</v>
      </c>
      <c r="BN35" s="93">
        <f>Helium3TUerr($AQ$35,$AR$35,$AS$35,$AT$35,$AU$35,1,$BE$35,$BK$35,$J$35,$D$35,$AX$35)</f>
        <v>1.3853484417360817</v>
      </c>
      <c r="BO35" s="93" t="str">
        <f>ReptHe3TU($BM$35,$BN$35,$BI$35*100)</f>
        <v>Not Quantifiable</v>
      </c>
      <c r="BP35" s="93" t="str">
        <f>ReptHe3TUerr($BO$35,$BN$35)</f>
        <v>na</v>
      </c>
      <c r="BQ35" s="93" t="s">
        <v>920</v>
      </c>
      <c r="BR35" s="93" t="str">
        <f>TritiumCat($AP$35,$BR$2)</f>
        <v>Tritium Dead</v>
      </c>
    </row>
    <row r="36" spans="1:70">
      <c r="A36" s="94" t="s">
        <v>626</v>
      </c>
      <c r="B36" s="94" t="s">
        <v>688</v>
      </c>
      <c r="C36" s="94" t="s">
        <v>689</v>
      </c>
      <c r="D36" s="95">
        <v>41527</v>
      </c>
      <c r="E36" s="94" t="s">
        <v>690</v>
      </c>
      <c r="F36" s="93" t="s">
        <v>630</v>
      </c>
      <c r="G36" s="93" t="s">
        <v>631</v>
      </c>
      <c r="H36" s="93">
        <v>1.0126517195346371E-22</v>
      </c>
      <c r="I36" s="162" t="s">
        <v>270</v>
      </c>
      <c r="J36" s="93">
        <v>1.04112156672</v>
      </c>
      <c r="K36" s="93">
        <v>0.10411215667199999</v>
      </c>
      <c r="L36" s="93">
        <v>10.670731707317</v>
      </c>
      <c r="M36" s="93">
        <v>1.0670731707317</v>
      </c>
      <c r="N36" s="93">
        <v>20.122090708398989</v>
      </c>
      <c r="O36" s="93">
        <v>0.85197957043944406</v>
      </c>
      <c r="P36" s="93">
        <v>2.5244038689840882</v>
      </c>
      <c r="Q36" s="93">
        <v>0.55690964099975226</v>
      </c>
      <c r="R36" s="93" t="s">
        <v>270</v>
      </c>
      <c r="S36" s="93" t="s">
        <v>270</v>
      </c>
      <c r="T36" s="93">
        <v>3.9000000000000012</v>
      </c>
      <c r="U36" s="93">
        <v>0.3162277660168375</v>
      </c>
      <c r="V36" s="93" t="s">
        <v>270</v>
      </c>
      <c r="W36" s="93" t="s">
        <v>270</v>
      </c>
      <c r="X36" s="93" t="s">
        <v>270</v>
      </c>
      <c r="Y36" s="93" t="s">
        <v>270</v>
      </c>
      <c r="Z36" s="93" t="s">
        <v>270</v>
      </c>
      <c r="AA36" s="93" t="s">
        <v>270</v>
      </c>
      <c r="AB36" s="93" t="s">
        <v>270</v>
      </c>
      <c r="AC36" s="93" t="s">
        <v>270</v>
      </c>
      <c r="AD36" s="93" t="s">
        <v>270</v>
      </c>
      <c r="AE36" s="93" t="s">
        <v>270</v>
      </c>
      <c r="AF36" s="93" t="s">
        <v>270</v>
      </c>
      <c r="AG36" s="93" t="s">
        <v>270</v>
      </c>
      <c r="AH36" s="93">
        <v>0.86476674170258983</v>
      </c>
      <c r="AI36" s="93">
        <v>8.6476674170258991E-2</v>
      </c>
      <c r="AJ36" s="93">
        <v>2.293069769907929</v>
      </c>
      <c r="AK36" s="93">
        <v>0.60868649974893063</v>
      </c>
      <c r="AL36" s="93" t="s">
        <v>270</v>
      </c>
      <c r="AM36" s="93" t="s">
        <v>270</v>
      </c>
      <c r="AN36" s="93" t="s">
        <v>270</v>
      </c>
      <c r="AO36" s="93" t="s">
        <v>270</v>
      </c>
      <c r="AP36" s="93">
        <v>-0.2225705329153605</v>
      </c>
      <c r="AQ36" s="93">
        <v>3.1347962382445145E-2</v>
      </c>
      <c r="AR36" s="93">
        <v>1.1085840000000007E-7</v>
      </c>
      <c r="AS36" s="93">
        <v>1.384000000000001E-8</v>
      </c>
      <c r="AT36" s="93">
        <v>8.3900000000000004E-7</v>
      </c>
      <c r="AU36" s="93">
        <v>1.6000000000000001E-9</v>
      </c>
      <c r="AV36" s="93">
        <v>1.8610000000000001E-7</v>
      </c>
      <c r="AW36" s="93">
        <v>4.3999999999999998E-10</v>
      </c>
      <c r="AX36" s="161">
        <v>41857</v>
      </c>
      <c r="AY36" s="93">
        <v>4.4449174391639268E-8</v>
      </c>
      <c r="AZ36" s="93">
        <v>6.5617458547062825E-9</v>
      </c>
      <c r="BA36" s="93">
        <v>1.3227876273476622E-8</v>
      </c>
      <c r="BB36" s="93">
        <v>3.5112885851430944E-9</v>
      </c>
      <c r="BC36" s="162">
        <v>17.875491198275505</v>
      </c>
      <c r="BD36" s="162">
        <v>1.3579135076245086E-2</v>
      </c>
      <c r="BE36" s="93">
        <v>7.8132294933488418E-7</v>
      </c>
      <c r="BF36" s="93">
        <v>5.9475900113532697E-15</v>
      </c>
      <c r="BG36" s="93">
        <v>6.5364314268493567E-2</v>
      </c>
      <c r="BH36" s="93">
        <v>1.4163355211337323E-2</v>
      </c>
      <c r="BI36" s="93">
        <v>0.94617265869880995</v>
      </c>
      <c r="BJ36" s="93">
        <v>5.8565327782692288E-3</v>
      </c>
      <c r="BK36" s="93">
        <f>$CC$5</f>
        <v>4.4322825446866948E-8</v>
      </c>
      <c r="BL36" s="93">
        <f>1 * 10 ^ (INT(LOG10($BK$36)))</f>
        <v>1E-8</v>
      </c>
      <c r="BM36" s="93">
        <f>Helium3TU($AP$36,$AR$36,$AT$36,$BK$36,$N$36,$J$36,$L$36,$D$36,$AX$36,$BA$36)</f>
        <v>-8.2122988740009575</v>
      </c>
      <c r="BN36" s="93">
        <f>Helium3TUerr($AQ$36,$AR$36,$AS$36,$AT$36,$AU$36,1,$BE$36,$BK$36,$J$36,$D$36,$AX$36)</f>
        <v>5.6308958729185008</v>
      </c>
      <c r="BO36" s="93" t="str">
        <f>ReptHe3TU($BM$36,$BN$36,$BI$36*100)</f>
        <v>&lt;1</v>
      </c>
      <c r="BP36" s="93" t="str">
        <f>ReptHe3TUerr($BO$36,$BN$36)</f>
        <v>na</v>
      </c>
      <c r="BQ36" s="93" t="s">
        <v>920</v>
      </c>
      <c r="BR36" s="93" t="str">
        <f>TritiumCat($AP$36,$BR$2)</f>
        <v>Tritium Dead</v>
      </c>
    </row>
    <row r="37" spans="1:70">
      <c r="A37" s="94" t="s">
        <v>626</v>
      </c>
      <c r="B37" s="94" t="s">
        <v>688</v>
      </c>
      <c r="C37" s="94" t="s">
        <v>689</v>
      </c>
      <c r="D37" s="95">
        <v>41527</v>
      </c>
      <c r="E37" s="94" t="s">
        <v>690</v>
      </c>
      <c r="F37" s="93" t="s">
        <v>630</v>
      </c>
      <c r="G37" s="93" t="s">
        <v>631</v>
      </c>
      <c r="H37" s="93">
        <v>1.0126517195346371E-22</v>
      </c>
      <c r="I37" s="162" t="s">
        <v>270</v>
      </c>
      <c r="J37" s="93">
        <v>1.04112156672</v>
      </c>
      <c r="K37" s="93">
        <v>0.10411215667199999</v>
      </c>
      <c r="L37" s="93">
        <v>10.670731707317</v>
      </c>
      <c r="M37" s="93">
        <v>1.0670731707317</v>
      </c>
      <c r="N37" s="93">
        <v>20.122090708398989</v>
      </c>
      <c r="O37" s="93">
        <v>0.85197957043944406</v>
      </c>
      <c r="P37" s="93">
        <v>2.5244038689840882</v>
      </c>
      <c r="Q37" s="93">
        <v>0.55690964099975226</v>
      </c>
      <c r="R37" s="93" t="s">
        <v>270</v>
      </c>
      <c r="S37" s="93" t="s">
        <v>270</v>
      </c>
      <c r="T37" s="93">
        <v>3.9000000000000012</v>
      </c>
      <c r="U37" s="93">
        <v>0.3162277660168375</v>
      </c>
      <c r="V37" s="93" t="s">
        <v>270</v>
      </c>
      <c r="W37" s="93" t="s">
        <v>270</v>
      </c>
      <c r="X37" s="93" t="s">
        <v>270</v>
      </c>
      <c r="Y37" s="93" t="s">
        <v>270</v>
      </c>
      <c r="Z37" s="93" t="s">
        <v>270</v>
      </c>
      <c r="AA37" s="93" t="s">
        <v>270</v>
      </c>
      <c r="AB37" s="93" t="s">
        <v>270</v>
      </c>
      <c r="AC37" s="93" t="s">
        <v>270</v>
      </c>
      <c r="AD37" s="93" t="s">
        <v>270</v>
      </c>
      <c r="AE37" s="93" t="s">
        <v>270</v>
      </c>
      <c r="AF37" s="93" t="s">
        <v>270</v>
      </c>
      <c r="AG37" s="93" t="s">
        <v>270</v>
      </c>
      <c r="AH37" s="93">
        <v>0.85193690358529872</v>
      </c>
      <c r="AI37" s="93">
        <v>8.5193690358529875E-2</v>
      </c>
      <c r="AJ37" s="93">
        <v>2.2590493658835444</v>
      </c>
      <c r="AK37" s="93">
        <v>0.59965591510759253</v>
      </c>
      <c r="AL37" s="93" t="s">
        <v>270</v>
      </c>
      <c r="AM37" s="93" t="s">
        <v>270</v>
      </c>
      <c r="AN37" s="93" t="s">
        <v>270</v>
      </c>
      <c r="AO37" s="93" t="s">
        <v>270</v>
      </c>
      <c r="AP37" s="93">
        <v>-0.2225705329153605</v>
      </c>
      <c r="AQ37" s="93">
        <v>3.1347962382445145E-2</v>
      </c>
      <c r="AR37" s="93">
        <v>1.1085840000000007E-7</v>
      </c>
      <c r="AS37" s="93">
        <v>1.384000000000001E-8</v>
      </c>
      <c r="AT37" s="93">
        <v>8.3900000000000004E-7</v>
      </c>
      <c r="AU37" s="93">
        <v>1.6000000000000001E-9</v>
      </c>
      <c r="AV37" s="93">
        <v>1.8610000000000001E-7</v>
      </c>
      <c r="AW37" s="93">
        <v>4.3999999999999998E-10</v>
      </c>
      <c r="AX37" s="161">
        <v>41857</v>
      </c>
      <c r="AY37" s="93">
        <v>4.4449174391639268E-8</v>
      </c>
      <c r="AZ37" s="93">
        <v>6.5617458547062825E-9</v>
      </c>
      <c r="BA37" s="93">
        <v>1.3227876273476622E-8</v>
      </c>
      <c r="BB37" s="93">
        <v>3.5112885851430944E-9</v>
      </c>
      <c r="BC37" s="162">
        <v>17.875491198275505</v>
      </c>
      <c r="BD37" s="162">
        <v>1.3579135076245086E-2</v>
      </c>
      <c r="BE37" s="93">
        <v>7.8132294933488418E-7</v>
      </c>
      <c r="BF37" s="93">
        <v>5.9475900113532697E-15</v>
      </c>
      <c r="BG37" s="93">
        <v>6.5364314268493567E-2</v>
      </c>
      <c r="BH37" s="93">
        <v>1.4163355211337323E-2</v>
      </c>
      <c r="BI37" s="93">
        <v>0.94617265869880995</v>
      </c>
      <c r="BJ37" s="93">
        <v>5.8565327782692288E-3</v>
      </c>
      <c r="BK37" s="93">
        <f>$CC$5</f>
        <v>4.4322825446866948E-8</v>
      </c>
      <c r="BL37" s="93">
        <f>1 * 10 ^ (INT(LOG10($BK$37)))</f>
        <v>1E-8</v>
      </c>
      <c r="BM37" s="93">
        <f>Helium3TU($AP$37,$AR$37,$AT$37,$BK$37,$N$37,$J$37,$L$37,$D$37,$AX$37,$BA$37)</f>
        <v>-8.2122988740009575</v>
      </c>
      <c r="BN37" s="93">
        <f>Helium3TUerr($AQ$37,$AR$37,$AS$37,$AT$37,$AU$37,1,$BE$37,$BK$37,$J$37,$D$37,$AX$37)</f>
        <v>5.6308958729185008</v>
      </c>
      <c r="BO37" s="93" t="str">
        <f>ReptHe3TU($BM$37,$BN$37,$BI$37*100)</f>
        <v>&lt;1</v>
      </c>
      <c r="BP37" s="93" t="str">
        <f>ReptHe3TUerr($BO$37,$BN$37)</f>
        <v>na</v>
      </c>
      <c r="BQ37" s="93" t="s">
        <v>920</v>
      </c>
      <c r="BR37" s="93" t="str">
        <f>TritiumCat($AP$37,$BR$2)</f>
        <v>Tritium Dead</v>
      </c>
    </row>
    <row r="38" spans="1:70">
      <c r="A38" s="94" t="s">
        <v>626</v>
      </c>
      <c r="B38" s="94" t="s">
        <v>688</v>
      </c>
      <c r="C38" s="94" t="s">
        <v>689</v>
      </c>
      <c r="D38" s="95">
        <v>41527</v>
      </c>
      <c r="E38" s="94" t="s">
        <v>692</v>
      </c>
      <c r="F38" s="93" t="s">
        <v>630</v>
      </c>
      <c r="G38" s="93" t="s">
        <v>631</v>
      </c>
      <c r="H38" s="93">
        <v>7.1232118071570005E-23</v>
      </c>
      <c r="I38" s="162" t="s">
        <v>270</v>
      </c>
      <c r="J38" s="93">
        <v>1.04112156672</v>
      </c>
      <c r="K38" s="93">
        <v>0.10411215667199999</v>
      </c>
      <c r="L38" s="93">
        <v>10.670731707317</v>
      </c>
      <c r="M38" s="93">
        <v>1.0670731707317</v>
      </c>
      <c r="N38" s="93">
        <v>19.753810396669465</v>
      </c>
      <c r="O38" s="93">
        <v>0.91823508608412507</v>
      </c>
      <c r="P38" s="93">
        <v>2.5176014803199585</v>
      </c>
      <c r="Q38" s="93">
        <v>0.60791091243343176</v>
      </c>
      <c r="R38" s="93" t="s">
        <v>270</v>
      </c>
      <c r="S38" s="93" t="s">
        <v>270</v>
      </c>
      <c r="T38" s="93">
        <v>3.9500000000000011</v>
      </c>
      <c r="U38" s="93">
        <v>0.34520525295346577</v>
      </c>
      <c r="V38" s="93" t="s">
        <v>270</v>
      </c>
      <c r="W38" s="93" t="s">
        <v>270</v>
      </c>
      <c r="X38" s="93" t="s">
        <v>270</v>
      </c>
      <c r="Y38" s="93" t="s">
        <v>270</v>
      </c>
      <c r="Z38" s="93" t="s">
        <v>270</v>
      </c>
      <c r="AA38" s="93" t="s">
        <v>270</v>
      </c>
      <c r="AB38" s="93" t="s">
        <v>270</v>
      </c>
      <c r="AC38" s="93" t="s">
        <v>270</v>
      </c>
      <c r="AD38" s="93" t="s">
        <v>270</v>
      </c>
      <c r="AE38" s="93" t="s">
        <v>270</v>
      </c>
      <c r="AF38" s="93" t="s">
        <v>270</v>
      </c>
      <c r="AG38" s="93" t="s">
        <v>270</v>
      </c>
      <c r="AH38" s="93">
        <v>0.86476674170258983</v>
      </c>
      <c r="AI38" s="93">
        <v>8.6476674170258991E-2</v>
      </c>
      <c r="AJ38" s="93">
        <v>2.2743392239638176</v>
      </c>
      <c r="AK38" s="93">
        <v>0.64515019430128129</v>
      </c>
      <c r="AL38" s="93" t="s">
        <v>270</v>
      </c>
      <c r="AM38" s="93" t="s">
        <v>270</v>
      </c>
      <c r="AN38" s="93" t="s">
        <v>270</v>
      </c>
      <c r="AO38" s="93" t="s">
        <v>270</v>
      </c>
      <c r="AP38" s="93">
        <v>-0.2225705329153605</v>
      </c>
      <c r="AQ38" s="93">
        <v>3.1347962382445145E-2</v>
      </c>
      <c r="AR38" s="93">
        <v>1.1085840000000007E-7</v>
      </c>
      <c r="AS38" s="93">
        <v>1.384000000000001E-8</v>
      </c>
      <c r="AT38" s="93">
        <v>8.3900000000000004E-7</v>
      </c>
      <c r="AU38" s="93">
        <v>1.6000000000000001E-9</v>
      </c>
      <c r="AV38" s="93">
        <v>1.8610000000000001E-7</v>
      </c>
      <c r="AW38" s="93">
        <v>4.3999999999999998E-10</v>
      </c>
      <c r="AX38" s="161">
        <v>41857</v>
      </c>
      <c r="AY38" s="93">
        <v>4.4499434211086725E-8</v>
      </c>
      <c r="AZ38" s="93">
        <v>6.6244036634233297E-9</v>
      </c>
      <c r="BA38" s="93">
        <v>1.3192231756876581E-8</v>
      </c>
      <c r="BB38" s="93">
        <v>3.7421730195477034E-9</v>
      </c>
      <c r="BC38" s="162">
        <v>17.854172302958606</v>
      </c>
      <c r="BD38" s="162">
        <v>1.0703197610383297E-2</v>
      </c>
      <c r="BE38" s="93">
        <v>7.8130833403203668E-7</v>
      </c>
      <c r="BF38" s="93">
        <v>6.0744691939442355E-15</v>
      </c>
      <c r="BG38" s="93">
        <v>6.5404656155233276E-2</v>
      </c>
      <c r="BH38" s="93">
        <v>1.4423849760435632E-2</v>
      </c>
      <c r="BI38" s="93">
        <v>0.94611412073101642</v>
      </c>
      <c r="BJ38" s="93">
        <v>6.1204381013983903E-3</v>
      </c>
      <c r="BK38" s="93">
        <f>$CC$5</f>
        <v>4.4322825446866948E-8</v>
      </c>
      <c r="BL38" s="93">
        <f>1 * 10 ^ (INT(LOG10($BK$38)))</f>
        <v>1E-8</v>
      </c>
      <c r="BM38" s="93">
        <f>Helium3TU($AP$38,$AR$38,$AT$38,$BK$38,$N$38,$J$38,$L$38,$D$38,$AX$38,$BA$38)</f>
        <v>-8.2189496922135827</v>
      </c>
      <c r="BN38" s="93">
        <f>Helium3TUerr($AQ$38,$AR$38,$AS$38,$AT$38,$AU$38,1,$BE$38,$BK$38,$J$38,$D$38,$AX$38)</f>
        <v>5.6308630483597044</v>
      </c>
      <c r="BO38" s="93" t="str">
        <f>ReptHe3TU($BM$38,$BN$38,$BI$38*100)</f>
        <v>&lt;1</v>
      </c>
      <c r="BP38" s="93" t="str">
        <f>ReptHe3TUerr($BO$38,$BN$38)</f>
        <v>na</v>
      </c>
      <c r="BQ38" s="93" t="s">
        <v>920</v>
      </c>
      <c r="BR38" s="93" t="str">
        <f>TritiumCat($AP$38,$BR$2)</f>
        <v>Tritium Dead</v>
      </c>
    </row>
    <row r="39" spans="1:70">
      <c r="A39" s="94" t="s">
        <v>626</v>
      </c>
      <c r="B39" s="94" t="s">
        <v>688</v>
      </c>
      <c r="C39" s="94" t="s">
        <v>689</v>
      </c>
      <c r="D39" s="95">
        <v>41527</v>
      </c>
      <c r="E39" s="94" t="s">
        <v>692</v>
      </c>
      <c r="F39" s="93" t="s">
        <v>630</v>
      </c>
      <c r="G39" s="93" t="s">
        <v>631</v>
      </c>
      <c r="H39" s="93">
        <v>7.1232118071570005E-23</v>
      </c>
      <c r="I39" s="162" t="s">
        <v>270</v>
      </c>
      <c r="J39" s="93">
        <v>1.04112156672</v>
      </c>
      <c r="K39" s="93">
        <v>0.10411215667199999</v>
      </c>
      <c r="L39" s="93">
        <v>10.670731707317</v>
      </c>
      <c r="M39" s="93">
        <v>1.0670731707317</v>
      </c>
      <c r="N39" s="93">
        <v>19.753810396669465</v>
      </c>
      <c r="O39" s="93">
        <v>0.91823508608412507</v>
      </c>
      <c r="P39" s="93">
        <v>2.5176014803199585</v>
      </c>
      <c r="Q39" s="93">
        <v>0.60791091243343176</v>
      </c>
      <c r="R39" s="93" t="s">
        <v>270</v>
      </c>
      <c r="S39" s="93" t="s">
        <v>270</v>
      </c>
      <c r="T39" s="93">
        <v>3.9500000000000011</v>
      </c>
      <c r="U39" s="93">
        <v>0.34520525295346577</v>
      </c>
      <c r="V39" s="93" t="s">
        <v>270</v>
      </c>
      <c r="W39" s="93" t="s">
        <v>270</v>
      </c>
      <c r="X39" s="93" t="s">
        <v>270</v>
      </c>
      <c r="Y39" s="93" t="s">
        <v>270</v>
      </c>
      <c r="Z39" s="93" t="s">
        <v>270</v>
      </c>
      <c r="AA39" s="93" t="s">
        <v>270</v>
      </c>
      <c r="AB39" s="93" t="s">
        <v>270</v>
      </c>
      <c r="AC39" s="93" t="s">
        <v>270</v>
      </c>
      <c r="AD39" s="93" t="s">
        <v>270</v>
      </c>
      <c r="AE39" s="93" t="s">
        <v>270</v>
      </c>
      <c r="AF39" s="93" t="s">
        <v>270</v>
      </c>
      <c r="AG39" s="93" t="s">
        <v>270</v>
      </c>
      <c r="AH39" s="93">
        <v>0.85193690358529872</v>
      </c>
      <c r="AI39" s="93">
        <v>8.5193690358529875E-2</v>
      </c>
      <c r="AJ39" s="93">
        <v>2.2405967097572566</v>
      </c>
      <c r="AK39" s="93">
        <v>0.63557862759425476</v>
      </c>
      <c r="AL39" s="93" t="s">
        <v>270</v>
      </c>
      <c r="AM39" s="93" t="s">
        <v>270</v>
      </c>
      <c r="AN39" s="93" t="s">
        <v>270</v>
      </c>
      <c r="AO39" s="93" t="s">
        <v>270</v>
      </c>
      <c r="AP39" s="93">
        <v>-0.2225705329153605</v>
      </c>
      <c r="AQ39" s="93">
        <v>3.1347962382445145E-2</v>
      </c>
      <c r="AR39" s="93">
        <v>1.1085840000000007E-7</v>
      </c>
      <c r="AS39" s="93">
        <v>1.384000000000001E-8</v>
      </c>
      <c r="AT39" s="93">
        <v>8.3900000000000004E-7</v>
      </c>
      <c r="AU39" s="93">
        <v>1.6000000000000001E-9</v>
      </c>
      <c r="AV39" s="93">
        <v>1.8610000000000001E-7</v>
      </c>
      <c r="AW39" s="93">
        <v>4.3999999999999998E-10</v>
      </c>
      <c r="AX39" s="161">
        <v>41857</v>
      </c>
      <c r="AY39" s="93">
        <v>4.4499434211086725E-8</v>
      </c>
      <c r="AZ39" s="93">
        <v>6.6244036634233297E-9</v>
      </c>
      <c r="BA39" s="93">
        <v>1.3192231756876581E-8</v>
      </c>
      <c r="BB39" s="93">
        <v>3.7421730195477034E-9</v>
      </c>
      <c r="BC39" s="162">
        <v>17.854172302958606</v>
      </c>
      <c r="BD39" s="162">
        <v>1.0703197610383297E-2</v>
      </c>
      <c r="BE39" s="93">
        <v>7.8130833403203668E-7</v>
      </c>
      <c r="BF39" s="93">
        <v>6.0744691939442355E-15</v>
      </c>
      <c r="BG39" s="93">
        <v>6.5404656155233276E-2</v>
      </c>
      <c r="BH39" s="93">
        <v>1.4423849760435632E-2</v>
      </c>
      <c r="BI39" s="93">
        <v>0.94611412073101642</v>
      </c>
      <c r="BJ39" s="93">
        <v>6.1204381013983903E-3</v>
      </c>
      <c r="BK39" s="93">
        <f>$CC$5</f>
        <v>4.4322825446866948E-8</v>
      </c>
      <c r="BL39" s="93">
        <f>1 * 10 ^ (INT(LOG10($BK$39)))</f>
        <v>1E-8</v>
      </c>
      <c r="BM39" s="93">
        <f>Helium3TU($AP$39,$AR$39,$AT$39,$BK$39,$N$39,$J$39,$L$39,$D$39,$AX$39,$BA$39)</f>
        <v>-8.2189496922135827</v>
      </c>
      <c r="BN39" s="93">
        <f>Helium3TUerr($AQ$39,$AR$39,$AS$39,$AT$39,$AU$39,1,$BE$39,$BK$39,$J$39,$D$39,$AX$39)</f>
        <v>5.6308630483597044</v>
      </c>
      <c r="BO39" s="93" t="str">
        <f>ReptHe3TU($BM$39,$BN$39,$BI$39*100)</f>
        <v>&lt;1</v>
      </c>
      <c r="BP39" s="93" t="str">
        <f>ReptHe3TUerr($BO$39,$BN$39)</f>
        <v>na</v>
      </c>
      <c r="BQ39" s="93" t="s">
        <v>920</v>
      </c>
      <c r="BR39" s="93" t="str">
        <f>TritiumCat($AP$39,$BR$2)</f>
        <v>Tritium Dead</v>
      </c>
    </row>
    <row r="40" spans="1:70">
      <c r="A40" s="94" t="s">
        <v>626</v>
      </c>
      <c r="B40" s="94" t="s">
        <v>688</v>
      </c>
      <c r="C40" s="94" t="s">
        <v>695</v>
      </c>
      <c r="D40" s="95">
        <v>41536</v>
      </c>
      <c r="E40" s="94" t="s">
        <v>696</v>
      </c>
      <c r="F40" s="93" t="s">
        <v>630</v>
      </c>
      <c r="G40" s="93" t="s">
        <v>631</v>
      </c>
      <c r="H40" s="93">
        <v>2.4421665562676195E-23</v>
      </c>
      <c r="I40" s="162" t="s">
        <v>270</v>
      </c>
      <c r="J40" s="93">
        <v>0.68166631848000003</v>
      </c>
      <c r="K40" s="93">
        <v>6.8166631848000009E-2</v>
      </c>
      <c r="L40" s="93">
        <v>37.804878048780402</v>
      </c>
      <c r="M40" s="93">
        <v>3.7804878048780401</v>
      </c>
      <c r="N40" s="93">
        <v>23.011384853492498</v>
      </c>
      <c r="O40" s="93">
        <v>1.0261616247463243</v>
      </c>
      <c r="P40" s="93">
        <v>2.5041423026050196</v>
      </c>
      <c r="Q40" s="93">
        <v>0.60849588093988305</v>
      </c>
      <c r="R40" s="93" t="s">
        <v>270</v>
      </c>
      <c r="S40" s="93" t="s">
        <v>270</v>
      </c>
      <c r="T40" s="93">
        <v>2.4500000000000011</v>
      </c>
      <c r="U40" s="93">
        <v>0.34520525295346716</v>
      </c>
      <c r="V40" s="93" t="s">
        <v>270</v>
      </c>
      <c r="W40" s="93" t="s">
        <v>270</v>
      </c>
      <c r="X40" s="93" t="s">
        <v>270</v>
      </c>
      <c r="Y40" s="93" t="s">
        <v>270</v>
      </c>
      <c r="Z40" s="93" t="s">
        <v>270</v>
      </c>
      <c r="AA40" s="93" t="s">
        <v>270</v>
      </c>
      <c r="AB40" s="93" t="s">
        <v>270</v>
      </c>
      <c r="AC40" s="93" t="s">
        <v>270</v>
      </c>
      <c r="AD40" s="93" t="s">
        <v>270</v>
      </c>
      <c r="AE40" s="93" t="s">
        <v>270</v>
      </c>
      <c r="AF40" s="93" t="s">
        <v>270</v>
      </c>
      <c r="AG40" s="93" t="s">
        <v>270</v>
      </c>
      <c r="AH40" s="93">
        <v>1.6324784479363939</v>
      </c>
      <c r="AI40" s="93">
        <v>0.16324784479363941</v>
      </c>
      <c r="AJ40" s="93">
        <v>4.642532820705668</v>
      </c>
      <c r="AK40" s="93">
        <v>1.3215776543802207</v>
      </c>
      <c r="AL40" s="93" t="s">
        <v>270</v>
      </c>
      <c r="AM40" s="93" t="s">
        <v>270</v>
      </c>
      <c r="AN40" s="93" t="s">
        <v>270</v>
      </c>
      <c r="AO40" s="93" t="s">
        <v>270</v>
      </c>
      <c r="AP40" s="93">
        <v>-2.8213166144200625E-2</v>
      </c>
      <c r="AQ40" s="93">
        <v>3.1347962382445145E-2</v>
      </c>
      <c r="AR40" s="93">
        <v>1.710624E-7</v>
      </c>
      <c r="AS40" s="93">
        <v>1.3839999999999931E-8</v>
      </c>
      <c r="AT40" s="93">
        <v>9.64E-7</v>
      </c>
      <c r="AU40" s="93">
        <v>4.0000000000000002E-9</v>
      </c>
      <c r="AV40" s="93">
        <v>3.643E-7</v>
      </c>
      <c r="AW40" s="93">
        <v>4.6000000000000001E-10</v>
      </c>
      <c r="AX40" s="161">
        <v>41862</v>
      </c>
      <c r="AY40" s="93">
        <v>4.4010803680757246E-8</v>
      </c>
      <c r="AZ40" s="93">
        <v>6.526164629110478E-9</v>
      </c>
      <c r="BA40" s="93">
        <v>1.3121705665650303E-8</v>
      </c>
      <c r="BB40" s="93">
        <v>3.7353215722537169E-9</v>
      </c>
      <c r="BC40" s="162">
        <v>20.903712710919837</v>
      </c>
      <c r="BD40" s="162">
        <v>1.0301997787582997</v>
      </c>
      <c r="BE40" s="93">
        <v>9.0686749065359251E-7</v>
      </c>
      <c r="BF40" s="93">
        <v>7.7240120480630841E-15</v>
      </c>
      <c r="BG40" s="93">
        <v>0.11150607951503391</v>
      </c>
      <c r="BH40" s="93">
        <v>1.367969573769868E-2</v>
      </c>
      <c r="BI40" s="93">
        <v>0.95371568489947223</v>
      </c>
      <c r="BJ40" s="93">
        <v>7.7584035256247422E-3</v>
      </c>
      <c r="BK40" s="93">
        <f>$CC$5</f>
        <v>4.4322825446866948E-8</v>
      </c>
      <c r="BL40" s="93">
        <f>1 * 10 ^ (INT(LOG10($BK$40)))</f>
        <v>1E-8</v>
      </c>
      <c r="BM40" s="93">
        <f>Helium3TU($AP$40,$AR$40,$AT$40,$BK$40,$N$40,$J$40,$L$40,$D$40,$AX$40,$BA$40)</f>
        <v>18.750087841569613</v>
      </c>
      <c r="BN40" s="93">
        <f>Helium3TUerr($AQ$40,$AR$40,$AS$40,$AT$40,$AU$40,1,$BE$40,$BK$40,$J$40,$D$40,$AX$40)</f>
        <v>6.4911012952791536</v>
      </c>
      <c r="BO40" s="93" t="str">
        <f>ReptHe3TU($BM$40,$BN$40,$BI$40*100)</f>
        <v>Not Quantifiable</v>
      </c>
      <c r="BP40" s="93" t="str">
        <f>ReptHe3TUerr($BO$40,$BN$40)</f>
        <v>na</v>
      </c>
      <c r="BQ40" s="93" t="s">
        <v>922</v>
      </c>
      <c r="BR40" s="93" t="str">
        <f>TritiumCat($AP$40,$BR$2)</f>
        <v>Tritium Dead</v>
      </c>
    </row>
    <row r="41" spans="1:70">
      <c r="A41" s="94" t="s">
        <v>626</v>
      </c>
      <c r="B41" s="94" t="s">
        <v>688</v>
      </c>
      <c r="C41" s="94" t="s">
        <v>695</v>
      </c>
      <c r="D41" s="95">
        <v>41536</v>
      </c>
      <c r="E41" s="94" t="s">
        <v>696</v>
      </c>
      <c r="F41" s="93" t="s">
        <v>630</v>
      </c>
      <c r="G41" s="93" t="s">
        <v>631</v>
      </c>
      <c r="H41" s="93">
        <v>2.4421665562676195E-23</v>
      </c>
      <c r="I41" s="162" t="s">
        <v>270</v>
      </c>
      <c r="J41" s="93">
        <v>0.68166631848000003</v>
      </c>
      <c r="K41" s="93">
        <v>6.8166631848000009E-2</v>
      </c>
      <c r="L41" s="93">
        <v>37.804878048780402</v>
      </c>
      <c r="M41" s="93">
        <v>3.7804878048780401</v>
      </c>
      <c r="N41" s="93">
        <v>23.011384853492498</v>
      </c>
      <c r="O41" s="93">
        <v>1.0261616247463243</v>
      </c>
      <c r="P41" s="93">
        <v>2.5041423026050196</v>
      </c>
      <c r="Q41" s="93">
        <v>0.60849588093988305</v>
      </c>
      <c r="R41" s="93" t="s">
        <v>270</v>
      </c>
      <c r="S41" s="93" t="s">
        <v>270</v>
      </c>
      <c r="T41" s="93">
        <v>2.4500000000000011</v>
      </c>
      <c r="U41" s="93">
        <v>0.34520525295346716</v>
      </c>
      <c r="V41" s="93" t="s">
        <v>270</v>
      </c>
      <c r="W41" s="93" t="s">
        <v>270</v>
      </c>
      <c r="X41" s="93" t="s">
        <v>270</v>
      </c>
      <c r="Y41" s="93" t="s">
        <v>270</v>
      </c>
      <c r="Z41" s="93" t="s">
        <v>270</v>
      </c>
      <c r="AA41" s="93" t="s">
        <v>270</v>
      </c>
      <c r="AB41" s="93" t="s">
        <v>270</v>
      </c>
      <c r="AC41" s="93" t="s">
        <v>270</v>
      </c>
      <c r="AD41" s="93" t="s">
        <v>270</v>
      </c>
      <c r="AE41" s="93" t="s">
        <v>270</v>
      </c>
      <c r="AF41" s="93" t="s">
        <v>270</v>
      </c>
      <c r="AG41" s="93" t="s">
        <v>270</v>
      </c>
      <c r="AH41" s="93">
        <v>1.5600053509618861</v>
      </c>
      <c r="AI41" s="93">
        <v>0.15600053509618861</v>
      </c>
      <c r="AJ41" s="93">
        <v>4.4364298049215067</v>
      </c>
      <c r="AK41" s="93">
        <v>1.2629068488781243</v>
      </c>
      <c r="AL41" s="93" t="s">
        <v>270</v>
      </c>
      <c r="AM41" s="93" t="s">
        <v>270</v>
      </c>
      <c r="AN41" s="93" t="s">
        <v>270</v>
      </c>
      <c r="AO41" s="93" t="s">
        <v>270</v>
      </c>
      <c r="AP41" s="93">
        <v>-2.8213166144200625E-2</v>
      </c>
      <c r="AQ41" s="93">
        <v>3.1347962382445145E-2</v>
      </c>
      <c r="AR41" s="93">
        <v>1.710624E-7</v>
      </c>
      <c r="AS41" s="93">
        <v>1.3839999999999931E-8</v>
      </c>
      <c r="AT41" s="93">
        <v>9.64E-7</v>
      </c>
      <c r="AU41" s="93">
        <v>4.0000000000000002E-9</v>
      </c>
      <c r="AV41" s="93">
        <v>3.643E-7</v>
      </c>
      <c r="AW41" s="93">
        <v>4.6000000000000001E-10</v>
      </c>
      <c r="AX41" s="161">
        <v>41862</v>
      </c>
      <c r="AY41" s="93">
        <v>4.4010803680757246E-8</v>
      </c>
      <c r="AZ41" s="93">
        <v>6.526164629110478E-9</v>
      </c>
      <c r="BA41" s="93">
        <v>1.3121705665650303E-8</v>
      </c>
      <c r="BB41" s="93">
        <v>3.7353215722537169E-9</v>
      </c>
      <c r="BC41" s="162">
        <v>20.903712710919837</v>
      </c>
      <c r="BD41" s="162">
        <v>1.0301997787582997</v>
      </c>
      <c r="BE41" s="93">
        <v>9.0686749065359251E-7</v>
      </c>
      <c r="BF41" s="93">
        <v>7.7240120480630841E-15</v>
      </c>
      <c r="BG41" s="93">
        <v>0.11150607951503391</v>
      </c>
      <c r="BH41" s="93">
        <v>1.367969573769868E-2</v>
      </c>
      <c r="BI41" s="93">
        <v>0.95371568489947223</v>
      </c>
      <c r="BJ41" s="93">
        <v>7.7584035256247422E-3</v>
      </c>
      <c r="BK41" s="93">
        <f>$CC$5</f>
        <v>4.4322825446866948E-8</v>
      </c>
      <c r="BL41" s="93">
        <f>1 * 10 ^ (INT(LOG10($BK$41)))</f>
        <v>1E-8</v>
      </c>
      <c r="BM41" s="93">
        <f>Helium3TU($AP$41,$AR$41,$AT$41,$BK$41,$N$41,$J$41,$L$41,$D$41,$AX$41,$BA$41)</f>
        <v>18.750087841569613</v>
      </c>
      <c r="BN41" s="93">
        <f>Helium3TUerr($AQ$41,$AR$41,$AS$41,$AT$41,$AU$41,1,$BE$41,$BK$41,$J$41,$D$41,$AX$41)</f>
        <v>6.4911012952791536</v>
      </c>
      <c r="BO41" s="93" t="str">
        <f>ReptHe3TU($BM$41,$BN$41,$BI$41*100)</f>
        <v>Not Quantifiable</v>
      </c>
      <c r="BP41" s="93" t="str">
        <f>ReptHe3TUerr($BO$41,$BN$41)</f>
        <v>na</v>
      </c>
      <c r="BQ41" s="93" t="s">
        <v>922</v>
      </c>
      <c r="BR41" s="93" t="str">
        <f>TritiumCat($AP$41,$BR$2)</f>
        <v>Tritium Dead</v>
      </c>
    </row>
    <row r="42" spans="1:70">
      <c r="A42" s="94" t="s">
        <v>626</v>
      </c>
      <c r="B42" s="94" t="s">
        <v>688</v>
      </c>
      <c r="C42" s="94" t="s">
        <v>698</v>
      </c>
      <c r="D42" s="95">
        <v>41535</v>
      </c>
      <c r="E42" s="94" t="s">
        <v>699</v>
      </c>
      <c r="F42" s="93" t="s">
        <v>630</v>
      </c>
      <c r="G42" s="93" t="s">
        <v>631</v>
      </c>
      <c r="H42" s="93">
        <v>1.4178875626907445E-24</v>
      </c>
      <c r="I42" s="162" t="s">
        <v>270</v>
      </c>
      <c r="J42" s="93">
        <v>1.25373368448</v>
      </c>
      <c r="K42" s="93">
        <v>0.12537336844800001</v>
      </c>
      <c r="L42" s="93">
        <v>168.292682926829</v>
      </c>
      <c r="M42" s="93">
        <v>16.829268292682901</v>
      </c>
      <c r="N42" s="93">
        <v>25.957534162278051</v>
      </c>
      <c r="O42" s="93">
        <v>7.0806415650609633</v>
      </c>
      <c r="P42" s="93">
        <v>3.708099751258159</v>
      </c>
      <c r="Q42" s="93">
        <v>0.52040208557367151</v>
      </c>
      <c r="R42" s="93" t="s">
        <v>270</v>
      </c>
      <c r="S42" s="93" t="s">
        <v>270</v>
      </c>
      <c r="T42" s="93">
        <v>7.7670868847350096</v>
      </c>
      <c r="U42" s="93">
        <v>2.6684367380649183</v>
      </c>
      <c r="V42" s="93" t="s">
        <v>270</v>
      </c>
      <c r="W42" s="93" t="s">
        <v>270</v>
      </c>
      <c r="X42" s="93" t="s">
        <v>270</v>
      </c>
      <c r="Y42" s="93" t="s">
        <v>270</v>
      </c>
      <c r="Z42" s="93" t="s">
        <v>270</v>
      </c>
      <c r="AA42" s="93" t="s">
        <v>270</v>
      </c>
      <c r="AB42" s="93" t="s">
        <v>270</v>
      </c>
      <c r="AC42" s="93" t="s">
        <v>270</v>
      </c>
      <c r="AD42" s="93" t="s">
        <v>270</v>
      </c>
      <c r="AE42" s="93" t="s">
        <v>270</v>
      </c>
      <c r="AF42" s="93" t="s">
        <v>270</v>
      </c>
      <c r="AG42" s="93" t="s">
        <v>270</v>
      </c>
      <c r="AH42" s="93">
        <v>0.13071024793911729</v>
      </c>
      <c r="AI42" s="93">
        <v>1.3071024793911729E-2</v>
      </c>
      <c r="AJ42" s="93">
        <v>0.34435539710784724</v>
      </c>
      <c r="AK42" s="93">
        <v>0.11632060978086632</v>
      </c>
      <c r="AL42" s="93" t="s">
        <v>270</v>
      </c>
      <c r="AM42" s="93" t="s">
        <v>270</v>
      </c>
      <c r="AN42" s="93" t="s">
        <v>270</v>
      </c>
      <c r="AO42" s="93" t="s">
        <v>270</v>
      </c>
      <c r="AP42" s="93">
        <v>-0.14733542319749215</v>
      </c>
      <c r="AQ42" s="93">
        <v>3.1347962382445145E-2</v>
      </c>
      <c r="AR42" s="93">
        <v>4.1910554764803102E-8</v>
      </c>
      <c r="AS42" s="93">
        <v>1.384E-8</v>
      </c>
      <c r="AT42" s="93">
        <v>4.3878127256654503E-6</v>
      </c>
      <c r="AU42" s="93">
        <v>4.3878127256654499E-8</v>
      </c>
      <c r="AV42" s="93">
        <v>2.3972945070369301E-7</v>
      </c>
      <c r="AW42" s="93">
        <v>3.59594176055539E-9</v>
      </c>
      <c r="AX42" s="161">
        <v>41752</v>
      </c>
      <c r="AY42" s="93">
        <v>4.2842311655235754E-8</v>
      </c>
      <c r="AZ42" s="93">
        <v>1.3163664063899057E-8</v>
      </c>
      <c r="BA42" s="93">
        <v>1.9430442696592747E-8</v>
      </c>
      <c r="BB42" s="93">
        <v>6.5634543897449017E-9</v>
      </c>
      <c r="BC42" s="162">
        <v>101.4177397563284</v>
      </c>
      <c r="BD42" s="162">
        <v>0.39081222258174031</v>
      </c>
      <c r="BE42" s="93">
        <v>4.3255399713136222E-6</v>
      </c>
      <c r="BF42" s="93">
        <v>2.0017723376477576E-13</v>
      </c>
      <c r="BG42" s="93">
        <v>2.5968915891042527E-2</v>
      </c>
      <c r="BH42" s="93">
        <v>1.1551658349115495E-2</v>
      </c>
      <c r="BI42" s="93">
        <v>0.99019264978793331</v>
      </c>
      <c r="BJ42" s="93">
        <v>1.1433725382751675E-2</v>
      </c>
      <c r="BK42" s="93">
        <f>$CC$5</f>
        <v>4.4322825446866948E-8</v>
      </c>
      <c r="BL42" s="93">
        <f>1 * 10 ^ (INT(LOG10($BK$42)))</f>
        <v>1E-8</v>
      </c>
      <c r="BM42" s="93">
        <f>Helium3TU($AP$42,$AR$42,$AT$42,$BK$42,$N$42,$J$42,$L$42,$D$42,$AX$42,$BA$42)</f>
        <v>-37.44688999183527</v>
      </c>
      <c r="BN42" s="93">
        <f>Helium3TUerr($AQ$42,$AR$42,$AS$42,$AT$42,$AU$42,1,$BE$42,$BK$42,$J$42,$D$42,$AX$42)</f>
        <v>30.00235072265766</v>
      </c>
      <c r="BO42" s="93" t="str">
        <f>ReptHe3TU($BM$42,$BN$42,$BI$42*100)</f>
        <v>&lt;1</v>
      </c>
      <c r="BP42" s="93" t="str">
        <f>ReptHe3TUerr($BO$42,$BN$42)</f>
        <v>na</v>
      </c>
      <c r="BQ42" s="93" t="s">
        <v>920</v>
      </c>
      <c r="BR42" s="93" t="str">
        <f>TritiumCat($AP$42,$BR$2)</f>
        <v>Tritium Dead</v>
      </c>
    </row>
    <row r="43" spans="1:70">
      <c r="A43" s="94" t="s">
        <v>626</v>
      </c>
      <c r="B43" s="94" t="s">
        <v>688</v>
      </c>
      <c r="C43" s="94" t="s">
        <v>698</v>
      </c>
      <c r="D43" s="95">
        <v>41535</v>
      </c>
      <c r="E43" s="94" t="s">
        <v>699</v>
      </c>
      <c r="F43" s="93" t="s">
        <v>630</v>
      </c>
      <c r="G43" s="93" t="s">
        <v>631</v>
      </c>
      <c r="H43" s="93">
        <v>1.4178875626907445E-24</v>
      </c>
      <c r="I43" s="162" t="s">
        <v>270</v>
      </c>
      <c r="J43" s="93">
        <v>1.25373368448</v>
      </c>
      <c r="K43" s="93">
        <v>0.12537336844800001</v>
      </c>
      <c r="L43" s="93">
        <v>168.292682926829</v>
      </c>
      <c r="M43" s="93">
        <v>16.829268292682901</v>
      </c>
      <c r="N43" s="93">
        <v>25.957534162278051</v>
      </c>
      <c r="O43" s="93">
        <v>7.0806415650609633</v>
      </c>
      <c r="P43" s="93">
        <v>3.708099751258159</v>
      </c>
      <c r="Q43" s="93">
        <v>0.52040208557367151</v>
      </c>
      <c r="R43" s="93" t="s">
        <v>270</v>
      </c>
      <c r="S43" s="93" t="s">
        <v>270</v>
      </c>
      <c r="T43" s="93">
        <v>7.7670868847350096</v>
      </c>
      <c r="U43" s="93">
        <v>2.6684367380649183</v>
      </c>
      <c r="V43" s="93" t="s">
        <v>270</v>
      </c>
      <c r="W43" s="93" t="s">
        <v>270</v>
      </c>
      <c r="X43" s="93" t="s">
        <v>270</v>
      </c>
      <c r="Y43" s="93" t="s">
        <v>270</v>
      </c>
      <c r="Z43" s="93" t="s">
        <v>270</v>
      </c>
      <c r="AA43" s="93" t="s">
        <v>270</v>
      </c>
      <c r="AB43" s="93" t="s">
        <v>270</v>
      </c>
      <c r="AC43" s="93" t="s">
        <v>270</v>
      </c>
      <c r="AD43" s="93" t="s">
        <v>270</v>
      </c>
      <c r="AE43" s="93" t="s">
        <v>270</v>
      </c>
      <c r="AF43" s="93" t="s">
        <v>270</v>
      </c>
      <c r="AG43" s="93" t="s">
        <v>270</v>
      </c>
      <c r="AH43" s="93">
        <v>0.11061677449154142</v>
      </c>
      <c r="AI43" s="93">
        <v>1.1061677449154143E-2</v>
      </c>
      <c r="AJ43" s="93">
        <v>0.29141925677140729</v>
      </c>
      <c r="AK43" s="93">
        <v>9.8439187926886357E-2</v>
      </c>
      <c r="AL43" s="93" t="s">
        <v>270</v>
      </c>
      <c r="AM43" s="93" t="s">
        <v>270</v>
      </c>
      <c r="AN43" s="93" t="s">
        <v>270</v>
      </c>
      <c r="AO43" s="93" t="s">
        <v>270</v>
      </c>
      <c r="AP43" s="93">
        <v>-0.14733542319749215</v>
      </c>
      <c r="AQ43" s="93">
        <v>3.1347962382445145E-2</v>
      </c>
      <c r="AR43" s="93">
        <v>4.1910554764803102E-8</v>
      </c>
      <c r="AS43" s="93">
        <v>1.384E-8</v>
      </c>
      <c r="AT43" s="93">
        <v>4.3878127256654503E-6</v>
      </c>
      <c r="AU43" s="93">
        <v>4.3878127256654499E-8</v>
      </c>
      <c r="AV43" s="93">
        <v>2.3972945070369301E-7</v>
      </c>
      <c r="AW43" s="93">
        <v>3.59594176055539E-9</v>
      </c>
      <c r="AX43" s="161">
        <v>41752</v>
      </c>
      <c r="AY43" s="93">
        <v>4.2842311655235754E-8</v>
      </c>
      <c r="AZ43" s="93">
        <v>1.3163664063899057E-8</v>
      </c>
      <c r="BA43" s="93">
        <v>1.9430442696592747E-8</v>
      </c>
      <c r="BB43" s="93">
        <v>6.5634543897449017E-9</v>
      </c>
      <c r="BC43" s="162">
        <v>101.4177397563284</v>
      </c>
      <c r="BD43" s="162">
        <v>0.39081222258174031</v>
      </c>
      <c r="BE43" s="93">
        <v>4.3255399713136222E-6</v>
      </c>
      <c r="BF43" s="93">
        <v>2.0017723376477576E-13</v>
      </c>
      <c r="BG43" s="93">
        <v>2.5968915891042527E-2</v>
      </c>
      <c r="BH43" s="93">
        <v>1.1551658349115495E-2</v>
      </c>
      <c r="BI43" s="93">
        <v>0.99019264978793331</v>
      </c>
      <c r="BJ43" s="93">
        <v>1.1433725382751675E-2</v>
      </c>
      <c r="BK43" s="93">
        <f>$CC$5</f>
        <v>4.4322825446866948E-8</v>
      </c>
      <c r="BL43" s="93">
        <f>1 * 10 ^ (INT(LOG10($BK$43)))</f>
        <v>1E-8</v>
      </c>
      <c r="BM43" s="93">
        <f>Helium3TU($AP$43,$AR$43,$AT$43,$BK$43,$N$43,$J$43,$L$43,$D$43,$AX$43,$BA$43)</f>
        <v>-37.44688999183527</v>
      </c>
      <c r="BN43" s="93">
        <f>Helium3TUerr($AQ$43,$AR$43,$AS$43,$AT$43,$AU$43,1,$BE$43,$BK$43,$J$43,$D$43,$AX$43)</f>
        <v>30.00235072265766</v>
      </c>
      <c r="BO43" s="93" t="str">
        <f>ReptHe3TU($BM$43,$BN$43,$BI$43*100)</f>
        <v>&lt;1</v>
      </c>
      <c r="BP43" s="93" t="str">
        <f>ReptHe3TUerr($BO$43,$BN$43)</f>
        <v>na</v>
      </c>
      <c r="BQ43" s="93" t="s">
        <v>920</v>
      </c>
      <c r="BR43" s="93" t="str">
        <f>TritiumCat($AP$43,$BR$2)</f>
        <v>Tritium Dead</v>
      </c>
    </row>
    <row r="44" spans="1:70">
      <c r="A44" s="94" t="s">
        <v>626</v>
      </c>
      <c r="B44" s="94" t="s">
        <v>688</v>
      </c>
      <c r="C44" s="94" t="s">
        <v>698</v>
      </c>
      <c r="D44" s="95">
        <v>41535</v>
      </c>
      <c r="E44" s="94" t="s">
        <v>701</v>
      </c>
      <c r="F44" s="93" t="s">
        <v>630</v>
      </c>
      <c r="G44" s="93" t="s">
        <v>631</v>
      </c>
      <c r="H44" s="93">
        <v>6.6005405468588421E-26</v>
      </c>
      <c r="I44" s="162" t="s">
        <v>270</v>
      </c>
      <c r="J44" s="93">
        <v>1.25373368448</v>
      </c>
      <c r="K44" s="93">
        <v>0.12537336844800001</v>
      </c>
      <c r="L44" s="93">
        <v>168.292682926829</v>
      </c>
      <c r="M44" s="93">
        <v>16.829268292682901</v>
      </c>
      <c r="N44" s="93">
        <v>27.112154982223398</v>
      </c>
      <c r="O44" s="93">
        <v>7.2356629507173347</v>
      </c>
      <c r="P44" s="93">
        <v>3.7837327141248274</v>
      </c>
      <c r="Q44" s="93">
        <v>0.51934812485561166</v>
      </c>
      <c r="R44" s="93" t="s">
        <v>270</v>
      </c>
      <c r="S44" s="93" t="s">
        <v>270</v>
      </c>
      <c r="T44" s="93">
        <v>7.3409212416624134</v>
      </c>
      <c r="U44" s="93">
        <v>2.6056537568571052</v>
      </c>
      <c r="V44" s="93" t="s">
        <v>270</v>
      </c>
      <c r="W44" s="93" t="s">
        <v>270</v>
      </c>
      <c r="X44" s="93" t="s">
        <v>270</v>
      </c>
      <c r="Y44" s="93" t="s">
        <v>270</v>
      </c>
      <c r="Z44" s="93" t="s">
        <v>270</v>
      </c>
      <c r="AA44" s="93" t="s">
        <v>270</v>
      </c>
      <c r="AB44" s="93" t="s">
        <v>270</v>
      </c>
      <c r="AC44" s="93" t="s">
        <v>270</v>
      </c>
      <c r="AD44" s="93" t="s">
        <v>270</v>
      </c>
      <c r="AE44" s="93" t="s">
        <v>270</v>
      </c>
      <c r="AF44" s="93" t="s">
        <v>270</v>
      </c>
      <c r="AG44" s="93" t="s">
        <v>270</v>
      </c>
      <c r="AH44" s="93">
        <v>0.13071024793911729</v>
      </c>
      <c r="AI44" s="93">
        <v>1.3071024793911729E-2</v>
      </c>
      <c r="AJ44" s="93">
        <v>0.3481367959398507</v>
      </c>
      <c r="AK44" s="93">
        <v>0.11549758228967386</v>
      </c>
      <c r="AL44" s="93" t="s">
        <v>270</v>
      </c>
      <c r="AM44" s="93" t="s">
        <v>270</v>
      </c>
      <c r="AN44" s="93" t="s">
        <v>270</v>
      </c>
      <c r="AO44" s="93" t="s">
        <v>270</v>
      </c>
      <c r="AP44" s="93">
        <v>-0.14733542319749215</v>
      </c>
      <c r="AQ44" s="93">
        <v>3.1347962382445145E-2</v>
      </c>
      <c r="AR44" s="93">
        <v>4.1910554764803102E-8</v>
      </c>
      <c r="AS44" s="93">
        <v>1.384E-8</v>
      </c>
      <c r="AT44" s="93">
        <v>4.3878127256654503E-6</v>
      </c>
      <c r="AU44" s="93">
        <v>4.3878127256654499E-8</v>
      </c>
      <c r="AV44" s="93">
        <v>2.3972945070369301E-7</v>
      </c>
      <c r="AW44" s="93">
        <v>3.59594176055539E-9</v>
      </c>
      <c r="AX44" s="161">
        <v>41752</v>
      </c>
      <c r="AY44" s="93">
        <v>4.2713990087177456E-8</v>
      </c>
      <c r="AZ44" s="93">
        <v>1.2901065041354058E-8</v>
      </c>
      <c r="BA44" s="93">
        <v>1.9826759422014091E-8</v>
      </c>
      <c r="BB44" s="93">
        <v>6.5777096951202005E-9</v>
      </c>
      <c r="BC44" s="162">
        <v>101.72542360734994</v>
      </c>
      <c r="BD44" s="162">
        <v>0.40199855267100926</v>
      </c>
      <c r="BE44" s="93">
        <v>4.3252719761562588E-6</v>
      </c>
      <c r="BF44" s="93">
        <v>1.9985348695617895E-13</v>
      </c>
      <c r="BG44" s="93">
        <v>2.5880539957427621E-2</v>
      </c>
      <c r="BH44" s="93">
        <v>1.1556907422344637E-2</v>
      </c>
      <c r="BI44" s="93">
        <v>0.99022113765107156</v>
      </c>
      <c r="BJ44" s="93">
        <v>1.1438323441064491E-2</v>
      </c>
      <c r="BK44" s="93">
        <f>$CC$5</f>
        <v>4.4322825446866948E-8</v>
      </c>
      <c r="BL44" s="93">
        <f>1 * 10 ^ (INT(LOG10($BK$44)))</f>
        <v>1E-8</v>
      </c>
      <c r="BM44" s="93">
        <f>Helium3TU($AP$44,$AR$44,$AT$44,$BK$44,$N$44,$J$44,$L$44,$D$44,$AX$44,$BA$44)</f>
        <v>-37.594795846977469</v>
      </c>
      <c r="BN44" s="93">
        <f>Helium3TUerr($AQ$44,$AR$44,$AS$44,$AT$44,$AU$44,1,$BE$44,$BK$44,$J$44,$D$44,$AX$44)</f>
        <v>30.001725076557726</v>
      </c>
      <c r="BO44" s="93" t="str">
        <f>ReptHe3TU($BM$44,$BN$44,$BI$44*100)</f>
        <v>&lt;1</v>
      </c>
      <c r="BP44" s="93" t="str">
        <f>ReptHe3TUerr($BO$44,$BN$44)</f>
        <v>na</v>
      </c>
      <c r="BQ44" s="93" t="s">
        <v>920</v>
      </c>
      <c r="BR44" s="93" t="str">
        <f>TritiumCat($AP$44,$BR$2)</f>
        <v>Tritium Dead</v>
      </c>
    </row>
    <row r="45" spans="1:70">
      <c r="A45" s="94" t="s">
        <v>626</v>
      </c>
      <c r="B45" s="94" t="s">
        <v>688</v>
      </c>
      <c r="C45" s="94" t="s">
        <v>698</v>
      </c>
      <c r="D45" s="95">
        <v>41535</v>
      </c>
      <c r="E45" s="94" t="s">
        <v>701</v>
      </c>
      <c r="F45" s="93" t="s">
        <v>630</v>
      </c>
      <c r="G45" s="93" t="s">
        <v>631</v>
      </c>
      <c r="H45" s="93">
        <v>6.6005405468588421E-26</v>
      </c>
      <c r="I45" s="162" t="s">
        <v>270</v>
      </c>
      <c r="J45" s="93">
        <v>1.25373368448</v>
      </c>
      <c r="K45" s="93">
        <v>0.12537336844800001</v>
      </c>
      <c r="L45" s="93">
        <v>168.292682926829</v>
      </c>
      <c r="M45" s="93">
        <v>16.829268292682901</v>
      </c>
      <c r="N45" s="93">
        <v>27.112154982223398</v>
      </c>
      <c r="O45" s="93">
        <v>7.2356629507173347</v>
      </c>
      <c r="P45" s="93">
        <v>3.7837327141248274</v>
      </c>
      <c r="Q45" s="93">
        <v>0.51934812485561166</v>
      </c>
      <c r="R45" s="93" t="s">
        <v>270</v>
      </c>
      <c r="S45" s="93" t="s">
        <v>270</v>
      </c>
      <c r="T45" s="93">
        <v>7.3409212416624134</v>
      </c>
      <c r="U45" s="93">
        <v>2.6056537568571052</v>
      </c>
      <c r="V45" s="93" t="s">
        <v>270</v>
      </c>
      <c r="W45" s="93" t="s">
        <v>270</v>
      </c>
      <c r="X45" s="93" t="s">
        <v>270</v>
      </c>
      <c r="Y45" s="93" t="s">
        <v>270</v>
      </c>
      <c r="Z45" s="93" t="s">
        <v>270</v>
      </c>
      <c r="AA45" s="93" t="s">
        <v>270</v>
      </c>
      <c r="AB45" s="93" t="s">
        <v>270</v>
      </c>
      <c r="AC45" s="93" t="s">
        <v>270</v>
      </c>
      <c r="AD45" s="93" t="s">
        <v>270</v>
      </c>
      <c r="AE45" s="93" t="s">
        <v>270</v>
      </c>
      <c r="AF45" s="93" t="s">
        <v>270</v>
      </c>
      <c r="AG45" s="93" t="s">
        <v>270</v>
      </c>
      <c r="AH45" s="93">
        <v>0.11061677449154142</v>
      </c>
      <c r="AI45" s="93">
        <v>1.1061677449154143E-2</v>
      </c>
      <c r="AJ45" s="93">
        <v>0.29461935889390606</v>
      </c>
      <c r="AK45" s="93">
        <v>9.7742680592312406E-2</v>
      </c>
      <c r="AL45" s="93" t="s">
        <v>270</v>
      </c>
      <c r="AM45" s="93" t="s">
        <v>270</v>
      </c>
      <c r="AN45" s="93" t="s">
        <v>270</v>
      </c>
      <c r="AO45" s="93" t="s">
        <v>270</v>
      </c>
      <c r="AP45" s="93">
        <v>-0.14733542319749215</v>
      </c>
      <c r="AQ45" s="93">
        <v>3.1347962382445145E-2</v>
      </c>
      <c r="AR45" s="93">
        <v>4.1910554764803102E-8</v>
      </c>
      <c r="AS45" s="93">
        <v>1.384E-8</v>
      </c>
      <c r="AT45" s="93">
        <v>4.3878127256654503E-6</v>
      </c>
      <c r="AU45" s="93">
        <v>4.3878127256654499E-8</v>
      </c>
      <c r="AV45" s="93">
        <v>2.3972945070369301E-7</v>
      </c>
      <c r="AW45" s="93">
        <v>3.59594176055539E-9</v>
      </c>
      <c r="AX45" s="161">
        <v>41752</v>
      </c>
      <c r="AY45" s="93">
        <v>4.2713990087177456E-8</v>
      </c>
      <c r="AZ45" s="93">
        <v>1.2901065041354058E-8</v>
      </c>
      <c r="BA45" s="93">
        <v>1.9826759422014091E-8</v>
      </c>
      <c r="BB45" s="93">
        <v>6.5777096951202005E-9</v>
      </c>
      <c r="BC45" s="162">
        <v>101.72542360734994</v>
      </c>
      <c r="BD45" s="162">
        <v>0.40199855267100926</v>
      </c>
      <c r="BE45" s="93">
        <v>4.3252719761562588E-6</v>
      </c>
      <c r="BF45" s="93">
        <v>1.9985348695617895E-13</v>
      </c>
      <c r="BG45" s="93">
        <v>2.5880539957427621E-2</v>
      </c>
      <c r="BH45" s="93">
        <v>1.1556907422344637E-2</v>
      </c>
      <c r="BI45" s="93">
        <v>0.99022113765107156</v>
      </c>
      <c r="BJ45" s="93">
        <v>1.1438323441064491E-2</v>
      </c>
      <c r="BK45" s="93">
        <f>$CC$5</f>
        <v>4.4322825446866948E-8</v>
      </c>
      <c r="BL45" s="93">
        <f>1 * 10 ^ (INT(LOG10($BK$45)))</f>
        <v>1E-8</v>
      </c>
      <c r="BM45" s="93">
        <f>Helium3TU($AP$45,$AR$45,$AT$45,$BK$45,$N$45,$J$45,$L$45,$D$45,$AX$45,$BA$45)</f>
        <v>-37.594795846977469</v>
      </c>
      <c r="BN45" s="93">
        <f>Helium3TUerr($AQ$45,$AR$45,$AS$45,$AT$45,$AU$45,1,$BE$45,$BK$45,$J$45,$D$45,$AX$45)</f>
        <v>30.001725076557726</v>
      </c>
      <c r="BO45" s="93" t="str">
        <f>ReptHe3TU($BM$45,$BN$45,$BI$45*100)</f>
        <v>&lt;1</v>
      </c>
      <c r="BP45" s="93" t="str">
        <f>ReptHe3TUerr($BO$45,$BN$45)</f>
        <v>na</v>
      </c>
      <c r="BQ45" s="93" t="s">
        <v>920</v>
      </c>
      <c r="BR45" s="93" t="str">
        <f>TritiumCat($AP$45,$BR$2)</f>
        <v>Tritium Dead</v>
      </c>
    </row>
    <row r="46" spans="1:70">
      <c r="A46" s="94" t="s">
        <v>626</v>
      </c>
      <c r="B46" s="94" t="s">
        <v>688</v>
      </c>
      <c r="C46" s="94" t="s">
        <v>703</v>
      </c>
      <c r="D46" s="95">
        <v>41534</v>
      </c>
      <c r="E46" s="94" t="s">
        <v>704</v>
      </c>
      <c r="F46" s="93" t="s">
        <v>630</v>
      </c>
      <c r="G46" s="93" t="s">
        <v>631</v>
      </c>
      <c r="H46" s="93">
        <v>4.1068187620950247E-26</v>
      </c>
      <c r="I46" s="162" t="s">
        <v>270</v>
      </c>
      <c r="J46" s="93">
        <v>1.0399921783199999</v>
      </c>
      <c r="K46" s="93">
        <v>0.10399921783199999</v>
      </c>
      <c r="L46" s="93">
        <v>247.56097560975601</v>
      </c>
      <c r="M46" s="93">
        <v>24.756097560975601</v>
      </c>
      <c r="N46" s="93">
        <v>8.9435467523194241</v>
      </c>
      <c r="O46" s="93">
        <v>0.62811428840952943</v>
      </c>
      <c r="P46" s="93">
        <v>2.5081319026225493</v>
      </c>
      <c r="Q46" s="93">
        <v>0.60737931280906621</v>
      </c>
      <c r="R46" s="93" t="s">
        <v>270</v>
      </c>
      <c r="S46" s="93" t="s">
        <v>270</v>
      </c>
      <c r="T46" s="93">
        <v>7.9499999999999877</v>
      </c>
      <c r="U46" s="93">
        <v>0.3452052529534651</v>
      </c>
      <c r="V46" s="93" t="s">
        <v>270</v>
      </c>
      <c r="W46" s="93" t="s">
        <v>270</v>
      </c>
      <c r="X46" s="93" t="s">
        <v>270</v>
      </c>
      <c r="Y46" s="93" t="s">
        <v>270</v>
      </c>
      <c r="Z46" s="93" t="s">
        <v>270</v>
      </c>
      <c r="AA46" s="93" t="s">
        <v>270</v>
      </c>
      <c r="AB46" s="93" t="s">
        <v>270</v>
      </c>
      <c r="AC46" s="93" t="s">
        <v>270</v>
      </c>
      <c r="AD46" s="93" t="s">
        <v>270</v>
      </c>
      <c r="AE46" s="93" t="s">
        <v>270</v>
      </c>
      <c r="AF46" s="93" t="s">
        <v>270</v>
      </c>
      <c r="AG46" s="93" t="s">
        <v>270</v>
      </c>
      <c r="AH46" s="93">
        <v>3.4639886161398445</v>
      </c>
      <c r="AI46" s="93">
        <v>0.34639886161398448</v>
      </c>
      <c r="AJ46" s="93">
        <v>6.8391038414797105</v>
      </c>
      <c r="AK46" s="93">
        <v>1.9771494175549706</v>
      </c>
      <c r="AL46" s="93" t="s">
        <v>270</v>
      </c>
      <c r="AM46" s="93" t="s">
        <v>270</v>
      </c>
      <c r="AN46" s="93" t="s">
        <v>270</v>
      </c>
      <c r="AO46" s="93" t="s">
        <v>270</v>
      </c>
      <c r="AP46" s="93">
        <v>2.7836990595611288</v>
      </c>
      <c r="AQ46" s="93">
        <v>3.1347962382445145E-2</v>
      </c>
      <c r="AR46" s="93">
        <v>3.8821199999999996E-7</v>
      </c>
      <c r="AS46" s="93">
        <v>1.3840000000000023E-8</v>
      </c>
      <c r="AT46" s="93">
        <v>1.8760000000000001E-7</v>
      </c>
      <c r="AU46" s="93">
        <v>1E-10</v>
      </c>
      <c r="AV46" s="93">
        <v>1.9850000000000001E-7</v>
      </c>
      <c r="AW46" s="93">
        <v>4.6000000000000001E-10</v>
      </c>
      <c r="AX46" s="161">
        <v>41857</v>
      </c>
      <c r="AY46" s="93">
        <v>4.504053786349367E-8</v>
      </c>
      <c r="AZ46" s="93">
        <v>7.1118986819709114E-9</v>
      </c>
      <c r="BA46" s="93">
        <v>1.3142611169742159E-8</v>
      </c>
      <c r="BB46" s="93">
        <v>3.7994606635165608E-9</v>
      </c>
      <c r="BC46" s="162">
        <v>3.1651367612120342</v>
      </c>
      <c r="BD46" s="162">
        <v>9.7978872739159506E-3</v>
      </c>
      <c r="BE46" s="93">
        <v>1.2941685096676416E-7</v>
      </c>
      <c r="BF46" s="93">
        <v>1.0435926761597724E-15</v>
      </c>
      <c r="BG46" s="93">
        <v>0.22629710016674562</v>
      </c>
      <c r="BH46" s="93">
        <v>2.7648383588631836E-2</v>
      </c>
      <c r="BI46" s="93">
        <v>0.74182526176987185</v>
      </c>
      <c r="BJ46" s="93">
        <v>1.6581231937898677E-2</v>
      </c>
      <c r="BK46" s="93">
        <f>$CC$5</f>
        <v>4.4322825446866948E-8</v>
      </c>
      <c r="BL46" s="93">
        <f>1 * 10 ^ (INT(LOG10($BK$46)))</f>
        <v>1E-8</v>
      </c>
      <c r="BM46" s="93">
        <f>Helium3TU($AP$46,$AR$46,$AT$46,$BK$46,$N$46,$J$46,$L$46,$D$46,$AX$46,$BA$46)</f>
        <v>-5.1059470786832026</v>
      </c>
      <c r="BN46" s="93">
        <f>Helium3TUerr($AQ$46,$AR$46,$AS$46,$AT$46,$AU$46,1,$BE$46,$BK$46,$J$46,$D$46,$AX$46)</f>
        <v>1.1672281784745251</v>
      </c>
      <c r="BO46" s="93" t="str">
        <f>ReptHe3TU($BM$46,$BN$46,$BI$46*100)</f>
        <v>&lt;1</v>
      </c>
      <c r="BP46" s="93" t="str">
        <f>ReptHe3TUerr($BO$46,$BN$46)</f>
        <v>na</v>
      </c>
      <c r="BQ46" s="93" t="s">
        <v>920</v>
      </c>
      <c r="BR46" s="93" t="str">
        <f>TritiumCat($AP$46,$BR$2)</f>
        <v>Tritiated</v>
      </c>
    </row>
    <row r="47" spans="1:70">
      <c r="A47" s="94" t="s">
        <v>626</v>
      </c>
      <c r="B47" s="94" t="s">
        <v>688</v>
      </c>
      <c r="C47" s="94" t="s">
        <v>703</v>
      </c>
      <c r="D47" s="95">
        <v>41534</v>
      </c>
      <c r="E47" s="94" t="s">
        <v>704</v>
      </c>
      <c r="F47" s="93" t="s">
        <v>630</v>
      </c>
      <c r="G47" s="93" t="s">
        <v>631</v>
      </c>
      <c r="H47" s="93">
        <v>4.1068187620950247E-26</v>
      </c>
      <c r="I47" s="162" t="s">
        <v>270</v>
      </c>
      <c r="J47" s="93">
        <v>1.0399921783199999</v>
      </c>
      <c r="K47" s="93">
        <v>0.10399921783199999</v>
      </c>
      <c r="L47" s="93">
        <v>247.56097560975601</v>
      </c>
      <c r="M47" s="93">
        <v>24.756097560975601</v>
      </c>
      <c r="N47" s="93">
        <v>8.9435467523194241</v>
      </c>
      <c r="O47" s="93">
        <v>0.62811428840952943</v>
      </c>
      <c r="P47" s="93">
        <v>2.5081319026225493</v>
      </c>
      <c r="Q47" s="93">
        <v>0.60737931280906621</v>
      </c>
      <c r="R47" s="93" t="s">
        <v>270</v>
      </c>
      <c r="S47" s="93" t="s">
        <v>270</v>
      </c>
      <c r="T47" s="93">
        <v>7.9499999999999877</v>
      </c>
      <c r="U47" s="93">
        <v>0.3452052529534651</v>
      </c>
      <c r="V47" s="93" t="s">
        <v>270</v>
      </c>
      <c r="W47" s="93" t="s">
        <v>270</v>
      </c>
      <c r="X47" s="93" t="s">
        <v>270</v>
      </c>
      <c r="Y47" s="93" t="s">
        <v>270</v>
      </c>
      <c r="Z47" s="93" t="s">
        <v>270</v>
      </c>
      <c r="AA47" s="93" t="s">
        <v>270</v>
      </c>
      <c r="AB47" s="93" t="s">
        <v>270</v>
      </c>
      <c r="AC47" s="93" t="s">
        <v>270</v>
      </c>
      <c r="AD47" s="93" t="s">
        <v>270</v>
      </c>
      <c r="AE47" s="93" t="s">
        <v>270</v>
      </c>
      <c r="AF47" s="93" t="s">
        <v>270</v>
      </c>
      <c r="AG47" s="93" t="s">
        <v>270</v>
      </c>
      <c r="AH47" s="93">
        <v>5.1474505111265163</v>
      </c>
      <c r="AI47" s="93">
        <v>0.51474505111265167</v>
      </c>
      <c r="AJ47" s="93">
        <v>10.162836101840943</v>
      </c>
      <c r="AK47" s="93">
        <v>2.9380231599340689</v>
      </c>
      <c r="AL47" s="93" t="s">
        <v>270</v>
      </c>
      <c r="AM47" s="93" t="s">
        <v>270</v>
      </c>
      <c r="AN47" s="93" t="s">
        <v>270</v>
      </c>
      <c r="AO47" s="93" t="s">
        <v>270</v>
      </c>
      <c r="AP47" s="93">
        <v>2.7836990595611288</v>
      </c>
      <c r="AQ47" s="93">
        <v>3.1347962382445145E-2</v>
      </c>
      <c r="AR47" s="93">
        <v>3.8821199999999996E-7</v>
      </c>
      <c r="AS47" s="93">
        <v>1.3840000000000023E-8</v>
      </c>
      <c r="AT47" s="93">
        <v>1.8760000000000001E-7</v>
      </c>
      <c r="AU47" s="93">
        <v>1E-10</v>
      </c>
      <c r="AV47" s="93">
        <v>1.9850000000000001E-7</v>
      </c>
      <c r="AW47" s="93">
        <v>4.6000000000000001E-10</v>
      </c>
      <c r="AX47" s="161">
        <v>41857</v>
      </c>
      <c r="AY47" s="93">
        <v>4.504053786349367E-8</v>
      </c>
      <c r="AZ47" s="93">
        <v>7.1118986819709114E-9</v>
      </c>
      <c r="BA47" s="93">
        <v>1.3142611169742159E-8</v>
      </c>
      <c r="BB47" s="93">
        <v>3.7994606635165608E-9</v>
      </c>
      <c r="BC47" s="162">
        <v>3.1651367612120342</v>
      </c>
      <c r="BD47" s="162">
        <v>9.7978872739159506E-3</v>
      </c>
      <c r="BE47" s="93">
        <v>1.2941685096676416E-7</v>
      </c>
      <c r="BF47" s="93">
        <v>1.0435926761597724E-15</v>
      </c>
      <c r="BG47" s="93">
        <v>0.22629710016674562</v>
      </c>
      <c r="BH47" s="93">
        <v>2.7648383588631836E-2</v>
      </c>
      <c r="BI47" s="93">
        <v>0.74182526176987185</v>
      </c>
      <c r="BJ47" s="93">
        <v>1.6581231937898677E-2</v>
      </c>
      <c r="BK47" s="93">
        <f>$CC$5</f>
        <v>4.4322825446866948E-8</v>
      </c>
      <c r="BL47" s="93">
        <f>1 * 10 ^ (INT(LOG10($BK$47)))</f>
        <v>1E-8</v>
      </c>
      <c r="BM47" s="93">
        <f>Helium3TU($AP$47,$AR$47,$AT$47,$BK$47,$N$47,$J$47,$L$47,$D$47,$AX$47,$BA$47)</f>
        <v>-5.1059470786832026</v>
      </c>
      <c r="BN47" s="93">
        <f>Helium3TUerr($AQ$47,$AR$47,$AS$47,$AT$47,$AU$47,1,$BE$47,$BK$47,$J$47,$D$47,$AX$47)</f>
        <v>1.1672281784745251</v>
      </c>
      <c r="BO47" s="93" t="str">
        <f>ReptHe3TU($BM$47,$BN$47,$BI$47*100)</f>
        <v>&lt;1</v>
      </c>
      <c r="BP47" s="93" t="str">
        <f>ReptHe3TUerr($BO$47,$BN$47)</f>
        <v>na</v>
      </c>
      <c r="BQ47" s="93" t="s">
        <v>920</v>
      </c>
      <c r="BR47" s="93" t="str">
        <f>TritiumCat($AP$47,$BR$2)</f>
        <v>Tritiated</v>
      </c>
    </row>
    <row r="48" spans="1:70">
      <c r="A48" s="94" t="s">
        <v>626</v>
      </c>
      <c r="B48" s="94" t="s">
        <v>688</v>
      </c>
      <c r="C48" s="94" t="s">
        <v>703</v>
      </c>
      <c r="D48" s="95">
        <v>41534</v>
      </c>
      <c r="E48" s="94" t="s">
        <v>706</v>
      </c>
      <c r="F48" s="93" t="s">
        <v>630</v>
      </c>
      <c r="G48" s="93" t="s">
        <v>631</v>
      </c>
      <c r="H48" s="93">
        <v>4.388457724112459E-26</v>
      </c>
      <c r="I48" s="162" t="s">
        <v>270</v>
      </c>
      <c r="J48" s="93">
        <v>1.0399921783199999</v>
      </c>
      <c r="K48" s="93">
        <v>0.10399921783199999</v>
      </c>
      <c r="L48" s="93">
        <v>247.56097560975601</v>
      </c>
      <c r="M48" s="93">
        <v>24.756097560975601</v>
      </c>
      <c r="N48" s="93">
        <v>9.7320369387144456</v>
      </c>
      <c r="O48" s="93">
        <v>0.59400772883257547</v>
      </c>
      <c r="P48" s="93">
        <v>2.4835761222650179</v>
      </c>
      <c r="Q48" s="93">
        <v>0.55641510393576143</v>
      </c>
      <c r="R48" s="93" t="s">
        <v>270</v>
      </c>
      <c r="S48" s="93" t="s">
        <v>270</v>
      </c>
      <c r="T48" s="93">
        <v>7.599999999999989</v>
      </c>
      <c r="U48" s="93">
        <v>0.31622776601683678</v>
      </c>
      <c r="V48" s="93" t="s">
        <v>270</v>
      </c>
      <c r="W48" s="93" t="s">
        <v>270</v>
      </c>
      <c r="X48" s="93" t="s">
        <v>270</v>
      </c>
      <c r="Y48" s="93" t="s">
        <v>270</v>
      </c>
      <c r="Z48" s="93" t="s">
        <v>270</v>
      </c>
      <c r="AA48" s="93" t="s">
        <v>270</v>
      </c>
      <c r="AB48" s="93" t="s">
        <v>270</v>
      </c>
      <c r="AC48" s="93" t="s">
        <v>270</v>
      </c>
      <c r="AD48" s="93" t="s">
        <v>270</v>
      </c>
      <c r="AE48" s="93" t="s">
        <v>270</v>
      </c>
      <c r="AF48" s="93" t="s">
        <v>270</v>
      </c>
      <c r="AG48" s="93" t="s">
        <v>270</v>
      </c>
      <c r="AH48" s="93">
        <v>3.4639886161398445</v>
      </c>
      <c r="AI48" s="93">
        <v>0.34639886161398448</v>
      </c>
      <c r="AJ48" s="93">
        <v>7.0327308549769247</v>
      </c>
      <c r="AK48" s="93">
        <v>1.912054534277043</v>
      </c>
      <c r="AL48" s="93" t="s">
        <v>270</v>
      </c>
      <c r="AM48" s="93" t="s">
        <v>270</v>
      </c>
      <c r="AN48" s="93" t="s">
        <v>270</v>
      </c>
      <c r="AO48" s="93" t="s">
        <v>270</v>
      </c>
      <c r="AP48" s="93">
        <v>2.7836990595611288</v>
      </c>
      <c r="AQ48" s="93">
        <v>3.1347962382445145E-2</v>
      </c>
      <c r="AR48" s="93">
        <v>3.8821199999999996E-7</v>
      </c>
      <c r="AS48" s="93">
        <v>1.3840000000000023E-8</v>
      </c>
      <c r="AT48" s="93">
        <v>1.8760000000000001E-7</v>
      </c>
      <c r="AU48" s="93">
        <v>1E-10</v>
      </c>
      <c r="AV48" s="93">
        <v>1.9850000000000001E-7</v>
      </c>
      <c r="AW48" s="93">
        <v>4.6000000000000001E-10</v>
      </c>
      <c r="AX48" s="161">
        <v>41857</v>
      </c>
      <c r="AY48" s="93">
        <v>4.4880413356639257E-8</v>
      </c>
      <c r="AZ48" s="93">
        <v>6.9129579770220867E-9</v>
      </c>
      <c r="BA48" s="93">
        <v>1.3013938880668692E-8</v>
      </c>
      <c r="BB48" s="93">
        <v>3.5382216892286463E-9</v>
      </c>
      <c r="BC48" s="162">
        <v>3.1799971517474432</v>
      </c>
      <c r="BD48" s="162">
        <v>1.7562857639371821E-2</v>
      </c>
      <c r="BE48" s="93">
        <v>1.2970564776269208E-7</v>
      </c>
      <c r="BF48" s="93">
        <v>1.0073545583444528E-15</v>
      </c>
      <c r="BG48" s="93">
        <v>0.22686733008145957</v>
      </c>
      <c r="BH48" s="93">
        <v>2.6456099433583704E-2</v>
      </c>
      <c r="BI48" s="93">
        <v>0.74293270549733548</v>
      </c>
      <c r="BJ48" s="93">
        <v>1.5482071509308044E-2</v>
      </c>
      <c r="BK48" s="93">
        <f>$CC$5</f>
        <v>4.4322825446866948E-8</v>
      </c>
      <c r="BL48" s="93">
        <f>1 * 10 ^ (INT(LOG10($BK$48)))</f>
        <v>1E-8</v>
      </c>
      <c r="BM48" s="93">
        <f>Helium3TU($AP$48,$AR$48,$AT$48,$BK$48,$N$48,$J$48,$L$48,$D$48,$AX$48,$BA$48)</f>
        <v>-4.9535059542018232</v>
      </c>
      <c r="BN48" s="93">
        <f>Helium3TUerr($AQ$48,$AR$48,$AS$48,$AT$48,$AU$48,1,$BE$48,$BK$48,$J$48,$D$48,$AX$48)</f>
        <v>1.1677469248167871</v>
      </c>
      <c r="BO48" s="93" t="str">
        <f>ReptHe3TU($BM$48,$BN$48,$BI$48*100)</f>
        <v>&lt;1</v>
      </c>
      <c r="BP48" s="93" t="str">
        <f>ReptHe3TUerr($BO$48,$BN$48)</f>
        <v>na</v>
      </c>
      <c r="BQ48" s="93" t="s">
        <v>920</v>
      </c>
      <c r="BR48" s="93" t="str">
        <f>TritiumCat($AP$48,$BR$2)</f>
        <v>Tritiated</v>
      </c>
    </row>
    <row r="49" spans="1:70">
      <c r="A49" s="94" t="s">
        <v>626</v>
      </c>
      <c r="B49" s="94" t="s">
        <v>688</v>
      </c>
      <c r="C49" s="94" t="s">
        <v>703</v>
      </c>
      <c r="D49" s="95">
        <v>41534</v>
      </c>
      <c r="E49" s="94" t="s">
        <v>706</v>
      </c>
      <c r="F49" s="93" t="s">
        <v>630</v>
      </c>
      <c r="G49" s="93" t="s">
        <v>631</v>
      </c>
      <c r="H49" s="93">
        <v>4.388457724112459E-26</v>
      </c>
      <c r="I49" s="162" t="s">
        <v>270</v>
      </c>
      <c r="J49" s="93">
        <v>1.0399921783199999</v>
      </c>
      <c r="K49" s="93">
        <v>0.10399921783199999</v>
      </c>
      <c r="L49" s="93">
        <v>247.56097560975601</v>
      </c>
      <c r="M49" s="93">
        <v>24.756097560975601</v>
      </c>
      <c r="N49" s="93">
        <v>9.7320369387144456</v>
      </c>
      <c r="O49" s="93">
        <v>0.59400772883257547</v>
      </c>
      <c r="P49" s="93">
        <v>2.4835761222650179</v>
      </c>
      <c r="Q49" s="93">
        <v>0.55641510393576143</v>
      </c>
      <c r="R49" s="93" t="s">
        <v>270</v>
      </c>
      <c r="S49" s="93" t="s">
        <v>270</v>
      </c>
      <c r="T49" s="93">
        <v>7.599999999999989</v>
      </c>
      <c r="U49" s="93">
        <v>0.31622776601683678</v>
      </c>
      <c r="V49" s="93" t="s">
        <v>270</v>
      </c>
      <c r="W49" s="93" t="s">
        <v>270</v>
      </c>
      <c r="X49" s="93" t="s">
        <v>270</v>
      </c>
      <c r="Y49" s="93" t="s">
        <v>270</v>
      </c>
      <c r="Z49" s="93" t="s">
        <v>270</v>
      </c>
      <c r="AA49" s="93" t="s">
        <v>270</v>
      </c>
      <c r="AB49" s="93" t="s">
        <v>270</v>
      </c>
      <c r="AC49" s="93" t="s">
        <v>270</v>
      </c>
      <c r="AD49" s="93" t="s">
        <v>270</v>
      </c>
      <c r="AE49" s="93" t="s">
        <v>270</v>
      </c>
      <c r="AF49" s="93" t="s">
        <v>270</v>
      </c>
      <c r="AG49" s="93" t="s">
        <v>270</v>
      </c>
      <c r="AH49" s="93">
        <v>5.1474505111265163</v>
      </c>
      <c r="AI49" s="93">
        <v>0.51474505111265167</v>
      </c>
      <c r="AJ49" s="93">
        <v>10.450563799602492</v>
      </c>
      <c r="AK49" s="93">
        <v>2.8412928506485593</v>
      </c>
      <c r="AL49" s="93" t="s">
        <v>270</v>
      </c>
      <c r="AM49" s="93" t="s">
        <v>270</v>
      </c>
      <c r="AN49" s="93" t="s">
        <v>270</v>
      </c>
      <c r="AO49" s="93" t="s">
        <v>270</v>
      </c>
      <c r="AP49" s="93">
        <v>2.7836990595611288</v>
      </c>
      <c r="AQ49" s="93">
        <v>3.1347962382445145E-2</v>
      </c>
      <c r="AR49" s="93">
        <v>3.8821199999999996E-7</v>
      </c>
      <c r="AS49" s="93">
        <v>1.3840000000000023E-8</v>
      </c>
      <c r="AT49" s="93">
        <v>1.8760000000000001E-7</v>
      </c>
      <c r="AU49" s="93">
        <v>1E-10</v>
      </c>
      <c r="AV49" s="93">
        <v>1.9850000000000001E-7</v>
      </c>
      <c r="AW49" s="93">
        <v>4.6000000000000001E-10</v>
      </c>
      <c r="AX49" s="161">
        <v>41857</v>
      </c>
      <c r="AY49" s="93">
        <v>4.4880413356639257E-8</v>
      </c>
      <c r="AZ49" s="93">
        <v>6.9129579770220867E-9</v>
      </c>
      <c r="BA49" s="93">
        <v>1.3013938880668692E-8</v>
      </c>
      <c r="BB49" s="93">
        <v>3.5382216892286463E-9</v>
      </c>
      <c r="BC49" s="162">
        <v>3.1799971517474432</v>
      </c>
      <c r="BD49" s="162">
        <v>1.7562857639371821E-2</v>
      </c>
      <c r="BE49" s="93">
        <v>1.2970564776269208E-7</v>
      </c>
      <c r="BF49" s="93">
        <v>1.0073545583444528E-15</v>
      </c>
      <c r="BG49" s="93">
        <v>0.22686733008145957</v>
      </c>
      <c r="BH49" s="93">
        <v>2.6456099433583704E-2</v>
      </c>
      <c r="BI49" s="93">
        <v>0.74293270549733548</v>
      </c>
      <c r="BJ49" s="93">
        <v>1.5482071509308044E-2</v>
      </c>
      <c r="BK49" s="93">
        <f>$CC$5</f>
        <v>4.4322825446866948E-8</v>
      </c>
      <c r="BL49" s="93">
        <f>1 * 10 ^ (INT(LOG10($BK$49)))</f>
        <v>1E-8</v>
      </c>
      <c r="BM49" s="93">
        <f>Helium3TU($AP$49,$AR$49,$AT$49,$BK$49,$N$49,$J$49,$L$49,$D$49,$AX$49,$BA$49)</f>
        <v>-4.9535059542018232</v>
      </c>
      <c r="BN49" s="93">
        <f>Helium3TUerr($AQ$49,$AR$49,$AS$49,$AT$49,$AU$49,1,$BE$49,$BK$49,$J$49,$D$49,$AX$49)</f>
        <v>1.1677469248167871</v>
      </c>
      <c r="BO49" s="93" t="str">
        <f>ReptHe3TU($BM$49,$BN$49,$BI$49*100)</f>
        <v>&lt;1</v>
      </c>
      <c r="BP49" s="93" t="str">
        <f>ReptHe3TUerr($BO$49,$BN$49)</f>
        <v>na</v>
      </c>
      <c r="BQ49" s="93" t="s">
        <v>920</v>
      </c>
      <c r="BR49" s="93" t="str">
        <f>TritiumCat($AP$49,$BR$2)</f>
        <v>Tritiated</v>
      </c>
    </row>
    <row r="50" spans="1:70">
      <c r="A50" s="94" t="s">
        <v>626</v>
      </c>
      <c r="B50" s="94" t="s">
        <v>688</v>
      </c>
      <c r="C50" s="94" t="s">
        <v>708</v>
      </c>
      <c r="D50" s="95">
        <v>41533</v>
      </c>
      <c r="E50" s="94" t="s">
        <v>709</v>
      </c>
      <c r="F50" s="93" t="s">
        <v>630</v>
      </c>
      <c r="G50" s="93" t="s">
        <v>631</v>
      </c>
      <c r="H50" s="93">
        <v>1.8985174642510292E-24</v>
      </c>
      <c r="I50" s="162" t="s">
        <v>270</v>
      </c>
      <c r="J50" s="93">
        <v>0.81669164327999999</v>
      </c>
      <c r="K50" s="93">
        <v>8.1669164328000005E-2</v>
      </c>
      <c r="L50" s="93">
        <v>98.780487804878007</v>
      </c>
      <c r="M50" s="93">
        <v>9.8780487804878003</v>
      </c>
      <c r="N50" s="93">
        <v>16.155071811296885</v>
      </c>
      <c r="O50" s="93">
        <v>5.5539511647244382</v>
      </c>
      <c r="P50" s="93">
        <v>1.2032043939218739</v>
      </c>
      <c r="Q50" s="93">
        <v>0.47947253382144828</v>
      </c>
      <c r="R50" s="93" t="s">
        <v>270</v>
      </c>
      <c r="S50" s="93" t="s">
        <v>270</v>
      </c>
      <c r="T50" s="93">
        <v>2.0434959558673516</v>
      </c>
      <c r="U50" s="93">
        <v>2.2547077386292895</v>
      </c>
      <c r="V50" s="93" t="s">
        <v>270</v>
      </c>
      <c r="W50" s="93" t="s">
        <v>270</v>
      </c>
      <c r="X50" s="93" t="s">
        <v>270</v>
      </c>
      <c r="Y50" s="93" t="s">
        <v>270</v>
      </c>
      <c r="Z50" s="93" t="s">
        <v>270</v>
      </c>
      <c r="AA50" s="93" t="s">
        <v>270</v>
      </c>
      <c r="AB50" s="93" t="s">
        <v>270</v>
      </c>
      <c r="AC50" s="93" t="s">
        <v>270</v>
      </c>
      <c r="AD50" s="93" t="s">
        <v>270</v>
      </c>
      <c r="AE50" s="93" t="s">
        <v>270</v>
      </c>
      <c r="AF50" s="93" t="s">
        <v>270</v>
      </c>
      <c r="AG50" s="93" t="s">
        <v>270</v>
      </c>
      <c r="AH50" s="93">
        <v>2.3679652994559452</v>
      </c>
      <c r="AI50" s="93">
        <v>0.23679652994559452</v>
      </c>
      <c r="AJ50" s="93">
        <v>6.6605120442655013</v>
      </c>
      <c r="AK50" s="93">
        <v>3.629770362740127</v>
      </c>
      <c r="AL50" s="93" t="s">
        <v>270</v>
      </c>
      <c r="AM50" s="93" t="s">
        <v>270</v>
      </c>
      <c r="AN50" s="93" t="s">
        <v>270</v>
      </c>
      <c r="AO50" s="93" t="s">
        <v>270</v>
      </c>
      <c r="AP50" s="93">
        <v>3.4482758620689655E-2</v>
      </c>
      <c r="AQ50" s="93">
        <v>3.1347962382445145E-2</v>
      </c>
      <c r="AR50" s="93">
        <v>1.3064959999999997E-7</v>
      </c>
      <c r="AS50" s="93">
        <v>1.3839999999999937E-8</v>
      </c>
      <c r="AT50" s="93">
        <v>8.1760000000000002E-7</v>
      </c>
      <c r="AU50" s="93">
        <v>1.3999999999999999E-9</v>
      </c>
      <c r="AV50" s="93">
        <v>2.096E-7</v>
      </c>
      <c r="AW50" s="93">
        <v>5.0000000000000003E-10</v>
      </c>
      <c r="AX50" s="161">
        <v>41858</v>
      </c>
      <c r="AY50" s="93">
        <v>4.4603871444855982E-8</v>
      </c>
      <c r="AZ50" s="93">
        <v>1.658109686944655E-8</v>
      </c>
      <c r="BA50" s="93">
        <v>6.304791024150622E-9</v>
      </c>
      <c r="BB50" s="93">
        <v>3.4359135529880385E-9</v>
      </c>
      <c r="BC50" s="162">
        <v>17.330247431790838</v>
      </c>
      <c r="BD50" s="162">
        <v>0.1163236170602473</v>
      </c>
      <c r="BE50" s="93">
        <v>7.6669133753099333E-7</v>
      </c>
      <c r="BF50" s="93">
        <v>1.3026947146988075E-14</v>
      </c>
      <c r="BG50" s="93">
        <v>8.7362351905148558E-2</v>
      </c>
      <c r="BH50" s="93">
        <v>1.3955362060737754E-2</v>
      </c>
      <c r="BI50" s="93">
        <v>0.94502147225561905</v>
      </c>
      <c r="BJ50" s="93">
        <v>5.6330200092433507E-3</v>
      </c>
      <c r="BK50" s="93">
        <f>$CC$5</f>
        <v>4.4322825446866948E-8</v>
      </c>
      <c r="BL50" s="93">
        <f>1 * 10 ^ (INT(LOG10($BK$50)))</f>
        <v>1E-8</v>
      </c>
      <c r="BM50" s="93">
        <f>Helium3TU($AP$50,$AR$50,$AT$50,$BK$50,$N$50,$J$50,$L$50,$D$50,$AX$50,$BA$50)</f>
        <v>1.3695502433861109</v>
      </c>
      <c r="BN50" s="93">
        <f>Helium3TUerr($AQ$50,$AR$50,$AS$50,$AT$50,$AU$50,1,$BE$50,$BK$50,$J$50,$D$50,$AX$50)</f>
        <v>5.4980180932686906</v>
      </c>
      <c r="BO50" s="93" t="str">
        <f>ReptHe3TU($BM$50,$BN$50,$BI$50*100)</f>
        <v>Not Quantifiable</v>
      </c>
      <c r="BP50" s="93" t="str">
        <f>ReptHe3TUerr($BO$50,$BN$50)</f>
        <v>na</v>
      </c>
      <c r="BQ50" s="93" t="s">
        <v>920</v>
      </c>
      <c r="BR50" s="93" t="str">
        <f>TritiumCat($AP$50,$BR$2)</f>
        <v>Tritium Dead</v>
      </c>
    </row>
    <row r="51" spans="1:70">
      <c r="A51" s="94" t="s">
        <v>626</v>
      </c>
      <c r="B51" s="94" t="s">
        <v>688</v>
      </c>
      <c r="C51" s="94" t="s">
        <v>708</v>
      </c>
      <c r="D51" s="95">
        <v>41533</v>
      </c>
      <c r="E51" s="94" t="s">
        <v>709</v>
      </c>
      <c r="F51" s="93" t="s">
        <v>630</v>
      </c>
      <c r="G51" s="93" t="s">
        <v>631</v>
      </c>
      <c r="H51" s="93">
        <v>1.8985174642510292E-24</v>
      </c>
      <c r="I51" s="162" t="s">
        <v>270</v>
      </c>
      <c r="J51" s="93">
        <v>0.81669164327999999</v>
      </c>
      <c r="K51" s="93">
        <v>8.1669164328000005E-2</v>
      </c>
      <c r="L51" s="93">
        <v>98.780487804878007</v>
      </c>
      <c r="M51" s="93">
        <v>9.8780487804878003</v>
      </c>
      <c r="N51" s="93">
        <v>16.155071811296885</v>
      </c>
      <c r="O51" s="93">
        <v>5.5539511647244382</v>
      </c>
      <c r="P51" s="93">
        <v>1.2032043939218739</v>
      </c>
      <c r="Q51" s="93">
        <v>0.47947253382144828</v>
      </c>
      <c r="R51" s="93" t="s">
        <v>270</v>
      </c>
      <c r="S51" s="93" t="s">
        <v>270</v>
      </c>
      <c r="T51" s="93">
        <v>2.0434959558673516</v>
      </c>
      <c r="U51" s="93">
        <v>2.2547077386292895</v>
      </c>
      <c r="V51" s="93" t="s">
        <v>270</v>
      </c>
      <c r="W51" s="93" t="s">
        <v>270</v>
      </c>
      <c r="X51" s="93" t="s">
        <v>270</v>
      </c>
      <c r="Y51" s="93" t="s">
        <v>270</v>
      </c>
      <c r="Z51" s="93" t="s">
        <v>270</v>
      </c>
      <c r="AA51" s="93" t="s">
        <v>270</v>
      </c>
      <c r="AB51" s="93" t="s">
        <v>270</v>
      </c>
      <c r="AC51" s="93" t="s">
        <v>270</v>
      </c>
      <c r="AD51" s="93" t="s">
        <v>270</v>
      </c>
      <c r="AE51" s="93" t="s">
        <v>270</v>
      </c>
      <c r="AF51" s="93" t="s">
        <v>270</v>
      </c>
      <c r="AG51" s="93" t="s">
        <v>270</v>
      </c>
      <c r="AH51" s="93">
        <v>2.5096509394083082</v>
      </c>
      <c r="AI51" s="93">
        <v>0.25096509394083083</v>
      </c>
      <c r="AJ51" s="93">
        <v>7.0590393840111467</v>
      </c>
      <c r="AK51" s="93">
        <v>3.8469552753919789</v>
      </c>
      <c r="AL51" s="93" t="s">
        <v>270</v>
      </c>
      <c r="AM51" s="93" t="s">
        <v>270</v>
      </c>
      <c r="AN51" s="93" t="s">
        <v>270</v>
      </c>
      <c r="AO51" s="93" t="s">
        <v>270</v>
      </c>
      <c r="AP51" s="93">
        <v>3.4482758620689655E-2</v>
      </c>
      <c r="AQ51" s="93">
        <v>3.1347962382445145E-2</v>
      </c>
      <c r="AR51" s="93">
        <v>1.3064959999999997E-7</v>
      </c>
      <c r="AS51" s="93">
        <v>1.3839999999999937E-8</v>
      </c>
      <c r="AT51" s="93">
        <v>8.1760000000000002E-7</v>
      </c>
      <c r="AU51" s="93">
        <v>1.3999999999999999E-9</v>
      </c>
      <c r="AV51" s="93">
        <v>2.096E-7</v>
      </c>
      <c r="AW51" s="93">
        <v>5.0000000000000003E-10</v>
      </c>
      <c r="AX51" s="161">
        <v>41858</v>
      </c>
      <c r="AY51" s="93">
        <v>4.4603871444855982E-8</v>
      </c>
      <c r="AZ51" s="93">
        <v>1.658109686944655E-8</v>
      </c>
      <c r="BA51" s="93">
        <v>6.304791024150622E-9</v>
      </c>
      <c r="BB51" s="93">
        <v>3.4359135529880385E-9</v>
      </c>
      <c r="BC51" s="162">
        <v>17.330247431790838</v>
      </c>
      <c r="BD51" s="162">
        <v>0.1163236170602473</v>
      </c>
      <c r="BE51" s="93">
        <v>7.6669133753099333E-7</v>
      </c>
      <c r="BF51" s="93">
        <v>1.3026947146988075E-14</v>
      </c>
      <c r="BG51" s="93">
        <v>8.7362351905148558E-2</v>
      </c>
      <c r="BH51" s="93">
        <v>1.3955362060737754E-2</v>
      </c>
      <c r="BI51" s="93">
        <v>0.94502147225561905</v>
      </c>
      <c r="BJ51" s="93">
        <v>5.6330200092433507E-3</v>
      </c>
      <c r="BK51" s="93">
        <f>$CC$5</f>
        <v>4.4322825446866948E-8</v>
      </c>
      <c r="BL51" s="93">
        <f>1 * 10 ^ (INT(LOG10($BK$51)))</f>
        <v>1E-8</v>
      </c>
      <c r="BM51" s="93">
        <f>Helium3TU($AP$51,$AR$51,$AT$51,$BK$51,$N$51,$J$51,$L$51,$D$51,$AX$51,$BA$51)</f>
        <v>1.3695502433861109</v>
      </c>
      <c r="BN51" s="93">
        <f>Helium3TUerr($AQ$51,$AR$51,$AS$51,$AT$51,$AU$51,1,$BE$51,$BK$51,$J$51,$D$51,$AX$51)</f>
        <v>5.4980180932686906</v>
      </c>
      <c r="BO51" s="93" t="str">
        <f>ReptHe3TU($BM$51,$BN$51,$BI$51*100)</f>
        <v>Not Quantifiable</v>
      </c>
      <c r="BP51" s="93" t="str">
        <f>ReptHe3TUerr($BO$51,$BN$51)</f>
        <v>na</v>
      </c>
      <c r="BQ51" s="93" t="s">
        <v>920</v>
      </c>
      <c r="BR51" s="93" t="str">
        <f>TritiumCat($AP$51,$BR$2)</f>
        <v>Tritium Dead</v>
      </c>
    </row>
    <row r="52" spans="1:70">
      <c r="A52" s="94" t="s">
        <v>626</v>
      </c>
      <c r="B52" s="94" t="s">
        <v>688</v>
      </c>
      <c r="C52" s="94" t="s">
        <v>708</v>
      </c>
      <c r="D52" s="95">
        <v>41533</v>
      </c>
      <c r="E52" s="94" t="s">
        <v>711</v>
      </c>
      <c r="F52" s="93" t="s">
        <v>630</v>
      </c>
      <c r="G52" s="93" t="s">
        <v>631</v>
      </c>
      <c r="H52" s="93">
        <v>4.4875243143724859E-26</v>
      </c>
      <c r="I52" s="162" t="s">
        <v>270</v>
      </c>
      <c r="J52" s="93">
        <v>0.81669164327999999</v>
      </c>
      <c r="K52" s="93">
        <v>8.1669164328000005E-2</v>
      </c>
      <c r="L52" s="93">
        <v>98.780487804878007</v>
      </c>
      <c r="M52" s="93">
        <v>9.8780487804878003</v>
      </c>
      <c r="N52" s="93">
        <v>16.472851352880703</v>
      </c>
      <c r="O52" s="93">
        <v>5.5888604385426897</v>
      </c>
      <c r="P52" s="93">
        <v>1.2304551139791939</v>
      </c>
      <c r="Q52" s="93">
        <v>0.47805617807519091</v>
      </c>
      <c r="R52" s="93" t="s">
        <v>270</v>
      </c>
      <c r="S52" s="93" t="s">
        <v>270</v>
      </c>
      <c r="T52" s="93">
        <v>1.8800373649478246</v>
      </c>
      <c r="U52" s="93">
        <v>2.2309397688609818</v>
      </c>
      <c r="V52" s="93" t="s">
        <v>270</v>
      </c>
      <c r="W52" s="93" t="s">
        <v>270</v>
      </c>
      <c r="X52" s="93" t="s">
        <v>270</v>
      </c>
      <c r="Y52" s="93" t="s">
        <v>270</v>
      </c>
      <c r="Z52" s="93" t="s">
        <v>270</v>
      </c>
      <c r="AA52" s="93" t="s">
        <v>270</v>
      </c>
      <c r="AB52" s="93" t="s">
        <v>270</v>
      </c>
      <c r="AC52" s="93" t="s">
        <v>270</v>
      </c>
      <c r="AD52" s="93" t="s">
        <v>270</v>
      </c>
      <c r="AE52" s="93" t="s">
        <v>270</v>
      </c>
      <c r="AF52" s="93" t="s">
        <v>270</v>
      </c>
      <c r="AG52" s="93" t="s">
        <v>270</v>
      </c>
      <c r="AH52" s="93">
        <v>2.3679652994559452</v>
      </c>
      <c r="AI52" s="93">
        <v>0.23679652994559452</v>
      </c>
      <c r="AJ52" s="93">
        <v>6.7042113177670482</v>
      </c>
      <c r="AK52" s="93">
        <v>3.5856974864660192</v>
      </c>
      <c r="AL52" s="93" t="s">
        <v>270</v>
      </c>
      <c r="AM52" s="93" t="s">
        <v>270</v>
      </c>
      <c r="AN52" s="93" t="s">
        <v>270</v>
      </c>
      <c r="AO52" s="93" t="s">
        <v>270</v>
      </c>
      <c r="AP52" s="93">
        <v>3.4482758620689655E-2</v>
      </c>
      <c r="AQ52" s="93">
        <v>3.1347962382445145E-2</v>
      </c>
      <c r="AR52" s="93">
        <v>1.3064959999999997E-7</v>
      </c>
      <c r="AS52" s="93">
        <v>1.3839999999999937E-8</v>
      </c>
      <c r="AT52" s="93">
        <v>8.1760000000000002E-7</v>
      </c>
      <c r="AU52" s="93">
        <v>1.3999999999999999E-9</v>
      </c>
      <c r="AV52" s="93">
        <v>2.096E-7</v>
      </c>
      <c r="AW52" s="93">
        <v>5.0000000000000003E-10</v>
      </c>
      <c r="AX52" s="161">
        <v>41858</v>
      </c>
      <c r="AY52" s="93">
        <v>4.4554485763356166E-8</v>
      </c>
      <c r="AZ52" s="93">
        <v>1.6376965838602918E-8</v>
      </c>
      <c r="BA52" s="93">
        <v>6.4475847972509737E-9</v>
      </c>
      <c r="BB52" s="93">
        <v>3.4484427034706805E-9</v>
      </c>
      <c r="BC52" s="162">
        <v>17.350565290833973</v>
      </c>
      <c r="BD52" s="162">
        <v>0.11927737287607698</v>
      </c>
      <c r="BE52" s="93">
        <v>7.6659792943939284E-7</v>
      </c>
      <c r="BF52" s="93">
        <v>1.2874664002596131E-14</v>
      </c>
      <c r="BG52" s="93">
        <v>8.7201692818403106E-2</v>
      </c>
      <c r="BH52" s="93">
        <v>1.3972878734825849E-2</v>
      </c>
      <c r="BI52" s="93">
        <v>0.94507267723016564</v>
      </c>
      <c r="BJ52" s="93">
        <v>5.6489146063121486E-3</v>
      </c>
      <c r="BK52" s="93">
        <f>$CC$5</f>
        <v>4.4322825446866948E-8</v>
      </c>
      <c r="BL52" s="93">
        <f>1 * 10 ^ (INT(LOG10($BK$52)))</f>
        <v>1E-8</v>
      </c>
      <c r="BM52" s="93">
        <f>Helium3TU($AP$52,$AR$52,$AT$52,$BK$52,$N$52,$J$52,$L$52,$D$52,$AX$52,$BA$52)</f>
        <v>1.318091933446927</v>
      </c>
      <c r="BN52" s="93">
        <f>Helium3TUerr($AQ$52,$AR$52,$AS$52,$AT$52,$AU$52,1,$BE$52,$BK$52,$J$52,$D$52,$AX$52)</f>
        <v>5.4978073632386932</v>
      </c>
      <c r="BO52" s="93" t="str">
        <f>ReptHe3TU($BM$52,$BN$52,$BI$52*100)</f>
        <v>Not Quantifiable</v>
      </c>
      <c r="BP52" s="93" t="str">
        <f>ReptHe3TUerr($BO$52,$BN$52)</f>
        <v>na</v>
      </c>
      <c r="BQ52" s="93" t="s">
        <v>920</v>
      </c>
      <c r="BR52" s="93" t="str">
        <f>TritiumCat($AP$52,$BR$2)</f>
        <v>Tritium Dead</v>
      </c>
    </row>
    <row r="53" spans="1:70">
      <c r="A53" s="94" t="s">
        <v>626</v>
      </c>
      <c r="B53" s="94" t="s">
        <v>688</v>
      </c>
      <c r="C53" s="94" t="s">
        <v>708</v>
      </c>
      <c r="D53" s="95">
        <v>41533</v>
      </c>
      <c r="E53" s="94" t="s">
        <v>711</v>
      </c>
      <c r="F53" s="93" t="s">
        <v>630</v>
      </c>
      <c r="G53" s="93" t="s">
        <v>631</v>
      </c>
      <c r="H53" s="93">
        <v>4.4875243143724859E-26</v>
      </c>
      <c r="I53" s="162" t="s">
        <v>270</v>
      </c>
      <c r="J53" s="93">
        <v>0.81669164327999999</v>
      </c>
      <c r="K53" s="93">
        <v>8.1669164328000005E-2</v>
      </c>
      <c r="L53" s="93">
        <v>98.780487804878007</v>
      </c>
      <c r="M53" s="93">
        <v>9.8780487804878003</v>
      </c>
      <c r="N53" s="93">
        <v>16.472851352880703</v>
      </c>
      <c r="O53" s="93">
        <v>5.5888604385426897</v>
      </c>
      <c r="P53" s="93">
        <v>1.2304551139791939</v>
      </c>
      <c r="Q53" s="93">
        <v>0.47805617807519091</v>
      </c>
      <c r="R53" s="93" t="s">
        <v>270</v>
      </c>
      <c r="S53" s="93" t="s">
        <v>270</v>
      </c>
      <c r="T53" s="93">
        <v>1.8800373649478246</v>
      </c>
      <c r="U53" s="93">
        <v>2.2309397688609818</v>
      </c>
      <c r="V53" s="93" t="s">
        <v>270</v>
      </c>
      <c r="W53" s="93" t="s">
        <v>270</v>
      </c>
      <c r="X53" s="93" t="s">
        <v>270</v>
      </c>
      <c r="Y53" s="93" t="s">
        <v>270</v>
      </c>
      <c r="Z53" s="93" t="s">
        <v>270</v>
      </c>
      <c r="AA53" s="93" t="s">
        <v>270</v>
      </c>
      <c r="AB53" s="93" t="s">
        <v>270</v>
      </c>
      <c r="AC53" s="93" t="s">
        <v>270</v>
      </c>
      <c r="AD53" s="93" t="s">
        <v>270</v>
      </c>
      <c r="AE53" s="93" t="s">
        <v>270</v>
      </c>
      <c r="AF53" s="93" t="s">
        <v>270</v>
      </c>
      <c r="AG53" s="93" t="s">
        <v>270</v>
      </c>
      <c r="AH53" s="93">
        <v>2.5096509394083082</v>
      </c>
      <c r="AI53" s="93">
        <v>0.25096509394083083</v>
      </c>
      <c r="AJ53" s="93">
        <v>7.1053533746848334</v>
      </c>
      <c r="AK53" s="93">
        <v>3.800245327670551</v>
      </c>
      <c r="AL53" s="93" t="s">
        <v>270</v>
      </c>
      <c r="AM53" s="93" t="s">
        <v>270</v>
      </c>
      <c r="AN53" s="93" t="s">
        <v>270</v>
      </c>
      <c r="AO53" s="93" t="s">
        <v>270</v>
      </c>
      <c r="AP53" s="93">
        <v>3.4482758620689655E-2</v>
      </c>
      <c r="AQ53" s="93">
        <v>3.1347962382445145E-2</v>
      </c>
      <c r="AR53" s="93">
        <v>1.3064959999999997E-7</v>
      </c>
      <c r="AS53" s="93">
        <v>1.3839999999999937E-8</v>
      </c>
      <c r="AT53" s="93">
        <v>8.1760000000000002E-7</v>
      </c>
      <c r="AU53" s="93">
        <v>1.3999999999999999E-9</v>
      </c>
      <c r="AV53" s="93">
        <v>2.096E-7</v>
      </c>
      <c r="AW53" s="93">
        <v>5.0000000000000003E-10</v>
      </c>
      <c r="AX53" s="161">
        <v>41858</v>
      </c>
      <c r="AY53" s="93">
        <v>4.4554485763356166E-8</v>
      </c>
      <c r="AZ53" s="93">
        <v>1.6376965838602918E-8</v>
      </c>
      <c r="BA53" s="93">
        <v>6.4475847972509737E-9</v>
      </c>
      <c r="BB53" s="93">
        <v>3.4484427034706805E-9</v>
      </c>
      <c r="BC53" s="162">
        <v>17.350565290833973</v>
      </c>
      <c r="BD53" s="162">
        <v>0.11927737287607698</v>
      </c>
      <c r="BE53" s="93">
        <v>7.6659792943939284E-7</v>
      </c>
      <c r="BF53" s="93">
        <v>1.2874664002596131E-14</v>
      </c>
      <c r="BG53" s="93">
        <v>8.7201692818403106E-2</v>
      </c>
      <c r="BH53" s="93">
        <v>1.3972878734825849E-2</v>
      </c>
      <c r="BI53" s="93">
        <v>0.94507267723016564</v>
      </c>
      <c r="BJ53" s="93">
        <v>5.6489146063121486E-3</v>
      </c>
      <c r="BK53" s="93">
        <f>$CC$5</f>
        <v>4.4322825446866948E-8</v>
      </c>
      <c r="BL53" s="93">
        <f>1 * 10 ^ (INT(LOG10($BK$53)))</f>
        <v>1E-8</v>
      </c>
      <c r="BM53" s="93">
        <f>Helium3TU($AP$53,$AR$53,$AT$53,$BK$53,$N$53,$J$53,$L$53,$D$53,$AX$53,$BA$53)</f>
        <v>1.318091933446927</v>
      </c>
      <c r="BN53" s="93">
        <f>Helium3TUerr($AQ$53,$AR$53,$AS$53,$AT$53,$AU$53,1,$BE$53,$BK$53,$J$53,$D$53,$AX$53)</f>
        <v>5.4978073632386932</v>
      </c>
      <c r="BO53" s="93" t="str">
        <f>ReptHe3TU($BM$53,$BN$53,$BI$53*100)</f>
        <v>Not Quantifiable</v>
      </c>
      <c r="BP53" s="93" t="str">
        <f>ReptHe3TUerr($BO$53,$BN$53)</f>
        <v>na</v>
      </c>
      <c r="BQ53" s="93" t="s">
        <v>920</v>
      </c>
      <c r="BR53" s="93" t="str">
        <f>TritiumCat($AP$53,$BR$2)</f>
        <v>Tritium Dead</v>
      </c>
    </row>
    <row r="54" spans="1:70">
      <c r="A54" s="94" t="s">
        <v>626</v>
      </c>
      <c r="B54" s="94" t="s">
        <v>688</v>
      </c>
      <c r="C54" s="94" t="s">
        <v>713</v>
      </c>
      <c r="D54" s="95">
        <v>41514</v>
      </c>
      <c r="E54" s="94" t="s">
        <v>714</v>
      </c>
      <c r="F54" s="93" t="s">
        <v>630</v>
      </c>
      <c r="G54" s="93" t="s">
        <v>631</v>
      </c>
      <c r="H54" s="93">
        <v>1.6464872378037753E-26</v>
      </c>
      <c r="I54" s="162" t="s">
        <v>270</v>
      </c>
      <c r="J54" s="93">
        <v>2.1379409745000002</v>
      </c>
      <c r="K54" s="93">
        <v>0.21379409745000003</v>
      </c>
      <c r="L54" s="93">
        <v>1.82926829268292</v>
      </c>
      <c r="M54" s="93">
        <v>0.18292682926829201</v>
      </c>
      <c r="N54" s="93">
        <v>11.935231958399116</v>
      </c>
      <c r="O54" s="93">
        <v>6.3335980493864046</v>
      </c>
      <c r="P54" s="93">
        <v>2.5175634911736062</v>
      </c>
      <c r="Q54" s="93">
        <v>3.032222333543154</v>
      </c>
      <c r="R54" s="93" t="s">
        <v>270</v>
      </c>
      <c r="S54" s="93" t="s">
        <v>270</v>
      </c>
      <c r="T54" s="93">
        <v>2.4511340881556549</v>
      </c>
      <c r="U54" s="93">
        <v>3.1170975192382593</v>
      </c>
      <c r="V54" s="93" t="s">
        <v>270</v>
      </c>
      <c r="W54" s="93" t="s">
        <v>270</v>
      </c>
      <c r="X54" s="93" t="s">
        <v>270</v>
      </c>
      <c r="Y54" s="93" t="s">
        <v>270</v>
      </c>
      <c r="Z54" s="93" t="s">
        <v>270</v>
      </c>
      <c r="AA54" s="93" t="s">
        <v>270</v>
      </c>
      <c r="AB54" s="93" t="s">
        <v>270</v>
      </c>
      <c r="AC54" s="93" t="s">
        <v>270</v>
      </c>
      <c r="AD54" s="93" t="s">
        <v>270</v>
      </c>
      <c r="AE54" s="93" t="s">
        <v>270</v>
      </c>
      <c r="AF54" s="93" t="s">
        <v>270</v>
      </c>
      <c r="AG54" s="93" t="s">
        <v>270</v>
      </c>
      <c r="AH54" s="93">
        <v>0.21146383437710498</v>
      </c>
      <c r="AI54" s="93">
        <v>2.1146383437710498E-2</v>
      </c>
      <c r="AJ54" s="93">
        <v>0.45240282868068338</v>
      </c>
      <c r="AK54" s="93">
        <v>0.59885721911039091</v>
      </c>
      <c r="AL54" s="93" t="s">
        <v>270</v>
      </c>
      <c r="AM54" s="93" t="s">
        <v>270</v>
      </c>
      <c r="AN54" s="93" t="s">
        <v>270</v>
      </c>
      <c r="AO54" s="93" t="s">
        <v>270</v>
      </c>
      <c r="AP54" s="93">
        <v>-5.3291536050156747E-2</v>
      </c>
      <c r="AQ54" s="93">
        <v>3.1347962382445145E-2</v>
      </c>
      <c r="AR54" s="93">
        <v>1.1404159999999994E-7</v>
      </c>
      <c r="AS54" s="93">
        <v>1.3840000000000017E-8</v>
      </c>
      <c r="AT54" s="93">
        <v>1.0220999999999999E-6</v>
      </c>
      <c r="AU54" s="93">
        <v>3.2000000000000001E-9</v>
      </c>
      <c r="AV54" s="93">
        <v>2.4130000000000002E-7</v>
      </c>
      <c r="AW54" s="93">
        <v>4.8259999999999997E-8</v>
      </c>
      <c r="AX54" s="161">
        <v>41858</v>
      </c>
      <c r="AY54" s="93">
        <v>4.5520972311036036E-8</v>
      </c>
      <c r="AZ54" s="93">
        <v>2.4999440446678473E-8</v>
      </c>
      <c r="BA54" s="93">
        <v>1.3192032693749696E-8</v>
      </c>
      <c r="BB54" s="93">
        <v>1.7462631779803506E-8</v>
      </c>
      <c r="BC54" s="162">
        <v>21.453386826102648</v>
      </c>
      <c r="BD54" s="162">
        <v>0.23407298780044106</v>
      </c>
      <c r="BE54" s="93">
        <v>9.6338699499521416E-7</v>
      </c>
      <c r="BF54" s="93">
        <v>2.953932942495003E-14</v>
      </c>
      <c r="BG54" s="93">
        <v>7.0401876611889236E-2</v>
      </c>
      <c r="BH54" s="93">
        <v>2.6280860022807287E-2</v>
      </c>
      <c r="BI54" s="93">
        <v>0.95488100372727591</v>
      </c>
      <c r="BJ54" s="93">
        <v>1.9556149037307499E-2</v>
      </c>
      <c r="BK54" s="93">
        <f>$CC$5</f>
        <v>4.4322825446866948E-8</v>
      </c>
      <c r="BL54" s="93">
        <f>1 * 10 ^ (INT(LOG10($BK$54)))</f>
        <v>1E-8</v>
      </c>
      <c r="BM54" s="93">
        <f>Helium3TU($AP$54,$AR$54,$AT$54,$BK$54,$N$54,$J$54,$L$54,$D$54,$AX$54,$BA$54)</f>
        <v>-2.543941980239981</v>
      </c>
      <c r="BN54" s="93">
        <f>Helium3TUerr($AQ$54,$AR$54,$AS$54,$AT$54,$AU$54,1,$BE$54,$BK$54,$J$54,$D$54,$AX$54)</f>
        <v>6.8937674937959024</v>
      </c>
      <c r="BO54" s="93" t="str">
        <f>ReptHe3TU($BM$54,$BN$54,$BI$54*100)</f>
        <v>&lt;1</v>
      </c>
      <c r="BP54" s="93" t="str">
        <f>ReptHe3TUerr($BO$54,$BN$54)</f>
        <v>na</v>
      </c>
      <c r="BQ54" s="93" t="s">
        <v>920</v>
      </c>
      <c r="BR54" s="93" t="str">
        <f>TritiumCat($AP$54,$BR$2)</f>
        <v>Tritium Dead</v>
      </c>
    </row>
    <row r="55" spans="1:70">
      <c r="A55" s="94" t="s">
        <v>626</v>
      </c>
      <c r="B55" s="94" t="s">
        <v>688</v>
      </c>
      <c r="C55" s="94" t="s">
        <v>713</v>
      </c>
      <c r="D55" s="95">
        <v>41514</v>
      </c>
      <c r="E55" s="94" t="s">
        <v>714</v>
      </c>
      <c r="F55" s="93" t="s">
        <v>630</v>
      </c>
      <c r="G55" s="93" t="s">
        <v>631</v>
      </c>
      <c r="H55" s="93">
        <v>1.6464872378037753E-26</v>
      </c>
      <c r="I55" s="162" t="s">
        <v>270</v>
      </c>
      <c r="J55" s="93">
        <v>2.1379409745000002</v>
      </c>
      <c r="K55" s="93">
        <v>0.21379409745000003</v>
      </c>
      <c r="L55" s="93">
        <v>1.82926829268292</v>
      </c>
      <c r="M55" s="93">
        <v>0.18292682926829201</v>
      </c>
      <c r="N55" s="93">
        <v>11.935231958399116</v>
      </c>
      <c r="O55" s="93">
        <v>6.3335980493864046</v>
      </c>
      <c r="P55" s="93">
        <v>2.5175634911736062</v>
      </c>
      <c r="Q55" s="93">
        <v>3.032222333543154</v>
      </c>
      <c r="R55" s="93" t="s">
        <v>270</v>
      </c>
      <c r="S55" s="93" t="s">
        <v>270</v>
      </c>
      <c r="T55" s="93">
        <v>2.4511340881556549</v>
      </c>
      <c r="U55" s="93">
        <v>3.1170975192382593</v>
      </c>
      <c r="V55" s="93" t="s">
        <v>270</v>
      </c>
      <c r="W55" s="93" t="s">
        <v>270</v>
      </c>
      <c r="X55" s="93" t="s">
        <v>270</v>
      </c>
      <c r="Y55" s="93" t="s">
        <v>270</v>
      </c>
      <c r="Z55" s="93" t="s">
        <v>270</v>
      </c>
      <c r="AA55" s="93" t="s">
        <v>270</v>
      </c>
      <c r="AB55" s="93" t="s">
        <v>270</v>
      </c>
      <c r="AC55" s="93" t="s">
        <v>270</v>
      </c>
      <c r="AD55" s="93" t="s">
        <v>270</v>
      </c>
      <c r="AE55" s="93" t="s">
        <v>270</v>
      </c>
      <c r="AF55" s="93" t="s">
        <v>270</v>
      </c>
      <c r="AG55" s="93" t="s">
        <v>270</v>
      </c>
      <c r="AH55" s="93">
        <v>1.5163406185430746</v>
      </c>
      <c r="AI55" s="93">
        <v>0.15163406185430747</v>
      </c>
      <c r="AJ55" s="93">
        <v>3.2440383344650843</v>
      </c>
      <c r="AK55" s="93">
        <v>4.2942166858918549</v>
      </c>
      <c r="AL55" s="93" t="s">
        <v>270</v>
      </c>
      <c r="AM55" s="93" t="s">
        <v>270</v>
      </c>
      <c r="AN55" s="93" t="s">
        <v>270</v>
      </c>
      <c r="AO55" s="93" t="s">
        <v>270</v>
      </c>
      <c r="AP55" s="93">
        <v>-5.3291536050156747E-2</v>
      </c>
      <c r="AQ55" s="93">
        <v>3.1347962382445145E-2</v>
      </c>
      <c r="AR55" s="93">
        <v>1.1404159999999994E-7</v>
      </c>
      <c r="AS55" s="93">
        <v>1.3840000000000017E-8</v>
      </c>
      <c r="AT55" s="93">
        <v>1.0220999999999999E-6</v>
      </c>
      <c r="AU55" s="93">
        <v>3.2000000000000001E-9</v>
      </c>
      <c r="AV55" s="93">
        <v>2.4130000000000002E-7</v>
      </c>
      <c r="AW55" s="93">
        <v>4.8259999999999997E-8</v>
      </c>
      <c r="AX55" s="161">
        <v>41858</v>
      </c>
      <c r="AY55" s="93">
        <v>4.5520972311036036E-8</v>
      </c>
      <c r="AZ55" s="93">
        <v>2.4999440446678473E-8</v>
      </c>
      <c r="BA55" s="93">
        <v>1.3192032693749696E-8</v>
      </c>
      <c r="BB55" s="93">
        <v>1.7462631779803506E-8</v>
      </c>
      <c r="BC55" s="162">
        <v>21.453386826102648</v>
      </c>
      <c r="BD55" s="162">
        <v>0.23407298780044106</v>
      </c>
      <c r="BE55" s="93">
        <v>9.6338699499521416E-7</v>
      </c>
      <c r="BF55" s="93">
        <v>2.953932942495003E-14</v>
      </c>
      <c r="BG55" s="93">
        <v>7.0401876611889236E-2</v>
      </c>
      <c r="BH55" s="93">
        <v>2.6280860022807287E-2</v>
      </c>
      <c r="BI55" s="93">
        <v>0.95488100372727591</v>
      </c>
      <c r="BJ55" s="93">
        <v>1.9556149037307499E-2</v>
      </c>
      <c r="BK55" s="93">
        <f>$CC$5</f>
        <v>4.4322825446866948E-8</v>
      </c>
      <c r="BL55" s="93">
        <f>1 * 10 ^ (INT(LOG10($BK$55)))</f>
        <v>1E-8</v>
      </c>
      <c r="BM55" s="93">
        <f>Helium3TU($AP$55,$AR$55,$AT$55,$BK$55,$N$55,$J$55,$L$55,$D$55,$AX$55,$BA$55)</f>
        <v>-2.543941980239981</v>
      </c>
      <c r="BN55" s="93">
        <f>Helium3TUerr($AQ$55,$AR$55,$AS$55,$AT$55,$AU$55,1,$BE$55,$BK$55,$J$55,$D$55,$AX$55)</f>
        <v>6.8937674937959024</v>
      </c>
      <c r="BO55" s="93" t="str">
        <f>ReptHe3TU($BM$55,$BN$55,$BI$55*100)</f>
        <v>&lt;1</v>
      </c>
      <c r="BP55" s="93" t="str">
        <f>ReptHe3TUerr($BO$55,$BN$55)</f>
        <v>na</v>
      </c>
      <c r="BQ55" s="93" t="s">
        <v>920</v>
      </c>
      <c r="BR55" s="93" t="str">
        <f>TritiumCat($AP$55,$BR$2)</f>
        <v>Tritium Dead</v>
      </c>
    </row>
    <row r="56" spans="1:70">
      <c r="A56" s="94" t="s">
        <v>626</v>
      </c>
      <c r="B56" s="94" t="s">
        <v>688</v>
      </c>
      <c r="C56" s="94" t="s">
        <v>713</v>
      </c>
      <c r="D56" s="95">
        <v>41514</v>
      </c>
      <c r="E56" s="94" t="s">
        <v>716</v>
      </c>
      <c r="F56" s="93" t="s">
        <v>630</v>
      </c>
      <c r="G56" s="93" t="s">
        <v>631</v>
      </c>
      <c r="H56" s="93">
        <v>1.9323921674432452E-28</v>
      </c>
      <c r="I56" s="162" t="s">
        <v>270</v>
      </c>
      <c r="J56" s="93">
        <v>2.1379409745000002</v>
      </c>
      <c r="K56" s="93">
        <v>0.21379409745000003</v>
      </c>
      <c r="L56" s="93">
        <v>1.82926829268292</v>
      </c>
      <c r="M56" s="93">
        <v>0.18292682926829201</v>
      </c>
      <c r="N56" s="93">
        <v>11.992713106019558</v>
      </c>
      <c r="O56" s="93">
        <v>6.343283592315264</v>
      </c>
      <c r="P56" s="93">
        <v>2.5231601352063566</v>
      </c>
      <c r="Q56" s="93">
        <v>3.0323220013657579</v>
      </c>
      <c r="R56" s="93" t="s">
        <v>270</v>
      </c>
      <c r="S56" s="93" t="s">
        <v>270</v>
      </c>
      <c r="T56" s="93">
        <v>2.4206280849475701</v>
      </c>
      <c r="U56" s="93">
        <v>3.1131778667341559</v>
      </c>
      <c r="V56" s="93" t="s">
        <v>270</v>
      </c>
      <c r="W56" s="93" t="s">
        <v>270</v>
      </c>
      <c r="X56" s="93" t="s">
        <v>270</v>
      </c>
      <c r="Y56" s="93" t="s">
        <v>270</v>
      </c>
      <c r="Z56" s="93" t="s">
        <v>270</v>
      </c>
      <c r="AA56" s="93" t="s">
        <v>270</v>
      </c>
      <c r="AB56" s="93" t="s">
        <v>270</v>
      </c>
      <c r="AC56" s="93" t="s">
        <v>270</v>
      </c>
      <c r="AD56" s="93" t="s">
        <v>270</v>
      </c>
      <c r="AE56" s="93" t="s">
        <v>270</v>
      </c>
      <c r="AF56" s="93" t="s">
        <v>270</v>
      </c>
      <c r="AG56" s="93" t="s">
        <v>270</v>
      </c>
      <c r="AH56" s="93">
        <v>0.21146383437710498</v>
      </c>
      <c r="AI56" s="93">
        <v>2.1146383437710498E-2</v>
      </c>
      <c r="AJ56" s="93">
        <v>0.45294748987113792</v>
      </c>
      <c r="AK56" s="93">
        <v>0.59817833232044848</v>
      </c>
      <c r="AL56" s="93" t="s">
        <v>270</v>
      </c>
      <c r="AM56" s="93" t="s">
        <v>270</v>
      </c>
      <c r="AN56" s="93" t="s">
        <v>270</v>
      </c>
      <c r="AO56" s="93" t="s">
        <v>270</v>
      </c>
      <c r="AP56" s="93">
        <v>-5.3291536050156747E-2</v>
      </c>
      <c r="AQ56" s="93">
        <v>3.1347962382445145E-2</v>
      </c>
      <c r="AR56" s="93">
        <v>1.1404159999999994E-7</v>
      </c>
      <c r="AS56" s="93">
        <v>1.3840000000000017E-8</v>
      </c>
      <c r="AT56" s="93">
        <v>1.0220999999999999E-6</v>
      </c>
      <c r="AU56" s="93">
        <v>3.2000000000000001E-9</v>
      </c>
      <c r="AV56" s="93">
        <v>2.4130000000000002E-7</v>
      </c>
      <c r="AW56" s="93">
        <v>4.8259999999999997E-8</v>
      </c>
      <c r="AX56" s="161">
        <v>41858</v>
      </c>
      <c r="AY56" s="93">
        <v>4.5510458841633439E-8</v>
      </c>
      <c r="AZ56" s="93">
        <v>2.4917339507494787E-8</v>
      </c>
      <c r="BA56" s="93">
        <v>1.3221359108481311E-8</v>
      </c>
      <c r="BB56" s="93">
        <v>1.7460590287786185E-8</v>
      </c>
      <c r="BC56" s="162">
        <v>21.458573831494142</v>
      </c>
      <c r="BD56" s="162">
        <v>0.23471548813563059</v>
      </c>
      <c r="BE56" s="93">
        <v>9.6336818204988532E-7</v>
      </c>
      <c r="BF56" s="93">
        <v>2.9473178868562124E-14</v>
      </c>
      <c r="BG56" s="93">
        <v>7.037485474373982E-2</v>
      </c>
      <c r="BH56" s="93">
        <v>2.6280208110854165E-2</v>
      </c>
      <c r="BI56" s="93">
        <v>0.95489011312761063</v>
      </c>
      <c r="BJ56" s="93">
        <v>1.9554971824733799E-2</v>
      </c>
      <c r="BK56" s="93">
        <f>$CC$5</f>
        <v>4.4322825446866948E-8</v>
      </c>
      <c r="BL56" s="93">
        <f>1 * 10 ^ (INT(LOG10($BK$56)))</f>
        <v>1E-8</v>
      </c>
      <c r="BM56" s="93">
        <f>Helium3TU($AP$56,$AR$56,$AT$56,$BK$56,$N$56,$J$56,$L$56,$D$56,$AX$56,$BA$56)</f>
        <v>-2.5543164415279032</v>
      </c>
      <c r="BN56" s="93">
        <f>Helium3TUerr($AQ$56,$AR$56,$AS$56,$AT$56,$AU$56,1,$BE$56,$BK$56,$J$56,$D$56,$AX$56)</f>
        <v>6.8937248463491096</v>
      </c>
      <c r="BO56" s="93" t="str">
        <f>ReptHe3TU($BM$56,$BN$56,$BI$56*100)</f>
        <v>&lt;1</v>
      </c>
      <c r="BP56" s="93" t="str">
        <f>ReptHe3TUerr($BO$56,$BN$56)</f>
        <v>na</v>
      </c>
      <c r="BQ56" s="93" t="s">
        <v>920</v>
      </c>
      <c r="BR56" s="93" t="str">
        <f>TritiumCat($AP$56,$BR$2)</f>
        <v>Tritium Dead</v>
      </c>
    </row>
    <row r="57" spans="1:70">
      <c r="A57" s="94" t="s">
        <v>626</v>
      </c>
      <c r="B57" s="94" t="s">
        <v>688</v>
      </c>
      <c r="C57" s="94" t="s">
        <v>713</v>
      </c>
      <c r="D57" s="95">
        <v>41514</v>
      </c>
      <c r="E57" s="94" t="s">
        <v>716</v>
      </c>
      <c r="F57" s="93" t="s">
        <v>630</v>
      </c>
      <c r="G57" s="93" t="s">
        <v>631</v>
      </c>
      <c r="H57" s="93">
        <v>1.9323921674432452E-28</v>
      </c>
      <c r="I57" s="162" t="s">
        <v>270</v>
      </c>
      <c r="J57" s="93">
        <v>2.1379409745000002</v>
      </c>
      <c r="K57" s="93">
        <v>0.21379409745000003</v>
      </c>
      <c r="L57" s="93">
        <v>1.82926829268292</v>
      </c>
      <c r="M57" s="93">
        <v>0.18292682926829201</v>
      </c>
      <c r="N57" s="93">
        <v>11.992713106019558</v>
      </c>
      <c r="O57" s="93">
        <v>6.343283592315264</v>
      </c>
      <c r="P57" s="93">
        <v>2.5231601352063566</v>
      </c>
      <c r="Q57" s="93">
        <v>3.0323220013657579</v>
      </c>
      <c r="R57" s="93" t="s">
        <v>270</v>
      </c>
      <c r="S57" s="93" t="s">
        <v>270</v>
      </c>
      <c r="T57" s="93">
        <v>2.4206280849475701</v>
      </c>
      <c r="U57" s="93">
        <v>3.1131778667341559</v>
      </c>
      <c r="V57" s="93" t="s">
        <v>270</v>
      </c>
      <c r="W57" s="93" t="s">
        <v>270</v>
      </c>
      <c r="X57" s="93" t="s">
        <v>270</v>
      </c>
      <c r="Y57" s="93" t="s">
        <v>270</v>
      </c>
      <c r="Z57" s="93" t="s">
        <v>270</v>
      </c>
      <c r="AA57" s="93" t="s">
        <v>270</v>
      </c>
      <c r="AB57" s="93" t="s">
        <v>270</v>
      </c>
      <c r="AC57" s="93" t="s">
        <v>270</v>
      </c>
      <c r="AD57" s="93" t="s">
        <v>270</v>
      </c>
      <c r="AE57" s="93" t="s">
        <v>270</v>
      </c>
      <c r="AF57" s="93" t="s">
        <v>270</v>
      </c>
      <c r="AG57" s="93" t="s">
        <v>270</v>
      </c>
      <c r="AH57" s="93">
        <v>1.5163406185430746</v>
      </c>
      <c r="AI57" s="93">
        <v>0.15163406185430747</v>
      </c>
      <c r="AJ57" s="93">
        <v>3.2479439284824396</v>
      </c>
      <c r="AK57" s="93">
        <v>4.289348602335088</v>
      </c>
      <c r="AL57" s="93" t="s">
        <v>270</v>
      </c>
      <c r="AM57" s="93" t="s">
        <v>270</v>
      </c>
      <c r="AN57" s="93" t="s">
        <v>270</v>
      </c>
      <c r="AO57" s="93" t="s">
        <v>270</v>
      </c>
      <c r="AP57" s="93">
        <v>-5.3291536050156747E-2</v>
      </c>
      <c r="AQ57" s="93">
        <v>3.1347962382445145E-2</v>
      </c>
      <c r="AR57" s="93">
        <v>1.1404159999999994E-7</v>
      </c>
      <c r="AS57" s="93">
        <v>1.3840000000000017E-8</v>
      </c>
      <c r="AT57" s="93">
        <v>1.0220999999999999E-6</v>
      </c>
      <c r="AU57" s="93">
        <v>3.2000000000000001E-9</v>
      </c>
      <c r="AV57" s="93">
        <v>2.4130000000000002E-7</v>
      </c>
      <c r="AW57" s="93">
        <v>4.8259999999999997E-8</v>
      </c>
      <c r="AX57" s="161">
        <v>41858</v>
      </c>
      <c r="AY57" s="93">
        <v>4.5510458841633439E-8</v>
      </c>
      <c r="AZ57" s="93">
        <v>2.4917339507494787E-8</v>
      </c>
      <c r="BA57" s="93">
        <v>1.3221359108481311E-8</v>
      </c>
      <c r="BB57" s="93">
        <v>1.7460590287786185E-8</v>
      </c>
      <c r="BC57" s="162">
        <v>21.458573831494142</v>
      </c>
      <c r="BD57" s="162">
        <v>0.23471548813563059</v>
      </c>
      <c r="BE57" s="93">
        <v>9.6336818204988532E-7</v>
      </c>
      <c r="BF57" s="93">
        <v>2.9473178868562124E-14</v>
      </c>
      <c r="BG57" s="93">
        <v>7.037485474373982E-2</v>
      </c>
      <c r="BH57" s="93">
        <v>2.6280208110854165E-2</v>
      </c>
      <c r="BI57" s="93">
        <v>0.95489011312761063</v>
      </c>
      <c r="BJ57" s="93">
        <v>1.9554971824733799E-2</v>
      </c>
      <c r="BK57" s="93">
        <f>$CC$5</f>
        <v>4.4322825446866948E-8</v>
      </c>
      <c r="BL57" s="93">
        <f>1 * 10 ^ (INT(LOG10($BK$57)))</f>
        <v>1E-8</v>
      </c>
      <c r="BM57" s="93">
        <f>Helium3TU($AP$57,$AR$57,$AT$57,$BK$57,$N$57,$J$57,$L$57,$D$57,$AX$57,$BA$57)</f>
        <v>-2.5543164415279032</v>
      </c>
      <c r="BN57" s="93">
        <f>Helium3TUerr($AQ$57,$AR$57,$AS$57,$AT$57,$AU$57,1,$BE$57,$BK$57,$J$57,$D$57,$AX$57)</f>
        <v>6.8937248463491096</v>
      </c>
      <c r="BO57" s="93" t="str">
        <f>ReptHe3TU($BM$57,$BN$57,$BI$57*100)</f>
        <v>&lt;1</v>
      </c>
      <c r="BP57" s="93" t="str">
        <f>ReptHe3TUerr($BO$57,$BN$57)</f>
        <v>na</v>
      </c>
      <c r="BQ57" s="93" t="s">
        <v>920</v>
      </c>
      <c r="BR57" s="93" t="str">
        <f>TritiumCat($AP$57,$BR$2)</f>
        <v>Tritium Dead</v>
      </c>
    </row>
    <row r="58" spans="1:70">
      <c r="A58" s="94" t="s">
        <v>626</v>
      </c>
      <c r="B58" s="94" t="s">
        <v>688</v>
      </c>
      <c r="C58" s="94" t="s">
        <v>718</v>
      </c>
      <c r="D58" s="95">
        <v>41529</v>
      </c>
      <c r="E58" s="94" t="s">
        <v>719</v>
      </c>
      <c r="F58" s="93" t="s">
        <v>630</v>
      </c>
      <c r="G58" s="93" t="s">
        <v>631</v>
      </c>
      <c r="H58" s="93">
        <v>6.6384804106112158E-26</v>
      </c>
      <c r="I58" s="162" t="s">
        <v>270</v>
      </c>
      <c r="J58" s="93">
        <v>0.79811186249999999</v>
      </c>
      <c r="K58" s="93">
        <v>7.9811186249999999E-2</v>
      </c>
      <c r="L58" s="93">
        <v>12.804878048780401</v>
      </c>
      <c r="M58" s="93">
        <v>1.2804878048780401</v>
      </c>
      <c r="N58" s="93">
        <v>17.68217186427502</v>
      </c>
      <c r="O58" s="93">
        <v>0.85194521364711828</v>
      </c>
      <c r="P58" s="93">
        <v>2.4712808211256281</v>
      </c>
      <c r="Q58" s="93">
        <v>0.60793627800499805</v>
      </c>
      <c r="R58" s="93" t="s">
        <v>270</v>
      </c>
      <c r="S58" s="93" t="s">
        <v>270</v>
      </c>
      <c r="T58" s="93">
        <v>2.2500000000000009</v>
      </c>
      <c r="U58" s="93">
        <v>0.34520525295346599</v>
      </c>
      <c r="V58" s="93" t="s">
        <v>270</v>
      </c>
      <c r="W58" s="93" t="s">
        <v>270</v>
      </c>
      <c r="X58" s="93" t="s">
        <v>270</v>
      </c>
      <c r="Y58" s="93" t="s">
        <v>270</v>
      </c>
      <c r="Z58" s="93" t="s">
        <v>270</v>
      </c>
      <c r="AA58" s="93" t="s">
        <v>270</v>
      </c>
      <c r="AB58" s="93" t="s">
        <v>270</v>
      </c>
      <c r="AC58" s="93" t="s">
        <v>270</v>
      </c>
      <c r="AD58" s="93" t="s">
        <v>270</v>
      </c>
      <c r="AE58" s="93" t="s">
        <v>270</v>
      </c>
      <c r="AF58" s="93" t="s">
        <v>270</v>
      </c>
      <c r="AG58" s="93" t="s">
        <v>270</v>
      </c>
      <c r="AH58" s="93">
        <v>0.61280381462471056</v>
      </c>
      <c r="AI58" s="93">
        <v>6.1280381462471056E-2</v>
      </c>
      <c r="AJ58" s="93">
        <v>1.5347892342625424</v>
      </c>
      <c r="AK58" s="93">
        <v>0.4417358309162086</v>
      </c>
      <c r="AL58" s="93" t="s">
        <v>270</v>
      </c>
      <c r="AM58" s="93" t="s">
        <v>270</v>
      </c>
      <c r="AN58" s="93" t="s">
        <v>270</v>
      </c>
      <c r="AO58" s="93" t="s">
        <v>270</v>
      </c>
      <c r="AP58" s="93">
        <v>-0.1128526645768025</v>
      </c>
      <c r="AQ58" s="93">
        <v>3.1347962382445145E-2</v>
      </c>
      <c r="AR58" s="93" t="s">
        <v>270</v>
      </c>
      <c r="AS58" s="93" t="s">
        <v>270</v>
      </c>
      <c r="AT58" s="93" t="s">
        <v>270</v>
      </c>
      <c r="AU58" s="93" t="s">
        <v>270</v>
      </c>
      <c r="AV58" s="93" t="s">
        <v>270</v>
      </c>
      <c r="AW58" s="93" t="s">
        <v>270</v>
      </c>
      <c r="AX58" s="161" t="s">
        <v>270</v>
      </c>
      <c r="AY58" s="93" t="s">
        <v>270</v>
      </c>
      <c r="AZ58" s="93" t="s">
        <v>270</v>
      </c>
      <c r="BA58" s="93" t="s">
        <v>270</v>
      </c>
      <c r="BB58" s="93" t="s">
        <v>270</v>
      </c>
      <c r="BC58" s="162" t="s">
        <v>270</v>
      </c>
      <c r="BD58" s="162" t="s">
        <v>270</v>
      </c>
      <c r="BE58" s="93" t="s">
        <v>270</v>
      </c>
      <c r="BF58" s="93" t="s">
        <v>270</v>
      </c>
      <c r="BG58" s="93" t="s">
        <v>270</v>
      </c>
      <c r="BH58" s="93" t="s">
        <v>270</v>
      </c>
      <c r="BI58" s="93" t="s">
        <v>270</v>
      </c>
      <c r="BJ58" s="93" t="s">
        <v>270</v>
      </c>
      <c r="BK58" s="93" t="s">
        <v>270</v>
      </c>
      <c r="BL58" s="93" t="s">
        <v>270</v>
      </c>
      <c r="BM58" s="93" t="s">
        <v>270</v>
      </c>
      <c r="BN58" s="93" t="s">
        <v>270</v>
      </c>
      <c r="BO58" s="93" t="s">
        <v>270</v>
      </c>
      <c r="BP58" s="93" t="s">
        <v>270</v>
      </c>
    </row>
    <row r="59" spans="1:70">
      <c r="A59" s="94" t="s">
        <v>626</v>
      </c>
      <c r="B59" s="94" t="s">
        <v>688</v>
      </c>
      <c r="C59" s="94" t="s">
        <v>718</v>
      </c>
      <c r="D59" s="95">
        <v>41529</v>
      </c>
      <c r="E59" s="94" t="s">
        <v>719</v>
      </c>
      <c r="F59" s="93" t="s">
        <v>630</v>
      </c>
      <c r="G59" s="93" t="s">
        <v>631</v>
      </c>
      <c r="H59" s="93">
        <v>6.6384804106112158E-26</v>
      </c>
      <c r="I59" s="162" t="s">
        <v>270</v>
      </c>
      <c r="J59" s="93">
        <v>0.79811186249999999</v>
      </c>
      <c r="K59" s="93">
        <v>7.9811186249999999E-2</v>
      </c>
      <c r="L59" s="93">
        <v>12.804878048780401</v>
      </c>
      <c r="M59" s="93">
        <v>1.2804878048780401</v>
      </c>
      <c r="N59" s="93">
        <v>17.68217186427502</v>
      </c>
      <c r="O59" s="93">
        <v>0.85194521364711828</v>
      </c>
      <c r="P59" s="93">
        <v>2.4712808211256281</v>
      </c>
      <c r="Q59" s="93">
        <v>0.60793627800499805</v>
      </c>
      <c r="R59" s="93" t="s">
        <v>270</v>
      </c>
      <c r="S59" s="93" t="s">
        <v>270</v>
      </c>
      <c r="T59" s="93">
        <v>2.2500000000000009</v>
      </c>
      <c r="U59" s="93">
        <v>0.34520525295346599</v>
      </c>
      <c r="V59" s="93" t="s">
        <v>270</v>
      </c>
      <c r="W59" s="93" t="s">
        <v>270</v>
      </c>
      <c r="X59" s="93" t="s">
        <v>270</v>
      </c>
      <c r="Y59" s="93" t="s">
        <v>270</v>
      </c>
      <c r="Z59" s="93" t="s">
        <v>270</v>
      </c>
      <c r="AA59" s="93" t="s">
        <v>270</v>
      </c>
      <c r="AB59" s="93" t="s">
        <v>270</v>
      </c>
      <c r="AC59" s="93" t="s">
        <v>270</v>
      </c>
      <c r="AD59" s="93" t="s">
        <v>270</v>
      </c>
      <c r="AE59" s="93" t="s">
        <v>270</v>
      </c>
      <c r="AF59" s="93" t="s">
        <v>270</v>
      </c>
      <c r="AG59" s="93" t="s">
        <v>270</v>
      </c>
      <c r="AH59" s="93">
        <v>0.58491000684853989</v>
      </c>
      <c r="AI59" s="93">
        <v>5.8491000684853994E-2</v>
      </c>
      <c r="AJ59" s="93">
        <v>1.4649281876179918</v>
      </c>
      <c r="AK59" s="93">
        <v>0.42162875249834708</v>
      </c>
      <c r="AL59" s="93" t="s">
        <v>270</v>
      </c>
      <c r="AM59" s="93" t="s">
        <v>270</v>
      </c>
      <c r="AN59" s="93" t="s">
        <v>270</v>
      </c>
      <c r="AO59" s="93" t="s">
        <v>270</v>
      </c>
      <c r="AP59" s="93">
        <v>-0.1128526645768025</v>
      </c>
      <c r="AQ59" s="93">
        <v>3.1347962382445145E-2</v>
      </c>
      <c r="AR59" s="93" t="s">
        <v>270</v>
      </c>
      <c r="AS59" s="93" t="s">
        <v>270</v>
      </c>
      <c r="AT59" s="93" t="s">
        <v>270</v>
      </c>
      <c r="AU59" s="93" t="s">
        <v>270</v>
      </c>
      <c r="AV59" s="93" t="s">
        <v>270</v>
      </c>
      <c r="AW59" s="93" t="s">
        <v>270</v>
      </c>
      <c r="AX59" s="161" t="s">
        <v>270</v>
      </c>
      <c r="AY59" s="93" t="s">
        <v>270</v>
      </c>
      <c r="AZ59" s="93" t="s">
        <v>270</v>
      </c>
      <c r="BA59" s="93" t="s">
        <v>270</v>
      </c>
      <c r="BB59" s="93" t="s">
        <v>270</v>
      </c>
      <c r="BC59" s="162" t="s">
        <v>270</v>
      </c>
      <c r="BD59" s="162" t="s">
        <v>270</v>
      </c>
      <c r="BE59" s="93" t="s">
        <v>270</v>
      </c>
      <c r="BF59" s="93" t="s">
        <v>270</v>
      </c>
      <c r="BG59" s="93" t="s">
        <v>270</v>
      </c>
      <c r="BH59" s="93" t="s">
        <v>270</v>
      </c>
      <c r="BI59" s="93" t="s">
        <v>270</v>
      </c>
      <c r="BJ59" s="93" t="s">
        <v>270</v>
      </c>
      <c r="BK59" s="93" t="s">
        <v>270</v>
      </c>
      <c r="BL59" s="93" t="s">
        <v>270</v>
      </c>
      <c r="BM59" s="93" t="s">
        <v>270</v>
      </c>
      <c r="BN59" s="93" t="s">
        <v>270</v>
      </c>
      <c r="BO59" s="93" t="s">
        <v>270</v>
      </c>
      <c r="BP59" s="93" t="s">
        <v>270</v>
      </c>
    </row>
    <row r="60" spans="1:70">
      <c r="A60" s="94" t="s">
        <v>626</v>
      </c>
      <c r="B60" s="94" t="s">
        <v>688</v>
      </c>
      <c r="C60" s="94" t="s">
        <v>718</v>
      </c>
      <c r="D60" s="95">
        <v>41529</v>
      </c>
      <c r="E60" s="94" t="s">
        <v>721</v>
      </c>
      <c r="F60" s="93" t="s">
        <v>630</v>
      </c>
      <c r="G60" s="93" t="s">
        <v>631</v>
      </c>
      <c r="H60" s="93">
        <v>2.5968434108589752E-26</v>
      </c>
      <c r="I60" s="162" t="s">
        <v>270</v>
      </c>
      <c r="J60" s="93">
        <v>0.79811186249999999</v>
      </c>
      <c r="K60" s="93">
        <v>7.9811186249999999E-2</v>
      </c>
      <c r="L60" s="93">
        <v>12.804878048780401</v>
      </c>
      <c r="M60" s="93">
        <v>1.2804878048780401</v>
      </c>
      <c r="N60" s="93">
        <v>18.048007596269272</v>
      </c>
      <c r="O60" s="93">
        <v>0.79071796923205651</v>
      </c>
      <c r="P60" s="93">
        <v>2.5374334776063705</v>
      </c>
      <c r="Q60" s="93">
        <v>0.55693630396641869</v>
      </c>
      <c r="R60" s="93" t="s">
        <v>270</v>
      </c>
      <c r="S60" s="93" t="s">
        <v>270</v>
      </c>
      <c r="T60" s="93">
        <v>2.1000000000000005</v>
      </c>
      <c r="U60" s="93">
        <v>0.31622776601683972</v>
      </c>
      <c r="V60" s="93" t="s">
        <v>270</v>
      </c>
      <c r="W60" s="93" t="s">
        <v>270</v>
      </c>
      <c r="X60" s="93" t="s">
        <v>270</v>
      </c>
      <c r="Y60" s="93" t="s">
        <v>270</v>
      </c>
      <c r="Z60" s="93" t="s">
        <v>270</v>
      </c>
      <c r="AA60" s="93" t="s">
        <v>270</v>
      </c>
      <c r="AB60" s="93" t="s">
        <v>270</v>
      </c>
      <c r="AC60" s="93" t="s">
        <v>270</v>
      </c>
      <c r="AD60" s="93" t="s">
        <v>270</v>
      </c>
      <c r="AE60" s="93" t="s">
        <v>270</v>
      </c>
      <c r="AF60" s="93" t="s">
        <v>270</v>
      </c>
      <c r="AG60" s="93" t="s">
        <v>270</v>
      </c>
      <c r="AH60" s="93">
        <v>0.61280381462471056</v>
      </c>
      <c r="AI60" s="93">
        <v>6.1280381462471056E-2</v>
      </c>
      <c r="AJ60" s="93">
        <v>1.5379044739141283</v>
      </c>
      <c r="AK60" s="93">
        <v>0.40716579357905464</v>
      </c>
      <c r="AL60" s="93" t="s">
        <v>270</v>
      </c>
      <c r="AM60" s="93" t="s">
        <v>270</v>
      </c>
      <c r="AN60" s="93" t="s">
        <v>270</v>
      </c>
      <c r="AO60" s="93" t="s">
        <v>270</v>
      </c>
      <c r="AP60" s="93">
        <v>-0.1128526645768025</v>
      </c>
      <c r="AQ60" s="93">
        <v>3.1347962382445145E-2</v>
      </c>
      <c r="AR60" s="93" t="s">
        <v>270</v>
      </c>
      <c r="AS60" s="93" t="s">
        <v>270</v>
      </c>
      <c r="AT60" s="93" t="s">
        <v>270</v>
      </c>
      <c r="AU60" s="93" t="s">
        <v>270</v>
      </c>
      <c r="AV60" s="93" t="s">
        <v>270</v>
      </c>
      <c r="AW60" s="93" t="s">
        <v>270</v>
      </c>
      <c r="AX60" s="161" t="s">
        <v>270</v>
      </c>
      <c r="AY60" s="93" t="s">
        <v>270</v>
      </c>
      <c r="AZ60" s="93" t="s">
        <v>270</v>
      </c>
      <c r="BA60" s="93" t="s">
        <v>270</v>
      </c>
      <c r="BB60" s="93" t="s">
        <v>270</v>
      </c>
      <c r="BC60" s="162" t="s">
        <v>270</v>
      </c>
      <c r="BD60" s="162" t="s">
        <v>270</v>
      </c>
      <c r="BE60" s="93" t="s">
        <v>270</v>
      </c>
      <c r="BF60" s="93" t="s">
        <v>270</v>
      </c>
      <c r="BG60" s="93" t="s">
        <v>270</v>
      </c>
      <c r="BH60" s="93" t="s">
        <v>270</v>
      </c>
      <c r="BI60" s="93" t="s">
        <v>270</v>
      </c>
      <c r="BJ60" s="93" t="s">
        <v>270</v>
      </c>
      <c r="BK60" s="93" t="s">
        <v>270</v>
      </c>
      <c r="BL60" s="93" t="s">
        <v>270</v>
      </c>
      <c r="BM60" s="93" t="s">
        <v>270</v>
      </c>
      <c r="BN60" s="93" t="s">
        <v>270</v>
      </c>
      <c r="BO60" s="93" t="s">
        <v>270</v>
      </c>
      <c r="BP60" s="93" t="s">
        <v>270</v>
      </c>
    </row>
    <row r="61" spans="1:70">
      <c r="A61" s="94" t="s">
        <v>626</v>
      </c>
      <c r="B61" s="94" t="s">
        <v>688</v>
      </c>
      <c r="C61" s="94" t="s">
        <v>718</v>
      </c>
      <c r="D61" s="95">
        <v>41529</v>
      </c>
      <c r="E61" s="94" t="s">
        <v>721</v>
      </c>
      <c r="F61" s="93" t="s">
        <v>630</v>
      </c>
      <c r="G61" s="93" t="s">
        <v>631</v>
      </c>
      <c r="H61" s="93">
        <v>2.5968434108589752E-26</v>
      </c>
      <c r="I61" s="162" t="s">
        <v>270</v>
      </c>
      <c r="J61" s="93">
        <v>0.79811186249999999</v>
      </c>
      <c r="K61" s="93">
        <v>7.9811186249999999E-2</v>
      </c>
      <c r="L61" s="93">
        <v>12.804878048780401</v>
      </c>
      <c r="M61" s="93">
        <v>1.2804878048780401</v>
      </c>
      <c r="N61" s="93">
        <v>18.048007596269272</v>
      </c>
      <c r="O61" s="93">
        <v>0.79071796923205651</v>
      </c>
      <c r="P61" s="93">
        <v>2.5374334776063705</v>
      </c>
      <c r="Q61" s="93">
        <v>0.55693630396641869</v>
      </c>
      <c r="R61" s="93" t="s">
        <v>270</v>
      </c>
      <c r="S61" s="93" t="s">
        <v>270</v>
      </c>
      <c r="T61" s="93">
        <v>2.1000000000000005</v>
      </c>
      <c r="U61" s="93">
        <v>0.31622776601683972</v>
      </c>
      <c r="V61" s="93" t="s">
        <v>270</v>
      </c>
      <c r="W61" s="93" t="s">
        <v>270</v>
      </c>
      <c r="X61" s="93" t="s">
        <v>270</v>
      </c>
      <c r="Y61" s="93" t="s">
        <v>270</v>
      </c>
      <c r="Z61" s="93" t="s">
        <v>270</v>
      </c>
      <c r="AA61" s="93" t="s">
        <v>270</v>
      </c>
      <c r="AB61" s="93" t="s">
        <v>270</v>
      </c>
      <c r="AC61" s="93" t="s">
        <v>270</v>
      </c>
      <c r="AD61" s="93" t="s">
        <v>270</v>
      </c>
      <c r="AE61" s="93" t="s">
        <v>270</v>
      </c>
      <c r="AF61" s="93" t="s">
        <v>270</v>
      </c>
      <c r="AG61" s="93" t="s">
        <v>270</v>
      </c>
      <c r="AH61" s="93">
        <v>0.58491000684853989</v>
      </c>
      <c r="AI61" s="93">
        <v>5.8491000684853994E-2</v>
      </c>
      <c r="AJ61" s="93">
        <v>1.4679016267553766</v>
      </c>
      <c r="AK61" s="93">
        <v>0.3886322856143864</v>
      </c>
      <c r="AL61" s="93" t="s">
        <v>270</v>
      </c>
      <c r="AM61" s="93" t="s">
        <v>270</v>
      </c>
      <c r="AN61" s="93" t="s">
        <v>270</v>
      </c>
      <c r="AO61" s="93" t="s">
        <v>270</v>
      </c>
      <c r="AP61" s="93">
        <v>-0.1128526645768025</v>
      </c>
      <c r="AQ61" s="93">
        <v>3.1347962382445145E-2</v>
      </c>
      <c r="AR61" s="93" t="s">
        <v>270</v>
      </c>
      <c r="AS61" s="93" t="s">
        <v>270</v>
      </c>
      <c r="AT61" s="93" t="s">
        <v>270</v>
      </c>
      <c r="AU61" s="93" t="s">
        <v>270</v>
      </c>
      <c r="AV61" s="93" t="s">
        <v>270</v>
      </c>
      <c r="AW61" s="93" t="s">
        <v>270</v>
      </c>
      <c r="AX61" s="161" t="s">
        <v>270</v>
      </c>
      <c r="AY61" s="93" t="s">
        <v>270</v>
      </c>
      <c r="AZ61" s="93" t="s">
        <v>270</v>
      </c>
      <c r="BA61" s="93" t="s">
        <v>270</v>
      </c>
      <c r="BB61" s="93" t="s">
        <v>270</v>
      </c>
      <c r="BC61" s="162" t="s">
        <v>270</v>
      </c>
      <c r="BD61" s="162" t="s">
        <v>270</v>
      </c>
      <c r="BE61" s="93" t="s">
        <v>270</v>
      </c>
      <c r="BF61" s="93" t="s">
        <v>270</v>
      </c>
      <c r="BG61" s="93" t="s">
        <v>270</v>
      </c>
      <c r="BH61" s="93" t="s">
        <v>270</v>
      </c>
      <c r="BI61" s="93" t="s">
        <v>270</v>
      </c>
      <c r="BJ61" s="93" t="s">
        <v>270</v>
      </c>
      <c r="BK61" s="93" t="s">
        <v>270</v>
      </c>
      <c r="BL61" s="93" t="s">
        <v>270</v>
      </c>
      <c r="BM61" s="93" t="s">
        <v>270</v>
      </c>
      <c r="BN61" s="93" t="s">
        <v>270</v>
      </c>
      <c r="BO61" s="93" t="s">
        <v>270</v>
      </c>
      <c r="BP61" s="93" t="s">
        <v>270</v>
      </c>
    </row>
    <row r="62" spans="1:70">
      <c r="A62" s="94" t="s">
        <v>626</v>
      </c>
      <c r="B62" s="94" t="s">
        <v>688</v>
      </c>
      <c r="C62" s="94" t="s">
        <v>723</v>
      </c>
      <c r="D62" s="95">
        <v>41512</v>
      </c>
      <c r="E62" s="94" t="s">
        <v>724</v>
      </c>
      <c r="F62" s="93" t="s">
        <v>630</v>
      </c>
      <c r="G62" s="93" t="s">
        <v>631</v>
      </c>
      <c r="H62" s="93">
        <v>1.5178673972671206E-23</v>
      </c>
      <c r="I62" s="162" t="s">
        <v>270</v>
      </c>
      <c r="J62" s="93">
        <v>0.56876166378000004</v>
      </c>
      <c r="K62" s="93">
        <v>5.6876166378000005E-2</v>
      </c>
      <c r="L62" s="93">
        <v>81.707317073170699</v>
      </c>
      <c r="M62" s="93">
        <v>8.1707317073170707</v>
      </c>
      <c r="N62" s="93">
        <v>12.986468559041827</v>
      </c>
      <c r="O62" s="93">
        <v>0.65955958218063582</v>
      </c>
      <c r="P62" s="93">
        <v>2.5265151078630605</v>
      </c>
      <c r="Q62" s="93">
        <v>0.55685765270465071</v>
      </c>
      <c r="R62" s="93" t="s">
        <v>270</v>
      </c>
      <c r="S62" s="93" t="s">
        <v>270</v>
      </c>
      <c r="T62" s="93">
        <v>2.1000000000000005</v>
      </c>
      <c r="U62" s="93">
        <v>0.31622776601683972</v>
      </c>
      <c r="V62" s="93" t="s">
        <v>270</v>
      </c>
      <c r="W62" s="93" t="s">
        <v>270</v>
      </c>
      <c r="X62" s="93" t="s">
        <v>270</v>
      </c>
      <c r="Y62" s="93" t="s">
        <v>270</v>
      </c>
      <c r="Z62" s="93" t="s">
        <v>270</v>
      </c>
      <c r="AA62" s="93" t="s">
        <v>270</v>
      </c>
      <c r="AB62" s="93" t="s">
        <v>270</v>
      </c>
      <c r="AC62" s="93" t="s">
        <v>270</v>
      </c>
      <c r="AD62" s="93" t="s">
        <v>270</v>
      </c>
      <c r="AE62" s="93" t="s">
        <v>270</v>
      </c>
      <c r="AF62" s="93" t="s">
        <v>270</v>
      </c>
      <c r="AG62" s="93" t="s">
        <v>270</v>
      </c>
      <c r="AH62" s="93">
        <v>0.46007576726065053</v>
      </c>
      <c r="AI62" s="93">
        <v>4.6007576726065057E-2</v>
      </c>
      <c r="AJ62" s="93">
        <v>1.0092819224749943</v>
      </c>
      <c r="AK62" s="93">
        <v>0.26923055885444674</v>
      </c>
      <c r="AL62" s="93" t="s">
        <v>270</v>
      </c>
      <c r="AM62" s="93" t="s">
        <v>270</v>
      </c>
      <c r="AN62" s="93" t="s">
        <v>270</v>
      </c>
      <c r="AO62" s="93" t="s">
        <v>270</v>
      </c>
      <c r="AP62" s="93">
        <v>-1.8808777429467086E-2</v>
      </c>
      <c r="AQ62" s="93">
        <v>3.1347962382445145E-2</v>
      </c>
      <c r="AR62" s="93" t="s">
        <v>270</v>
      </c>
      <c r="AS62" s="93" t="s">
        <v>270</v>
      </c>
      <c r="AT62" s="93" t="s">
        <v>270</v>
      </c>
      <c r="AU62" s="93" t="s">
        <v>270</v>
      </c>
      <c r="AV62" s="93" t="s">
        <v>270</v>
      </c>
      <c r="AW62" s="93" t="s">
        <v>270</v>
      </c>
      <c r="AX62" s="161" t="s">
        <v>270</v>
      </c>
      <c r="AY62" s="93" t="s">
        <v>270</v>
      </c>
      <c r="AZ62" s="93" t="s">
        <v>270</v>
      </c>
      <c r="BA62" s="93" t="s">
        <v>270</v>
      </c>
      <c r="BB62" s="93" t="s">
        <v>270</v>
      </c>
      <c r="BC62" s="162" t="s">
        <v>270</v>
      </c>
      <c r="BD62" s="162" t="s">
        <v>270</v>
      </c>
      <c r="BE62" s="93" t="s">
        <v>270</v>
      </c>
      <c r="BF62" s="93" t="s">
        <v>270</v>
      </c>
      <c r="BG62" s="93" t="s">
        <v>270</v>
      </c>
      <c r="BH62" s="93" t="s">
        <v>270</v>
      </c>
      <c r="BI62" s="93" t="s">
        <v>270</v>
      </c>
      <c r="BJ62" s="93" t="s">
        <v>270</v>
      </c>
      <c r="BK62" s="93" t="s">
        <v>270</v>
      </c>
      <c r="BL62" s="93" t="s">
        <v>270</v>
      </c>
      <c r="BM62" s="93" t="s">
        <v>270</v>
      </c>
      <c r="BN62" s="93" t="s">
        <v>270</v>
      </c>
      <c r="BO62" s="93" t="s">
        <v>270</v>
      </c>
      <c r="BP62" s="93" t="s">
        <v>270</v>
      </c>
    </row>
    <row r="63" spans="1:70">
      <c r="A63" s="94" t="s">
        <v>626</v>
      </c>
      <c r="B63" s="94" t="s">
        <v>688</v>
      </c>
      <c r="C63" s="94" t="s">
        <v>723</v>
      </c>
      <c r="D63" s="95">
        <v>41512</v>
      </c>
      <c r="E63" s="94" t="s">
        <v>726</v>
      </c>
      <c r="F63" s="93" t="s">
        <v>630</v>
      </c>
      <c r="G63" s="93" t="s">
        <v>631</v>
      </c>
      <c r="H63" s="93">
        <v>1.434801971966768E-25</v>
      </c>
      <c r="I63" s="162" t="s">
        <v>270</v>
      </c>
      <c r="J63" s="93">
        <v>0.56876166378000004</v>
      </c>
      <c r="K63" s="93">
        <v>5.6876166378000005E-2</v>
      </c>
      <c r="L63" s="93">
        <v>81.707317073170699</v>
      </c>
      <c r="M63" s="93">
        <v>8.1707317073170707</v>
      </c>
      <c r="N63" s="93">
        <v>14.180284387135943</v>
      </c>
      <c r="O63" s="93">
        <v>0.69024687123357853</v>
      </c>
      <c r="P63" s="93">
        <v>2.4651186982279523</v>
      </c>
      <c r="Q63" s="93">
        <v>0.55690225438964658</v>
      </c>
      <c r="R63" s="93" t="s">
        <v>270</v>
      </c>
      <c r="S63" s="93" t="s">
        <v>270</v>
      </c>
      <c r="T63" s="93">
        <v>1.7000000000000002</v>
      </c>
      <c r="U63" s="93">
        <v>0.316227766016839</v>
      </c>
      <c r="V63" s="93" t="s">
        <v>270</v>
      </c>
      <c r="W63" s="93" t="s">
        <v>270</v>
      </c>
      <c r="X63" s="93" t="s">
        <v>270</v>
      </c>
      <c r="Y63" s="93" t="s">
        <v>270</v>
      </c>
      <c r="Z63" s="93" t="s">
        <v>270</v>
      </c>
      <c r="AA63" s="93" t="s">
        <v>270</v>
      </c>
      <c r="AB63" s="93" t="s">
        <v>270</v>
      </c>
      <c r="AC63" s="93" t="s">
        <v>270</v>
      </c>
      <c r="AD63" s="93" t="s">
        <v>270</v>
      </c>
      <c r="AE63" s="93" t="s">
        <v>270</v>
      </c>
      <c r="AF63" s="93" t="s">
        <v>270</v>
      </c>
      <c r="AG63" s="93" t="s">
        <v>270</v>
      </c>
      <c r="AH63" s="93">
        <v>0.46007576726065053</v>
      </c>
      <c r="AI63" s="93">
        <v>4.6007576726065057E-2</v>
      </c>
      <c r="AJ63" s="93">
        <v>1.0516388837986603</v>
      </c>
      <c r="AK63" s="93">
        <v>0.28492635025559704</v>
      </c>
      <c r="AL63" s="93" t="s">
        <v>270</v>
      </c>
      <c r="AM63" s="93" t="s">
        <v>270</v>
      </c>
      <c r="AN63" s="93" t="s">
        <v>270</v>
      </c>
      <c r="AO63" s="93" t="s">
        <v>270</v>
      </c>
      <c r="AP63" s="93">
        <v>-1.8808777429467086E-2</v>
      </c>
      <c r="AQ63" s="93">
        <v>3.1347962382445145E-2</v>
      </c>
      <c r="AR63" s="93" t="s">
        <v>270</v>
      </c>
      <c r="AS63" s="93" t="s">
        <v>270</v>
      </c>
      <c r="AT63" s="93" t="s">
        <v>270</v>
      </c>
      <c r="AU63" s="93" t="s">
        <v>270</v>
      </c>
      <c r="AV63" s="93" t="s">
        <v>270</v>
      </c>
      <c r="AW63" s="93" t="s">
        <v>270</v>
      </c>
      <c r="AX63" s="161" t="s">
        <v>270</v>
      </c>
      <c r="AY63" s="93" t="s">
        <v>270</v>
      </c>
      <c r="AZ63" s="93" t="s">
        <v>270</v>
      </c>
      <c r="BA63" s="93" t="s">
        <v>270</v>
      </c>
      <c r="BB63" s="93" t="s">
        <v>270</v>
      </c>
      <c r="BC63" s="162" t="s">
        <v>270</v>
      </c>
      <c r="BD63" s="162" t="s">
        <v>270</v>
      </c>
      <c r="BE63" s="93" t="s">
        <v>270</v>
      </c>
      <c r="BF63" s="93" t="s">
        <v>270</v>
      </c>
      <c r="BG63" s="93" t="s">
        <v>270</v>
      </c>
      <c r="BH63" s="93" t="s">
        <v>270</v>
      </c>
      <c r="BI63" s="93" t="s">
        <v>270</v>
      </c>
      <c r="BJ63" s="93" t="s">
        <v>270</v>
      </c>
      <c r="BK63" s="93" t="s">
        <v>270</v>
      </c>
      <c r="BL63" s="93" t="s">
        <v>270</v>
      </c>
      <c r="BM63" s="93" t="s">
        <v>270</v>
      </c>
      <c r="BN63" s="93" t="s">
        <v>270</v>
      </c>
      <c r="BO63" s="93" t="s">
        <v>270</v>
      </c>
      <c r="BP63" s="93" t="s">
        <v>270</v>
      </c>
    </row>
    <row r="64" spans="1:70">
      <c r="A64" s="94" t="s">
        <v>626</v>
      </c>
      <c r="B64" s="94" t="s">
        <v>688</v>
      </c>
      <c r="C64" s="94" t="s">
        <v>728</v>
      </c>
      <c r="D64" s="95">
        <v>41505</v>
      </c>
      <c r="E64" s="94" t="s">
        <v>729</v>
      </c>
      <c r="F64" s="93" t="s">
        <v>630</v>
      </c>
      <c r="G64" s="93" t="s">
        <v>631</v>
      </c>
      <c r="H64" s="93">
        <v>2.8179779525068051E-26</v>
      </c>
      <c r="I64" s="162" t="s">
        <v>270</v>
      </c>
      <c r="J64" s="93">
        <v>0.59795517722000002</v>
      </c>
      <c r="K64" s="93">
        <v>5.9795517722000001E-2</v>
      </c>
      <c r="L64" s="93">
        <v>61.890243902439003</v>
      </c>
      <c r="M64" s="93">
        <v>6.1890243902439002</v>
      </c>
      <c r="N64" s="93">
        <v>14.907409094698799</v>
      </c>
      <c r="O64" s="93">
        <v>0.707888379033486</v>
      </c>
      <c r="P64" s="93">
        <v>2.4716928312577808</v>
      </c>
      <c r="Q64" s="93">
        <v>0.55691040225775745</v>
      </c>
      <c r="R64" s="93" t="s">
        <v>270</v>
      </c>
      <c r="S64" s="93" t="s">
        <v>270</v>
      </c>
      <c r="T64" s="93">
        <v>2.7000000000000011</v>
      </c>
      <c r="U64" s="93">
        <v>0.31622776601683672</v>
      </c>
      <c r="V64" s="93" t="s">
        <v>270</v>
      </c>
      <c r="W64" s="93" t="s">
        <v>270</v>
      </c>
      <c r="X64" s="93" t="s">
        <v>270</v>
      </c>
      <c r="Y64" s="93" t="s">
        <v>270</v>
      </c>
      <c r="Z64" s="93" t="s">
        <v>270</v>
      </c>
      <c r="AA64" s="93" t="s">
        <v>270</v>
      </c>
      <c r="AB64" s="93" t="s">
        <v>270</v>
      </c>
      <c r="AC64" s="93" t="s">
        <v>270</v>
      </c>
      <c r="AD64" s="93" t="s">
        <v>270</v>
      </c>
      <c r="AE64" s="93" t="s">
        <v>270</v>
      </c>
      <c r="AF64" s="93" t="s">
        <v>270</v>
      </c>
      <c r="AG64" s="93" t="s">
        <v>270</v>
      </c>
      <c r="AH64" s="93">
        <v>0.12182926157651089</v>
      </c>
      <c r="AI64" s="93">
        <v>1.218292615765109E-2</v>
      </c>
      <c r="AJ64" s="93">
        <v>0.28368869483045644</v>
      </c>
      <c r="AK64" s="93">
        <v>7.6659965383548412E-2</v>
      </c>
      <c r="AL64" s="93" t="s">
        <v>270</v>
      </c>
      <c r="AM64" s="93" t="s">
        <v>270</v>
      </c>
      <c r="AN64" s="93" t="s">
        <v>270</v>
      </c>
      <c r="AO64" s="93" t="s">
        <v>270</v>
      </c>
      <c r="AP64" s="93">
        <v>2.1943573667711602E-2</v>
      </c>
      <c r="AQ64" s="93">
        <v>3.1347962382445145E-2</v>
      </c>
      <c r="AR64" s="93">
        <v>4.2878063796385703E-8</v>
      </c>
      <c r="AS64" s="93">
        <v>1.384E-8</v>
      </c>
      <c r="AT64" s="93">
        <v>7.36279634517406E-6</v>
      </c>
      <c r="AU64" s="93">
        <v>7.3627963451740605E-8</v>
      </c>
      <c r="AV64" s="93">
        <v>4.0391994785784199E-7</v>
      </c>
      <c r="AW64" s="93">
        <v>6.0587992178676302E-9</v>
      </c>
      <c r="AX64" s="161">
        <v>41754</v>
      </c>
      <c r="AY64" s="93">
        <v>4.5057122238847003E-8</v>
      </c>
      <c r="AZ64" s="93">
        <v>6.7216542512696655E-9</v>
      </c>
      <c r="BA64" s="93">
        <v>1.2951670435790772E-8</v>
      </c>
      <c r="BB64" s="93">
        <v>3.4998737184794372E-9</v>
      </c>
      <c r="BC64" s="162">
        <v>162.41026633134729</v>
      </c>
      <c r="BD64" s="162">
        <v>1.1165095862996135</v>
      </c>
      <c r="BE64" s="93">
        <v>7.3047875524994221E-6</v>
      </c>
      <c r="BF64" s="93">
        <v>5.4067798976386896E-13</v>
      </c>
      <c r="BG64" s="93">
        <v>2.927368610735618E-2</v>
      </c>
      <c r="BH64" s="93">
        <v>1.049707680803957E-2</v>
      </c>
      <c r="BI64" s="93">
        <v>0.99386965782824865</v>
      </c>
      <c r="BJ64" s="93">
        <v>1.0429474435394919E-2</v>
      </c>
      <c r="BK64" s="93">
        <f>$CC$5</f>
        <v>4.4322825446866948E-8</v>
      </c>
      <c r="BL64" s="93">
        <f>1 * 10 ^ (INT(LOG10($BK$64)))</f>
        <v>1E-8</v>
      </c>
      <c r="BM64" s="93">
        <f>Helium3TU($AP$64,$AR$64,$AT$64,$BK$64,$N$64,$J$64,$L$64,$D$64,$AX$64,$BA$64)</f>
        <v>-35.1093402789378</v>
      </c>
      <c r="BN64" s="93">
        <f>Helium3TUerr($AQ$64,$AR$64,$AS$64,$AT$64,$AU$64,1,$BE$64,$BK$64,$J$64,$D$64,$AX$64)</f>
        <v>50.419879610416928</v>
      </c>
      <c r="BO64" s="93" t="str">
        <f>ReptHe3TU($BM$64,$BN$64,$BI$64*100)</f>
        <v>&lt;1</v>
      </c>
      <c r="BP64" s="93" t="str">
        <f>ReptHe3TUerr($BO$64,$BN$64)</f>
        <v>na</v>
      </c>
      <c r="BQ64" s="93" t="s">
        <v>922</v>
      </c>
      <c r="BR64" s="93" t="str">
        <f>TritiumCat($AP$64,$BR$2)</f>
        <v>Tritium Dead</v>
      </c>
    </row>
    <row r="65" spans="1:70">
      <c r="A65" s="94" t="s">
        <v>626</v>
      </c>
      <c r="B65" s="94" t="s">
        <v>688</v>
      </c>
      <c r="C65" s="94" t="s">
        <v>728</v>
      </c>
      <c r="D65" s="95">
        <v>41505</v>
      </c>
      <c r="E65" s="94" t="s">
        <v>731</v>
      </c>
      <c r="F65" s="93" t="s">
        <v>630</v>
      </c>
      <c r="G65" s="93" t="s">
        <v>631</v>
      </c>
      <c r="H65" s="93">
        <v>1.9785992088923538E-23</v>
      </c>
      <c r="I65" s="162" t="s">
        <v>270</v>
      </c>
      <c r="J65" s="93">
        <v>0.59795517722000002</v>
      </c>
      <c r="K65" s="93">
        <v>5.9795517722000001E-2</v>
      </c>
      <c r="L65" s="93">
        <v>61.890243902439003</v>
      </c>
      <c r="M65" s="93">
        <v>6.1890243902439002</v>
      </c>
      <c r="N65" s="93">
        <v>12.212296924865477</v>
      </c>
      <c r="O65" s="93">
        <v>0.63878546400937852</v>
      </c>
      <c r="P65" s="93">
        <v>2.5502351091562718</v>
      </c>
      <c r="Q65" s="93">
        <v>0.55680464053460943</v>
      </c>
      <c r="R65" s="93" t="s">
        <v>270</v>
      </c>
      <c r="S65" s="93" t="s">
        <v>270</v>
      </c>
      <c r="T65" s="93">
        <v>3.8000000000000012</v>
      </c>
      <c r="U65" s="93">
        <v>0.31622776601683772</v>
      </c>
      <c r="V65" s="93" t="s">
        <v>270</v>
      </c>
      <c r="W65" s="93" t="s">
        <v>270</v>
      </c>
      <c r="X65" s="93" t="s">
        <v>270</v>
      </c>
      <c r="Y65" s="93" t="s">
        <v>270</v>
      </c>
      <c r="Z65" s="93" t="s">
        <v>270</v>
      </c>
      <c r="AA65" s="93" t="s">
        <v>270</v>
      </c>
      <c r="AB65" s="93" t="s">
        <v>270</v>
      </c>
      <c r="AC65" s="93" t="s">
        <v>270</v>
      </c>
      <c r="AD65" s="93" t="s">
        <v>270</v>
      </c>
      <c r="AE65" s="93" t="s">
        <v>270</v>
      </c>
      <c r="AF65" s="93" t="s">
        <v>270</v>
      </c>
      <c r="AG65" s="93" t="s">
        <v>270</v>
      </c>
      <c r="AH65" s="93">
        <v>0.12182926157651089</v>
      </c>
      <c r="AI65" s="93">
        <v>1.218292615765109E-2</v>
      </c>
      <c r="AJ65" s="93">
        <v>0.26013249272517064</v>
      </c>
      <c r="AK65" s="93">
        <v>6.9023894132122843E-2</v>
      </c>
      <c r="AL65" s="93" t="s">
        <v>270</v>
      </c>
      <c r="AM65" s="93" t="s">
        <v>270</v>
      </c>
      <c r="AN65" s="93" t="s">
        <v>270</v>
      </c>
      <c r="AO65" s="93" t="s">
        <v>270</v>
      </c>
      <c r="AP65" s="93">
        <v>2.1943573667711602E-2</v>
      </c>
      <c r="AQ65" s="93">
        <v>3.1347962382445145E-2</v>
      </c>
      <c r="AR65" s="93">
        <v>4.2878063796385703E-8</v>
      </c>
      <c r="AS65" s="93">
        <v>1.384E-8</v>
      </c>
      <c r="AT65" s="93">
        <v>7.36279634517406E-6</v>
      </c>
      <c r="AU65" s="93">
        <v>7.3627963451740605E-8</v>
      </c>
      <c r="AV65" s="93">
        <v>4.0391994785784199E-7</v>
      </c>
      <c r="AW65" s="93">
        <v>6.0587992178676302E-9</v>
      </c>
      <c r="AX65" s="161">
        <v>41754</v>
      </c>
      <c r="AY65" s="93">
        <v>4.552750240747344E-8</v>
      </c>
      <c r="AZ65" s="93">
        <v>6.8648461878023214E-9</v>
      </c>
      <c r="BA65" s="93">
        <v>1.3363231971978866E-8</v>
      </c>
      <c r="BB65" s="93">
        <v>3.5458173611220617E-9</v>
      </c>
      <c r="BC65" s="162">
        <v>160.72194730289974</v>
      </c>
      <c r="BD65" s="162">
        <v>1.0667374122685089</v>
      </c>
      <c r="BE65" s="93">
        <v>7.3039056107946078E-6</v>
      </c>
      <c r="BF65" s="93">
        <v>5.4072465967942953E-13</v>
      </c>
      <c r="BG65" s="93">
        <v>2.9219326316656583E-2</v>
      </c>
      <c r="BH65" s="93">
        <v>1.0504305319577752E-2</v>
      </c>
      <c r="BI65" s="93">
        <v>0.9938053123814532</v>
      </c>
      <c r="BJ65" s="93">
        <v>1.0435595802963268E-2</v>
      </c>
      <c r="BK65" s="93">
        <f>$CC$5</f>
        <v>4.4322825446866948E-8</v>
      </c>
      <c r="BL65" s="93">
        <f>1 * 10 ^ (INT(LOG10($BK$65)))</f>
        <v>1E-8</v>
      </c>
      <c r="BM65" s="93">
        <f>Helium3TU($AP$65,$AR$65,$AT$65,$BK$65,$N$65,$J$65,$L$65,$D$65,$AX$65,$BA$65)</f>
        <v>-35.574300152998624</v>
      </c>
      <c r="BN65" s="93">
        <f>Helium3TUerr($AQ$65,$AR$65,$AS$65,$AT$65,$AU$65,1,$BE$65,$BK$65,$J$65,$D$65,$AX$65)</f>
        <v>50.417813355542378</v>
      </c>
      <c r="BO65" s="93" t="str">
        <f>ReptHe3TU($BM$65,$BN$65,$BI$65*100)</f>
        <v>&lt;1</v>
      </c>
      <c r="BP65" s="93" t="str">
        <f>ReptHe3TUerr($BO$65,$BN$65)</f>
        <v>na</v>
      </c>
      <c r="BQ65" s="93" t="s">
        <v>922</v>
      </c>
      <c r="BR65" s="93" t="str">
        <f>TritiumCat($AP$65,$BR$2)</f>
        <v>Tritium Dead</v>
      </c>
    </row>
    <row r="66" spans="1:70">
      <c r="A66" s="94" t="s">
        <v>626</v>
      </c>
      <c r="B66" s="94" t="s">
        <v>688</v>
      </c>
      <c r="C66" s="94" t="s">
        <v>733</v>
      </c>
      <c r="D66" s="95">
        <v>41522</v>
      </c>
      <c r="E66" s="94" t="s">
        <v>734</v>
      </c>
      <c r="F66" s="93" t="s">
        <v>630</v>
      </c>
      <c r="G66" s="93" t="s">
        <v>631</v>
      </c>
      <c r="H66" s="93">
        <v>3.0562918786647569E-26</v>
      </c>
      <c r="I66" s="162" t="s">
        <v>270</v>
      </c>
      <c r="J66" s="93">
        <v>6.4662381120000001E-2</v>
      </c>
      <c r="K66" s="93">
        <v>6.4662381120000004E-3</v>
      </c>
      <c r="L66" s="93">
        <v>64.634146341463406</v>
      </c>
      <c r="M66" s="93">
        <v>6.463414634146341</v>
      </c>
      <c r="N66" s="93">
        <v>13.600681268230268</v>
      </c>
      <c r="O66" s="93">
        <v>0.67124283591740497</v>
      </c>
      <c r="P66" s="93">
        <v>2.515208612969845</v>
      </c>
      <c r="Q66" s="93">
        <v>0.55725110683982737</v>
      </c>
      <c r="R66" s="93" t="s">
        <v>270</v>
      </c>
      <c r="S66" s="93" t="s">
        <v>270</v>
      </c>
      <c r="T66" s="93">
        <v>2.5000000000000004</v>
      </c>
      <c r="U66" s="93">
        <v>0.31622776601684122</v>
      </c>
      <c r="V66" s="93" t="s">
        <v>270</v>
      </c>
      <c r="W66" s="93" t="s">
        <v>270</v>
      </c>
      <c r="X66" s="93" t="s">
        <v>270</v>
      </c>
      <c r="Y66" s="93" t="s">
        <v>270</v>
      </c>
      <c r="Z66" s="93" t="s">
        <v>270</v>
      </c>
      <c r="AA66" s="93" t="s">
        <v>270</v>
      </c>
      <c r="AB66" s="93" t="s">
        <v>270</v>
      </c>
      <c r="AC66" s="93" t="s">
        <v>270</v>
      </c>
      <c r="AD66" s="93" t="s">
        <v>270</v>
      </c>
      <c r="AE66" s="93" t="s">
        <v>270</v>
      </c>
      <c r="AF66" s="93" t="s">
        <v>270</v>
      </c>
      <c r="AG66" s="93" t="s">
        <v>270</v>
      </c>
      <c r="AH66" s="93">
        <v>1.2850077238203621</v>
      </c>
      <c r="AI66" s="93">
        <v>0.12850077238203622</v>
      </c>
      <c r="AJ66" s="93">
        <v>2.8575451936569047</v>
      </c>
      <c r="AK66" s="93">
        <v>0.7642069175219155</v>
      </c>
      <c r="AL66" s="93" t="s">
        <v>270</v>
      </c>
      <c r="AM66" s="93" t="s">
        <v>270</v>
      </c>
      <c r="AN66" s="93" t="s">
        <v>270</v>
      </c>
      <c r="AO66" s="93" t="s">
        <v>270</v>
      </c>
      <c r="AP66" s="93">
        <v>1.677115987460815</v>
      </c>
      <c r="AQ66" s="93">
        <v>3.1347962382445145E-2</v>
      </c>
      <c r="AR66" s="93">
        <v>1.5572768E-6</v>
      </c>
      <c r="AS66" s="93">
        <v>1.3840000000000023E-8</v>
      </c>
      <c r="AT66" s="93">
        <v>7.5800000000000004E-8</v>
      </c>
      <c r="AU66" s="93">
        <v>0</v>
      </c>
      <c r="AV66" s="93">
        <v>3.2020000000000002E-7</v>
      </c>
      <c r="AW66" s="93">
        <v>3.9E-10</v>
      </c>
      <c r="AX66" s="161">
        <v>41851</v>
      </c>
      <c r="AY66" s="93">
        <v>4.5395588552450174E-8</v>
      </c>
      <c r="AZ66" s="93">
        <v>6.7996136062495313E-9</v>
      </c>
      <c r="BA66" s="93">
        <v>1.317969313196199E-8</v>
      </c>
      <c r="BB66" s="93">
        <v>3.5247080902233821E-9</v>
      </c>
      <c r="BC66" s="162">
        <v>0.6697657727781301</v>
      </c>
      <c r="BD66" s="162">
        <v>0.65417440974237695</v>
      </c>
      <c r="BE66" s="93">
        <v>1.722471831558784E-8</v>
      </c>
      <c r="BF66" s="93">
        <v>1.3192190382278066E-16</v>
      </c>
      <c r="BG66" s="93">
        <v>1.1515526735756254</v>
      </c>
      <c r="BH66" s="93">
        <v>2.0700689130745922E-2</v>
      </c>
      <c r="BI66" s="93">
        <v>0.2750658466468765</v>
      </c>
      <c r="BJ66" s="93">
        <v>1.5482626379706457E-2</v>
      </c>
      <c r="BK66" s="93">
        <f>$CC$5</f>
        <v>4.4322825446866948E-8</v>
      </c>
      <c r="BL66" s="93">
        <f>1 * 10 ^ (INT(LOG10($BK$66)))</f>
        <v>1E-8</v>
      </c>
      <c r="BM66" s="93">
        <f>Helium3TU($AP$66,$AR$66,$AT$66,$BK$66,$N$66,$J$66,$L$66,$D$66,$AX$66,$BA$66)</f>
        <v>14.897223565580127</v>
      </c>
      <c r="BN66" s="93">
        <f>Helium3TUerr($AQ$66,$AR$66,$AS$66,$AT$66,$AU$66,1,$BE$66,$BK$66,$J$66,$D$66,$AX$66)</f>
        <v>0.42729780609062706</v>
      </c>
      <c r="BO66" s="93">
        <f>ReptHe3TU($BM$66,$BN$66,$BI$66*100)</f>
        <v>14.9</v>
      </c>
      <c r="BP66" s="93">
        <f>ReptHe3TUerr($BO$66,$BN$66)</f>
        <v>0.43</v>
      </c>
      <c r="BQ66" s="93" t="s">
        <v>921</v>
      </c>
      <c r="BR66" s="93" t="str">
        <f>TritiumCat($AP$66,$BR$2)</f>
        <v>Tritiated</v>
      </c>
    </row>
    <row r="67" spans="1:70">
      <c r="A67" s="94" t="s">
        <v>626</v>
      </c>
      <c r="B67" s="94" t="s">
        <v>688</v>
      </c>
      <c r="C67" s="94" t="s">
        <v>733</v>
      </c>
      <c r="D67" s="95">
        <v>41522</v>
      </c>
      <c r="E67" s="94" t="s">
        <v>734</v>
      </c>
      <c r="F67" s="93" t="s">
        <v>630</v>
      </c>
      <c r="G67" s="93" t="s">
        <v>631</v>
      </c>
      <c r="H67" s="93">
        <v>3.0562918786647569E-26</v>
      </c>
      <c r="I67" s="162" t="s">
        <v>270</v>
      </c>
      <c r="J67" s="93">
        <v>6.4662381120000001E-2</v>
      </c>
      <c r="K67" s="93">
        <v>6.4662381120000004E-3</v>
      </c>
      <c r="L67" s="93">
        <v>64.634146341463406</v>
      </c>
      <c r="M67" s="93">
        <v>6.463414634146341</v>
      </c>
      <c r="N67" s="93">
        <v>13.600681268230268</v>
      </c>
      <c r="O67" s="93">
        <v>0.67124283591740497</v>
      </c>
      <c r="P67" s="93">
        <v>2.515208612969845</v>
      </c>
      <c r="Q67" s="93">
        <v>0.55725110683982737</v>
      </c>
      <c r="R67" s="93" t="s">
        <v>270</v>
      </c>
      <c r="S67" s="93" t="s">
        <v>270</v>
      </c>
      <c r="T67" s="93">
        <v>2.5000000000000004</v>
      </c>
      <c r="U67" s="93">
        <v>0.31622776601684122</v>
      </c>
      <c r="V67" s="93" t="s">
        <v>270</v>
      </c>
      <c r="W67" s="93" t="s">
        <v>270</v>
      </c>
      <c r="X67" s="93" t="s">
        <v>270</v>
      </c>
      <c r="Y67" s="93" t="s">
        <v>270</v>
      </c>
      <c r="Z67" s="93" t="s">
        <v>270</v>
      </c>
      <c r="AA67" s="93" t="s">
        <v>270</v>
      </c>
      <c r="AB67" s="93" t="s">
        <v>270</v>
      </c>
      <c r="AC67" s="93" t="s">
        <v>270</v>
      </c>
      <c r="AD67" s="93" t="s">
        <v>270</v>
      </c>
      <c r="AE67" s="93" t="s">
        <v>270</v>
      </c>
      <c r="AF67" s="93" t="s">
        <v>270</v>
      </c>
      <c r="AG67" s="93" t="s">
        <v>270</v>
      </c>
      <c r="AH67" s="93">
        <v>1.2381203780340129</v>
      </c>
      <c r="AI67" s="93">
        <v>0.12381203780340129</v>
      </c>
      <c r="AJ67" s="93">
        <v>2.753279120300725</v>
      </c>
      <c r="AK67" s="93">
        <v>0.73632254505476669</v>
      </c>
      <c r="AL67" s="93" t="s">
        <v>270</v>
      </c>
      <c r="AM67" s="93" t="s">
        <v>270</v>
      </c>
      <c r="AN67" s="93" t="s">
        <v>270</v>
      </c>
      <c r="AO67" s="93" t="s">
        <v>270</v>
      </c>
      <c r="AP67" s="93">
        <v>1.677115987460815</v>
      </c>
      <c r="AQ67" s="93">
        <v>3.1347962382445145E-2</v>
      </c>
      <c r="AR67" s="93">
        <v>1.5572768E-6</v>
      </c>
      <c r="AS67" s="93">
        <v>1.3840000000000023E-8</v>
      </c>
      <c r="AT67" s="93">
        <v>7.5800000000000004E-8</v>
      </c>
      <c r="AU67" s="93">
        <v>0</v>
      </c>
      <c r="AV67" s="93">
        <v>3.2020000000000002E-7</v>
      </c>
      <c r="AW67" s="93">
        <v>3.9E-10</v>
      </c>
      <c r="AX67" s="161">
        <v>41851</v>
      </c>
      <c r="AY67" s="93">
        <v>4.5395588552450174E-8</v>
      </c>
      <c r="AZ67" s="93">
        <v>6.7996136062495313E-9</v>
      </c>
      <c r="BA67" s="93">
        <v>1.317969313196199E-8</v>
      </c>
      <c r="BB67" s="93">
        <v>3.5247080902233821E-9</v>
      </c>
      <c r="BC67" s="162">
        <v>0.6697657727781301</v>
      </c>
      <c r="BD67" s="162">
        <v>0.65417440974237695</v>
      </c>
      <c r="BE67" s="93">
        <v>1.722471831558784E-8</v>
      </c>
      <c r="BF67" s="93">
        <v>1.3192190382278066E-16</v>
      </c>
      <c r="BG67" s="93">
        <v>1.1515526735756254</v>
      </c>
      <c r="BH67" s="93">
        <v>2.0700689130745922E-2</v>
      </c>
      <c r="BI67" s="93">
        <v>0.2750658466468765</v>
      </c>
      <c r="BJ67" s="93">
        <v>1.5482626379706457E-2</v>
      </c>
      <c r="BK67" s="93">
        <f>$CC$5</f>
        <v>4.4322825446866948E-8</v>
      </c>
      <c r="BL67" s="93">
        <f>1 * 10 ^ (INT(LOG10($BK$67)))</f>
        <v>1E-8</v>
      </c>
      <c r="BM67" s="93">
        <f>Helium3TU($AP$67,$AR$67,$AT$67,$BK$67,$N$67,$J$67,$L$67,$D$67,$AX$67,$BA$67)</f>
        <v>14.897223565580127</v>
      </c>
      <c r="BN67" s="93">
        <f>Helium3TUerr($AQ$67,$AR$67,$AS$67,$AT$67,$AU$67,1,$BE$67,$BK$67,$J$67,$D$67,$AX$67)</f>
        <v>0.42729780609062706</v>
      </c>
      <c r="BO67" s="93">
        <f>ReptHe3TU($BM$67,$BN$67,$BI$67*100)</f>
        <v>14.9</v>
      </c>
      <c r="BP67" s="93">
        <f>ReptHe3TUerr($BO$67,$BN$67)</f>
        <v>0.43</v>
      </c>
      <c r="BQ67" s="93" t="s">
        <v>921</v>
      </c>
      <c r="BR67" s="93" t="str">
        <f>TritiumCat($AP$67,$BR$2)</f>
        <v>Tritiated</v>
      </c>
    </row>
    <row r="68" spans="1:70">
      <c r="A68" s="94" t="s">
        <v>626</v>
      </c>
      <c r="B68" s="94" t="s">
        <v>688</v>
      </c>
      <c r="C68" s="94" t="s">
        <v>733</v>
      </c>
      <c r="D68" s="95">
        <v>41522</v>
      </c>
      <c r="E68" s="94" t="s">
        <v>736</v>
      </c>
      <c r="F68" s="93" t="s">
        <v>630</v>
      </c>
      <c r="G68" s="93" t="s">
        <v>631</v>
      </c>
      <c r="H68" s="93">
        <v>4.2618269890048595E-26</v>
      </c>
      <c r="I68" s="162" t="s">
        <v>270</v>
      </c>
      <c r="J68" s="93">
        <v>6.4662381120000001E-2</v>
      </c>
      <c r="K68" s="93">
        <v>6.4662381120000004E-3</v>
      </c>
      <c r="L68" s="93">
        <v>64.634146341463406</v>
      </c>
      <c r="M68" s="93">
        <v>6.463414634146341</v>
      </c>
      <c r="N68" s="93">
        <v>13.851820715063576</v>
      </c>
      <c r="O68" s="93">
        <v>0.67768448942424597</v>
      </c>
      <c r="P68" s="93">
        <v>2.4904108346556852</v>
      </c>
      <c r="Q68" s="93">
        <v>0.5572587222660027</v>
      </c>
      <c r="R68" s="93" t="s">
        <v>270</v>
      </c>
      <c r="S68" s="93" t="s">
        <v>270</v>
      </c>
      <c r="T68" s="93">
        <v>2.5000000000000004</v>
      </c>
      <c r="U68" s="93">
        <v>0.31622776601684122</v>
      </c>
      <c r="V68" s="93" t="s">
        <v>270</v>
      </c>
      <c r="W68" s="93" t="s">
        <v>270</v>
      </c>
      <c r="X68" s="93" t="s">
        <v>270</v>
      </c>
      <c r="Y68" s="93" t="s">
        <v>270</v>
      </c>
      <c r="Z68" s="93" t="s">
        <v>270</v>
      </c>
      <c r="AA68" s="93" t="s">
        <v>270</v>
      </c>
      <c r="AB68" s="93" t="s">
        <v>270</v>
      </c>
      <c r="AC68" s="93" t="s">
        <v>270</v>
      </c>
      <c r="AD68" s="93" t="s">
        <v>270</v>
      </c>
      <c r="AE68" s="93" t="s">
        <v>270</v>
      </c>
      <c r="AF68" s="93" t="s">
        <v>270</v>
      </c>
      <c r="AG68" s="93" t="s">
        <v>270</v>
      </c>
      <c r="AH68" s="93">
        <v>1.2850077238203621</v>
      </c>
      <c r="AI68" s="93">
        <v>0.12850077238203622</v>
      </c>
      <c r="AJ68" s="93">
        <v>2.8857729205759095</v>
      </c>
      <c r="AK68" s="93">
        <v>0.77681914784921646</v>
      </c>
      <c r="AL68" s="93" t="s">
        <v>270</v>
      </c>
      <c r="AM68" s="93" t="s">
        <v>270</v>
      </c>
      <c r="AN68" s="93" t="s">
        <v>270</v>
      </c>
      <c r="AO68" s="93" t="s">
        <v>270</v>
      </c>
      <c r="AP68" s="93">
        <v>1.677115987460815</v>
      </c>
      <c r="AQ68" s="93">
        <v>3.1347962382445145E-2</v>
      </c>
      <c r="AR68" s="93">
        <v>1.5572768E-6</v>
      </c>
      <c r="AS68" s="93">
        <v>1.3840000000000023E-8</v>
      </c>
      <c r="AT68" s="93">
        <v>7.5800000000000004E-8</v>
      </c>
      <c r="AU68" s="93">
        <v>0</v>
      </c>
      <c r="AV68" s="93">
        <v>3.2020000000000002E-7</v>
      </c>
      <c r="AW68" s="93">
        <v>3.9E-10</v>
      </c>
      <c r="AX68" s="161">
        <v>41851</v>
      </c>
      <c r="AY68" s="93">
        <v>4.5351730838651836E-8</v>
      </c>
      <c r="AZ68" s="93">
        <v>6.7866472923540535E-9</v>
      </c>
      <c r="BA68" s="93">
        <v>1.3049752773595794E-8</v>
      </c>
      <c r="BB68" s="93">
        <v>3.5128536126136174E-9</v>
      </c>
      <c r="BC68" s="162">
        <v>0.67138053164220324</v>
      </c>
      <c r="BD68" s="162">
        <v>0.65784382442334843</v>
      </c>
      <c r="BE68" s="93">
        <v>1.7398516387752374E-8</v>
      </c>
      <c r="BF68" s="93">
        <v>1.3295782069766712E-16</v>
      </c>
      <c r="BG68" s="93">
        <v>1.1512388479913385</v>
      </c>
      <c r="BH68" s="93">
        <v>2.0610768359751817E-2</v>
      </c>
      <c r="BI68" s="93">
        <v>0.27726593275821121</v>
      </c>
      <c r="BJ68" s="93">
        <v>1.5521765675761924E-2</v>
      </c>
      <c r="BK68" s="93">
        <f>$CC$5</f>
        <v>4.4322825446866948E-8</v>
      </c>
      <c r="BL68" s="93">
        <f>1 * 10 ^ (INT(LOG10($BK$68)))</f>
        <v>1E-8</v>
      </c>
      <c r="BM68" s="93">
        <f>Helium3TU($AP$68,$AR$68,$AT$68,$BK$68,$N$68,$J$68,$L$68,$D$68,$AX$68,$BA$68)</f>
        <v>14.989857009540083</v>
      </c>
      <c r="BN68" s="93">
        <f>Helium3TUerr($AQ$68,$AR$68,$AS$68,$AT$68,$AU$68,1,$BE$68,$BK$68,$J$68,$D$68,$AX$68)</f>
        <v>0.42741153904516221</v>
      </c>
      <c r="BO68" s="93">
        <f>ReptHe3TU($BM$68,$BN$68,$BI$68*100)</f>
        <v>14.99</v>
      </c>
      <c r="BP68" s="93">
        <f>ReptHe3TUerr($BO$68,$BN$68)</f>
        <v>0.43</v>
      </c>
      <c r="BQ68" s="93" t="s">
        <v>921</v>
      </c>
      <c r="BR68" s="93" t="str">
        <f>TritiumCat($AP$68,$BR$2)</f>
        <v>Tritiated</v>
      </c>
    </row>
    <row r="69" spans="1:70">
      <c r="A69" s="94" t="s">
        <v>626</v>
      </c>
      <c r="B69" s="94" t="s">
        <v>688</v>
      </c>
      <c r="C69" s="94" t="s">
        <v>733</v>
      </c>
      <c r="D69" s="95">
        <v>41522</v>
      </c>
      <c r="E69" s="94" t="s">
        <v>736</v>
      </c>
      <c r="F69" s="93" t="s">
        <v>630</v>
      </c>
      <c r="G69" s="93" t="s">
        <v>631</v>
      </c>
      <c r="H69" s="93">
        <v>4.2618269890048595E-26</v>
      </c>
      <c r="I69" s="162" t="s">
        <v>270</v>
      </c>
      <c r="J69" s="93">
        <v>6.4662381120000001E-2</v>
      </c>
      <c r="K69" s="93">
        <v>6.4662381120000004E-3</v>
      </c>
      <c r="L69" s="93">
        <v>64.634146341463406</v>
      </c>
      <c r="M69" s="93">
        <v>6.463414634146341</v>
      </c>
      <c r="N69" s="93">
        <v>13.851820715063576</v>
      </c>
      <c r="O69" s="93">
        <v>0.67768448942424597</v>
      </c>
      <c r="P69" s="93">
        <v>2.4904108346556852</v>
      </c>
      <c r="Q69" s="93">
        <v>0.5572587222660027</v>
      </c>
      <c r="R69" s="93" t="s">
        <v>270</v>
      </c>
      <c r="S69" s="93" t="s">
        <v>270</v>
      </c>
      <c r="T69" s="93">
        <v>2.5000000000000004</v>
      </c>
      <c r="U69" s="93">
        <v>0.31622776601684122</v>
      </c>
      <c r="V69" s="93" t="s">
        <v>270</v>
      </c>
      <c r="W69" s="93" t="s">
        <v>270</v>
      </c>
      <c r="X69" s="93" t="s">
        <v>270</v>
      </c>
      <c r="Y69" s="93" t="s">
        <v>270</v>
      </c>
      <c r="Z69" s="93" t="s">
        <v>270</v>
      </c>
      <c r="AA69" s="93" t="s">
        <v>270</v>
      </c>
      <c r="AB69" s="93" t="s">
        <v>270</v>
      </c>
      <c r="AC69" s="93" t="s">
        <v>270</v>
      </c>
      <c r="AD69" s="93" t="s">
        <v>270</v>
      </c>
      <c r="AE69" s="93" t="s">
        <v>270</v>
      </c>
      <c r="AF69" s="93" t="s">
        <v>270</v>
      </c>
      <c r="AG69" s="93" t="s">
        <v>270</v>
      </c>
      <c r="AH69" s="93">
        <v>1.2381203780340129</v>
      </c>
      <c r="AI69" s="93">
        <v>0.12381203780340129</v>
      </c>
      <c r="AJ69" s="93">
        <v>2.7804768742722681</v>
      </c>
      <c r="AK69" s="93">
        <v>0.74847458047932014</v>
      </c>
      <c r="AL69" s="93" t="s">
        <v>270</v>
      </c>
      <c r="AM69" s="93" t="s">
        <v>270</v>
      </c>
      <c r="AN69" s="93" t="s">
        <v>270</v>
      </c>
      <c r="AO69" s="93" t="s">
        <v>270</v>
      </c>
      <c r="AP69" s="93">
        <v>1.677115987460815</v>
      </c>
      <c r="AQ69" s="93">
        <v>3.1347962382445145E-2</v>
      </c>
      <c r="AR69" s="93">
        <v>1.5572768E-6</v>
      </c>
      <c r="AS69" s="93">
        <v>1.3840000000000023E-8</v>
      </c>
      <c r="AT69" s="93">
        <v>7.5800000000000004E-8</v>
      </c>
      <c r="AU69" s="93">
        <v>0</v>
      </c>
      <c r="AV69" s="93">
        <v>3.2020000000000002E-7</v>
      </c>
      <c r="AW69" s="93">
        <v>3.9E-10</v>
      </c>
      <c r="AX69" s="161">
        <v>41851</v>
      </c>
      <c r="AY69" s="93">
        <v>4.5351730838651836E-8</v>
      </c>
      <c r="AZ69" s="93">
        <v>6.7866472923540535E-9</v>
      </c>
      <c r="BA69" s="93">
        <v>1.3049752773595794E-8</v>
      </c>
      <c r="BB69" s="93">
        <v>3.5128536126136174E-9</v>
      </c>
      <c r="BC69" s="162">
        <v>0.67138053164220324</v>
      </c>
      <c r="BD69" s="162">
        <v>0.65784382442334843</v>
      </c>
      <c r="BE69" s="93">
        <v>1.7398516387752374E-8</v>
      </c>
      <c r="BF69" s="93">
        <v>1.3295782069766712E-16</v>
      </c>
      <c r="BG69" s="93">
        <v>1.1512388479913385</v>
      </c>
      <c r="BH69" s="93">
        <v>2.0610768359751817E-2</v>
      </c>
      <c r="BI69" s="93">
        <v>0.27726593275821121</v>
      </c>
      <c r="BJ69" s="93">
        <v>1.5521765675761924E-2</v>
      </c>
      <c r="BK69" s="93">
        <f>$CC$5</f>
        <v>4.4322825446866948E-8</v>
      </c>
      <c r="BL69" s="93">
        <f>1 * 10 ^ (INT(LOG10($BK$69)))</f>
        <v>1E-8</v>
      </c>
      <c r="BM69" s="93">
        <f>Helium3TU($AP$69,$AR$69,$AT$69,$BK$69,$N$69,$J$69,$L$69,$D$69,$AX$69,$BA$69)</f>
        <v>14.989857009540083</v>
      </c>
      <c r="BN69" s="93">
        <f>Helium3TUerr($AQ$69,$AR$69,$AS$69,$AT$69,$AU$69,1,$BE$69,$BK$69,$J$69,$D$69,$AX$69)</f>
        <v>0.42741153904516221</v>
      </c>
      <c r="BO69" s="93">
        <f>ReptHe3TU($BM$69,$BN$69,$BI$69*100)</f>
        <v>14.99</v>
      </c>
      <c r="BP69" s="93">
        <f>ReptHe3TUerr($BO$69,$BN$69)</f>
        <v>0.43</v>
      </c>
      <c r="BQ69" s="93" t="s">
        <v>921</v>
      </c>
      <c r="BR69" s="93" t="str">
        <f>TritiumCat($AP$69,$BR$2)</f>
        <v>Tritiated</v>
      </c>
    </row>
    <row r="70" spans="1:70">
      <c r="A70" s="94" t="s">
        <v>626</v>
      </c>
      <c r="B70" s="94" t="s">
        <v>738</v>
      </c>
      <c r="C70" s="94" t="s">
        <v>739</v>
      </c>
      <c r="D70" s="95">
        <v>41526</v>
      </c>
      <c r="E70" s="94" t="s">
        <v>740</v>
      </c>
      <c r="F70" s="93" t="s">
        <v>630</v>
      </c>
      <c r="G70" s="93" t="s">
        <v>631</v>
      </c>
      <c r="H70" s="93">
        <v>6.0111688687278123E-23</v>
      </c>
      <c r="I70" s="162" t="s">
        <v>270</v>
      </c>
      <c r="J70" s="93">
        <v>0.61536420000000003</v>
      </c>
      <c r="K70" s="93">
        <v>6.1536420000000001E-2</v>
      </c>
      <c r="L70" s="93">
        <v>17.987804878048699</v>
      </c>
      <c r="M70" s="93">
        <v>1.7987804878048699</v>
      </c>
      <c r="N70" s="93">
        <v>23.716471133880919</v>
      </c>
      <c r="O70" s="93">
        <v>6.4429784303041755</v>
      </c>
      <c r="P70" s="93">
        <v>1.9298614701332044</v>
      </c>
      <c r="Q70" s="93">
        <v>0.4587784099805392</v>
      </c>
      <c r="R70" s="93" t="s">
        <v>270</v>
      </c>
      <c r="S70" s="93" t="s">
        <v>270</v>
      </c>
      <c r="T70" s="93">
        <v>1.0101737292803101</v>
      </c>
      <c r="U70" s="93">
        <v>1.9908138033015597</v>
      </c>
      <c r="V70" s="93" t="s">
        <v>270</v>
      </c>
      <c r="W70" s="93" t="s">
        <v>270</v>
      </c>
      <c r="X70" s="93" t="s">
        <v>270</v>
      </c>
      <c r="Y70" s="93" t="s">
        <v>270</v>
      </c>
      <c r="Z70" s="93" t="s">
        <v>270</v>
      </c>
      <c r="AA70" s="93" t="s">
        <v>270</v>
      </c>
      <c r="AB70" s="93" t="s">
        <v>270</v>
      </c>
      <c r="AC70" s="93" t="s">
        <v>270</v>
      </c>
      <c r="AD70" s="93" t="s">
        <v>270</v>
      </c>
      <c r="AE70" s="93" t="s">
        <v>270</v>
      </c>
      <c r="AF70" s="93" t="s">
        <v>270</v>
      </c>
      <c r="AG70" s="93" t="s">
        <v>270</v>
      </c>
      <c r="AH70" s="93">
        <v>2.3737420254751074</v>
      </c>
      <c r="AI70" s="93">
        <v>0.23737420254751074</v>
      </c>
      <c r="AJ70" s="93">
        <v>7.395961009030513</v>
      </c>
      <c r="AK70" s="93">
        <v>2.8674643037439456</v>
      </c>
      <c r="AL70" s="93" t="s">
        <v>270</v>
      </c>
      <c r="AM70" s="93" t="s">
        <v>270</v>
      </c>
      <c r="AN70" s="93" t="s">
        <v>270</v>
      </c>
      <c r="AO70" s="93" t="s">
        <v>270</v>
      </c>
      <c r="AP70" s="93">
        <v>-0.11598746081504702</v>
      </c>
      <c r="AQ70" s="93">
        <v>3.1347962382445145E-2</v>
      </c>
      <c r="AR70" s="93">
        <v>1.3390199999999999E-6</v>
      </c>
      <c r="AS70" s="93">
        <v>1.3839999999999917E-8</v>
      </c>
      <c r="AT70" s="93">
        <v>5.54E-8</v>
      </c>
      <c r="AU70" s="93">
        <v>0</v>
      </c>
      <c r="AV70" s="93">
        <v>2.1409999999999999E-7</v>
      </c>
      <c r="AW70" s="93">
        <v>2.8000000000000002E-10</v>
      </c>
      <c r="AX70" s="161">
        <v>41850</v>
      </c>
      <c r="AY70" s="93">
        <v>4.4045674642357611E-8</v>
      </c>
      <c r="AZ70" s="93">
        <v>1.3489980320881955E-8</v>
      </c>
      <c r="BA70" s="93">
        <v>1.0112474103497993E-8</v>
      </c>
      <c r="BB70" s="93">
        <v>3.9206748763155797E-9</v>
      </c>
      <c r="BC70" s="162">
        <v>0.25778525246434114</v>
      </c>
      <c r="BD70" s="162">
        <v>0.19594676808593725</v>
      </c>
      <c r="BE70" s="93">
        <v>1.2418512541443951E-9</v>
      </c>
      <c r="BF70" s="93">
        <v>1.7445745497490857E-17</v>
      </c>
      <c r="BG70" s="93">
        <v>0.96024419150616347</v>
      </c>
      <c r="BH70" s="93">
        <v>1.5793247399656644E-2</v>
      </c>
      <c r="BI70" s="93">
        <v>2.7421516561498546E-2</v>
      </c>
      <c r="BJ70" s="93">
        <v>2.3739616798418312E-3</v>
      </c>
      <c r="BK70" s="93">
        <f>$CC$5</f>
        <v>4.4322825446866948E-8</v>
      </c>
      <c r="BL70" s="93">
        <f>1 * 10 ^ (INT(LOG10($BK$70)))</f>
        <v>1E-8</v>
      </c>
      <c r="BM70" s="93">
        <f>Helium3TU($AP$70,$AR$70,$AT$70,$BK$70,$N$70,$J$70,$L$70,$D$70,$AX$70,$BA$70)</f>
        <v>6.5758916132227549E-2</v>
      </c>
      <c r="BN70" s="93">
        <f>Helium3TUerr($AQ$70,$AR$70,$AS$70,$AT$70,$AU$70,1,$BE$70,$BK$70,$J$70,$D$70,$AX$70)</f>
        <v>0.30838516243930569</v>
      </c>
      <c r="BO70" s="93" t="str">
        <f>ReptHe3TU($BM$70,$BN$70,$BI$70*100)</f>
        <v>Not Quantifiable</v>
      </c>
      <c r="BP70" s="93" t="str">
        <f>ReptHe3TUerr($BO$70,$BN$70)</f>
        <v>na</v>
      </c>
      <c r="BR70" s="93" t="str">
        <f>TritiumCat($AP$70,$BR$2)</f>
        <v>Tritium Dead</v>
      </c>
    </row>
    <row r="71" spans="1:70">
      <c r="A71" s="94" t="s">
        <v>626</v>
      </c>
      <c r="B71" s="94" t="s">
        <v>738</v>
      </c>
      <c r="C71" s="94" t="s">
        <v>739</v>
      </c>
      <c r="D71" s="95">
        <v>41526</v>
      </c>
      <c r="E71" s="94" t="s">
        <v>740</v>
      </c>
      <c r="F71" s="93" t="s">
        <v>630</v>
      </c>
      <c r="G71" s="93" t="s">
        <v>631</v>
      </c>
      <c r="H71" s="93">
        <v>6.0111688687278123E-23</v>
      </c>
      <c r="I71" s="162" t="s">
        <v>270</v>
      </c>
      <c r="J71" s="93">
        <v>0.61536420000000003</v>
      </c>
      <c r="K71" s="93">
        <v>6.1536420000000001E-2</v>
      </c>
      <c r="L71" s="93">
        <v>17.987804878048699</v>
      </c>
      <c r="M71" s="93">
        <v>1.7987804878048699</v>
      </c>
      <c r="N71" s="93">
        <v>23.716471133880919</v>
      </c>
      <c r="O71" s="93">
        <v>6.4429784303041755</v>
      </c>
      <c r="P71" s="93">
        <v>1.9298614701332044</v>
      </c>
      <c r="Q71" s="93">
        <v>0.4587784099805392</v>
      </c>
      <c r="R71" s="93" t="s">
        <v>270</v>
      </c>
      <c r="S71" s="93" t="s">
        <v>270</v>
      </c>
      <c r="T71" s="93">
        <v>1.0101737292803101</v>
      </c>
      <c r="U71" s="93">
        <v>1.9908138033015597</v>
      </c>
      <c r="V71" s="93" t="s">
        <v>270</v>
      </c>
      <c r="W71" s="93" t="s">
        <v>270</v>
      </c>
      <c r="X71" s="93" t="s">
        <v>270</v>
      </c>
      <c r="Y71" s="93" t="s">
        <v>270</v>
      </c>
      <c r="Z71" s="93" t="s">
        <v>270</v>
      </c>
      <c r="AA71" s="93" t="s">
        <v>270</v>
      </c>
      <c r="AB71" s="93" t="s">
        <v>270</v>
      </c>
      <c r="AC71" s="93" t="s">
        <v>270</v>
      </c>
      <c r="AD71" s="93" t="s">
        <v>270</v>
      </c>
      <c r="AE71" s="93" t="s">
        <v>270</v>
      </c>
      <c r="AF71" s="93" t="s">
        <v>270</v>
      </c>
      <c r="AG71" s="93" t="s">
        <v>270</v>
      </c>
      <c r="AH71" s="93">
        <v>2.3936342413774474</v>
      </c>
      <c r="AI71" s="93">
        <v>0.23936342413774475</v>
      </c>
      <c r="AJ71" s="93">
        <v>7.4579399653020895</v>
      </c>
      <c r="AK71" s="93">
        <v>2.8914939659440373</v>
      </c>
      <c r="AL71" s="93" t="s">
        <v>270</v>
      </c>
      <c r="AM71" s="93" t="s">
        <v>270</v>
      </c>
      <c r="AN71" s="93" t="s">
        <v>270</v>
      </c>
      <c r="AO71" s="93" t="s">
        <v>270</v>
      </c>
      <c r="AP71" s="93">
        <v>-0.11598746081504702</v>
      </c>
      <c r="AQ71" s="93">
        <v>3.1347962382445145E-2</v>
      </c>
      <c r="AR71" s="93">
        <v>1.3390199999999999E-6</v>
      </c>
      <c r="AS71" s="93">
        <v>1.3839999999999917E-8</v>
      </c>
      <c r="AT71" s="93">
        <v>5.54E-8</v>
      </c>
      <c r="AU71" s="93">
        <v>0</v>
      </c>
      <c r="AV71" s="93">
        <v>2.1409999999999999E-7</v>
      </c>
      <c r="AW71" s="93">
        <v>2.8000000000000002E-10</v>
      </c>
      <c r="AX71" s="161">
        <v>41850</v>
      </c>
      <c r="AY71" s="93">
        <v>4.4045674642357611E-8</v>
      </c>
      <c r="AZ71" s="93">
        <v>1.3489980320881955E-8</v>
      </c>
      <c r="BA71" s="93">
        <v>1.0112474103497993E-8</v>
      </c>
      <c r="BB71" s="93">
        <v>3.9206748763155797E-9</v>
      </c>
      <c r="BC71" s="162">
        <v>0.25778525246434114</v>
      </c>
      <c r="BD71" s="162">
        <v>0.19594676808593725</v>
      </c>
      <c r="BE71" s="93">
        <v>1.2418512541443951E-9</v>
      </c>
      <c r="BF71" s="93">
        <v>1.7445745497490857E-17</v>
      </c>
      <c r="BG71" s="93">
        <v>0.96024419150616347</v>
      </c>
      <c r="BH71" s="93">
        <v>1.5793247399656644E-2</v>
      </c>
      <c r="BI71" s="93">
        <v>2.7421516561498546E-2</v>
      </c>
      <c r="BJ71" s="93">
        <v>2.3739616798418312E-3</v>
      </c>
      <c r="BK71" s="93">
        <f>$CC$5</f>
        <v>4.4322825446866948E-8</v>
      </c>
      <c r="BL71" s="93">
        <f>1 * 10 ^ (INT(LOG10($BK$71)))</f>
        <v>1E-8</v>
      </c>
      <c r="BM71" s="93">
        <f>Helium3TU($AP$71,$AR$71,$AT$71,$BK$71,$N$71,$J$71,$L$71,$D$71,$AX$71,$BA$71)</f>
        <v>6.5758916132227549E-2</v>
      </c>
      <c r="BN71" s="93">
        <f>Helium3TUerr($AQ$71,$AR$71,$AS$71,$AT$71,$AU$71,1,$BE$71,$BK$71,$J$71,$D$71,$AX$71)</f>
        <v>0.30838516243930569</v>
      </c>
      <c r="BO71" s="93" t="str">
        <f>ReptHe3TU($BM$71,$BN$71,$BI$71*100)</f>
        <v>Not Quantifiable</v>
      </c>
      <c r="BP71" s="93" t="str">
        <f>ReptHe3TUerr($BO$71,$BN$71)</f>
        <v>na</v>
      </c>
      <c r="BR71" s="93" t="str">
        <f>TritiumCat($AP$71,$BR$2)</f>
        <v>Tritium Dead</v>
      </c>
    </row>
    <row r="72" spans="1:70">
      <c r="A72" s="94" t="s">
        <v>626</v>
      </c>
      <c r="B72" s="94" t="s">
        <v>738</v>
      </c>
      <c r="C72" s="94" t="s">
        <v>739</v>
      </c>
      <c r="D72" s="95">
        <v>41526</v>
      </c>
      <c r="E72" s="94" t="s">
        <v>742</v>
      </c>
      <c r="F72" s="93" t="s">
        <v>630</v>
      </c>
      <c r="G72" s="93" t="s">
        <v>631</v>
      </c>
      <c r="H72" s="93">
        <v>2.1201992028682489E-22</v>
      </c>
      <c r="I72" s="162" t="s">
        <v>270</v>
      </c>
      <c r="J72" s="93">
        <v>0.61536420000000003</v>
      </c>
      <c r="K72" s="93">
        <v>6.1536420000000001E-2</v>
      </c>
      <c r="L72" s="93">
        <v>17.987804878048699</v>
      </c>
      <c r="M72" s="93">
        <v>1.7987804878048699</v>
      </c>
      <c r="N72" s="93">
        <v>24.008297880877741</v>
      </c>
      <c r="O72" s="93">
        <v>6.4779664379182664</v>
      </c>
      <c r="P72" s="93">
        <v>1.9505540294927253</v>
      </c>
      <c r="Q72" s="93">
        <v>0.4580693915210427</v>
      </c>
      <c r="R72" s="93" t="s">
        <v>270</v>
      </c>
      <c r="S72" s="93" t="s">
        <v>270</v>
      </c>
      <c r="T72" s="93">
        <v>1.0270783659990947</v>
      </c>
      <c r="U72" s="93">
        <v>1.9851080100951917</v>
      </c>
      <c r="V72" s="93" t="s">
        <v>270</v>
      </c>
      <c r="W72" s="93" t="s">
        <v>270</v>
      </c>
      <c r="X72" s="93" t="s">
        <v>270</v>
      </c>
      <c r="Y72" s="93" t="s">
        <v>270</v>
      </c>
      <c r="Z72" s="93" t="s">
        <v>270</v>
      </c>
      <c r="AA72" s="93" t="s">
        <v>270</v>
      </c>
      <c r="AB72" s="93" t="s">
        <v>270</v>
      </c>
      <c r="AC72" s="93" t="s">
        <v>270</v>
      </c>
      <c r="AD72" s="93" t="s">
        <v>270</v>
      </c>
      <c r="AE72" s="93" t="s">
        <v>270</v>
      </c>
      <c r="AF72" s="93" t="s">
        <v>270</v>
      </c>
      <c r="AG72" s="93" t="s">
        <v>270</v>
      </c>
      <c r="AH72" s="93">
        <v>2.3737420254751074</v>
      </c>
      <c r="AI72" s="93">
        <v>0.23737420254751074</v>
      </c>
      <c r="AJ72" s="93">
        <v>7.4258319665223684</v>
      </c>
      <c r="AK72" s="93">
        <v>2.8563309397872088</v>
      </c>
      <c r="AL72" s="93" t="s">
        <v>270</v>
      </c>
      <c r="AM72" s="93" t="s">
        <v>270</v>
      </c>
      <c r="AN72" s="93" t="s">
        <v>270</v>
      </c>
      <c r="AO72" s="93" t="s">
        <v>270</v>
      </c>
      <c r="AP72" s="93">
        <v>-0.11598746081504702</v>
      </c>
      <c r="AQ72" s="93">
        <v>3.1347962382445145E-2</v>
      </c>
      <c r="AR72" s="93">
        <v>1.3390199999999999E-6</v>
      </c>
      <c r="AS72" s="93">
        <v>1.3839999999999917E-8</v>
      </c>
      <c r="AT72" s="93">
        <v>5.54E-8</v>
      </c>
      <c r="AU72" s="93">
        <v>0</v>
      </c>
      <c r="AV72" s="93">
        <v>2.1409999999999999E-7</v>
      </c>
      <c r="AW72" s="93">
        <v>2.8000000000000002E-10</v>
      </c>
      <c r="AX72" s="161">
        <v>41850</v>
      </c>
      <c r="AY72" s="93">
        <v>4.4010328028180204E-8</v>
      </c>
      <c r="AZ72" s="93">
        <v>1.340718862976863E-8</v>
      </c>
      <c r="BA72" s="93">
        <v>1.0220903114541878E-8</v>
      </c>
      <c r="BB72" s="93">
        <v>3.9314492881402408E-9</v>
      </c>
      <c r="BC72" s="162">
        <v>0.25879543466540134</v>
      </c>
      <c r="BD72" s="162">
        <v>0.19846525694284378</v>
      </c>
      <c r="BE72" s="93">
        <v>1.1687688572779175E-9</v>
      </c>
      <c r="BF72" s="93">
        <v>1.6329712920977136E-17</v>
      </c>
      <c r="BG72" s="93">
        <v>0.96014877497233253</v>
      </c>
      <c r="BH72" s="93">
        <v>1.5850306795092254E-2</v>
      </c>
      <c r="BI72" s="93">
        <v>2.586971253974998E-2</v>
      </c>
      <c r="BJ72" s="93">
        <v>2.2511619301874572E-3</v>
      </c>
      <c r="BK72" s="93">
        <f>$CC$5</f>
        <v>4.4322825446866948E-8</v>
      </c>
      <c r="BL72" s="93">
        <f>1 * 10 ^ (INT(LOG10($BK$72)))</f>
        <v>1E-8</v>
      </c>
      <c r="BM72" s="93">
        <f>Helium3TU($AP$72,$AR$72,$AT$72,$BK$72,$N$72,$J$72,$L$72,$D$72,$AX$72,$BA$72)</f>
        <v>2.547046664737504E-2</v>
      </c>
      <c r="BN72" s="93">
        <f>Helium3TUerr($AQ$72,$AR$72,$AS$72,$AT$72,$AU$72,1,$BE$72,$BK$72,$J$72,$D$72,$AX$72)</f>
        <v>0.30838054297074119</v>
      </c>
      <c r="BO72" s="93" t="str">
        <f>ReptHe3TU($BM$72,$BN$72,$BI$72*100)</f>
        <v>Not Quantifiable</v>
      </c>
      <c r="BP72" s="93" t="str">
        <f>ReptHe3TUerr($BO$72,$BN$72)</f>
        <v>na</v>
      </c>
      <c r="BR72" s="93" t="str">
        <f>TritiumCat($AP$72,$BR$2)</f>
        <v>Tritium Dead</v>
      </c>
    </row>
    <row r="73" spans="1:70">
      <c r="A73" s="94" t="s">
        <v>626</v>
      </c>
      <c r="B73" s="94" t="s">
        <v>738</v>
      </c>
      <c r="C73" s="94" t="s">
        <v>739</v>
      </c>
      <c r="D73" s="95">
        <v>41526</v>
      </c>
      <c r="E73" s="94" t="s">
        <v>742</v>
      </c>
      <c r="F73" s="93" t="s">
        <v>630</v>
      </c>
      <c r="G73" s="93" t="s">
        <v>631</v>
      </c>
      <c r="H73" s="93">
        <v>2.1201992028682489E-22</v>
      </c>
      <c r="I73" s="162" t="s">
        <v>270</v>
      </c>
      <c r="J73" s="93">
        <v>0.61536420000000003</v>
      </c>
      <c r="K73" s="93">
        <v>6.1536420000000001E-2</v>
      </c>
      <c r="L73" s="93">
        <v>17.987804878048699</v>
      </c>
      <c r="M73" s="93">
        <v>1.7987804878048699</v>
      </c>
      <c r="N73" s="93">
        <v>24.008297880877741</v>
      </c>
      <c r="O73" s="93">
        <v>6.4779664379182664</v>
      </c>
      <c r="P73" s="93">
        <v>1.9505540294927253</v>
      </c>
      <c r="Q73" s="93">
        <v>0.4580693915210427</v>
      </c>
      <c r="R73" s="93" t="s">
        <v>270</v>
      </c>
      <c r="S73" s="93" t="s">
        <v>270</v>
      </c>
      <c r="T73" s="93">
        <v>1.0270783659990947</v>
      </c>
      <c r="U73" s="93">
        <v>1.9851080100951917</v>
      </c>
      <c r="V73" s="93" t="s">
        <v>270</v>
      </c>
      <c r="W73" s="93" t="s">
        <v>270</v>
      </c>
      <c r="X73" s="93" t="s">
        <v>270</v>
      </c>
      <c r="Y73" s="93" t="s">
        <v>270</v>
      </c>
      <c r="Z73" s="93" t="s">
        <v>270</v>
      </c>
      <c r="AA73" s="93" t="s">
        <v>270</v>
      </c>
      <c r="AB73" s="93" t="s">
        <v>270</v>
      </c>
      <c r="AC73" s="93" t="s">
        <v>270</v>
      </c>
      <c r="AD73" s="93" t="s">
        <v>270</v>
      </c>
      <c r="AE73" s="93" t="s">
        <v>270</v>
      </c>
      <c r="AF73" s="93" t="s">
        <v>270</v>
      </c>
      <c r="AG73" s="93" t="s">
        <v>270</v>
      </c>
      <c r="AH73" s="93">
        <v>2.3936342413774474</v>
      </c>
      <c r="AI73" s="93">
        <v>0.23936342413774475</v>
      </c>
      <c r="AJ73" s="93">
        <v>7.4880612446609627</v>
      </c>
      <c r="AK73" s="93">
        <v>2.8802673031885382</v>
      </c>
      <c r="AL73" s="93" t="s">
        <v>270</v>
      </c>
      <c r="AM73" s="93" t="s">
        <v>270</v>
      </c>
      <c r="AN73" s="93" t="s">
        <v>270</v>
      </c>
      <c r="AO73" s="93" t="s">
        <v>270</v>
      </c>
      <c r="AP73" s="93">
        <v>-0.11598746081504702</v>
      </c>
      <c r="AQ73" s="93">
        <v>3.1347962382445145E-2</v>
      </c>
      <c r="AR73" s="93">
        <v>1.3390199999999999E-6</v>
      </c>
      <c r="AS73" s="93">
        <v>1.3839999999999917E-8</v>
      </c>
      <c r="AT73" s="93">
        <v>5.54E-8</v>
      </c>
      <c r="AU73" s="93">
        <v>0</v>
      </c>
      <c r="AV73" s="93">
        <v>2.1409999999999999E-7</v>
      </c>
      <c r="AW73" s="93">
        <v>2.8000000000000002E-10</v>
      </c>
      <c r="AX73" s="161">
        <v>41850</v>
      </c>
      <c r="AY73" s="93">
        <v>4.4010328028180204E-8</v>
      </c>
      <c r="AZ73" s="93">
        <v>1.340718862976863E-8</v>
      </c>
      <c r="BA73" s="93">
        <v>1.0220903114541878E-8</v>
      </c>
      <c r="BB73" s="93">
        <v>3.9314492881402408E-9</v>
      </c>
      <c r="BC73" s="162">
        <v>0.25879543466540134</v>
      </c>
      <c r="BD73" s="162">
        <v>0.19846525694284378</v>
      </c>
      <c r="BE73" s="93">
        <v>1.1687688572779175E-9</v>
      </c>
      <c r="BF73" s="93">
        <v>1.6329712920977136E-17</v>
      </c>
      <c r="BG73" s="93">
        <v>0.96014877497233253</v>
      </c>
      <c r="BH73" s="93">
        <v>1.5850306795092254E-2</v>
      </c>
      <c r="BI73" s="93">
        <v>2.586971253974998E-2</v>
      </c>
      <c r="BJ73" s="93">
        <v>2.2511619301874572E-3</v>
      </c>
      <c r="BK73" s="93">
        <f>$CC$5</f>
        <v>4.4322825446866948E-8</v>
      </c>
      <c r="BL73" s="93">
        <f>1 * 10 ^ (INT(LOG10($BK$73)))</f>
        <v>1E-8</v>
      </c>
      <c r="BM73" s="93">
        <f>Helium3TU($AP$73,$AR$73,$AT$73,$BK$73,$N$73,$J$73,$L$73,$D$73,$AX$73,$BA$73)</f>
        <v>2.547046664737504E-2</v>
      </c>
      <c r="BN73" s="93">
        <f>Helium3TUerr($AQ$73,$AR$73,$AS$73,$AT$73,$AU$73,1,$BE$73,$BK$73,$J$73,$D$73,$AX$73)</f>
        <v>0.30838054297074119</v>
      </c>
      <c r="BO73" s="93" t="str">
        <f>ReptHe3TU($BM$73,$BN$73,$BI$73*100)</f>
        <v>Not Quantifiable</v>
      </c>
      <c r="BP73" s="93" t="str">
        <f>ReptHe3TUerr($BO$73,$BN$73)</f>
        <v>na</v>
      </c>
      <c r="BR73" s="93" t="str">
        <f>TritiumCat($AP$73,$BR$2)</f>
        <v>Tritium Dead</v>
      </c>
    </row>
    <row r="74" spans="1:70">
      <c r="A74" s="94" t="s">
        <v>626</v>
      </c>
      <c r="B74" s="94" t="s">
        <v>738</v>
      </c>
      <c r="C74" s="94" t="s">
        <v>744</v>
      </c>
      <c r="D74" s="95">
        <v>41528</v>
      </c>
      <c r="E74" s="94" t="s">
        <v>745</v>
      </c>
      <c r="F74" s="93" t="s">
        <v>630</v>
      </c>
      <c r="G74" s="93" t="s">
        <v>631</v>
      </c>
      <c r="H74" s="93">
        <v>2.0471226901566207E-25</v>
      </c>
      <c r="I74" s="162" t="s">
        <v>270</v>
      </c>
      <c r="J74" s="93">
        <v>0.84992100378000002</v>
      </c>
      <c r="K74" s="93">
        <v>8.4992100378000007E-2</v>
      </c>
      <c r="L74" s="93">
        <v>61.890243902439003</v>
      </c>
      <c r="M74" s="93">
        <v>6.1890243902439002</v>
      </c>
      <c r="N74" s="93">
        <v>15.309891999657999</v>
      </c>
      <c r="O74" s="93">
        <v>0.71999972318867289</v>
      </c>
      <c r="P74" s="93">
        <v>2.4474110178028821</v>
      </c>
      <c r="Q74" s="93">
        <v>0.55674380540878521</v>
      </c>
      <c r="R74" s="93" t="s">
        <v>270</v>
      </c>
      <c r="S74" s="93" t="s">
        <v>270</v>
      </c>
      <c r="T74" s="93">
        <v>1.7000000000000002</v>
      </c>
      <c r="U74" s="93">
        <v>0.316227766016839</v>
      </c>
      <c r="V74" s="93" t="s">
        <v>270</v>
      </c>
      <c r="W74" s="93" t="s">
        <v>270</v>
      </c>
      <c r="X74" s="93" t="s">
        <v>270</v>
      </c>
      <c r="Y74" s="93" t="s">
        <v>270</v>
      </c>
      <c r="Z74" s="93" t="s">
        <v>270</v>
      </c>
      <c r="AA74" s="93" t="s">
        <v>270</v>
      </c>
      <c r="AB74" s="93" t="s">
        <v>270</v>
      </c>
      <c r="AC74" s="93" t="s">
        <v>270</v>
      </c>
      <c r="AD74" s="93" t="s">
        <v>270</v>
      </c>
      <c r="AE74" s="93" t="s">
        <v>270</v>
      </c>
      <c r="AF74" s="93" t="s">
        <v>270</v>
      </c>
      <c r="AG74" s="93" t="s">
        <v>270</v>
      </c>
      <c r="AH74" s="93">
        <v>2.543228613015001</v>
      </c>
      <c r="AI74" s="93">
        <v>0.25432286130150011</v>
      </c>
      <c r="AJ74" s="93">
        <v>6.0169262206306913</v>
      </c>
      <c r="AK74" s="93">
        <v>1.6363392880547381</v>
      </c>
      <c r="AL74" s="93" t="s">
        <v>270</v>
      </c>
      <c r="AM74" s="93" t="s">
        <v>270</v>
      </c>
      <c r="AN74" s="93" t="s">
        <v>270</v>
      </c>
      <c r="AO74" s="93" t="s">
        <v>270</v>
      </c>
      <c r="AP74" s="93">
        <v>-0.19435736677115989</v>
      </c>
      <c r="AQ74" s="93">
        <v>3.1347962382445145E-2</v>
      </c>
      <c r="AR74" s="93" t="s">
        <v>270</v>
      </c>
      <c r="AS74" s="93" t="s">
        <v>270</v>
      </c>
      <c r="AT74" s="93" t="s">
        <v>270</v>
      </c>
      <c r="AU74" s="93" t="s">
        <v>270</v>
      </c>
      <c r="AV74" s="93" t="s">
        <v>270</v>
      </c>
      <c r="AW74" s="93" t="s">
        <v>270</v>
      </c>
      <c r="AX74" s="161" t="s">
        <v>270</v>
      </c>
      <c r="AY74" s="93" t="s">
        <v>270</v>
      </c>
      <c r="AZ74" s="93" t="s">
        <v>270</v>
      </c>
      <c r="BA74" s="93" t="s">
        <v>270</v>
      </c>
      <c r="BB74" s="93" t="s">
        <v>270</v>
      </c>
      <c r="BC74" s="162" t="s">
        <v>270</v>
      </c>
      <c r="BD74" s="162" t="s">
        <v>270</v>
      </c>
      <c r="BE74" s="93" t="s">
        <v>270</v>
      </c>
      <c r="BF74" s="93" t="s">
        <v>270</v>
      </c>
      <c r="BG74" s="93" t="s">
        <v>270</v>
      </c>
      <c r="BH74" s="93" t="s">
        <v>270</v>
      </c>
      <c r="BI74" s="93" t="s">
        <v>270</v>
      </c>
      <c r="BJ74" s="93" t="s">
        <v>270</v>
      </c>
      <c r="BK74" s="93" t="s">
        <v>270</v>
      </c>
      <c r="BL74" s="93" t="s">
        <v>270</v>
      </c>
      <c r="BM74" s="93" t="s">
        <v>270</v>
      </c>
      <c r="BN74" s="93" t="s">
        <v>270</v>
      </c>
      <c r="BO74" s="93" t="s">
        <v>270</v>
      </c>
      <c r="BP74" s="93" t="s">
        <v>270</v>
      </c>
    </row>
    <row r="75" spans="1:70">
      <c r="A75" s="94" t="s">
        <v>626</v>
      </c>
      <c r="B75" s="94" t="s">
        <v>738</v>
      </c>
      <c r="C75" s="94" t="s">
        <v>744</v>
      </c>
      <c r="D75" s="95">
        <v>41528</v>
      </c>
      <c r="E75" s="94" t="s">
        <v>745</v>
      </c>
      <c r="F75" s="93" t="s">
        <v>630</v>
      </c>
      <c r="G75" s="93" t="s">
        <v>631</v>
      </c>
      <c r="H75" s="93">
        <v>2.0471226901566207E-25</v>
      </c>
      <c r="I75" s="162" t="s">
        <v>270</v>
      </c>
      <c r="J75" s="93">
        <v>0.84992100378000002</v>
      </c>
      <c r="K75" s="93">
        <v>8.4992100378000007E-2</v>
      </c>
      <c r="L75" s="93">
        <v>61.890243902439003</v>
      </c>
      <c r="M75" s="93">
        <v>6.1890243902439002</v>
      </c>
      <c r="N75" s="93">
        <v>15.309891999657999</v>
      </c>
      <c r="O75" s="93">
        <v>0.71999972318867289</v>
      </c>
      <c r="P75" s="93">
        <v>2.4474110178028821</v>
      </c>
      <c r="Q75" s="93">
        <v>0.55674380540878521</v>
      </c>
      <c r="R75" s="93" t="s">
        <v>270</v>
      </c>
      <c r="S75" s="93" t="s">
        <v>270</v>
      </c>
      <c r="T75" s="93">
        <v>1.7000000000000002</v>
      </c>
      <c r="U75" s="93">
        <v>0.316227766016839</v>
      </c>
      <c r="V75" s="93" t="s">
        <v>270</v>
      </c>
      <c r="W75" s="93" t="s">
        <v>270</v>
      </c>
      <c r="X75" s="93" t="s">
        <v>270</v>
      </c>
      <c r="Y75" s="93" t="s">
        <v>270</v>
      </c>
      <c r="Z75" s="93" t="s">
        <v>270</v>
      </c>
      <c r="AA75" s="93" t="s">
        <v>270</v>
      </c>
      <c r="AB75" s="93" t="s">
        <v>270</v>
      </c>
      <c r="AC75" s="93" t="s">
        <v>270</v>
      </c>
      <c r="AD75" s="93" t="s">
        <v>270</v>
      </c>
      <c r="AE75" s="93" t="s">
        <v>270</v>
      </c>
      <c r="AF75" s="93" t="s">
        <v>270</v>
      </c>
      <c r="AG75" s="93" t="s">
        <v>270</v>
      </c>
      <c r="AH75" s="93">
        <v>2.2877061791423161</v>
      </c>
      <c r="AI75" s="93">
        <v>0.22877061791423162</v>
      </c>
      <c r="AJ75" s="93">
        <v>5.4123955762128189</v>
      </c>
      <c r="AK75" s="93">
        <v>1.4719335419941981</v>
      </c>
      <c r="AL75" s="93" t="s">
        <v>270</v>
      </c>
      <c r="AM75" s="93" t="s">
        <v>270</v>
      </c>
      <c r="AN75" s="93" t="s">
        <v>270</v>
      </c>
      <c r="AO75" s="93" t="s">
        <v>270</v>
      </c>
      <c r="AP75" s="93">
        <v>-0.19435736677115989</v>
      </c>
      <c r="AQ75" s="93">
        <v>3.1347962382445145E-2</v>
      </c>
      <c r="AR75" s="93" t="s">
        <v>270</v>
      </c>
      <c r="AS75" s="93" t="s">
        <v>270</v>
      </c>
      <c r="AT75" s="93" t="s">
        <v>270</v>
      </c>
      <c r="AU75" s="93" t="s">
        <v>270</v>
      </c>
      <c r="AV75" s="93" t="s">
        <v>270</v>
      </c>
      <c r="AW75" s="93" t="s">
        <v>270</v>
      </c>
      <c r="AX75" s="161" t="s">
        <v>270</v>
      </c>
      <c r="AY75" s="93" t="s">
        <v>270</v>
      </c>
      <c r="AZ75" s="93" t="s">
        <v>270</v>
      </c>
      <c r="BA75" s="93" t="s">
        <v>270</v>
      </c>
      <c r="BB75" s="93" t="s">
        <v>270</v>
      </c>
      <c r="BC75" s="162" t="s">
        <v>270</v>
      </c>
      <c r="BD75" s="162" t="s">
        <v>270</v>
      </c>
      <c r="BE75" s="93" t="s">
        <v>270</v>
      </c>
      <c r="BF75" s="93" t="s">
        <v>270</v>
      </c>
      <c r="BG75" s="93" t="s">
        <v>270</v>
      </c>
      <c r="BH75" s="93" t="s">
        <v>270</v>
      </c>
      <c r="BI75" s="93" t="s">
        <v>270</v>
      </c>
      <c r="BJ75" s="93" t="s">
        <v>270</v>
      </c>
      <c r="BK75" s="93" t="s">
        <v>270</v>
      </c>
      <c r="BL75" s="93" t="s">
        <v>270</v>
      </c>
      <c r="BM75" s="93" t="s">
        <v>270</v>
      </c>
      <c r="BN75" s="93" t="s">
        <v>270</v>
      </c>
      <c r="BO75" s="93" t="s">
        <v>270</v>
      </c>
      <c r="BP75" s="93" t="s">
        <v>270</v>
      </c>
    </row>
    <row r="76" spans="1:70">
      <c r="A76" s="94" t="s">
        <v>626</v>
      </c>
      <c r="B76" s="94" t="s">
        <v>738</v>
      </c>
      <c r="C76" s="94" t="s">
        <v>744</v>
      </c>
      <c r="D76" s="95">
        <v>41528</v>
      </c>
      <c r="E76" s="94" t="s">
        <v>747</v>
      </c>
      <c r="F76" s="93" t="s">
        <v>630</v>
      </c>
      <c r="G76" s="93" t="s">
        <v>631</v>
      </c>
      <c r="H76" s="93">
        <v>5.3537435646651172E-25</v>
      </c>
      <c r="I76" s="162" t="s">
        <v>270</v>
      </c>
      <c r="J76" s="93">
        <v>0.84992100378000002</v>
      </c>
      <c r="K76" s="93">
        <v>8.4992100378000007E-2</v>
      </c>
      <c r="L76" s="93">
        <v>61.890243902439003</v>
      </c>
      <c r="M76" s="93">
        <v>6.1890243902439002</v>
      </c>
      <c r="N76" s="93">
        <v>15.056728839453854</v>
      </c>
      <c r="O76" s="93">
        <v>0.71324527269062732</v>
      </c>
      <c r="P76" s="93">
        <v>2.4712775835141749</v>
      </c>
      <c r="Q76" s="93">
        <v>0.5567336838644944</v>
      </c>
      <c r="R76" s="93" t="s">
        <v>270</v>
      </c>
      <c r="S76" s="93" t="s">
        <v>270</v>
      </c>
      <c r="T76" s="93">
        <v>1.7000000000000002</v>
      </c>
      <c r="U76" s="93">
        <v>0.316227766016839</v>
      </c>
      <c r="V76" s="93" t="s">
        <v>270</v>
      </c>
      <c r="W76" s="93" t="s">
        <v>270</v>
      </c>
      <c r="X76" s="93" t="s">
        <v>270</v>
      </c>
      <c r="Y76" s="93" t="s">
        <v>270</v>
      </c>
      <c r="Z76" s="93" t="s">
        <v>270</v>
      </c>
      <c r="AA76" s="93" t="s">
        <v>270</v>
      </c>
      <c r="AB76" s="93" t="s">
        <v>270</v>
      </c>
      <c r="AC76" s="93" t="s">
        <v>270</v>
      </c>
      <c r="AD76" s="93" t="s">
        <v>270</v>
      </c>
      <c r="AE76" s="93" t="s">
        <v>270</v>
      </c>
      <c r="AF76" s="93" t="s">
        <v>270</v>
      </c>
      <c r="AG76" s="93" t="s">
        <v>270</v>
      </c>
      <c r="AH76" s="93">
        <v>2.543228613015001</v>
      </c>
      <c r="AI76" s="93">
        <v>0.25432286130150011</v>
      </c>
      <c r="AJ76" s="93">
        <v>5.9591852062518758</v>
      </c>
      <c r="AK76" s="93">
        <v>1.6100371300401586</v>
      </c>
      <c r="AL76" s="93" t="s">
        <v>270</v>
      </c>
      <c r="AM76" s="93" t="s">
        <v>270</v>
      </c>
      <c r="AN76" s="93" t="s">
        <v>270</v>
      </c>
      <c r="AO76" s="93" t="s">
        <v>270</v>
      </c>
      <c r="AP76" s="93">
        <v>-0.19435736677115989</v>
      </c>
      <c r="AQ76" s="93">
        <v>3.1347962382445145E-2</v>
      </c>
      <c r="AR76" s="93" t="s">
        <v>270</v>
      </c>
      <c r="AS76" s="93" t="s">
        <v>270</v>
      </c>
      <c r="AT76" s="93" t="s">
        <v>270</v>
      </c>
      <c r="AU76" s="93" t="s">
        <v>270</v>
      </c>
      <c r="AV76" s="93" t="s">
        <v>270</v>
      </c>
      <c r="AW76" s="93" t="s">
        <v>270</v>
      </c>
      <c r="AX76" s="161" t="s">
        <v>270</v>
      </c>
      <c r="AY76" s="93" t="s">
        <v>270</v>
      </c>
      <c r="AZ76" s="93" t="s">
        <v>270</v>
      </c>
      <c r="BA76" s="93" t="s">
        <v>270</v>
      </c>
      <c r="BB76" s="93" t="s">
        <v>270</v>
      </c>
      <c r="BC76" s="162" t="s">
        <v>270</v>
      </c>
      <c r="BD76" s="162" t="s">
        <v>270</v>
      </c>
      <c r="BE76" s="93" t="s">
        <v>270</v>
      </c>
      <c r="BF76" s="93" t="s">
        <v>270</v>
      </c>
      <c r="BG76" s="93" t="s">
        <v>270</v>
      </c>
      <c r="BH76" s="93" t="s">
        <v>270</v>
      </c>
      <c r="BI76" s="93" t="s">
        <v>270</v>
      </c>
      <c r="BJ76" s="93" t="s">
        <v>270</v>
      </c>
      <c r="BK76" s="93" t="s">
        <v>270</v>
      </c>
      <c r="BL76" s="93" t="s">
        <v>270</v>
      </c>
      <c r="BM76" s="93" t="s">
        <v>270</v>
      </c>
      <c r="BN76" s="93" t="s">
        <v>270</v>
      </c>
      <c r="BO76" s="93" t="s">
        <v>270</v>
      </c>
      <c r="BP76" s="93" t="s">
        <v>270</v>
      </c>
    </row>
    <row r="77" spans="1:70">
      <c r="A77" s="94" t="s">
        <v>626</v>
      </c>
      <c r="B77" s="94" t="s">
        <v>738</v>
      </c>
      <c r="C77" s="94" t="s">
        <v>744</v>
      </c>
      <c r="D77" s="95">
        <v>41528</v>
      </c>
      <c r="E77" s="94" t="s">
        <v>747</v>
      </c>
      <c r="F77" s="93" t="s">
        <v>630</v>
      </c>
      <c r="G77" s="93" t="s">
        <v>631</v>
      </c>
      <c r="H77" s="93">
        <v>5.3537435646651172E-25</v>
      </c>
      <c r="I77" s="162" t="s">
        <v>270</v>
      </c>
      <c r="J77" s="93">
        <v>0.84992100378000002</v>
      </c>
      <c r="K77" s="93">
        <v>8.4992100378000007E-2</v>
      </c>
      <c r="L77" s="93">
        <v>61.890243902439003</v>
      </c>
      <c r="M77" s="93">
        <v>6.1890243902439002</v>
      </c>
      <c r="N77" s="93">
        <v>15.056728839453854</v>
      </c>
      <c r="O77" s="93">
        <v>0.71324527269062732</v>
      </c>
      <c r="P77" s="93">
        <v>2.4712775835141749</v>
      </c>
      <c r="Q77" s="93">
        <v>0.5567336838644944</v>
      </c>
      <c r="R77" s="93" t="s">
        <v>270</v>
      </c>
      <c r="S77" s="93" t="s">
        <v>270</v>
      </c>
      <c r="T77" s="93">
        <v>1.7000000000000002</v>
      </c>
      <c r="U77" s="93">
        <v>0.316227766016839</v>
      </c>
      <c r="V77" s="93" t="s">
        <v>270</v>
      </c>
      <c r="W77" s="93" t="s">
        <v>270</v>
      </c>
      <c r="X77" s="93" t="s">
        <v>270</v>
      </c>
      <c r="Y77" s="93" t="s">
        <v>270</v>
      </c>
      <c r="Z77" s="93" t="s">
        <v>270</v>
      </c>
      <c r="AA77" s="93" t="s">
        <v>270</v>
      </c>
      <c r="AB77" s="93" t="s">
        <v>270</v>
      </c>
      <c r="AC77" s="93" t="s">
        <v>270</v>
      </c>
      <c r="AD77" s="93" t="s">
        <v>270</v>
      </c>
      <c r="AE77" s="93" t="s">
        <v>270</v>
      </c>
      <c r="AF77" s="93" t="s">
        <v>270</v>
      </c>
      <c r="AG77" s="93" t="s">
        <v>270</v>
      </c>
      <c r="AH77" s="93">
        <v>2.2877061791423161</v>
      </c>
      <c r="AI77" s="93">
        <v>0.22877061791423162</v>
      </c>
      <c r="AJ77" s="93">
        <v>5.360455898156208</v>
      </c>
      <c r="AK77" s="93">
        <v>1.4482740058019732</v>
      </c>
      <c r="AL77" s="93" t="s">
        <v>270</v>
      </c>
      <c r="AM77" s="93" t="s">
        <v>270</v>
      </c>
      <c r="AN77" s="93" t="s">
        <v>270</v>
      </c>
      <c r="AO77" s="93" t="s">
        <v>270</v>
      </c>
      <c r="AP77" s="93">
        <v>-0.19435736677115989</v>
      </c>
      <c r="AQ77" s="93">
        <v>3.1347962382445145E-2</v>
      </c>
      <c r="AR77" s="93" t="s">
        <v>270</v>
      </c>
      <c r="AS77" s="93" t="s">
        <v>270</v>
      </c>
      <c r="AT77" s="93" t="s">
        <v>270</v>
      </c>
      <c r="AU77" s="93" t="s">
        <v>270</v>
      </c>
      <c r="AV77" s="93" t="s">
        <v>270</v>
      </c>
      <c r="AW77" s="93" t="s">
        <v>270</v>
      </c>
      <c r="AX77" s="161" t="s">
        <v>270</v>
      </c>
      <c r="AY77" s="93" t="s">
        <v>270</v>
      </c>
      <c r="AZ77" s="93" t="s">
        <v>270</v>
      </c>
      <c r="BA77" s="93" t="s">
        <v>270</v>
      </c>
      <c r="BB77" s="93" t="s">
        <v>270</v>
      </c>
      <c r="BC77" s="162" t="s">
        <v>270</v>
      </c>
      <c r="BD77" s="162" t="s">
        <v>270</v>
      </c>
      <c r="BE77" s="93" t="s">
        <v>270</v>
      </c>
      <c r="BF77" s="93" t="s">
        <v>270</v>
      </c>
      <c r="BG77" s="93" t="s">
        <v>270</v>
      </c>
      <c r="BH77" s="93" t="s">
        <v>270</v>
      </c>
      <c r="BI77" s="93" t="s">
        <v>270</v>
      </c>
      <c r="BJ77" s="93" t="s">
        <v>270</v>
      </c>
      <c r="BK77" s="93" t="s">
        <v>270</v>
      </c>
      <c r="BL77" s="93" t="s">
        <v>270</v>
      </c>
      <c r="BM77" s="93" t="s">
        <v>270</v>
      </c>
      <c r="BN77" s="93" t="s">
        <v>270</v>
      </c>
      <c r="BO77" s="93" t="s">
        <v>270</v>
      </c>
      <c r="BP77" s="93" t="s">
        <v>270</v>
      </c>
    </row>
    <row r="78" spans="1:70">
      <c r="A78" s="94" t="s">
        <v>626</v>
      </c>
      <c r="B78" s="94" t="s">
        <v>738</v>
      </c>
      <c r="C78" s="94" t="s">
        <v>749</v>
      </c>
      <c r="D78" s="95">
        <v>41513</v>
      </c>
      <c r="E78" s="94" t="s">
        <v>750</v>
      </c>
      <c r="F78" s="93" t="s">
        <v>630</v>
      </c>
      <c r="G78" s="93" t="s">
        <v>631</v>
      </c>
      <c r="H78" s="93">
        <v>1.4611305711956617E-22</v>
      </c>
      <c r="I78" s="162" t="s">
        <v>270</v>
      </c>
      <c r="J78" s="93">
        <v>1.5401885613799999</v>
      </c>
      <c r="K78" s="93">
        <v>0.15401885613799998</v>
      </c>
      <c r="L78" s="93">
        <v>134.451219512195</v>
      </c>
      <c r="M78" s="93">
        <v>13.4451219512195</v>
      </c>
      <c r="N78" s="93">
        <v>12.964519796539356</v>
      </c>
      <c r="O78" s="93">
        <v>0.72938661367320923</v>
      </c>
      <c r="P78" s="93">
        <v>2.5193899347798632</v>
      </c>
      <c r="Q78" s="93">
        <v>0.60710974765487857</v>
      </c>
      <c r="R78" s="93" t="s">
        <v>270</v>
      </c>
      <c r="S78" s="93" t="s">
        <v>270</v>
      </c>
      <c r="T78" s="93">
        <v>1.8500000000000003</v>
      </c>
      <c r="U78" s="93">
        <v>0.34520525295346832</v>
      </c>
      <c r="V78" s="93" t="s">
        <v>270</v>
      </c>
      <c r="W78" s="93" t="s">
        <v>270</v>
      </c>
      <c r="X78" s="93" t="s">
        <v>270</v>
      </c>
      <c r="Y78" s="93" t="s">
        <v>270</v>
      </c>
      <c r="Z78" s="93" t="s">
        <v>270</v>
      </c>
      <c r="AA78" s="93" t="s">
        <v>270</v>
      </c>
      <c r="AB78" s="93" t="s">
        <v>270</v>
      </c>
      <c r="AC78" s="93" t="s">
        <v>270</v>
      </c>
      <c r="AD78" s="93" t="s">
        <v>270</v>
      </c>
      <c r="AE78" s="93" t="s">
        <v>270</v>
      </c>
      <c r="AF78" s="93" t="s">
        <v>270</v>
      </c>
      <c r="AG78" s="93" t="s">
        <v>270</v>
      </c>
      <c r="AH78" s="93">
        <v>0.84600511748290341</v>
      </c>
      <c r="AI78" s="93">
        <v>8.460051174829035E-2</v>
      </c>
      <c r="AJ78" s="93">
        <v>1.8796005918681173</v>
      </c>
      <c r="AK78" s="93">
        <v>0.53571622709673272</v>
      </c>
      <c r="AL78" s="93" t="s">
        <v>270</v>
      </c>
      <c r="AM78" s="93" t="s">
        <v>270</v>
      </c>
      <c r="AN78" s="93" t="s">
        <v>270</v>
      </c>
      <c r="AO78" s="93" t="s">
        <v>270</v>
      </c>
      <c r="AP78" s="93">
        <v>4.0752351097178688E-2</v>
      </c>
      <c r="AQ78" s="93">
        <v>3.1347962382445145E-2</v>
      </c>
      <c r="AR78" s="93" t="s">
        <v>270</v>
      </c>
      <c r="AS78" s="93" t="s">
        <v>270</v>
      </c>
      <c r="AT78" s="93" t="s">
        <v>270</v>
      </c>
      <c r="AU78" s="93" t="s">
        <v>270</v>
      </c>
      <c r="AV78" s="93" t="s">
        <v>270</v>
      </c>
      <c r="AW78" s="93" t="s">
        <v>270</v>
      </c>
      <c r="AX78" s="161" t="s">
        <v>270</v>
      </c>
      <c r="AY78" s="93" t="s">
        <v>270</v>
      </c>
      <c r="AZ78" s="93" t="s">
        <v>270</v>
      </c>
      <c r="BA78" s="93" t="s">
        <v>270</v>
      </c>
      <c r="BB78" s="93" t="s">
        <v>270</v>
      </c>
      <c r="BC78" s="162" t="s">
        <v>270</v>
      </c>
      <c r="BD78" s="162" t="s">
        <v>270</v>
      </c>
      <c r="BE78" s="93" t="s">
        <v>270</v>
      </c>
      <c r="BF78" s="93" t="s">
        <v>270</v>
      </c>
      <c r="BG78" s="93" t="s">
        <v>270</v>
      </c>
      <c r="BH78" s="93" t="s">
        <v>270</v>
      </c>
      <c r="BI78" s="93" t="s">
        <v>270</v>
      </c>
      <c r="BJ78" s="93" t="s">
        <v>270</v>
      </c>
      <c r="BK78" s="93" t="s">
        <v>270</v>
      </c>
      <c r="BL78" s="93" t="s">
        <v>270</v>
      </c>
      <c r="BM78" s="93" t="s">
        <v>270</v>
      </c>
      <c r="BN78" s="93" t="s">
        <v>270</v>
      </c>
      <c r="BO78" s="93" t="s">
        <v>270</v>
      </c>
      <c r="BP78" s="93" t="s">
        <v>270</v>
      </c>
    </row>
    <row r="79" spans="1:70">
      <c r="A79" s="94" t="s">
        <v>626</v>
      </c>
      <c r="B79" s="94" t="s">
        <v>738</v>
      </c>
      <c r="C79" s="94" t="s">
        <v>749</v>
      </c>
      <c r="D79" s="95">
        <v>41513</v>
      </c>
      <c r="E79" s="94" t="s">
        <v>750</v>
      </c>
      <c r="F79" s="93" t="s">
        <v>630</v>
      </c>
      <c r="G79" s="93" t="s">
        <v>631</v>
      </c>
      <c r="H79" s="93">
        <v>1.4611305711956617E-22</v>
      </c>
      <c r="I79" s="162" t="s">
        <v>270</v>
      </c>
      <c r="J79" s="93">
        <v>1.5401885613799999</v>
      </c>
      <c r="K79" s="93">
        <v>0.15401885613799998</v>
      </c>
      <c r="L79" s="93">
        <v>134.451219512195</v>
      </c>
      <c r="M79" s="93">
        <v>13.4451219512195</v>
      </c>
      <c r="N79" s="93">
        <v>12.964519796539356</v>
      </c>
      <c r="O79" s="93">
        <v>0.72938661367320923</v>
      </c>
      <c r="P79" s="93">
        <v>2.5193899347798632</v>
      </c>
      <c r="Q79" s="93">
        <v>0.60710974765487857</v>
      </c>
      <c r="R79" s="93" t="s">
        <v>270</v>
      </c>
      <c r="S79" s="93" t="s">
        <v>270</v>
      </c>
      <c r="T79" s="93">
        <v>1.8500000000000003</v>
      </c>
      <c r="U79" s="93">
        <v>0.34520525295346832</v>
      </c>
      <c r="V79" s="93" t="s">
        <v>270</v>
      </c>
      <c r="W79" s="93" t="s">
        <v>270</v>
      </c>
      <c r="X79" s="93" t="s">
        <v>270</v>
      </c>
      <c r="Y79" s="93" t="s">
        <v>270</v>
      </c>
      <c r="Z79" s="93" t="s">
        <v>270</v>
      </c>
      <c r="AA79" s="93" t="s">
        <v>270</v>
      </c>
      <c r="AB79" s="93" t="s">
        <v>270</v>
      </c>
      <c r="AC79" s="93" t="s">
        <v>270</v>
      </c>
      <c r="AD79" s="93" t="s">
        <v>270</v>
      </c>
      <c r="AE79" s="93" t="s">
        <v>270</v>
      </c>
      <c r="AF79" s="93" t="s">
        <v>270</v>
      </c>
      <c r="AG79" s="93" t="s">
        <v>270</v>
      </c>
      <c r="AH79" s="93">
        <v>0.83051500354911356</v>
      </c>
      <c r="AI79" s="93">
        <v>8.3051500354911365E-2</v>
      </c>
      <c r="AJ79" s="93">
        <v>1.8451856377308637</v>
      </c>
      <c r="AK79" s="93">
        <v>0.52590741480656811</v>
      </c>
      <c r="AL79" s="93" t="s">
        <v>270</v>
      </c>
      <c r="AM79" s="93" t="s">
        <v>270</v>
      </c>
      <c r="AN79" s="93" t="s">
        <v>270</v>
      </c>
      <c r="AO79" s="93" t="s">
        <v>270</v>
      </c>
      <c r="AP79" s="93">
        <v>4.0752351097178688E-2</v>
      </c>
      <c r="AQ79" s="93">
        <v>3.1347962382445145E-2</v>
      </c>
      <c r="AR79" s="93" t="s">
        <v>270</v>
      </c>
      <c r="AS79" s="93" t="s">
        <v>270</v>
      </c>
      <c r="AT79" s="93" t="s">
        <v>270</v>
      </c>
      <c r="AU79" s="93" t="s">
        <v>270</v>
      </c>
      <c r="AV79" s="93" t="s">
        <v>270</v>
      </c>
      <c r="AW79" s="93" t="s">
        <v>270</v>
      </c>
      <c r="AX79" s="161" t="s">
        <v>270</v>
      </c>
      <c r="AY79" s="93" t="s">
        <v>270</v>
      </c>
      <c r="AZ79" s="93" t="s">
        <v>270</v>
      </c>
      <c r="BA79" s="93" t="s">
        <v>270</v>
      </c>
      <c r="BB79" s="93" t="s">
        <v>270</v>
      </c>
      <c r="BC79" s="162" t="s">
        <v>270</v>
      </c>
      <c r="BD79" s="162" t="s">
        <v>270</v>
      </c>
      <c r="BE79" s="93" t="s">
        <v>270</v>
      </c>
      <c r="BF79" s="93" t="s">
        <v>270</v>
      </c>
      <c r="BG79" s="93" t="s">
        <v>270</v>
      </c>
      <c r="BH79" s="93" t="s">
        <v>270</v>
      </c>
      <c r="BI79" s="93" t="s">
        <v>270</v>
      </c>
      <c r="BJ79" s="93" t="s">
        <v>270</v>
      </c>
      <c r="BK79" s="93" t="s">
        <v>270</v>
      </c>
      <c r="BL79" s="93" t="s">
        <v>270</v>
      </c>
      <c r="BM79" s="93" t="s">
        <v>270</v>
      </c>
      <c r="BN79" s="93" t="s">
        <v>270</v>
      </c>
      <c r="BO79" s="93" t="s">
        <v>270</v>
      </c>
      <c r="BP79" s="93" t="s">
        <v>270</v>
      </c>
    </row>
    <row r="80" spans="1:70">
      <c r="A80" s="94" t="s">
        <v>626</v>
      </c>
      <c r="B80" s="94" t="s">
        <v>738</v>
      </c>
      <c r="C80" s="94" t="s">
        <v>749</v>
      </c>
      <c r="D80" s="95">
        <v>41513</v>
      </c>
      <c r="E80" s="94" t="s">
        <v>752</v>
      </c>
      <c r="F80" s="93" t="s">
        <v>630</v>
      </c>
      <c r="G80" s="93" t="s">
        <v>631</v>
      </c>
      <c r="H80" s="93">
        <v>7.1954405159582015E-24</v>
      </c>
      <c r="I80" s="162" t="s">
        <v>270</v>
      </c>
      <c r="J80" s="93">
        <v>1.5401885613799999</v>
      </c>
      <c r="K80" s="93">
        <v>0.15401885613799998</v>
      </c>
      <c r="L80" s="93">
        <v>134.451219512195</v>
      </c>
      <c r="M80" s="93">
        <v>13.4451219512195</v>
      </c>
      <c r="N80" s="93">
        <v>13.657590015125601</v>
      </c>
      <c r="O80" s="93">
        <v>0.6860826372950295</v>
      </c>
      <c r="P80" s="93">
        <v>2.4994491051324688</v>
      </c>
      <c r="Q80" s="93">
        <v>0.55617809719050904</v>
      </c>
      <c r="R80" s="93" t="s">
        <v>270</v>
      </c>
      <c r="S80" s="93" t="s">
        <v>270</v>
      </c>
      <c r="T80" s="93">
        <v>1.5000000000000002</v>
      </c>
      <c r="U80" s="93">
        <v>0.3162277660168375</v>
      </c>
      <c r="V80" s="93" t="s">
        <v>270</v>
      </c>
      <c r="W80" s="93" t="s">
        <v>270</v>
      </c>
      <c r="X80" s="93" t="s">
        <v>270</v>
      </c>
      <c r="Y80" s="93" t="s">
        <v>270</v>
      </c>
      <c r="Z80" s="93" t="s">
        <v>270</v>
      </c>
      <c r="AA80" s="93" t="s">
        <v>270</v>
      </c>
      <c r="AB80" s="93" t="s">
        <v>270</v>
      </c>
      <c r="AC80" s="93" t="s">
        <v>270</v>
      </c>
      <c r="AD80" s="93" t="s">
        <v>270</v>
      </c>
      <c r="AE80" s="93" t="s">
        <v>270</v>
      </c>
      <c r="AF80" s="93" t="s">
        <v>270</v>
      </c>
      <c r="AG80" s="93" t="s">
        <v>270</v>
      </c>
      <c r="AH80" s="93">
        <v>0.84600511748290341</v>
      </c>
      <c r="AI80" s="93">
        <v>8.460051174829035E-2</v>
      </c>
      <c r="AJ80" s="93">
        <v>1.9219664872049242</v>
      </c>
      <c r="AK80" s="93">
        <v>0.51585659305651932</v>
      </c>
      <c r="AL80" s="93" t="s">
        <v>270</v>
      </c>
      <c r="AM80" s="93" t="s">
        <v>270</v>
      </c>
      <c r="AN80" s="93" t="s">
        <v>270</v>
      </c>
      <c r="AO80" s="93" t="s">
        <v>270</v>
      </c>
      <c r="AP80" s="93">
        <v>4.0752351097178688E-2</v>
      </c>
      <c r="AQ80" s="93">
        <v>3.1347962382445145E-2</v>
      </c>
      <c r="AR80" s="93" t="s">
        <v>270</v>
      </c>
      <c r="AS80" s="93" t="s">
        <v>270</v>
      </c>
      <c r="AT80" s="93" t="s">
        <v>270</v>
      </c>
      <c r="AU80" s="93" t="s">
        <v>270</v>
      </c>
      <c r="AV80" s="93" t="s">
        <v>270</v>
      </c>
      <c r="AW80" s="93" t="s">
        <v>270</v>
      </c>
      <c r="AX80" s="161" t="s">
        <v>270</v>
      </c>
      <c r="AY80" s="93" t="s">
        <v>270</v>
      </c>
      <c r="AZ80" s="93" t="s">
        <v>270</v>
      </c>
      <c r="BA80" s="93" t="s">
        <v>270</v>
      </c>
      <c r="BB80" s="93" t="s">
        <v>270</v>
      </c>
      <c r="BC80" s="162" t="s">
        <v>270</v>
      </c>
      <c r="BD80" s="162" t="s">
        <v>270</v>
      </c>
      <c r="BE80" s="93" t="s">
        <v>270</v>
      </c>
      <c r="BF80" s="93" t="s">
        <v>270</v>
      </c>
      <c r="BG80" s="93" t="s">
        <v>270</v>
      </c>
      <c r="BH80" s="93" t="s">
        <v>270</v>
      </c>
      <c r="BI80" s="93" t="s">
        <v>270</v>
      </c>
      <c r="BJ80" s="93" t="s">
        <v>270</v>
      </c>
      <c r="BK80" s="93" t="s">
        <v>270</v>
      </c>
      <c r="BL80" s="93" t="s">
        <v>270</v>
      </c>
      <c r="BM80" s="93" t="s">
        <v>270</v>
      </c>
      <c r="BN80" s="93" t="s">
        <v>270</v>
      </c>
      <c r="BO80" s="93" t="s">
        <v>270</v>
      </c>
      <c r="BP80" s="93" t="s">
        <v>270</v>
      </c>
    </row>
    <row r="81" spans="1:70">
      <c r="A81" s="94" t="s">
        <v>626</v>
      </c>
      <c r="B81" s="94" t="s">
        <v>738</v>
      </c>
      <c r="C81" s="94" t="s">
        <v>749</v>
      </c>
      <c r="D81" s="95">
        <v>41513</v>
      </c>
      <c r="E81" s="94" t="s">
        <v>752</v>
      </c>
      <c r="F81" s="93" t="s">
        <v>630</v>
      </c>
      <c r="G81" s="93" t="s">
        <v>631</v>
      </c>
      <c r="H81" s="93">
        <v>7.1954405159582015E-24</v>
      </c>
      <c r="I81" s="162" t="s">
        <v>270</v>
      </c>
      <c r="J81" s="93">
        <v>1.5401885613799999</v>
      </c>
      <c r="K81" s="93">
        <v>0.15401885613799998</v>
      </c>
      <c r="L81" s="93">
        <v>134.451219512195</v>
      </c>
      <c r="M81" s="93">
        <v>13.4451219512195</v>
      </c>
      <c r="N81" s="93">
        <v>13.657590015125601</v>
      </c>
      <c r="O81" s="93">
        <v>0.6860826372950295</v>
      </c>
      <c r="P81" s="93">
        <v>2.4994491051324688</v>
      </c>
      <c r="Q81" s="93">
        <v>0.55617809719050904</v>
      </c>
      <c r="R81" s="93" t="s">
        <v>270</v>
      </c>
      <c r="S81" s="93" t="s">
        <v>270</v>
      </c>
      <c r="T81" s="93">
        <v>1.5000000000000002</v>
      </c>
      <c r="U81" s="93">
        <v>0.3162277660168375</v>
      </c>
      <c r="V81" s="93" t="s">
        <v>270</v>
      </c>
      <c r="W81" s="93" t="s">
        <v>270</v>
      </c>
      <c r="X81" s="93" t="s">
        <v>270</v>
      </c>
      <c r="Y81" s="93" t="s">
        <v>270</v>
      </c>
      <c r="Z81" s="93" t="s">
        <v>270</v>
      </c>
      <c r="AA81" s="93" t="s">
        <v>270</v>
      </c>
      <c r="AB81" s="93" t="s">
        <v>270</v>
      </c>
      <c r="AC81" s="93" t="s">
        <v>270</v>
      </c>
      <c r="AD81" s="93" t="s">
        <v>270</v>
      </c>
      <c r="AE81" s="93" t="s">
        <v>270</v>
      </c>
      <c r="AF81" s="93" t="s">
        <v>270</v>
      </c>
      <c r="AG81" s="93" t="s">
        <v>270</v>
      </c>
      <c r="AH81" s="93">
        <v>0.83051500354911356</v>
      </c>
      <c r="AI81" s="93">
        <v>8.3051500354911365E-2</v>
      </c>
      <c r="AJ81" s="93">
        <v>1.8867758255310227</v>
      </c>
      <c r="AK81" s="93">
        <v>0.5064114050371884</v>
      </c>
      <c r="AL81" s="93" t="s">
        <v>270</v>
      </c>
      <c r="AM81" s="93" t="s">
        <v>270</v>
      </c>
      <c r="AN81" s="93" t="s">
        <v>270</v>
      </c>
      <c r="AO81" s="93" t="s">
        <v>270</v>
      </c>
      <c r="AP81" s="93">
        <v>4.0752351097178688E-2</v>
      </c>
      <c r="AQ81" s="93">
        <v>3.1347962382445145E-2</v>
      </c>
      <c r="AR81" s="93" t="s">
        <v>270</v>
      </c>
      <c r="AS81" s="93" t="s">
        <v>270</v>
      </c>
      <c r="AT81" s="93" t="s">
        <v>270</v>
      </c>
      <c r="AU81" s="93" t="s">
        <v>270</v>
      </c>
      <c r="AV81" s="93" t="s">
        <v>270</v>
      </c>
      <c r="AW81" s="93" t="s">
        <v>270</v>
      </c>
      <c r="AX81" s="161" t="s">
        <v>270</v>
      </c>
      <c r="AY81" s="93" t="s">
        <v>270</v>
      </c>
      <c r="AZ81" s="93" t="s">
        <v>270</v>
      </c>
      <c r="BA81" s="93" t="s">
        <v>270</v>
      </c>
      <c r="BB81" s="93" t="s">
        <v>270</v>
      </c>
      <c r="BC81" s="162" t="s">
        <v>270</v>
      </c>
      <c r="BD81" s="162" t="s">
        <v>270</v>
      </c>
      <c r="BE81" s="93" t="s">
        <v>270</v>
      </c>
      <c r="BF81" s="93" t="s">
        <v>270</v>
      </c>
      <c r="BG81" s="93" t="s">
        <v>270</v>
      </c>
      <c r="BH81" s="93" t="s">
        <v>270</v>
      </c>
      <c r="BI81" s="93" t="s">
        <v>270</v>
      </c>
      <c r="BJ81" s="93" t="s">
        <v>270</v>
      </c>
      <c r="BK81" s="93" t="s">
        <v>270</v>
      </c>
      <c r="BL81" s="93" t="s">
        <v>270</v>
      </c>
      <c r="BM81" s="93" t="s">
        <v>270</v>
      </c>
      <c r="BN81" s="93" t="s">
        <v>270</v>
      </c>
      <c r="BO81" s="93" t="s">
        <v>270</v>
      </c>
      <c r="BP81" s="93" t="s">
        <v>270</v>
      </c>
    </row>
    <row r="82" spans="1:70">
      <c r="A82" s="94" t="s">
        <v>626</v>
      </c>
      <c r="B82" s="94" t="s">
        <v>738</v>
      </c>
      <c r="C82" s="94" t="s">
        <v>754</v>
      </c>
      <c r="D82" s="95">
        <v>41494</v>
      </c>
      <c r="E82" s="94" t="s">
        <v>755</v>
      </c>
      <c r="F82" s="93" t="s">
        <v>630</v>
      </c>
      <c r="G82" s="93" t="s">
        <v>631</v>
      </c>
      <c r="H82" s="93">
        <v>3.1568021728761461E-20</v>
      </c>
      <c r="I82" s="162" t="s">
        <v>270</v>
      </c>
      <c r="J82" s="93">
        <v>0.32665329450000002</v>
      </c>
      <c r="K82" s="93">
        <v>3.2665329450000002E-2</v>
      </c>
      <c r="L82" s="93">
        <v>100</v>
      </c>
      <c r="M82" s="93">
        <v>10</v>
      </c>
      <c r="N82" s="93">
        <v>12.36050885835729</v>
      </c>
      <c r="O82" s="93">
        <v>5.3153877561714875</v>
      </c>
      <c r="P82" s="93">
        <v>2.1912604252570627</v>
      </c>
      <c r="Q82" s="93">
        <v>0.51719273552853073</v>
      </c>
      <c r="R82" s="93" t="s">
        <v>270</v>
      </c>
      <c r="S82" s="93" t="s">
        <v>270</v>
      </c>
      <c r="T82" s="93">
        <v>0.73514621015442538</v>
      </c>
      <c r="U82" s="93">
        <v>2.4166699809347763</v>
      </c>
      <c r="V82" s="93" t="s">
        <v>270</v>
      </c>
      <c r="W82" s="93" t="s">
        <v>270</v>
      </c>
      <c r="X82" s="93" t="s">
        <v>270</v>
      </c>
      <c r="Y82" s="93" t="s">
        <v>270</v>
      </c>
      <c r="Z82" s="93" t="s">
        <v>270</v>
      </c>
      <c r="AA82" s="93" t="s">
        <v>270</v>
      </c>
      <c r="AB82" s="93" t="s">
        <v>270</v>
      </c>
      <c r="AC82" s="93" t="s">
        <v>270</v>
      </c>
      <c r="AD82" s="93" t="s">
        <v>270</v>
      </c>
      <c r="AE82" s="93" t="s">
        <v>270</v>
      </c>
      <c r="AF82" s="93" t="s">
        <v>270</v>
      </c>
      <c r="AG82" s="93" t="s">
        <v>270</v>
      </c>
      <c r="AH82" s="93">
        <v>0.39405775067591364</v>
      </c>
      <c r="AI82" s="93">
        <v>3.9405775067591367E-2</v>
      </c>
      <c r="AJ82" s="93">
        <v>0.8767108038941287</v>
      </c>
      <c r="AK82" s="93">
        <v>0.44758089608978685</v>
      </c>
      <c r="AL82" s="93" t="s">
        <v>270</v>
      </c>
      <c r="AM82" s="93" t="s">
        <v>270</v>
      </c>
      <c r="AN82" s="93" t="s">
        <v>270</v>
      </c>
      <c r="AO82" s="93" t="s">
        <v>270</v>
      </c>
      <c r="AP82" s="93">
        <v>-9.7178683385579945E-2</v>
      </c>
      <c r="AQ82" s="93">
        <v>3.1347962382445145E-2</v>
      </c>
      <c r="AR82" s="93">
        <v>6.0245520000000007E-7</v>
      </c>
      <c r="AS82" s="93">
        <v>1.3840000000000023E-8</v>
      </c>
      <c r="AT82" s="93">
        <v>1.2739999999999999E-7</v>
      </c>
      <c r="AU82" s="93">
        <v>1E-10</v>
      </c>
      <c r="AV82" s="93">
        <v>2.3440000000000001E-7</v>
      </c>
      <c r="AW82" s="93">
        <v>2.8000000000000002E-10</v>
      </c>
      <c r="AX82" s="161">
        <v>41849</v>
      </c>
      <c r="AY82" s="93">
        <v>4.5359412122686464E-8</v>
      </c>
      <c r="AZ82" s="93">
        <v>2.0533623757710407E-8</v>
      </c>
      <c r="BA82" s="93">
        <v>1.1482204628347009E-8</v>
      </c>
      <c r="BB82" s="93">
        <v>5.8619278031190573E-9</v>
      </c>
      <c r="BC82" s="162">
        <v>1.8086783765057</v>
      </c>
      <c r="BD82" s="162">
        <v>0.20453579890932172</v>
      </c>
      <c r="BE82" s="93">
        <v>7.0558383248966517E-8</v>
      </c>
      <c r="BF82" s="93">
        <v>1.5067179011795797E-15</v>
      </c>
      <c r="BG82" s="93">
        <v>0.37936399945576443</v>
      </c>
      <c r="BH82" s="93">
        <v>4.2536308333404882E-2</v>
      </c>
      <c r="BI82" s="93">
        <v>0.60869360841008679</v>
      </c>
      <c r="BJ82" s="93">
        <v>3.1306559410710817E-2</v>
      </c>
      <c r="BK82" s="93">
        <f>$CC$5</f>
        <v>4.4322825446866948E-8</v>
      </c>
      <c r="BL82" s="93">
        <f>1 * 10 ^ (INT(LOG10($BK$82)))</f>
        <v>1E-8</v>
      </c>
      <c r="BM82" s="93">
        <f>Helium3TU($AP$82,$AR$82,$AT$82,$BK$82,$N$82,$J$82,$L$82,$D$82,$AX$82,$BA$82)</f>
        <v>-1.5934995176547744</v>
      </c>
      <c r="BN82" s="93">
        <f>Helium3TUerr($AQ$82,$AR$82,$AS$82,$AT$82,$AU$82,1,$BE$82,$BK$82,$J$82,$D$82,$AX$82)</f>
        <v>0.76385016095206559</v>
      </c>
      <c r="BO82" s="93" t="str">
        <f>ReptHe3TU($BM$82,$BN$82,$BI$82*100)</f>
        <v>&lt;1</v>
      </c>
      <c r="BP82" s="93" t="str">
        <f>ReptHe3TUerr($BO$82,$BN$82)</f>
        <v>na</v>
      </c>
      <c r="BQ82" s="93" t="s">
        <v>920</v>
      </c>
      <c r="BR82" s="93" t="str">
        <f>TritiumCat($AP$82,$BR$2)</f>
        <v>Tritium Dead</v>
      </c>
    </row>
    <row r="83" spans="1:70">
      <c r="A83" s="94" t="s">
        <v>626</v>
      </c>
      <c r="B83" s="94" t="s">
        <v>738</v>
      </c>
      <c r="C83" s="94" t="s">
        <v>754</v>
      </c>
      <c r="D83" s="95">
        <v>41494</v>
      </c>
      <c r="E83" s="94" t="s">
        <v>755</v>
      </c>
      <c r="F83" s="93" t="s">
        <v>630</v>
      </c>
      <c r="G83" s="93" t="s">
        <v>631</v>
      </c>
      <c r="H83" s="93">
        <v>3.1568021728761461E-20</v>
      </c>
      <c r="I83" s="162" t="s">
        <v>270</v>
      </c>
      <c r="J83" s="93">
        <v>0.32665329450000002</v>
      </c>
      <c r="K83" s="93">
        <v>3.2665329450000002E-2</v>
      </c>
      <c r="L83" s="93">
        <v>100</v>
      </c>
      <c r="M83" s="93">
        <v>10</v>
      </c>
      <c r="N83" s="93">
        <v>12.36050885835729</v>
      </c>
      <c r="O83" s="93">
        <v>5.3153877561714875</v>
      </c>
      <c r="P83" s="93">
        <v>2.1912604252570627</v>
      </c>
      <c r="Q83" s="93">
        <v>0.51719273552853073</v>
      </c>
      <c r="R83" s="93" t="s">
        <v>270</v>
      </c>
      <c r="S83" s="93" t="s">
        <v>270</v>
      </c>
      <c r="T83" s="93">
        <v>0.73514621015442538</v>
      </c>
      <c r="U83" s="93">
        <v>2.4166699809347763</v>
      </c>
      <c r="V83" s="93" t="s">
        <v>270</v>
      </c>
      <c r="W83" s="93" t="s">
        <v>270</v>
      </c>
      <c r="X83" s="93" t="s">
        <v>270</v>
      </c>
      <c r="Y83" s="93" t="s">
        <v>270</v>
      </c>
      <c r="Z83" s="93" t="s">
        <v>270</v>
      </c>
      <c r="AA83" s="93" t="s">
        <v>270</v>
      </c>
      <c r="AB83" s="93" t="s">
        <v>270</v>
      </c>
      <c r="AC83" s="93" t="s">
        <v>270</v>
      </c>
      <c r="AD83" s="93" t="s">
        <v>270</v>
      </c>
      <c r="AE83" s="93" t="s">
        <v>270</v>
      </c>
      <c r="AF83" s="93" t="s">
        <v>270</v>
      </c>
      <c r="AG83" s="93" t="s">
        <v>270</v>
      </c>
      <c r="AH83" s="93">
        <v>0.33362393591759865</v>
      </c>
      <c r="AI83" s="93">
        <v>3.3362393591759867E-2</v>
      </c>
      <c r="AJ83" s="93">
        <v>0.74225594739588363</v>
      </c>
      <c r="AK83" s="93">
        <v>0.3789386198821636</v>
      </c>
      <c r="AL83" s="93" t="s">
        <v>270</v>
      </c>
      <c r="AM83" s="93" t="s">
        <v>270</v>
      </c>
      <c r="AN83" s="93" t="s">
        <v>270</v>
      </c>
      <c r="AO83" s="93" t="s">
        <v>270</v>
      </c>
      <c r="AP83" s="93">
        <v>-9.7178683385579945E-2</v>
      </c>
      <c r="AQ83" s="93">
        <v>3.1347962382445145E-2</v>
      </c>
      <c r="AR83" s="93">
        <v>6.0245520000000007E-7</v>
      </c>
      <c r="AS83" s="93">
        <v>1.3840000000000023E-8</v>
      </c>
      <c r="AT83" s="93">
        <v>1.2739999999999999E-7</v>
      </c>
      <c r="AU83" s="93">
        <v>1E-10</v>
      </c>
      <c r="AV83" s="93">
        <v>2.3440000000000001E-7</v>
      </c>
      <c r="AW83" s="93">
        <v>2.8000000000000002E-10</v>
      </c>
      <c r="AX83" s="161">
        <v>41849</v>
      </c>
      <c r="AY83" s="93">
        <v>4.5359412122686464E-8</v>
      </c>
      <c r="AZ83" s="93">
        <v>2.0533623757710407E-8</v>
      </c>
      <c r="BA83" s="93">
        <v>1.1482204628347009E-8</v>
      </c>
      <c r="BB83" s="93">
        <v>5.8619278031190573E-9</v>
      </c>
      <c r="BC83" s="162">
        <v>1.8086783765057</v>
      </c>
      <c r="BD83" s="162">
        <v>0.20453579890932172</v>
      </c>
      <c r="BE83" s="93">
        <v>7.0558383248966517E-8</v>
      </c>
      <c r="BF83" s="93">
        <v>1.5067179011795797E-15</v>
      </c>
      <c r="BG83" s="93">
        <v>0.37936399945576443</v>
      </c>
      <c r="BH83" s="93">
        <v>4.2536308333404882E-2</v>
      </c>
      <c r="BI83" s="93">
        <v>0.60869360841008679</v>
      </c>
      <c r="BJ83" s="93">
        <v>3.1306559410710817E-2</v>
      </c>
      <c r="BK83" s="93">
        <f>$CC$5</f>
        <v>4.4322825446866948E-8</v>
      </c>
      <c r="BL83" s="93">
        <f>1 * 10 ^ (INT(LOG10($BK$83)))</f>
        <v>1E-8</v>
      </c>
      <c r="BM83" s="93">
        <f>Helium3TU($AP$83,$AR$83,$AT$83,$BK$83,$N$83,$J$83,$L$83,$D$83,$AX$83,$BA$83)</f>
        <v>-1.5934995176547744</v>
      </c>
      <c r="BN83" s="93">
        <f>Helium3TUerr($AQ$83,$AR$83,$AS$83,$AT$83,$AU$83,1,$BE$83,$BK$83,$J$83,$D$83,$AX$83)</f>
        <v>0.76385016095206559</v>
      </c>
      <c r="BO83" s="93" t="str">
        <f>ReptHe3TU($BM$83,$BN$83,$BI$83*100)</f>
        <v>&lt;1</v>
      </c>
      <c r="BP83" s="93" t="str">
        <f>ReptHe3TUerr($BO$83,$BN$83)</f>
        <v>na</v>
      </c>
      <c r="BQ83" s="93" t="s">
        <v>920</v>
      </c>
      <c r="BR83" s="93" t="str">
        <f>TritiumCat($AP$83,$BR$2)</f>
        <v>Tritium Dead</v>
      </c>
    </row>
    <row r="84" spans="1:70">
      <c r="A84" s="94" t="s">
        <v>626</v>
      </c>
      <c r="B84" s="94" t="s">
        <v>738</v>
      </c>
      <c r="C84" s="94" t="s">
        <v>754</v>
      </c>
      <c r="D84" s="95">
        <v>41494</v>
      </c>
      <c r="E84" s="94" t="s">
        <v>757</v>
      </c>
      <c r="F84" s="93" t="s">
        <v>630</v>
      </c>
      <c r="G84" s="93" t="s">
        <v>631</v>
      </c>
      <c r="H84" s="93">
        <v>1.1822482015782311E-19</v>
      </c>
      <c r="I84" s="162" t="s">
        <v>270</v>
      </c>
      <c r="J84" s="93">
        <v>0.32665329450000002</v>
      </c>
      <c r="K84" s="93">
        <v>3.2665329450000002E-2</v>
      </c>
      <c r="L84" s="93">
        <v>100</v>
      </c>
      <c r="M84" s="93">
        <v>10</v>
      </c>
      <c r="N84" s="93">
        <v>12.006384155091729</v>
      </c>
      <c r="O84" s="93">
        <v>5.2761720332257926</v>
      </c>
      <c r="P84" s="93">
        <v>2.1566285735721622</v>
      </c>
      <c r="Q84" s="93">
        <v>0.51918684512826074</v>
      </c>
      <c r="R84" s="93" t="s">
        <v>270</v>
      </c>
      <c r="S84" s="93" t="s">
        <v>270</v>
      </c>
      <c r="T84" s="93">
        <v>0.82168431856547497</v>
      </c>
      <c r="U84" s="93">
        <v>2.4371068032019512</v>
      </c>
      <c r="V84" s="93" t="s">
        <v>270</v>
      </c>
      <c r="W84" s="93" t="s">
        <v>270</v>
      </c>
      <c r="X84" s="93" t="s">
        <v>270</v>
      </c>
      <c r="Y84" s="93" t="s">
        <v>270</v>
      </c>
      <c r="Z84" s="93" t="s">
        <v>270</v>
      </c>
      <c r="AA84" s="93" t="s">
        <v>270</v>
      </c>
      <c r="AB84" s="93" t="s">
        <v>270</v>
      </c>
      <c r="AC84" s="93" t="s">
        <v>270</v>
      </c>
      <c r="AD84" s="93" t="s">
        <v>270</v>
      </c>
      <c r="AE84" s="93" t="s">
        <v>270</v>
      </c>
      <c r="AF84" s="93" t="s">
        <v>270</v>
      </c>
      <c r="AG84" s="93" t="s">
        <v>270</v>
      </c>
      <c r="AH84" s="93">
        <v>0.39405775067591364</v>
      </c>
      <c r="AI84" s="93">
        <v>3.9405775067591367E-2</v>
      </c>
      <c r="AJ84" s="93">
        <v>0.87003389977175249</v>
      </c>
      <c r="AK84" s="93">
        <v>0.45297746402766104</v>
      </c>
      <c r="AL84" s="93" t="s">
        <v>270</v>
      </c>
      <c r="AM84" s="93" t="s">
        <v>270</v>
      </c>
      <c r="AN84" s="93" t="s">
        <v>270</v>
      </c>
      <c r="AO84" s="93" t="s">
        <v>270</v>
      </c>
      <c r="AP84" s="93">
        <v>-9.7178683385579945E-2</v>
      </c>
      <c r="AQ84" s="93">
        <v>3.1347962382445145E-2</v>
      </c>
      <c r="AR84" s="93">
        <v>6.0245520000000007E-7</v>
      </c>
      <c r="AS84" s="93">
        <v>1.3840000000000023E-8</v>
      </c>
      <c r="AT84" s="93">
        <v>1.2739999999999999E-7</v>
      </c>
      <c r="AU84" s="93">
        <v>1E-10</v>
      </c>
      <c r="AV84" s="93">
        <v>2.3440000000000001E-7</v>
      </c>
      <c r="AW84" s="93">
        <v>2.8000000000000002E-10</v>
      </c>
      <c r="AX84" s="161">
        <v>41849</v>
      </c>
      <c r="AY84" s="93">
        <v>4.5424809870345101E-8</v>
      </c>
      <c r="AZ84" s="93">
        <v>2.0970025427712685E-8</v>
      </c>
      <c r="BA84" s="93">
        <v>1.1300733725518131E-8</v>
      </c>
      <c r="BB84" s="93">
        <v>5.8836531610779703E-9</v>
      </c>
      <c r="BC84" s="162">
        <v>1.8046347439567634</v>
      </c>
      <c r="BD84" s="162">
        <v>0.20065055640695073</v>
      </c>
      <c r="BE84" s="93">
        <v>7.0674456404136758E-8</v>
      </c>
      <c r="BF84" s="93">
        <v>1.539291187151457E-15</v>
      </c>
      <c r="BG84" s="93">
        <v>0.38033409628346659</v>
      </c>
      <c r="BH84" s="93">
        <v>4.2536604858883525E-2</v>
      </c>
      <c r="BI84" s="93">
        <v>0.60874195471177794</v>
      </c>
      <c r="BJ84" s="93">
        <v>3.137402016805721E-2</v>
      </c>
      <c r="BK84" s="93">
        <f>$CC$5</f>
        <v>4.4322825446866948E-8</v>
      </c>
      <c r="BL84" s="93">
        <f>1 * 10 ^ (INT(LOG10($BK$84)))</f>
        <v>1E-8</v>
      </c>
      <c r="BM84" s="93">
        <f>Helium3TU($AP$84,$AR$84,$AT$84,$BK$84,$N$84,$J$84,$L$84,$D$84,$AX$84,$BA$84)</f>
        <v>-1.5296066262190942</v>
      </c>
      <c r="BN84" s="93">
        <f>Helium3TUerr($AQ$84,$AR$84,$AS$84,$AT$84,$AU$84,1,$BE$84,$BK$84,$J$84,$D$84,$AX$84)</f>
        <v>0.76402358119889191</v>
      </c>
      <c r="BO84" s="93" t="str">
        <f>ReptHe3TU($BM$84,$BN$84,$BI$84*100)</f>
        <v>&lt;1</v>
      </c>
      <c r="BP84" s="93" t="str">
        <f>ReptHe3TUerr($BO$84,$BN$84)</f>
        <v>na</v>
      </c>
      <c r="BQ84" s="93" t="s">
        <v>920</v>
      </c>
      <c r="BR84" s="93" t="str">
        <f>TritiumCat($AP$84,$BR$2)</f>
        <v>Tritium Dead</v>
      </c>
    </row>
    <row r="85" spans="1:70">
      <c r="A85" s="94" t="s">
        <v>626</v>
      </c>
      <c r="B85" s="94" t="s">
        <v>738</v>
      </c>
      <c r="C85" s="94" t="s">
        <v>754</v>
      </c>
      <c r="D85" s="95">
        <v>41494</v>
      </c>
      <c r="E85" s="94" t="s">
        <v>757</v>
      </c>
      <c r="F85" s="93" t="s">
        <v>630</v>
      </c>
      <c r="G85" s="93" t="s">
        <v>631</v>
      </c>
      <c r="H85" s="93">
        <v>1.1822482015782311E-19</v>
      </c>
      <c r="I85" s="162" t="s">
        <v>270</v>
      </c>
      <c r="J85" s="93">
        <v>0.32665329450000002</v>
      </c>
      <c r="K85" s="93">
        <v>3.2665329450000002E-2</v>
      </c>
      <c r="L85" s="93">
        <v>100</v>
      </c>
      <c r="M85" s="93">
        <v>10</v>
      </c>
      <c r="N85" s="93">
        <v>12.006384155091729</v>
      </c>
      <c r="O85" s="93">
        <v>5.2761720332257926</v>
      </c>
      <c r="P85" s="93">
        <v>2.1566285735721622</v>
      </c>
      <c r="Q85" s="93">
        <v>0.51918684512826074</v>
      </c>
      <c r="R85" s="93" t="s">
        <v>270</v>
      </c>
      <c r="S85" s="93" t="s">
        <v>270</v>
      </c>
      <c r="T85" s="93">
        <v>0.82168431856547497</v>
      </c>
      <c r="U85" s="93">
        <v>2.4371068032019512</v>
      </c>
      <c r="V85" s="93" t="s">
        <v>270</v>
      </c>
      <c r="W85" s="93" t="s">
        <v>270</v>
      </c>
      <c r="X85" s="93" t="s">
        <v>270</v>
      </c>
      <c r="Y85" s="93" t="s">
        <v>270</v>
      </c>
      <c r="Z85" s="93" t="s">
        <v>270</v>
      </c>
      <c r="AA85" s="93" t="s">
        <v>270</v>
      </c>
      <c r="AB85" s="93" t="s">
        <v>270</v>
      </c>
      <c r="AC85" s="93" t="s">
        <v>270</v>
      </c>
      <c r="AD85" s="93" t="s">
        <v>270</v>
      </c>
      <c r="AE85" s="93" t="s">
        <v>270</v>
      </c>
      <c r="AF85" s="93" t="s">
        <v>270</v>
      </c>
      <c r="AG85" s="93" t="s">
        <v>270</v>
      </c>
      <c r="AH85" s="93">
        <v>0.33362393591759865</v>
      </c>
      <c r="AI85" s="93">
        <v>3.3362393591759867E-2</v>
      </c>
      <c r="AJ85" s="93">
        <v>0.73660303223502022</v>
      </c>
      <c r="AK85" s="93">
        <v>0.3835075548486554</v>
      </c>
      <c r="AL85" s="93" t="s">
        <v>270</v>
      </c>
      <c r="AM85" s="93" t="s">
        <v>270</v>
      </c>
      <c r="AN85" s="93" t="s">
        <v>270</v>
      </c>
      <c r="AO85" s="93" t="s">
        <v>270</v>
      </c>
      <c r="AP85" s="93">
        <v>-9.7178683385579945E-2</v>
      </c>
      <c r="AQ85" s="93">
        <v>3.1347962382445145E-2</v>
      </c>
      <c r="AR85" s="93">
        <v>6.0245520000000007E-7</v>
      </c>
      <c r="AS85" s="93">
        <v>1.3840000000000023E-8</v>
      </c>
      <c r="AT85" s="93">
        <v>1.2739999999999999E-7</v>
      </c>
      <c r="AU85" s="93">
        <v>1E-10</v>
      </c>
      <c r="AV85" s="93">
        <v>2.3440000000000001E-7</v>
      </c>
      <c r="AW85" s="93">
        <v>2.8000000000000002E-10</v>
      </c>
      <c r="AX85" s="161">
        <v>41849</v>
      </c>
      <c r="AY85" s="93">
        <v>4.5424809870345101E-8</v>
      </c>
      <c r="AZ85" s="93">
        <v>2.0970025427712685E-8</v>
      </c>
      <c r="BA85" s="93">
        <v>1.1300733725518131E-8</v>
      </c>
      <c r="BB85" s="93">
        <v>5.8836531610779703E-9</v>
      </c>
      <c r="BC85" s="162">
        <v>1.8046347439567634</v>
      </c>
      <c r="BD85" s="162">
        <v>0.20065055640695073</v>
      </c>
      <c r="BE85" s="93">
        <v>7.0674456404136758E-8</v>
      </c>
      <c r="BF85" s="93">
        <v>1.539291187151457E-15</v>
      </c>
      <c r="BG85" s="93">
        <v>0.38033409628346659</v>
      </c>
      <c r="BH85" s="93">
        <v>4.2536604858883525E-2</v>
      </c>
      <c r="BI85" s="93">
        <v>0.60874195471177794</v>
      </c>
      <c r="BJ85" s="93">
        <v>3.137402016805721E-2</v>
      </c>
      <c r="BK85" s="93">
        <f>$CC$5</f>
        <v>4.4322825446866948E-8</v>
      </c>
      <c r="BL85" s="93">
        <f>1 * 10 ^ (INT(LOG10($BK$85)))</f>
        <v>1E-8</v>
      </c>
      <c r="BM85" s="93">
        <f>Helium3TU($AP$85,$AR$85,$AT$85,$BK$85,$N$85,$J$85,$L$85,$D$85,$AX$85,$BA$85)</f>
        <v>-1.5296066262190942</v>
      </c>
      <c r="BN85" s="93">
        <f>Helium3TUerr($AQ$85,$AR$85,$AS$85,$AT$85,$AU$85,1,$BE$85,$BK$85,$J$85,$D$85,$AX$85)</f>
        <v>0.76402358119889191</v>
      </c>
      <c r="BO85" s="93" t="str">
        <f>ReptHe3TU($BM$85,$BN$85,$BI$85*100)</f>
        <v>&lt;1</v>
      </c>
      <c r="BP85" s="93" t="str">
        <f>ReptHe3TUerr($BO$85,$BN$85)</f>
        <v>na</v>
      </c>
      <c r="BQ85" s="93" t="s">
        <v>920</v>
      </c>
      <c r="BR85" s="93" t="str">
        <f>TritiumCat($AP$85,$BR$2)</f>
        <v>Tritium Dead</v>
      </c>
    </row>
    <row r="86" spans="1:70">
      <c r="A86" s="94" t="s">
        <v>626</v>
      </c>
      <c r="B86" s="94" t="s">
        <v>738</v>
      </c>
      <c r="C86" s="94" t="s">
        <v>759</v>
      </c>
      <c r="D86" s="95">
        <v>41492</v>
      </c>
      <c r="E86" s="94" t="s">
        <v>760</v>
      </c>
      <c r="F86" s="93" t="s">
        <v>630</v>
      </c>
      <c r="G86" s="93" t="s">
        <v>631</v>
      </c>
      <c r="H86" s="93">
        <v>5.498537046534985E-22</v>
      </c>
      <c r="I86" s="162" t="s">
        <v>270</v>
      </c>
      <c r="J86" s="93">
        <v>0.23046814937999999</v>
      </c>
      <c r="K86" s="93">
        <v>2.3046814937999999E-2</v>
      </c>
      <c r="L86" s="93">
        <v>33.536585365853597</v>
      </c>
      <c r="M86" s="93">
        <v>3.3536585365853595</v>
      </c>
      <c r="N86" s="93">
        <v>16.603181980631291</v>
      </c>
      <c r="O86" s="93">
        <v>5.7080131531501577</v>
      </c>
      <c r="P86" s="93">
        <v>1.981642934907822</v>
      </c>
      <c r="Q86" s="93">
        <v>0.49224252551091396</v>
      </c>
      <c r="R86" s="93" t="s">
        <v>270</v>
      </c>
      <c r="S86" s="93" t="s">
        <v>270</v>
      </c>
      <c r="T86" s="93">
        <v>0.65578618021461066</v>
      </c>
      <c r="U86" s="93">
        <v>2.2221692482180266</v>
      </c>
      <c r="V86" s="93" t="s">
        <v>270</v>
      </c>
      <c r="W86" s="93" t="s">
        <v>270</v>
      </c>
      <c r="X86" s="93" t="s">
        <v>270</v>
      </c>
      <c r="Y86" s="93" t="s">
        <v>270</v>
      </c>
      <c r="Z86" s="93" t="s">
        <v>270</v>
      </c>
      <c r="AA86" s="93" t="s">
        <v>270</v>
      </c>
      <c r="AB86" s="93" t="s">
        <v>270</v>
      </c>
      <c r="AC86" s="93" t="s">
        <v>270</v>
      </c>
      <c r="AD86" s="93" t="s">
        <v>270</v>
      </c>
      <c r="AE86" s="93" t="s">
        <v>270</v>
      </c>
      <c r="AF86" s="93" t="s">
        <v>270</v>
      </c>
      <c r="AG86" s="93" t="s">
        <v>270</v>
      </c>
      <c r="AH86" s="93">
        <v>0.13923560872019394</v>
      </c>
      <c r="AI86" s="93">
        <v>1.3923560872019396E-2</v>
      </c>
      <c r="AJ86" s="93">
        <v>0.35714256815397954</v>
      </c>
      <c r="AK86" s="93">
        <v>0.15967705913418587</v>
      </c>
      <c r="AL86" s="93" t="s">
        <v>270</v>
      </c>
      <c r="AM86" s="93" t="s">
        <v>270</v>
      </c>
      <c r="AN86" s="93" t="s">
        <v>270</v>
      </c>
      <c r="AO86" s="93" t="s">
        <v>270</v>
      </c>
      <c r="AP86" s="93">
        <v>-2.8213166144200625E-2</v>
      </c>
      <c r="AQ86" s="93">
        <v>3.1347962382445145E-2</v>
      </c>
      <c r="AR86" s="93">
        <v>5.343624E-7</v>
      </c>
      <c r="AS86" s="93">
        <v>1.3840000000000023E-8</v>
      </c>
      <c r="AT86" s="93">
        <v>1.5160000000000001E-7</v>
      </c>
      <c r="AU86" s="93">
        <v>1E-10</v>
      </c>
      <c r="AV86" s="93">
        <v>2.252E-7</v>
      </c>
      <c r="AW86" s="93">
        <v>2.8000000000000002E-10</v>
      </c>
      <c r="AX86" s="161">
        <v>41850</v>
      </c>
      <c r="AY86" s="93">
        <v>4.5028163662917373E-8</v>
      </c>
      <c r="AZ86" s="93">
        <v>1.6738839370565883E-8</v>
      </c>
      <c r="BA86" s="93">
        <v>1.0383808978916984E-8</v>
      </c>
      <c r="BB86" s="93">
        <v>4.6425607816365312E-9</v>
      </c>
      <c r="BC86" s="162">
        <v>2.3667817576324821</v>
      </c>
      <c r="BD86" s="162">
        <v>0.19036457340198698</v>
      </c>
      <c r="BE86" s="93">
        <v>9.6188027358165651E-8</v>
      </c>
      <c r="BF86" s="93">
        <v>1.670883533038807E-15</v>
      </c>
      <c r="BG86" s="93">
        <v>0.34095930072771174</v>
      </c>
      <c r="BH86" s="93">
        <v>3.2470027818030656E-2</v>
      </c>
      <c r="BI86" s="93">
        <v>0.68114050289852801</v>
      </c>
      <c r="BJ86" s="93">
        <v>2.2875211492915125E-2</v>
      </c>
      <c r="BK86" s="93">
        <f>$CC$5</f>
        <v>4.4322825446866948E-8</v>
      </c>
      <c r="BL86" s="93">
        <f>1 * 10 ^ (INT(LOG10($BK$86)))</f>
        <v>1E-8</v>
      </c>
      <c r="BM86" s="93">
        <f>Helium3TU($AP$86,$AR$86,$AT$86,$BK$86,$N$86,$J$86,$L$86,$D$86,$AX$86,$BA$86)</f>
        <v>0.44068952077793805</v>
      </c>
      <c r="BN86" s="93">
        <f>Helium3TUerr($AQ$86,$AR$86,$AS$86,$AT$86,$AU$86,1,$BE$86,$BK$86,$J$86,$D$86,$AX$86)</f>
        <v>0.92805823375831586</v>
      </c>
      <c r="BO86" s="93" t="str">
        <f>ReptHe3TU($BM$86,$BN$86,$BI$86*100)</f>
        <v>Not Quantifiable</v>
      </c>
      <c r="BP86" s="93" t="str">
        <f>ReptHe3TUerr($BO$86,$BN$86)</f>
        <v>na</v>
      </c>
      <c r="BQ86" s="93" t="s">
        <v>920</v>
      </c>
      <c r="BR86" s="93" t="str">
        <f>TritiumCat($AP$86,$BR$2)</f>
        <v>Tritium Dead</v>
      </c>
    </row>
    <row r="87" spans="1:70">
      <c r="A87" s="94" t="s">
        <v>626</v>
      </c>
      <c r="B87" s="94" t="s">
        <v>738</v>
      </c>
      <c r="C87" s="94" t="s">
        <v>759</v>
      </c>
      <c r="D87" s="95">
        <v>41492</v>
      </c>
      <c r="E87" s="94" t="s">
        <v>760</v>
      </c>
      <c r="F87" s="93" t="s">
        <v>630</v>
      </c>
      <c r="G87" s="93" t="s">
        <v>631</v>
      </c>
      <c r="H87" s="93">
        <v>5.498537046534985E-22</v>
      </c>
      <c r="I87" s="162" t="s">
        <v>270</v>
      </c>
      <c r="J87" s="93">
        <v>0.23046814937999999</v>
      </c>
      <c r="K87" s="93">
        <v>2.3046814937999999E-2</v>
      </c>
      <c r="L87" s="93">
        <v>33.536585365853597</v>
      </c>
      <c r="M87" s="93">
        <v>3.3536585365853595</v>
      </c>
      <c r="N87" s="93">
        <v>16.603181980631291</v>
      </c>
      <c r="O87" s="93">
        <v>5.7080131531501577</v>
      </c>
      <c r="P87" s="93">
        <v>1.981642934907822</v>
      </c>
      <c r="Q87" s="93">
        <v>0.49224252551091396</v>
      </c>
      <c r="R87" s="93" t="s">
        <v>270</v>
      </c>
      <c r="S87" s="93" t="s">
        <v>270</v>
      </c>
      <c r="T87" s="93">
        <v>0.65578618021461066</v>
      </c>
      <c r="U87" s="93">
        <v>2.2221692482180266</v>
      </c>
      <c r="V87" s="93" t="s">
        <v>270</v>
      </c>
      <c r="W87" s="93" t="s">
        <v>270</v>
      </c>
      <c r="X87" s="93" t="s">
        <v>270</v>
      </c>
      <c r="Y87" s="93" t="s">
        <v>270</v>
      </c>
      <c r="Z87" s="93" t="s">
        <v>270</v>
      </c>
      <c r="AA87" s="93" t="s">
        <v>270</v>
      </c>
      <c r="AB87" s="93" t="s">
        <v>270</v>
      </c>
      <c r="AC87" s="93" t="s">
        <v>270</v>
      </c>
      <c r="AD87" s="93" t="s">
        <v>270</v>
      </c>
      <c r="AE87" s="93" t="s">
        <v>270</v>
      </c>
      <c r="AF87" s="93" t="s">
        <v>270</v>
      </c>
      <c r="AG87" s="93" t="s">
        <v>270</v>
      </c>
      <c r="AH87" s="93">
        <v>0.47264080919931117</v>
      </c>
      <c r="AI87" s="93">
        <v>4.7264080919931117E-2</v>
      </c>
      <c r="AJ87" s="93">
        <v>1.2123346460246072</v>
      </c>
      <c r="AK87" s="93">
        <v>0.54203012529223882</v>
      </c>
      <c r="AL87" s="93" t="s">
        <v>270</v>
      </c>
      <c r="AM87" s="93" t="s">
        <v>270</v>
      </c>
      <c r="AN87" s="93" t="s">
        <v>270</v>
      </c>
      <c r="AO87" s="93" t="s">
        <v>270</v>
      </c>
      <c r="AP87" s="93">
        <v>-2.8213166144200625E-2</v>
      </c>
      <c r="AQ87" s="93">
        <v>3.1347962382445145E-2</v>
      </c>
      <c r="AR87" s="93">
        <v>5.343624E-7</v>
      </c>
      <c r="AS87" s="93">
        <v>1.3840000000000023E-8</v>
      </c>
      <c r="AT87" s="93">
        <v>1.5160000000000001E-7</v>
      </c>
      <c r="AU87" s="93">
        <v>1E-10</v>
      </c>
      <c r="AV87" s="93">
        <v>2.252E-7</v>
      </c>
      <c r="AW87" s="93">
        <v>2.8000000000000002E-10</v>
      </c>
      <c r="AX87" s="161">
        <v>41850</v>
      </c>
      <c r="AY87" s="93">
        <v>4.5028163662917373E-8</v>
      </c>
      <c r="AZ87" s="93">
        <v>1.6738839370565883E-8</v>
      </c>
      <c r="BA87" s="93">
        <v>1.0383808978916984E-8</v>
      </c>
      <c r="BB87" s="93">
        <v>4.6425607816365312E-9</v>
      </c>
      <c r="BC87" s="162">
        <v>2.3667817576324821</v>
      </c>
      <c r="BD87" s="162">
        <v>0.19036457340198698</v>
      </c>
      <c r="BE87" s="93">
        <v>9.6188027358165651E-8</v>
      </c>
      <c r="BF87" s="93">
        <v>1.670883533038807E-15</v>
      </c>
      <c r="BG87" s="93">
        <v>0.34095930072771174</v>
      </c>
      <c r="BH87" s="93">
        <v>3.2470027818030656E-2</v>
      </c>
      <c r="BI87" s="93">
        <v>0.68114050289852801</v>
      </c>
      <c r="BJ87" s="93">
        <v>2.2875211492915125E-2</v>
      </c>
      <c r="BK87" s="93">
        <f>$CC$5</f>
        <v>4.4322825446866948E-8</v>
      </c>
      <c r="BL87" s="93">
        <f>1 * 10 ^ (INT(LOG10($BK$87)))</f>
        <v>1E-8</v>
      </c>
      <c r="BM87" s="93">
        <f>Helium3TU($AP$87,$AR$87,$AT$87,$BK$87,$N$87,$J$87,$L$87,$D$87,$AX$87,$BA$87)</f>
        <v>0.44068952077793805</v>
      </c>
      <c r="BN87" s="93">
        <f>Helium3TUerr($AQ$87,$AR$87,$AS$87,$AT$87,$AU$87,1,$BE$87,$BK$87,$J$87,$D$87,$AX$87)</f>
        <v>0.92805823375831586</v>
      </c>
      <c r="BO87" s="93" t="str">
        <f>ReptHe3TU($BM$87,$BN$87,$BI$87*100)</f>
        <v>Not Quantifiable</v>
      </c>
      <c r="BP87" s="93" t="str">
        <f>ReptHe3TUerr($BO$87,$BN$87)</f>
        <v>na</v>
      </c>
      <c r="BQ87" s="93" t="s">
        <v>920</v>
      </c>
      <c r="BR87" s="93" t="str">
        <f>TritiumCat($AP$87,$BR$2)</f>
        <v>Tritium Dead</v>
      </c>
    </row>
    <row r="88" spans="1:70">
      <c r="A88" s="94" t="s">
        <v>626</v>
      </c>
      <c r="B88" s="94" t="s">
        <v>738</v>
      </c>
      <c r="C88" s="94" t="s">
        <v>759</v>
      </c>
      <c r="D88" s="95">
        <v>41492</v>
      </c>
      <c r="E88" s="94" t="s">
        <v>762</v>
      </c>
      <c r="F88" s="93" t="s">
        <v>630</v>
      </c>
      <c r="G88" s="93" t="s">
        <v>631</v>
      </c>
      <c r="H88" s="93">
        <v>2.434033271673785E-22</v>
      </c>
      <c r="I88" s="162" t="s">
        <v>270</v>
      </c>
      <c r="J88" s="93">
        <v>0.23046814937999999</v>
      </c>
      <c r="K88" s="93">
        <v>2.3046814937999999E-2</v>
      </c>
      <c r="L88" s="93">
        <v>33.536585365853597</v>
      </c>
      <c r="M88" s="93">
        <v>3.3536585365853595</v>
      </c>
      <c r="N88" s="93">
        <v>16.465884778123204</v>
      </c>
      <c r="O88" s="93">
        <v>5.6923539980359354</v>
      </c>
      <c r="P88" s="93">
        <v>1.9697864414612274</v>
      </c>
      <c r="Q88" s="93">
        <v>0.49285978404846054</v>
      </c>
      <c r="R88" s="93" t="s">
        <v>270</v>
      </c>
      <c r="S88" s="93" t="s">
        <v>270</v>
      </c>
      <c r="T88" s="93">
        <v>0.64172453993547351</v>
      </c>
      <c r="U88" s="93">
        <v>2.2253978327733055</v>
      </c>
      <c r="V88" s="93" t="s">
        <v>270</v>
      </c>
      <c r="W88" s="93" t="s">
        <v>270</v>
      </c>
      <c r="X88" s="93" t="s">
        <v>270</v>
      </c>
      <c r="Y88" s="93" t="s">
        <v>270</v>
      </c>
      <c r="Z88" s="93" t="s">
        <v>270</v>
      </c>
      <c r="AA88" s="93" t="s">
        <v>270</v>
      </c>
      <c r="AB88" s="93" t="s">
        <v>270</v>
      </c>
      <c r="AC88" s="93" t="s">
        <v>270</v>
      </c>
      <c r="AD88" s="93" t="s">
        <v>270</v>
      </c>
      <c r="AE88" s="93" t="s">
        <v>270</v>
      </c>
      <c r="AF88" s="93" t="s">
        <v>270</v>
      </c>
      <c r="AG88" s="93" t="s">
        <v>270</v>
      </c>
      <c r="AH88" s="93">
        <v>0.13923560872019394</v>
      </c>
      <c r="AI88" s="93">
        <v>1.3923560872019396E-2</v>
      </c>
      <c r="AJ88" s="93">
        <v>0.35622694362858193</v>
      </c>
      <c r="AK88" s="93">
        <v>0.16015066109743775</v>
      </c>
      <c r="AL88" s="93" t="s">
        <v>270</v>
      </c>
      <c r="AM88" s="93" t="s">
        <v>270</v>
      </c>
      <c r="AN88" s="93" t="s">
        <v>270</v>
      </c>
      <c r="AO88" s="93" t="s">
        <v>270</v>
      </c>
      <c r="AP88" s="93">
        <v>-2.8213166144200625E-2</v>
      </c>
      <c r="AQ88" s="93">
        <v>3.1347962382445145E-2</v>
      </c>
      <c r="AR88" s="93">
        <v>5.343624E-7</v>
      </c>
      <c r="AS88" s="93">
        <v>1.3840000000000023E-8</v>
      </c>
      <c r="AT88" s="93">
        <v>1.5160000000000001E-7</v>
      </c>
      <c r="AU88" s="93">
        <v>1E-10</v>
      </c>
      <c r="AV88" s="93">
        <v>2.252E-7</v>
      </c>
      <c r="AW88" s="93">
        <v>2.8000000000000002E-10</v>
      </c>
      <c r="AX88" s="161">
        <v>41850</v>
      </c>
      <c r="AY88" s="93">
        <v>4.5049630948967689E-8</v>
      </c>
      <c r="AZ88" s="93">
        <v>1.6826660697138943E-8</v>
      </c>
      <c r="BA88" s="93">
        <v>1.032168095325683E-8</v>
      </c>
      <c r="BB88" s="93">
        <v>4.640367770789481E-9</v>
      </c>
      <c r="BC88" s="162">
        <v>2.3651774011585753</v>
      </c>
      <c r="BD88" s="162">
        <v>0.18900978731173601</v>
      </c>
      <c r="BE88" s="93">
        <v>9.6228688097775489E-8</v>
      </c>
      <c r="BF88" s="93">
        <v>1.6796786371475174E-15</v>
      </c>
      <c r="BG88" s="93">
        <v>0.34124911834733679</v>
      </c>
      <c r="BH88" s="93">
        <v>3.2435706169468587E-2</v>
      </c>
      <c r="BI88" s="93">
        <v>0.68112877304473451</v>
      </c>
      <c r="BJ88" s="93">
        <v>2.2854185308014613E-2</v>
      </c>
      <c r="BK88" s="93">
        <f>$CC$5</f>
        <v>4.4322825446866948E-8</v>
      </c>
      <c r="BL88" s="93">
        <f>1 * 10 ^ (INT(LOG10($BK$88)))</f>
        <v>1E-8</v>
      </c>
      <c r="BM88" s="93">
        <f>Helium3TU($AP$88,$AR$88,$AT$88,$BK$88,$N$88,$J$88,$L$88,$D$88,$AX$88,$BA$88)</f>
        <v>0.46307641638800606</v>
      </c>
      <c r="BN88" s="93">
        <f>Helium3TUerr($AQ$88,$AR$88,$AS$88,$AT$88,$AU$88,1,$BE$88,$BK$88,$J$88,$D$88,$AX$88)</f>
        <v>0.92812634724747622</v>
      </c>
      <c r="BO88" s="93" t="str">
        <f>ReptHe3TU($BM$88,$BN$88,$BI$88*100)</f>
        <v>Not Quantifiable</v>
      </c>
      <c r="BP88" s="93" t="str">
        <f>ReptHe3TUerr($BO$88,$BN$88)</f>
        <v>na</v>
      </c>
      <c r="BQ88" s="93" t="s">
        <v>920</v>
      </c>
      <c r="BR88" s="93" t="str">
        <f>TritiumCat($AP$88,$BR$2)</f>
        <v>Tritium Dead</v>
      </c>
    </row>
    <row r="89" spans="1:70">
      <c r="A89" s="94" t="s">
        <v>626</v>
      </c>
      <c r="B89" s="94" t="s">
        <v>738</v>
      </c>
      <c r="C89" s="94" t="s">
        <v>759</v>
      </c>
      <c r="D89" s="95">
        <v>41492</v>
      </c>
      <c r="E89" s="94" t="s">
        <v>762</v>
      </c>
      <c r="F89" s="93" t="s">
        <v>630</v>
      </c>
      <c r="G89" s="93" t="s">
        <v>631</v>
      </c>
      <c r="H89" s="93">
        <v>2.434033271673785E-22</v>
      </c>
      <c r="I89" s="162" t="s">
        <v>270</v>
      </c>
      <c r="J89" s="93">
        <v>0.23046814937999999</v>
      </c>
      <c r="K89" s="93">
        <v>2.3046814937999999E-2</v>
      </c>
      <c r="L89" s="93">
        <v>33.536585365853597</v>
      </c>
      <c r="M89" s="93">
        <v>3.3536585365853595</v>
      </c>
      <c r="N89" s="93">
        <v>16.465884778123204</v>
      </c>
      <c r="O89" s="93">
        <v>5.6923539980359354</v>
      </c>
      <c r="P89" s="93">
        <v>1.9697864414612274</v>
      </c>
      <c r="Q89" s="93">
        <v>0.49285978404846054</v>
      </c>
      <c r="R89" s="93" t="s">
        <v>270</v>
      </c>
      <c r="S89" s="93" t="s">
        <v>270</v>
      </c>
      <c r="T89" s="93">
        <v>0.64172453993547351</v>
      </c>
      <c r="U89" s="93">
        <v>2.2253978327733055</v>
      </c>
      <c r="V89" s="93" t="s">
        <v>270</v>
      </c>
      <c r="W89" s="93" t="s">
        <v>270</v>
      </c>
      <c r="X89" s="93" t="s">
        <v>270</v>
      </c>
      <c r="Y89" s="93" t="s">
        <v>270</v>
      </c>
      <c r="Z89" s="93" t="s">
        <v>270</v>
      </c>
      <c r="AA89" s="93" t="s">
        <v>270</v>
      </c>
      <c r="AB89" s="93" t="s">
        <v>270</v>
      </c>
      <c r="AC89" s="93" t="s">
        <v>270</v>
      </c>
      <c r="AD89" s="93" t="s">
        <v>270</v>
      </c>
      <c r="AE89" s="93" t="s">
        <v>270</v>
      </c>
      <c r="AF89" s="93" t="s">
        <v>270</v>
      </c>
      <c r="AG89" s="93" t="s">
        <v>270</v>
      </c>
      <c r="AH89" s="93">
        <v>0.47264080919931117</v>
      </c>
      <c r="AI89" s="93">
        <v>4.7264080919931117E-2</v>
      </c>
      <c r="AJ89" s="93">
        <v>1.2092265221719198</v>
      </c>
      <c r="AK89" s="93">
        <v>0.54363778598483925</v>
      </c>
      <c r="AL89" s="93" t="s">
        <v>270</v>
      </c>
      <c r="AM89" s="93" t="s">
        <v>270</v>
      </c>
      <c r="AN89" s="93" t="s">
        <v>270</v>
      </c>
      <c r="AO89" s="93" t="s">
        <v>270</v>
      </c>
      <c r="AP89" s="93">
        <v>-2.8213166144200625E-2</v>
      </c>
      <c r="AQ89" s="93">
        <v>3.1347962382445145E-2</v>
      </c>
      <c r="AR89" s="93">
        <v>5.343624E-7</v>
      </c>
      <c r="AS89" s="93">
        <v>1.3840000000000023E-8</v>
      </c>
      <c r="AT89" s="93">
        <v>1.5160000000000001E-7</v>
      </c>
      <c r="AU89" s="93">
        <v>1E-10</v>
      </c>
      <c r="AV89" s="93">
        <v>2.252E-7</v>
      </c>
      <c r="AW89" s="93">
        <v>2.8000000000000002E-10</v>
      </c>
      <c r="AX89" s="161">
        <v>41850</v>
      </c>
      <c r="AY89" s="93">
        <v>4.5049630948967689E-8</v>
      </c>
      <c r="AZ89" s="93">
        <v>1.6826660697138943E-8</v>
      </c>
      <c r="BA89" s="93">
        <v>1.032168095325683E-8</v>
      </c>
      <c r="BB89" s="93">
        <v>4.640367770789481E-9</v>
      </c>
      <c r="BC89" s="162">
        <v>2.3651774011585753</v>
      </c>
      <c r="BD89" s="162">
        <v>0.18900978731173601</v>
      </c>
      <c r="BE89" s="93">
        <v>9.6228688097775489E-8</v>
      </c>
      <c r="BF89" s="93">
        <v>1.6796786371475174E-15</v>
      </c>
      <c r="BG89" s="93">
        <v>0.34124911834733679</v>
      </c>
      <c r="BH89" s="93">
        <v>3.2435706169468587E-2</v>
      </c>
      <c r="BI89" s="93">
        <v>0.68112877304473451</v>
      </c>
      <c r="BJ89" s="93">
        <v>2.2854185308014613E-2</v>
      </c>
      <c r="BK89" s="93">
        <f>$CC$5</f>
        <v>4.4322825446866948E-8</v>
      </c>
      <c r="BL89" s="93">
        <f>1 * 10 ^ (INT(LOG10($BK$89)))</f>
        <v>1E-8</v>
      </c>
      <c r="BM89" s="93">
        <f>Helium3TU($AP$89,$AR$89,$AT$89,$BK$89,$N$89,$J$89,$L$89,$D$89,$AX$89,$BA$89)</f>
        <v>0.46307641638800606</v>
      </c>
      <c r="BN89" s="93">
        <f>Helium3TUerr($AQ$89,$AR$89,$AS$89,$AT$89,$AU$89,1,$BE$89,$BK$89,$J$89,$D$89,$AX$89)</f>
        <v>0.92812634724747622</v>
      </c>
      <c r="BO89" s="93" t="str">
        <f>ReptHe3TU($BM$89,$BN$89,$BI$89*100)</f>
        <v>Not Quantifiable</v>
      </c>
      <c r="BP89" s="93" t="str">
        <f>ReptHe3TUerr($BO$89,$BN$89)</f>
        <v>na</v>
      </c>
      <c r="BQ89" s="93" t="s">
        <v>920</v>
      </c>
      <c r="BR89" s="93" t="str">
        <f>TritiumCat($AP$89,$BR$2)</f>
        <v>Tritium Dead</v>
      </c>
    </row>
    <row r="90" spans="1:70">
      <c r="A90" s="94" t="s">
        <v>626</v>
      </c>
      <c r="B90" s="94" t="s">
        <v>738</v>
      </c>
      <c r="C90" s="94" t="s">
        <v>764</v>
      </c>
      <c r="D90" s="95">
        <v>41500</v>
      </c>
      <c r="E90" s="94" t="s">
        <v>765</v>
      </c>
      <c r="F90" s="93" t="s">
        <v>630</v>
      </c>
      <c r="G90" s="93" t="s">
        <v>631</v>
      </c>
      <c r="H90" s="93">
        <v>4.6111390916044476E-25</v>
      </c>
      <c r="I90" s="162" t="s">
        <v>270</v>
      </c>
      <c r="J90" s="93">
        <v>0.70302982272000003</v>
      </c>
      <c r="K90" s="93">
        <v>7.0302982272000006E-2</v>
      </c>
      <c r="L90" s="93">
        <v>100</v>
      </c>
      <c r="M90" s="93">
        <v>10</v>
      </c>
      <c r="N90" s="93">
        <v>16.10292681238537</v>
      </c>
      <c r="O90" s="93">
        <v>6.2800049692671633</v>
      </c>
      <c r="P90" s="93">
        <v>6.0316135382643727</v>
      </c>
      <c r="Q90" s="93">
        <v>0.6084953372091122</v>
      </c>
      <c r="R90" s="93" t="s">
        <v>270</v>
      </c>
      <c r="S90" s="93" t="s">
        <v>270</v>
      </c>
      <c r="T90" s="93">
        <v>0.86995415253437058</v>
      </c>
      <c r="U90" s="93">
        <v>2.6496065033493439</v>
      </c>
      <c r="V90" s="93" t="s">
        <v>270</v>
      </c>
      <c r="W90" s="93" t="s">
        <v>270</v>
      </c>
      <c r="X90" s="93" t="s">
        <v>270</v>
      </c>
      <c r="Y90" s="93" t="s">
        <v>270</v>
      </c>
      <c r="Z90" s="93" t="s">
        <v>270</v>
      </c>
      <c r="AA90" s="93" t="s">
        <v>270</v>
      </c>
      <c r="AB90" s="93" t="s">
        <v>270</v>
      </c>
      <c r="AC90" s="93" t="s">
        <v>270</v>
      </c>
      <c r="AD90" s="93" t="s">
        <v>270</v>
      </c>
      <c r="AE90" s="93" t="s">
        <v>270</v>
      </c>
      <c r="AF90" s="93" t="s">
        <v>270</v>
      </c>
      <c r="AG90" s="93" t="s">
        <v>270</v>
      </c>
      <c r="AH90" s="93">
        <v>0.68968053018385311</v>
      </c>
      <c r="AI90" s="93">
        <v>6.8968053018385309E-2</v>
      </c>
      <c r="AJ90" s="93">
        <v>1.2009487319124701</v>
      </c>
      <c r="AK90" s="93">
        <v>0.51272359282840629</v>
      </c>
      <c r="AL90" s="93" t="s">
        <v>270</v>
      </c>
      <c r="AM90" s="93" t="s">
        <v>270</v>
      </c>
      <c r="AN90" s="93" t="s">
        <v>270</v>
      </c>
      <c r="AO90" s="93" t="s">
        <v>270</v>
      </c>
      <c r="AP90" s="93">
        <v>6.2695924764890288E-3</v>
      </c>
      <c r="AQ90" s="93">
        <v>3.1347962382445145E-2</v>
      </c>
      <c r="AR90" s="93">
        <v>3.3408718239223903E-8</v>
      </c>
      <c r="AS90" s="93">
        <v>1.384E-8</v>
      </c>
      <c r="AT90" s="93">
        <v>7.2802601683677401E-6</v>
      </c>
      <c r="AU90" s="93">
        <v>7.2802601683677404E-8</v>
      </c>
      <c r="AV90" s="93">
        <v>2.9755819573653701E-7</v>
      </c>
      <c r="AW90" s="93">
        <v>4.4633729360480602E-9</v>
      </c>
      <c r="AX90" s="161">
        <v>41754</v>
      </c>
      <c r="AY90" s="93">
        <v>4.4632616569949482E-8</v>
      </c>
      <c r="AZ90" s="93">
        <v>1.8515457233851173E-8</v>
      </c>
      <c r="BA90" s="93">
        <v>3.1605654940505317E-8</v>
      </c>
      <c r="BB90" s="93">
        <v>1.349346939147427E-8</v>
      </c>
      <c r="BC90" s="162">
        <v>162.11524458705918</v>
      </c>
      <c r="BD90" s="162">
        <v>0.58328437920524911</v>
      </c>
      <c r="BE90" s="93">
        <v>7.2040218968572861E-6</v>
      </c>
      <c r="BF90" s="93">
        <v>5.4982852129620172E-13</v>
      </c>
      <c r="BG90" s="93">
        <v>1.9884290145917048E-2</v>
      </c>
      <c r="BH90" s="93">
        <v>1.1911329149223594E-2</v>
      </c>
      <c r="BI90" s="93">
        <v>0.99384264252157006</v>
      </c>
      <c r="BJ90" s="93">
        <v>1.1831811705117398E-2</v>
      </c>
      <c r="BK90" s="93">
        <f>$CC$5</f>
        <v>4.4322825446866948E-8</v>
      </c>
      <c r="BL90" s="93">
        <f>1 * 10 ^ (INT(LOG10($BK$90)))</f>
        <v>1E-8</v>
      </c>
      <c r="BM90" s="93">
        <f>Helium3TU($AP$90,$AR$90,$AT$90,$BK$90,$N$90,$J$90,$L$90,$D$90,$AX$90,$BA$90)</f>
        <v>-72.619094640602711</v>
      </c>
      <c r="BN90" s="93">
        <f>Helium3TUerr($AQ$90,$AR$90,$AS$90,$AT$90,$AU$90,1,$BE$90,$BK$90,$J$90,$D$90,$AX$90)</f>
        <v>49.816726637501439</v>
      </c>
      <c r="BO90" s="93" t="str">
        <f>ReptHe3TU($BM$90,$BN$90,$BI$90*100)</f>
        <v>&lt;1</v>
      </c>
      <c r="BP90" s="93" t="str">
        <f>ReptHe3TUerr($BO$90,$BN$90)</f>
        <v>na</v>
      </c>
      <c r="BQ90" s="93" t="s">
        <v>920</v>
      </c>
      <c r="BR90" s="93" t="str">
        <f>TritiumCat($AP$90,$BR$2)</f>
        <v>Tritium Dead</v>
      </c>
    </row>
    <row r="91" spans="1:70">
      <c r="A91" s="94" t="s">
        <v>626</v>
      </c>
      <c r="B91" s="94" t="s">
        <v>738</v>
      </c>
      <c r="C91" s="94" t="s">
        <v>764</v>
      </c>
      <c r="D91" s="95">
        <v>41500</v>
      </c>
      <c r="E91" s="94" t="s">
        <v>765</v>
      </c>
      <c r="F91" s="93" t="s">
        <v>630</v>
      </c>
      <c r="G91" s="93" t="s">
        <v>631</v>
      </c>
      <c r="H91" s="93">
        <v>4.6111390916044476E-25</v>
      </c>
      <c r="I91" s="162" t="s">
        <v>270</v>
      </c>
      <c r="J91" s="93">
        <v>0.70302982272000003</v>
      </c>
      <c r="K91" s="93">
        <v>7.0302982272000006E-2</v>
      </c>
      <c r="L91" s="93">
        <v>100</v>
      </c>
      <c r="M91" s="93">
        <v>10</v>
      </c>
      <c r="N91" s="93">
        <v>16.10292681238537</v>
      </c>
      <c r="O91" s="93">
        <v>6.2800049692671633</v>
      </c>
      <c r="P91" s="93">
        <v>6.0316135382643727</v>
      </c>
      <c r="Q91" s="93">
        <v>0.6084953372091122</v>
      </c>
      <c r="R91" s="93" t="s">
        <v>270</v>
      </c>
      <c r="S91" s="93" t="s">
        <v>270</v>
      </c>
      <c r="T91" s="93">
        <v>0.86995415253437058</v>
      </c>
      <c r="U91" s="93">
        <v>2.6496065033493439</v>
      </c>
      <c r="V91" s="93" t="s">
        <v>270</v>
      </c>
      <c r="W91" s="93" t="s">
        <v>270</v>
      </c>
      <c r="X91" s="93" t="s">
        <v>270</v>
      </c>
      <c r="Y91" s="93" t="s">
        <v>270</v>
      </c>
      <c r="Z91" s="93" t="s">
        <v>270</v>
      </c>
      <c r="AA91" s="93" t="s">
        <v>270</v>
      </c>
      <c r="AB91" s="93" t="s">
        <v>270</v>
      </c>
      <c r="AC91" s="93" t="s">
        <v>270</v>
      </c>
      <c r="AD91" s="93" t="s">
        <v>270</v>
      </c>
      <c r="AE91" s="93" t="s">
        <v>270</v>
      </c>
      <c r="AF91" s="93" t="s">
        <v>270</v>
      </c>
      <c r="AG91" s="93" t="s">
        <v>270</v>
      </c>
      <c r="AH91" s="93">
        <v>0.62043543838422777</v>
      </c>
      <c r="AI91" s="93">
        <v>6.2043543838422782E-2</v>
      </c>
      <c r="AJ91" s="93">
        <v>1.0803714478679951</v>
      </c>
      <c r="AK91" s="93">
        <v>0.4612452768553974</v>
      </c>
      <c r="AL91" s="93" t="s">
        <v>270</v>
      </c>
      <c r="AM91" s="93" t="s">
        <v>270</v>
      </c>
      <c r="AN91" s="93" t="s">
        <v>270</v>
      </c>
      <c r="AO91" s="93" t="s">
        <v>270</v>
      </c>
      <c r="AP91" s="93">
        <v>6.2695924764890288E-3</v>
      </c>
      <c r="AQ91" s="93">
        <v>3.1347962382445145E-2</v>
      </c>
      <c r="AR91" s="93">
        <v>3.3408718239223903E-8</v>
      </c>
      <c r="AS91" s="93">
        <v>1.384E-8</v>
      </c>
      <c r="AT91" s="93">
        <v>7.2802601683677401E-6</v>
      </c>
      <c r="AU91" s="93">
        <v>7.2802601683677404E-8</v>
      </c>
      <c r="AV91" s="93">
        <v>2.9755819573653701E-7</v>
      </c>
      <c r="AW91" s="93">
        <v>4.4633729360480602E-9</v>
      </c>
      <c r="AX91" s="161">
        <v>41754</v>
      </c>
      <c r="AY91" s="93">
        <v>4.4632616569949482E-8</v>
      </c>
      <c r="AZ91" s="93">
        <v>1.8515457233851173E-8</v>
      </c>
      <c r="BA91" s="93">
        <v>3.1605654940505317E-8</v>
      </c>
      <c r="BB91" s="93">
        <v>1.349346939147427E-8</v>
      </c>
      <c r="BC91" s="162">
        <v>162.11524458705918</v>
      </c>
      <c r="BD91" s="162">
        <v>0.58328437920524911</v>
      </c>
      <c r="BE91" s="93">
        <v>7.2040218968572861E-6</v>
      </c>
      <c r="BF91" s="93">
        <v>5.4982852129620172E-13</v>
      </c>
      <c r="BG91" s="93">
        <v>1.9884290145917048E-2</v>
      </c>
      <c r="BH91" s="93">
        <v>1.1911329149223594E-2</v>
      </c>
      <c r="BI91" s="93">
        <v>0.99384264252157006</v>
      </c>
      <c r="BJ91" s="93">
        <v>1.1831811705117398E-2</v>
      </c>
      <c r="BK91" s="93">
        <f>$CC$5</f>
        <v>4.4322825446866948E-8</v>
      </c>
      <c r="BL91" s="93">
        <f>1 * 10 ^ (INT(LOG10($BK$91)))</f>
        <v>1E-8</v>
      </c>
      <c r="BM91" s="93">
        <f>Helium3TU($AP$91,$AR$91,$AT$91,$BK$91,$N$91,$J$91,$L$91,$D$91,$AX$91,$BA$91)</f>
        <v>-72.619094640602711</v>
      </c>
      <c r="BN91" s="93">
        <f>Helium3TUerr($AQ$91,$AR$91,$AS$91,$AT$91,$AU$91,1,$BE$91,$BK$91,$J$91,$D$91,$AX$91)</f>
        <v>49.816726637501439</v>
      </c>
      <c r="BO91" s="93" t="str">
        <f>ReptHe3TU($BM$91,$BN$91,$BI$91*100)</f>
        <v>&lt;1</v>
      </c>
      <c r="BP91" s="93" t="str">
        <f>ReptHe3TUerr($BO$91,$BN$91)</f>
        <v>na</v>
      </c>
      <c r="BQ91" s="93" t="s">
        <v>920</v>
      </c>
      <c r="BR91" s="93" t="str">
        <f>TritiumCat($AP$91,$BR$2)</f>
        <v>Tritium Dead</v>
      </c>
    </row>
    <row r="92" spans="1:70">
      <c r="A92" s="94" t="s">
        <v>626</v>
      </c>
      <c r="B92" s="94" t="s">
        <v>738</v>
      </c>
      <c r="C92" s="94" t="s">
        <v>764</v>
      </c>
      <c r="D92" s="95">
        <v>41500</v>
      </c>
      <c r="E92" s="94" t="s">
        <v>767</v>
      </c>
      <c r="F92" s="93" t="s">
        <v>630</v>
      </c>
      <c r="G92" s="93" t="s">
        <v>631</v>
      </c>
      <c r="H92" s="93">
        <v>7.9302931841817496E-26</v>
      </c>
      <c r="I92" s="162" t="s">
        <v>270</v>
      </c>
      <c r="J92" s="93">
        <v>0.70302982272000003</v>
      </c>
      <c r="K92" s="93">
        <v>7.0302982272000006E-2</v>
      </c>
      <c r="L92" s="93">
        <v>100</v>
      </c>
      <c r="M92" s="93">
        <v>10</v>
      </c>
      <c r="N92" s="93">
        <v>15.950615081660072</v>
      </c>
      <c r="O92" s="93">
        <v>6.2592247913509098</v>
      </c>
      <c r="P92" s="93">
        <v>6.0184271952654997</v>
      </c>
      <c r="Q92" s="93">
        <v>0.60903383180813986</v>
      </c>
      <c r="R92" s="93" t="s">
        <v>270</v>
      </c>
      <c r="S92" s="93" t="s">
        <v>270</v>
      </c>
      <c r="T92" s="93">
        <v>1.0253084328820341</v>
      </c>
      <c r="U92" s="93">
        <v>2.6676567005030178</v>
      </c>
      <c r="V92" s="93" t="s">
        <v>270</v>
      </c>
      <c r="W92" s="93" t="s">
        <v>270</v>
      </c>
      <c r="X92" s="93" t="s">
        <v>270</v>
      </c>
      <c r="Y92" s="93" t="s">
        <v>270</v>
      </c>
      <c r="Z92" s="93" t="s">
        <v>270</v>
      </c>
      <c r="AA92" s="93" t="s">
        <v>270</v>
      </c>
      <c r="AB92" s="93" t="s">
        <v>270</v>
      </c>
      <c r="AC92" s="93" t="s">
        <v>270</v>
      </c>
      <c r="AD92" s="93" t="s">
        <v>270</v>
      </c>
      <c r="AE92" s="93" t="s">
        <v>270</v>
      </c>
      <c r="AF92" s="93" t="s">
        <v>270</v>
      </c>
      <c r="AG92" s="93" t="s">
        <v>270</v>
      </c>
      <c r="AH92" s="93">
        <v>0.68968053018385311</v>
      </c>
      <c r="AI92" s="93">
        <v>6.8968053018385309E-2</v>
      </c>
      <c r="AJ92" s="93">
        <v>1.1985815427495907</v>
      </c>
      <c r="AK92" s="93">
        <v>0.51445287791996219</v>
      </c>
      <c r="AL92" s="93" t="s">
        <v>270</v>
      </c>
      <c r="AM92" s="93" t="s">
        <v>270</v>
      </c>
      <c r="AN92" s="93" t="s">
        <v>270</v>
      </c>
      <c r="AO92" s="93" t="s">
        <v>270</v>
      </c>
      <c r="AP92" s="93">
        <v>6.2695924764890288E-3</v>
      </c>
      <c r="AQ92" s="93">
        <v>3.1347962382445145E-2</v>
      </c>
      <c r="AR92" s="93">
        <v>3.3408718239223903E-8</v>
      </c>
      <c r="AS92" s="93">
        <v>1.384E-8</v>
      </c>
      <c r="AT92" s="93">
        <v>7.2802601683677401E-6</v>
      </c>
      <c r="AU92" s="93">
        <v>7.2802601683677404E-8</v>
      </c>
      <c r="AV92" s="93">
        <v>2.9755819573653701E-7</v>
      </c>
      <c r="AW92" s="93">
        <v>4.4633729360480602E-9</v>
      </c>
      <c r="AX92" s="161">
        <v>41754</v>
      </c>
      <c r="AY92" s="93">
        <v>4.465659044557688E-8</v>
      </c>
      <c r="AZ92" s="93">
        <v>1.8627086082961143E-8</v>
      </c>
      <c r="BA92" s="93">
        <v>3.1536558503191216E-8</v>
      </c>
      <c r="BB92" s="93">
        <v>1.3536061338337771E-8</v>
      </c>
      <c r="BC92" s="162">
        <v>162.02767622262195</v>
      </c>
      <c r="BD92" s="162">
        <v>0.58126704600906565</v>
      </c>
      <c r="BE92" s="93">
        <v>7.2040670194189722E-6</v>
      </c>
      <c r="BF92" s="93">
        <v>5.5008191979064765E-13</v>
      </c>
      <c r="BG92" s="93">
        <v>1.9893632826244994E-2</v>
      </c>
      <c r="BH92" s="93">
        <v>1.1916865136204241E-2</v>
      </c>
      <c r="BI92" s="93">
        <v>0.99383939389545994</v>
      </c>
      <c r="BJ92" s="93">
        <v>1.1837499834113628E-2</v>
      </c>
      <c r="BK92" s="93">
        <f>$CC$5</f>
        <v>4.4322825446866948E-8</v>
      </c>
      <c r="BL92" s="93">
        <f>1 * 10 ^ (INT(LOG10($BK$92)))</f>
        <v>1E-8</v>
      </c>
      <c r="BM92" s="93">
        <f>Helium3TU($AP$92,$AR$92,$AT$92,$BK$92,$N$92,$J$92,$L$92,$D$92,$AX$92,$BA$92)</f>
        <v>-72.594240142280057</v>
      </c>
      <c r="BN92" s="93">
        <f>Helium3TUerr($AQ$92,$AR$92,$AS$92,$AT$92,$AU$92,1,$BE$92,$BK$92,$J$92,$D$92,$AX$92)</f>
        <v>49.816832183398439</v>
      </c>
      <c r="BO92" s="93" t="str">
        <f>ReptHe3TU($BM$92,$BN$92,$BI$92*100)</f>
        <v>&lt;1</v>
      </c>
      <c r="BP92" s="93" t="str">
        <f>ReptHe3TUerr($BO$92,$BN$92)</f>
        <v>na</v>
      </c>
      <c r="BQ92" s="93" t="s">
        <v>920</v>
      </c>
      <c r="BR92" s="93" t="str">
        <f>TritiumCat($AP$92,$BR$2)</f>
        <v>Tritium Dead</v>
      </c>
    </row>
    <row r="93" spans="1:70">
      <c r="A93" s="94" t="s">
        <v>626</v>
      </c>
      <c r="B93" s="94" t="s">
        <v>738</v>
      </c>
      <c r="C93" s="94" t="s">
        <v>764</v>
      </c>
      <c r="D93" s="95">
        <v>41500</v>
      </c>
      <c r="E93" s="94" t="s">
        <v>767</v>
      </c>
      <c r="F93" s="93" t="s">
        <v>630</v>
      </c>
      <c r="G93" s="93" t="s">
        <v>631</v>
      </c>
      <c r="H93" s="93">
        <v>7.9302931841817496E-26</v>
      </c>
      <c r="I93" s="162" t="s">
        <v>270</v>
      </c>
      <c r="J93" s="93">
        <v>0.70302982272000003</v>
      </c>
      <c r="K93" s="93">
        <v>7.0302982272000006E-2</v>
      </c>
      <c r="L93" s="93">
        <v>100</v>
      </c>
      <c r="M93" s="93">
        <v>10</v>
      </c>
      <c r="N93" s="93">
        <v>15.950615081660072</v>
      </c>
      <c r="O93" s="93">
        <v>6.2592247913509098</v>
      </c>
      <c r="P93" s="93">
        <v>6.0184271952654997</v>
      </c>
      <c r="Q93" s="93">
        <v>0.60903383180813986</v>
      </c>
      <c r="R93" s="93" t="s">
        <v>270</v>
      </c>
      <c r="S93" s="93" t="s">
        <v>270</v>
      </c>
      <c r="T93" s="93">
        <v>1.0253084328820341</v>
      </c>
      <c r="U93" s="93">
        <v>2.6676567005030178</v>
      </c>
      <c r="V93" s="93" t="s">
        <v>270</v>
      </c>
      <c r="W93" s="93" t="s">
        <v>270</v>
      </c>
      <c r="X93" s="93" t="s">
        <v>270</v>
      </c>
      <c r="Y93" s="93" t="s">
        <v>270</v>
      </c>
      <c r="Z93" s="93" t="s">
        <v>270</v>
      </c>
      <c r="AA93" s="93" t="s">
        <v>270</v>
      </c>
      <c r="AB93" s="93" t="s">
        <v>270</v>
      </c>
      <c r="AC93" s="93" t="s">
        <v>270</v>
      </c>
      <c r="AD93" s="93" t="s">
        <v>270</v>
      </c>
      <c r="AE93" s="93" t="s">
        <v>270</v>
      </c>
      <c r="AF93" s="93" t="s">
        <v>270</v>
      </c>
      <c r="AG93" s="93" t="s">
        <v>270</v>
      </c>
      <c r="AH93" s="93">
        <v>0.62043543838422777</v>
      </c>
      <c r="AI93" s="93">
        <v>6.2043543838422782E-2</v>
      </c>
      <c r="AJ93" s="93">
        <v>1.0782419285010818</v>
      </c>
      <c r="AK93" s="93">
        <v>0.46280093879873913</v>
      </c>
      <c r="AL93" s="93" t="s">
        <v>270</v>
      </c>
      <c r="AM93" s="93" t="s">
        <v>270</v>
      </c>
      <c r="AN93" s="93" t="s">
        <v>270</v>
      </c>
      <c r="AO93" s="93" t="s">
        <v>270</v>
      </c>
      <c r="AP93" s="93">
        <v>6.2695924764890288E-3</v>
      </c>
      <c r="AQ93" s="93">
        <v>3.1347962382445145E-2</v>
      </c>
      <c r="AR93" s="93">
        <v>3.3408718239223903E-8</v>
      </c>
      <c r="AS93" s="93">
        <v>1.384E-8</v>
      </c>
      <c r="AT93" s="93">
        <v>7.2802601683677401E-6</v>
      </c>
      <c r="AU93" s="93">
        <v>7.2802601683677404E-8</v>
      </c>
      <c r="AV93" s="93">
        <v>2.9755819573653701E-7</v>
      </c>
      <c r="AW93" s="93">
        <v>4.4633729360480602E-9</v>
      </c>
      <c r="AX93" s="161">
        <v>41754</v>
      </c>
      <c r="AY93" s="93">
        <v>4.465659044557688E-8</v>
      </c>
      <c r="AZ93" s="93">
        <v>1.8627086082961143E-8</v>
      </c>
      <c r="BA93" s="93">
        <v>3.1536558503191216E-8</v>
      </c>
      <c r="BB93" s="93">
        <v>1.3536061338337771E-8</v>
      </c>
      <c r="BC93" s="162">
        <v>162.02767622262195</v>
      </c>
      <c r="BD93" s="162">
        <v>0.58126704600906565</v>
      </c>
      <c r="BE93" s="93">
        <v>7.2040670194189722E-6</v>
      </c>
      <c r="BF93" s="93">
        <v>5.5008191979064765E-13</v>
      </c>
      <c r="BG93" s="93">
        <v>1.9893632826244994E-2</v>
      </c>
      <c r="BH93" s="93">
        <v>1.1916865136204241E-2</v>
      </c>
      <c r="BI93" s="93">
        <v>0.99383939389545994</v>
      </c>
      <c r="BJ93" s="93">
        <v>1.1837499834113628E-2</v>
      </c>
      <c r="BK93" s="93">
        <f>$CC$5</f>
        <v>4.4322825446866948E-8</v>
      </c>
      <c r="BL93" s="93">
        <f>1 * 10 ^ (INT(LOG10($BK$93)))</f>
        <v>1E-8</v>
      </c>
      <c r="BM93" s="93">
        <f>Helium3TU($AP$93,$AR$93,$AT$93,$BK$93,$N$93,$J$93,$L$93,$D$93,$AX$93,$BA$93)</f>
        <v>-72.594240142280057</v>
      </c>
      <c r="BN93" s="93">
        <f>Helium3TUerr($AQ$93,$AR$93,$AS$93,$AT$93,$AU$93,1,$BE$93,$BK$93,$J$93,$D$93,$AX$93)</f>
        <v>49.816832183398439</v>
      </c>
      <c r="BO93" s="93" t="str">
        <f>ReptHe3TU($BM$93,$BN$93,$BI$93*100)</f>
        <v>&lt;1</v>
      </c>
      <c r="BP93" s="93" t="str">
        <f>ReptHe3TUerr($BO$93,$BN$93)</f>
        <v>na</v>
      </c>
      <c r="BQ93" s="93" t="s">
        <v>920</v>
      </c>
      <c r="BR93" s="93" t="str">
        <f>TritiumCat($AP$93,$BR$2)</f>
        <v>Tritium Dead</v>
      </c>
    </row>
  </sheetData>
  <mergeCells count="85">
    <mergeCell ref="CE2:CE3"/>
    <mergeCell ref="CE9:CE11"/>
    <mergeCell ref="CF2:CF3"/>
    <mergeCell ref="CF9:CF11"/>
    <mergeCell ref="CG2:CG3"/>
    <mergeCell ref="CG9:CG11"/>
    <mergeCell ref="CB2:CB3"/>
    <mergeCell ref="CB9:CB11"/>
    <mergeCell ref="CC2:CC3"/>
    <mergeCell ref="CC9:CC11"/>
    <mergeCell ref="CD2:CD3"/>
    <mergeCell ref="CD9:CD11"/>
    <mergeCell ref="BL2:BL3"/>
    <mergeCell ref="BM2:BM3"/>
    <mergeCell ref="BN2:BN3"/>
    <mergeCell ref="BO2:BO3"/>
    <mergeCell ref="BP2:BP3"/>
    <mergeCell ref="BQ2:BQ3"/>
    <mergeCell ref="BF2:BF3"/>
    <mergeCell ref="BG2:BG3"/>
    <mergeCell ref="BH2:BH3"/>
    <mergeCell ref="BI2:BI3"/>
    <mergeCell ref="BJ2:BJ3"/>
    <mergeCell ref="BK2:BK3"/>
    <mergeCell ref="AZ2:AZ3"/>
    <mergeCell ref="BA2:BA3"/>
    <mergeCell ref="BB2:BB3"/>
    <mergeCell ref="BC2:BC3"/>
    <mergeCell ref="BD2:BD3"/>
    <mergeCell ref="BE2:BE3"/>
    <mergeCell ref="AT2:AT3"/>
    <mergeCell ref="AU2:AU3"/>
    <mergeCell ref="AV2:AV3"/>
    <mergeCell ref="AW2:AW3"/>
    <mergeCell ref="AX2:AX3"/>
    <mergeCell ref="AY2:AY3"/>
    <mergeCell ref="AO2:AO3"/>
    <mergeCell ref="AP2:AP3"/>
    <mergeCell ref="V1:AO1"/>
    <mergeCell ref="AQ2:AQ3"/>
    <mergeCell ref="AR2:AR3"/>
    <mergeCell ref="AS2:AS3"/>
    <mergeCell ref="AP1:CH1"/>
    <mergeCell ref="AI2:AI3"/>
    <mergeCell ref="AJ2:AJ3"/>
    <mergeCell ref="AK2:AK3"/>
    <mergeCell ref="AL2:AL3"/>
    <mergeCell ref="AM2:AM3"/>
    <mergeCell ref="AN2:AN3"/>
    <mergeCell ref="AC2:AC3"/>
    <mergeCell ref="AD2:AD3"/>
    <mergeCell ref="AE2:AE3"/>
    <mergeCell ref="AF2:AF3"/>
    <mergeCell ref="AG2:AG3"/>
    <mergeCell ref="AH2:AH3"/>
    <mergeCell ref="W2:W3"/>
    <mergeCell ref="X2:X3"/>
    <mergeCell ref="Y2:Y3"/>
    <mergeCell ref="Z2:Z3"/>
    <mergeCell ref="AA2:AA3"/>
    <mergeCell ref="AB2:AB3"/>
    <mergeCell ref="R2:R3"/>
    <mergeCell ref="S2:S3"/>
    <mergeCell ref="T2:T3"/>
    <mergeCell ref="U2:U3"/>
    <mergeCell ref="V2:V3"/>
    <mergeCell ref="F1:U1"/>
    <mergeCell ref="L2:L3"/>
    <mergeCell ref="M2:M3"/>
    <mergeCell ref="N2:N3"/>
    <mergeCell ref="O2:O3"/>
    <mergeCell ref="P2:P3"/>
    <mergeCell ref="Q2:Q3"/>
    <mergeCell ref="A1:E1"/>
    <mergeCell ref="G2:G3"/>
    <mergeCell ref="H2:H3"/>
    <mergeCell ref="I2:I3"/>
    <mergeCell ref="J2:J3"/>
    <mergeCell ref="K2:K3"/>
    <mergeCell ref="A2:A3"/>
    <mergeCell ref="B2:B3"/>
    <mergeCell ref="C2:C3"/>
    <mergeCell ref="D2:D3"/>
    <mergeCell ref="E2:E3"/>
    <mergeCell ref="F2:F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E61EE-9711-4504-92AB-0AFEE143DD7C}">
  <dimension ref="A1:BQ29"/>
  <sheetViews>
    <sheetView workbookViewId="0">
      <selection activeCell="A4" sqref="A4:BQ29"/>
    </sheetView>
  </sheetViews>
  <sheetFormatPr defaultRowHeight="13.2"/>
  <cols>
    <col min="1" max="3" width="8.88671875" style="93"/>
    <col min="4" max="4" width="9" style="93" bestFit="1" customWidth="1"/>
    <col min="5" max="7" width="8.88671875" style="93"/>
    <col min="8" max="8" width="9" style="93" bestFit="1" customWidth="1"/>
    <col min="9" max="9" width="8.88671875" style="93"/>
    <col min="10" max="17" width="9" style="93" bestFit="1" customWidth="1"/>
    <col min="18" max="19" width="8.88671875" style="93"/>
    <col min="20" max="21" width="9" style="93" bestFit="1" customWidth="1"/>
    <col min="22" max="33" width="8.88671875" style="93"/>
    <col min="34" max="37" width="9" style="93" bestFit="1" customWidth="1"/>
    <col min="38" max="41" width="8.88671875" style="93"/>
    <col min="42" max="43" width="9" style="93" bestFit="1" customWidth="1"/>
    <col min="44" max="44" width="12.21875" style="93" bestFit="1" customWidth="1"/>
    <col min="45" max="45" width="10.21875" style="93" bestFit="1" customWidth="1"/>
    <col min="46" max="48" width="11.21875" style="93" bestFit="1" customWidth="1"/>
    <col min="49" max="49" width="10.21875" style="93" bestFit="1" customWidth="1"/>
    <col min="50" max="50" width="9" style="93" bestFit="1" customWidth="1"/>
    <col min="51" max="54" width="12.21875" style="93" bestFit="1" customWidth="1"/>
    <col min="55" max="56" width="9" style="93" bestFit="1" customWidth="1"/>
    <col min="57" max="58" width="12.21875" style="93" bestFit="1" customWidth="1"/>
    <col min="59" max="62" width="9" style="93" bestFit="1" customWidth="1"/>
    <col min="63" max="63" width="12.21875" style="93" bestFit="1" customWidth="1"/>
    <col min="64" max="64" width="11" style="93" bestFit="1" customWidth="1"/>
    <col min="65" max="68" width="9" style="93" bestFit="1" customWidth="1"/>
    <col min="69" max="16384" width="8.88671875" style="93"/>
  </cols>
  <sheetData>
    <row r="1" spans="1:69" ht="13.8">
      <c r="A1" s="155" t="s">
        <v>141</v>
      </c>
      <c r="B1" s="158"/>
      <c r="C1" s="158"/>
      <c r="D1" s="158"/>
      <c r="E1" s="158"/>
      <c r="F1" s="155" t="s">
        <v>830</v>
      </c>
      <c r="G1" s="158"/>
      <c r="H1" s="158"/>
      <c r="I1" s="158"/>
      <c r="J1" s="158"/>
      <c r="K1" s="158"/>
      <c r="L1" s="158"/>
      <c r="M1" s="158"/>
      <c r="N1" s="158"/>
      <c r="O1" s="158"/>
      <c r="P1" s="158"/>
      <c r="Q1" s="158"/>
      <c r="R1" s="158"/>
      <c r="S1" s="158"/>
      <c r="T1" s="158"/>
      <c r="U1" s="158"/>
      <c r="V1" s="155" t="s">
        <v>861</v>
      </c>
      <c r="W1" s="158"/>
      <c r="X1" s="158"/>
      <c r="Y1" s="158"/>
      <c r="Z1" s="158"/>
      <c r="AA1" s="158"/>
      <c r="AB1" s="158"/>
      <c r="AC1" s="158"/>
      <c r="AD1" s="158"/>
      <c r="AE1" s="158"/>
      <c r="AF1" s="158"/>
      <c r="AG1" s="158"/>
      <c r="AH1" s="158"/>
      <c r="AI1" s="158"/>
      <c r="AJ1" s="158"/>
      <c r="AK1" s="158"/>
      <c r="AL1" s="158"/>
      <c r="AM1" s="158"/>
      <c r="AN1" s="158"/>
      <c r="AO1" s="158"/>
      <c r="AP1" s="155" t="s">
        <v>882</v>
      </c>
      <c r="AQ1" s="158"/>
      <c r="AR1" s="158"/>
      <c r="AS1" s="158"/>
      <c r="AT1" s="158"/>
      <c r="AU1" s="158"/>
      <c r="AV1" s="158"/>
      <c r="AW1" s="158"/>
      <c r="AX1" s="158"/>
      <c r="AY1" s="158"/>
      <c r="AZ1" s="158"/>
      <c r="BA1" s="158"/>
      <c r="BB1" s="158"/>
      <c r="BC1" s="158"/>
      <c r="BD1" s="158"/>
      <c r="BE1" s="158"/>
      <c r="BF1" s="158"/>
      <c r="BG1" s="158"/>
      <c r="BH1" s="158"/>
      <c r="BI1" s="158"/>
      <c r="BJ1" s="158"/>
      <c r="BK1" s="158"/>
      <c r="BL1" s="158"/>
      <c r="BM1" s="158"/>
      <c r="BN1" s="158"/>
      <c r="BO1" s="158"/>
      <c r="BP1" s="158"/>
      <c r="BQ1" s="158"/>
    </row>
    <row r="2" spans="1:69">
      <c r="A2" s="153" t="s">
        <v>142</v>
      </c>
      <c r="B2" s="153" t="s">
        <v>143</v>
      </c>
      <c r="C2" s="153" t="s">
        <v>144</v>
      </c>
      <c r="D2" s="156" t="s">
        <v>145</v>
      </c>
      <c r="E2" s="153" t="s">
        <v>146</v>
      </c>
      <c r="F2" s="153" t="s">
        <v>353</v>
      </c>
      <c r="G2" s="153" t="s">
        <v>354</v>
      </c>
      <c r="H2" s="153" t="s">
        <v>355</v>
      </c>
      <c r="I2" s="154" t="s">
        <v>356</v>
      </c>
      <c r="J2" s="153" t="s">
        <v>349</v>
      </c>
      <c r="K2" s="153" t="s">
        <v>366</v>
      </c>
      <c r="L2" s="153" t="s">
        <v>350</v>
      </c>
      <c r="M2" s="153" t="s">
        <v>367</v>
      </c>
      <c r="N2" s="153" t="s">
        <v>831</v>
      </c>
      <c r="O2" s="153" t="s">
        <v>832</v>
      </c>
      <c r="P2" s="153" t="s">
        <v>833</v>
      </c>
      <c r="Q2" s="153" t="s">
        <v>834</v>
      </c>
      <c r="R2" s="153" t="s">
        <v>362</v>
      </c>
      <c r="S2" s="153" t="s">
        <v>363</v>
      </c>
      <c r="T2" s="153" t="s">
        <v>364</v>
      </c>
      <c r="U2" s="153" t="s">
        <v>365</v>
      </c>
      <c r="V2" s="153" t="s">
        <v>860</v>
      </c>
      <c r="W2" s="153" t="s">
        <v>862</v>
      </c>
      <c r="X2" s="153" t="s">
        <v>863</v>
      </c>
      <c r="Y2" s="153" t="s">
        <v>864</v>
      </c>
      <c r="Z2" s="153" t="s">
        <v>865</v>
      </c>
      <c r="AA2" s="153" t="s">
        <v>866</v>
      </c>
      <c r="AB2" s="153" t="s">
        <v>867</v>
      </c>
      <c r="AC2" s="153" t="s">
        <v>868</v>
      </c>
      <c r="AD2" s="153" t="s">
        <v>869</v>
      </c>
      <c r="AE2" s="153" t="s">
        <v>870</v>
      </c>
      <c r="AF2" s="153" t="s">
        <v>871</v>
      </c>
      <c r="AG2" s="153" t="s">
        <v>872</v>
      </c>
      <c r="AH2" s="153" t="s">
        <v>873</v>
      </c>
      <c r="AI2" s="153" t="s">
        <v>874</v>
      </c>
      <c r="AJ2" s="153" t="s">
        <v>875</v>
      </c>
      <c r="AK2" s="153" t="s">
        <v>876</v>
      </c>
      <c r="AL2" s="153" t="s">
        <v>877</v>
      </c>
      <c r="AM2" s="153" t="s">
        <v>878</v>
      </c>
      <c r="AN2" s="153" t="s">
        <v>879</v>
      </c>
      <c r="AO2" s="153" t="s">
        <v>880</v>
      </c>
      <c r="AP2" s="153" t="s">
        <v>881</v>
      </c>
      <c r="AQ2" s="153" t="s">
        <v>883</v>
      </c>
      <c r="AR2" s="153" t="s">
        <v>884</v>
      </c>
      <c r="AS2" s="153" t="s">
        <v>885</v>
      </c>
      <c r="AT2" s="153" t="s">
        <v>886</v>
      </c>
      <c r="AU2" s="153" t="s">
        <v>887</v>
      </c>
      <c r="AV2" s="153" t="s">
        <v>389</v>
      </c>
      <c r="AW2" s="153" t="s">
        <v>888</v>
      </c>
      <c r="AX2" s="156" t="s">
        <v>171</v>
      </c>
      <c r="AY2" s="153" t="s">
        <v>889</v>
      </c>
      <c r="AZ2" s="153" t="s">
        <v>890</v>
      </c>
      <c r="BA2" s="153" t="s">
        <v>891</v>
      </c>
      <c r="BB2" s="153" t="s">
        <v>892</v>
      </c>
      <c r="BC2" s="154" t="s">
        <v>893</v>
      </c>
      <c r="BD2" s="154" t="s">
        <v>894</v>
      </c>
      <c r="BE2" s="153" t="s">
        <v>895</v>
      </c>
      <c r="BF2" s="153" t="s">
        <v>896</v>
      </c>
      <c r="BG2" s="153" t="s">
        <v>897</v>
      </c>
      <c r="BH2" s="153" t="s">
        <v>898</v>
      </c>
      <c r="BI2" s="153" t="s">
        <v>899</v>
      </c>
      <c r="BJ2" s="153" t="s">
        <v>900</v>
      </c>
      <c r="BK2" s="153" t="s">
        <v>901</v>
      </c>
      <c r="BL2" s="153" t="s">
        <v>902</v>
      </c>
      <c r="BM2" s="153" t="s">
        <v>903</v>
      </c>
      <c r="BN2" s="153" t="s">
        <v>904</v>
      </c>
      <c r="BO2" s="153" t="s">
        <v>905</v>
      </c>
      <c r="BP2" s="153" t="s">
        <v>906</v>
      </c>
      <c r="BQ2" s="153" t="s">
        <v>907</v>
      </c>
    </row>
    <row r="3" spans="1:69" ht="52.5" customHeight="1">
      <c r="A3" s="172"/>
      <c r="B3" s="172"/>
      <c r="C3" s="172"/>
      <c r="D3" s="173"/>
      <c r="E3" s="172"/>
      <c r="F3" s="172"/>
      <c r="G3" s="172"/>
      <c r="H3" s="172"/>
      <c r="I3" s="174"/>
      <c r="J3" s="172"/>
      <c r="K3" s="172"/>
      <c r="L3" s="172"/>
      <c r="M3" s="172"/>
      <c r="N3" s="172"/>
      <c r="O3" s="172"/>
      <c r="P3" s="172"/>
      <c r="Q3" s="172"/>
      <c r="R3" s="172"/>
      <c r="S3" s="172"/>
      <c r="T3" s="172"/>
      <c r="U3" s="172"/>
      <c r="V3" s="172"/>
      <c r="W3" s="172"/>
      <c r="X3" s="172"/>
      <c r="Y3" s="172"/>
      <c r="Z3" s="172"/>
      <c r="AA3" s="172"/>
      <c r="AB3" s="172"/>
      <c r="AC3" s="172"/>
      <c r="AD3" s="172"/>
      <c r="AE3" s="172"/>
      <c r="AF3" s="172"/>
      <c r="AG3" s="172"/>
      <c r="AH3" s="172"/>
      <c r="AI3" s="172"/>
      <c r="AJ3" s="172"/>
      <c r="AK3" s="172"/>
      <c r="AL3" s="172"/>
      <c r="AM3" s="172"/>
      <c r="AN3" s="172"/>
      <c r="AO3" s="172"/>
      <c r="AP3" s="172"/>
      <c r="AQ3" s="172"/>
      <c r="AR3" s="172"/>
      <c r="AS3" s="172"/>
      <c r="AT3" s="172"/>
      <c r="AU3" s="172"/>
      <c r="AV3" s="172"/>
      <c r="AW3" s="172"/>
      <c r="AX3" s="173"/>
      <c r="AY3" s="172"/>
      <c r="AZ3" s="172"/>
      <c r="BA3" s="172"/>
      <c r="BB3" s="172"/>
      <c r="BC3" s="174"/>
      <c r="BD3" s="174"/>
      <c r="BE3" s="172"/>
      <c r="BF3" s="172"/>
      <c r="BG3" s="172"/>
      <c r="BH3" s="172"/>
      <c r="BI3" s="172"/>
      <c r="BJ3" s="172"/>
      <c r="BK3" s="172"/>
      <c r="BL3" s="172"/>
      <c r="BM3" s="172"/>
      <c r="BN3" s="172"/>
      <c r="BO3" s="172"/>
      <c r="BP3" s="172"/>
      <c r="BQ3" s="172"/>
    </row>
    <row r="4" spans="1:69">
      <c r="A4" s="93" t="s">
        <v>626</v>
      </c>
      <c r="B4" s="93" t="s">
        <v>627</v>
      </c>
      <c r="C4" s="93" t="s">
        <v>628</v>
      </c>
      <c r="D4" s="93">
        <v>41541</v>
      </c>
      <c r="E4" s="93" t="s">
        <v>629</v>
      </c>
      <c r="F4" s="93" t="s">
        <v>630</v>
      </c>
      <c r="G4" s="93" t="s">
        <v>631</v>
      </c>
      <c r="H4" s="93">
        <v>0.97051914031432385</v>
      </c>
      <c r="I4" s="93" t="s">
        <v>270</v>
      </c>
      <c r="J4" s="93">
        <v>0.60750157991999998</v>
      </c>
      <c r="K4" s="93">
        <v>6.0750157991999995E-2</v>
      </c>
      <c r="L4" s="93">
        <v>5.48780487804878</v>
      </c>
      <c r="M4" s="93">
        <v>0.54878048780487798</v>
      </c>
      <c r="N4" s="93">
        <v>24.191158962976655</v>
      </c>
      <c r="O4" s="93">
        <v>6.933949993896495</v>
      </c>
      <c r="P4" s="93">
        <v>4.1103694026290256</v>
      </c>
      <c r="Q4" s="93">
        <v>0.54287406436624719</v>
      </c>
      <c r="R4" s="93" t="s">
        <v>270</v>
      </c>
      <c r="S4" s="93" t="s">
        <v>270</v>
      </c>
      <c r="T4" s="93">
        <v>0</v>
      </c>
      <c r="U4" s="93">
        <v>1.9859891824862304</v>
      </c>
      <c r="V4" s="93" t="s">
        <v>270</v>
      </c>
      <c r="W4" s="93" t="s">
        <v>270</v>
      </c>
      <c r="X4" s="93" t="s">
        <v>270</v>
      </c>
      <c r="Y4" s="93" t="s">
        <v>270</v>
      </c>
      <c r="Z4" s="93" t="s">
        <v>270</v>
      </c>
      <c r="AA4" s="93" t="s">
        <v>270</v>
      </c>
      <c r="AB4" s="93" t="s">
        <v>270</v>
      </c>
      <c r="AC4" s="93" t="s">
        <v>270</v>
      </c>
      <c r="AD4" s="93" t="s">
        <v>270</v>
      </c>
      <c r="AE4" s="93" t="s">
        <v>270</v>
      </c>
      <c r="AF4" s="93" t="s">
        <v>270</v>
      </c>
      <c r="AG4" s="93" t="s">
        <v>270</v>
      </c>
      <c r="AH4" s="93">
        <v>0.14979840687264318</v>
      </c>
      <c r="AI4" s="93">
        <v>1.497984068726432E-2</v>
      </c>
      <c r="AJ4" s="93">
        <v>0.35996479258544073</v>
      </c>
      <c r="AK4" s="93">
        <v>0.12450998604461938</v>
      </c>
      <c r="AL4" s="93" t="s">
        <v>270</v>
      </c>
      <c r="AM4" s="93" t="s">
        <v>270</v>
      </c>
      <c r="AN4" s="93" t="s">
        <v>270</v>
      </c>
      <c r="AO4" s="93" t="s">
        <v>270</v>
      </c>
      <c r="AP4" s="93">
        <v>-6.8965517241379309E-2</v>
      </c>
      <c r="AQ4" s="93">
        <v>3.1347962382445145E-2</v>
      </c>
      <c r="AR4" s="93">
        <v>4.5101277117751E-8</v>
      </c>
      <c r="AS4" s="93">
        <v>1.384E-8</v>
      </c>
      <c r="AT4" s="93">
        <v>4.4477003383180896E-6</v>
      </c>
      <c r="AU4" s="93">
        <v>4.4477003383180903E-8</v>
      </c>
      <c r="AV4" s="93">
        <v>2.5373849131212002E-7</v>
      </c>
      <c r="AW4" s="93">
        <v>3.8060773696818E-9</v>
      </c>
      <c r="AX4" s="93">
        <v>41754</v>
      </c>
      <c r="AY4" s="93">
        <v>4.4057946569295462E-8</v>
      </c>
      <c r="AZ4" s="93">
        <v>1.4085735674235426E-8</v>
      </c>
      <c r="BA4" s="93">
        <v>2.1538335669776101E-8</v>
      </c>
      <c r="BB4" s="93">
        <v>7.4496944218060955E-9</v>
      </c>
      <c r="BC4" s="93">
        <v>99.951401852845393</v>
      </c>
      <c r="BD4" s="93">
        <v>0.41996592369610586</v>
      </c>
      <c r="BE4" s="93">
        <v>4.3821040560790183E-6</v>
      </c>
      <c r="BF4" s="93">
        <v>2.0703460481096987E-13</v>
      </c>
      <c r="BG4" s="93">
        <v>2.7880060173360696E-2</v>
      </c>
      <c r="BH4" s="93">
        <v>1.1732582701414706E-2</v>
      </c>
      <c r="BI4" s="93">
        <v>0.99004602971347655</v>
      </c>
      <c r="BJ4" s="93">
        <v>1.1614988530170376E-2</v>
      </c>
      <c r="BK4" s="93">
        <v>4.4322825446866948E-8</v>
      </c>
      <c r="BL4" s="93">
        <v>1E-8</v>
      </c>
      <c r="BM4" s="93">
        <v>-33.552691411768997</v>
      </c>
      <c r="BN4" s="93">
        <v>30.386379070867896</v>
      </c>
      <c r="BO4" s="93" t="s">
        <v>923</v>
      </c>
      <c r="BP4" s="93" t="s">
        <v>270</v>
      </c>
      <c r="BQ4" s="93" t="s">
        <v>920</v>
      </c>
    </row>
    <row r="5" spans="1:69">
      <c r="A5" s="93" t="s">
        <v>626</v>
      </c>
      <c r="B5" s="93" t="s">
        <v>627</v>
      </c>
      <c r="C5" s="93" t="s">
        <v>637</v>
      </c>
      <c r="D5" s="93">
        <v>41541</v>
      </c>
      <c r="E5" s="93" t="s">
        <v>638</v>
      </c>
      <c r="F5" s="93" t="s">
        <v>630</v>
      </c>
      <c r="G5" s="93" t="s">
        <v>631</v>
      </c>
      <c r="H5" s="93">
        <v>5.5553342553507063E-25</v>
      </c>
      <c r="I5" s="93" t="s">
        <v>270</v>
      </c>
      <c r="J5" s="93">
        <v>0.60581683578000001</v>
      </c>
      <c r="K5" s="93">
        <v>6.0581683577999999E-2</v>
      </c>
      <c r="L5" s="93">
        <v>9.1463414634146307</v>
      </c>
      <c r="M5" s="93">
        <v>0.91463414634146312</v>
      </c>
      <c r="N5" s="93">
        <v>14.597955437783085</v>
      </c>
      <c r="O5" s="93">
        <v>5.6826106668832219</v>
      </c>
      <c r="P5" s="93">
        <v>3.1498570350103137</v>
      </c>
      <c r="Q5" s="93">
        <v>0.56814521087200909</v>
      </c>
      <c r="R5" s="93" t="s">
        <v>270</v>
      </c>
      <c r="S5" s="93" t="s">
        <v>270</v>
      </c>
      <c r="T5" s="93">
        <v>0.22880232567042666</v>
      </c>
      <c r="U5" s="93">
        <v>2.3930188712636231</v>
      </c>
      <c r="V5" s="93" t="s">
        <v>270</v>
      </c>
      <c r="W5" s="93" t="s">
        <v>270</v>
      </c>
      <c r="X5" s="93" t="s">
        <v>270</v>
      </c>
      <c r="Y5" s="93" t="s">
        <v>270</v>
      </c>
      <c r="Z5" s="93" t="s">
        <v>270</v>
      </c>
      <c r="AA5" s="93" t="s">
        <v>270</v>
      </c>
      <c r="AB5" s="93" t="s">
        <v>270</v>
      </c>
      <c r="AC5" s="93" t="s">
        <v>270</v>
      </c>
      <c r="AD5" s="93" t="s">
        <v>270</v>
      </c>
      <c r="AE5" s="93" t="s">
        <v>270</v>
      </c>
      <c r="AF5" s="93" t="s">
        <v>270</v>
      </c>
      <c r="AG5" s="93" t="s">
        <v>270</v>
      </c>
      <c r="AH5" s="93">
        <v>0.25047407167697666</v>
      </c>
      <c r="AI5" s="93">
        <v>2.5047407167697669E-2</v>
      </c>
      <c r="AJ5" s="93">
        <v>0.53749882499409996</v>
      </c>
      <c r="AK5" s="93">
        <v>0.24313692623291358</v>
      </c>
      <c r="AL5" s="93" t="s">
        <v>270</v>
      </c>
      <c r="AM5" s="93" t="s">
        <v>270</v>
      </c>
      <c r="AN5" s="93" t="s">
        <v>270</v>
      </c>
      <c r="AO5" s="93" t="s">
        <v>270</v>
      </c>
      <c r="AP5" s="93">
        <v>1.8808777429467086E-2</v>
      </c>
      <c r="AQ5" s="93">
        <v>3.1347962382445145E-2</v>
      </c>
      <c r="AR5" s="93">
        <v>6.6790404693956095E-8</v>
      </c>
      <c r="AS5" s="93">
        <v>1.384E-8</v>
      </c>
      <c r="AT5" s="93">
        <v>1.9146646739520499E-6</v>
      </c>
      <c r="AU5" s="93">
        <v>1.91466467395205E-8</v>
      </c>
      <c r="AV5" s="93">
        <v>2.49842150704935E-7</v>
      </c>
      <c r="AW5" s="93">
        <v>3.7476322605740302E-9</v>
      </c>
      <c r="AX5" s="93">
        <v>41752</v>
      </c>
      <c r="AY5" s="93">
        <v>4.5396936560998556E-8</v>
      </c>
      <c r="AZ5" s="93">
        <v>1.8842809681120551E-8</v>
      </c>
      <c r="BA5" s="93">
        <v>1.6505250863454049E-8</v>
      </c>
      <c r="BB5" s="93">
        <v>7.4637674593444883E-9</v>
      </c>
      <c r="BC5" s="93">
        <v>41.176474165866864</v>
      </c>
      <c r="BD5" s="93">
        <v>0.29740086041288571</v>
      </c>
      <c r="BE5" s="93">
        <v>1.8527624865275973E-6</v>
      </c>
      <c r="BF5" s="93">
        <v>5.1665872007460826E-14</v>
      </c>
      <c r="BG5" s="93">
        <v>3.9983156443201093E-2</v>
      </c>
      <c r="BH5" s="93">
        <v>1.3946635061120713E-2</v>
      </c>
      <c r="BI5" s="93">
        <v>0.97608375271429426</v>
      </c>
      <c r="BJ5" s="93">
        <v>1.3683768346271176E-2</v>
      </c>
      <c r="BK5" s="93">
        <v>4.4322825446866948E-8</v>
      </c>
      <c r="BL5" s="93">
        <v>1E-8</v>
      </c>
      <c r="BM5" s="93">
        <v>-15.625923587815867</v>
      </c>
      <c r="BN5" s="93">
        <v>13.003939404507038</v>
      </c>
      <c r="BO5" s="93" t="s">
        <v>923</v>
      </c>
      <c r="BP5" s="93" t="s">
        <v>270</v>
      </c>
      <c r="BQ5" s="93" t="s">
        <v>920</v>
      </c>
    </row>
    <row r="6" spans="1:69">
      <c r="A6" s="93" t="s">
        <v>626</v>
      </c>
      <c r="B6" s="93" t="s">
        <v>627</v>
      </c>
      <c r="C6" s="93" t="s">
        <v>642</v>
      </c>
      <c r="D6" s="93">
        <v>41493</v>
      </c>
      <c r="E6" s="93" t="s">
        <v>643</v>
      </c>
      <c r="F6" s="93" t="s">
        <v>630</v>
      </c>
      <c r="G6" s="93" t="s">
        <v>631</v>
      </c>
      <c r="H6" s="93">
        <v>2.6283234909895577E-22</v>
      </c>
      <c r="I6" s="93" t="s">
        <v>270</v>
      </c>
      <c r="J6" s="93">
        <v>0.27351300200000001</v>
      </c>
      <c r="K6" s="93">
        <v>2.7351300200000001E-2</v>
      </c>
      <c r="L6" s="93">
        <v>32.317073170731703</v>
      </c>
      <c r="M6" s="93">
        <v>3.2317073170731705</v>
      </c>
      <c r="N6" s="93">
        <v>12.289328528600073</v>
      </c>
      <c r="O6" s="93">
        <v>0.63685829931751181</v>
      </c>
      <c r="P6" s="93">
        <v>2.5015932167883999</v>
      </c>
      <c r="Q6" s="93">
        <v>0.55704070212952383</v>
      </c>
      <c r="R6" s="93" t="s">
        <v>270</v>
      </c>
      <c r="S6" s="93" t="s">
        <v>270</v>
      </c>
      <c r="T6" s="93">
        <v>0.55000000000000004</v>
      </c>
      <c r="U6" s="93">
        <v>0.31622776601683789</v>
      </c>
      <c r="V6" s="93" t="s">
        <v>270</v>
      </c>
      <c r="W6" s="93" t="s">
        <v>270</v>
      </c>
      <c r="X6" s="93" t="s">
        <v>270</v>
      </c>
      <c r="Y6" s="93" t="s">
        <v>270</v>
      </c>
      <c r="Z6" s="93" t="s">
        <v>270</v>
      </c>
      <c r="AA6" s="93" t="s">
        <v>270</v>
      </c>
      <c r="AB6" s="93" t="s">
        <v>270</v>
      </c>
      <c r="AC6" s="93" t="s">
        <v>270</v>
      </c>
      <c r="AD6" s="93" t="s">
        <v>270</v>
      </c>
      <c r="AE6" s="93" t="s">
        <v>270</v>
      </c>
      <c r="AF6" s="93" t="s">
        <v>270</v>
      </c>
      <c r="AG6" s="93" t="s">
        <v>270</v>
      </c>
      <c r="AH6" s="93" t="s">
        <v>270</v>
      </c>
      <c r="AI6" s="93" t="s">
        <v>270</v>
      </c>
      <c r="AJ6" s="93" t="s">
        <v>270</v>
      </c>
      <c r="AK6" s="93" t="s">
        <v>270</v>
      </c>
      <c r="AL6" s="93" t="s">
        <v>270</v>
      </c>
      <c r="AM6" s="93" t="s">
        <v>270</v>
      </c>
      <c r="AN6" s="93" t="s">
        <v>270</v>
      </c>
      <c r="AO6" s="93" t="s">
        <v>270</v>
      </c>
      <c r="AP6" s="93">
        <v>-0.13479623824451412</v>
      </c>
      <c r="AQ6" s="93">
        <v>3.1347962382445145E-2</v>
      </c>
      <c r="AR6" s="93">
        <v>2.4399919999999992E-7</v>
      </c>
      <c r="AS6" s="93">
        <v>1.3839999999999944E-8</v>
      </c>
      <c r="AT6" s="93">
        <v>4.2249999999999998E-7</v>
      </c>
      <c r="AU6" s="93">
        <v>1.3999999999999999E-9</v>
      </c>
      <c r="AV6" s="93">
        <v>2.5260000000000003E-7</v>
      </c>
      <c r="AW6" s="93">
        <v>3E-10</v>
      </c>
      <c r="AX6" s="93">
        <v>41851</v>
      </c>
      <c r="AY6" s="93">
        <v>4.5757336412246335E-8</v>
      </c>
      <c r="AZ6" s="93">
        <v>6.8918501782273787E-9</v>
      </c>
      <c r="BA6" s="93">
        <v>1.3108348455971215E-8</v>
      </c>
      <c r="BB6" s="93">
        <v>3.5239920365576837E-9</v>
      </c>
      <c r="BC6" s="93">
        <v>8.2334924495823891</v>
      </c>
      <c r="BD6" s="93">
        <v>0.28627715650845109</v>
      </c>
      <c r="BE6" s="93">
        <v>3.6363431513178241E-7</v>
      </c>
      <c r="BF6" s="93">
        <v>2.8604026541154507E-15</v>
      </c>
      <c r="BG6" s="93">
        <v>0.1499257112407692</v>
      </c>
      <c r="BH6" s="93">
        <v>1.7729916325344645E-2</v>
      </c>
      <c r="BI6" s="93">
        <v>0.88823101504533652</v>
      </c>
      <c r="BJ6" s="93">
        <v>1.0683290198974078E-2</v>
      </c>
      <c r="BK6" s="93">
        <v>4.4322825446866948E-8</v>
      </c>
      <c r="BL6" s="93">
        <v>1E-8</v>
      </c>
      <c r="BM6" s="93">
        <v>2.6519916428746284</v>
      </c>
      <c r="BN6" s="93">
        <v>2.7704653867879458</v>
      </c>
      <c r="BO6" s="93" t="s">
        <v>924</v>
      </c>
      <c r="BP6" s="93" t="s">
        <v>270</v>
      </c>
      <c r="BQ6" s="93" t="s">
        <v>920</v>
      </c>
    </row>
    <row r="7" spans="1:69">
      <c r="A7" s="93" t="s">
        <v>626</v>
      </c>
      <c r="B7" s="93" t="s">
        <v>627</v>
      </c>
      <c r="C7" s="93" t="s">
        <v>649</v>
      </c>
      <c r="D7" s="93">
        <v>41508</v>
      </c>
      <c r="E7" s="93" t="s">
        <v>650</v>
      </c>
      <c r="F7" s="93" t="s">
        <v>630</v>
      </c>
      <c r="G7" s="93" t="s">
        <v>631</v>
      </c>
      <c r="H7" s="93">
        <v>7.3464182465893549E-25</v>
      </c>
      <c r="I7" s="93" t="s">
        <v>270</v>
      </c>
      <c r="J7" s="93">
        <v>0.70640354088000001</v>
      </c>
      <c r="K7" s="93">
        <v>7.0640354087999999E-2</v>
      </c>
      <c r="L7" s="93">
        <v>19.8170731707317</v>
      </c>
      <c r="M7" s="93">
        <v>1.98170731707317</v>
      </c>
      <c r="N7" s="93">
        <v>12.617997783821398</v>
      </c>
      <c r="O7" s="93">
        <v>0.13460091870732502</v>
      </c>
      <c r="P7" s="93">
        <v>1.7426313576122106</v>
      </c>
      <c r="Q7" s="93">
        <v>0.11587317617346322</v>
      </c>
      <c r="R7" s="93" t="s">
        <v>270</v>
      </c>
      <c r="S7" s="93" t="s">
        <v>270</v>
      </c>
      <c r="T7" s="93">
        <v>7.5000000000000011E-2</v>
      </c>
      <c r="U7" s="93">
        <v>6.5824829046386299E-2</v>
      </c>
      <c r="V7" s="93" t="s">
        <v>270</v>
      </c>
      <c r="W7" s="93" t="s">
        <v>270</v>
      </c>
      <c r="X7" s="93" t="s">
        <v>270</v>
      </c>
      <c r="Y7" s="93" t="s">
        <v>270</v>
      </c>
      <c r="Z7" s="93" t="s">
        <v>270</v>
      </c>
      <c r="AA7" s="93" t="s">
        <v>270</v>
      </c>
      <c r="AB7" s="93" t="s">
        <v>270</v>
      </c>
      <c r="AC7" s="93" t="s">
        <v>270</v>
      </c>
      <c r="AD7" s="93" t="s">
        <v>270</v>
      </c>
      <c r="AE7" s="93" t="s">
        <v>270</v>
      </c>
      <c r="AF7" s="93" t="s">
        <v>270</v>
      </c>
      <c r="AG7" s="93" t="s">
        <v>270</v>
      </c>
      <c r="AH7" s="93">
        <v>0.22683903285595164</v>
      </c>
      <c r="AI7" s="93">
        <v>2.2683903285595164E-2</v>
      </c>
      <c r="AJ7" s="93">
        <v>0.53051803879706749</v>
      </c>
      <c r="AK7" s="93">
        <v>8.3478956186050307E-2</v>
      </c>
      <c r="AL7" s="93" t="s">
        <v>270</v>
      </c>
      <c r="AM7" s="93" t="s">
        <v>270</v>
      </c>
      <c r="AN7" s="93" t="s">
        <v>270</v>
      </c>
      <c r="AO7" s="93" t="s">
        <v>270</v>
      </c>
      <c r="AP7" s="93">
        <v>-1.8808777429467086E-2</v>
      </c>
      <c r="AQ7" s="93">
        <v>3.1347962382445145E-2</v>
      </c>
      <c r="AR7" s="93">
        <v>2.7513919999999992E-7</v>
      </c>
      <c r="AS7" s="93">
        <v>1.3840000000000023E-8</v>
      </c>
      <c r="AT7" s="93">
        <v>4.3230000000000003E-7</v>
      </c>
      <c r="AU7" s="93">
        <v>3E-10</v>
      </c>
      <c r="AV7" s="93">
        <v>2.0840000000000001E-7</v>
      </c>
      <c r="AW7" s="93">
        <v>4.8E-10</v>
      </c>
      <c r="AX7" s="93">
        <v>41857</v>
      </c>
      <c r="AY7" s="93">
        <v>4.5657057328841687E-8</v>
      </c>
      <c r="AZ7" s="93">
        <v>6.4762036616892689E-9</v>
      </c>
      <c r="BA7" s="93">
        <v>9.1313883138879825E-9</v>
      </c>
      <c r="BB7" s="93">
        <v>1.4366018069272306E-9</v>
      </c>
      <c r="BC7" s="93">
        <v>8.4684164276593599</v>
      </c>
      <c r="BD7" s="93">
        <v>6.5527549719713862E-2</v>
      </c>
      <c r="BE7" s="93">
        <v>3.7751155435727031E-7</v>
      </c>
      <c r="BF7" s="93">
        <v>2.5069292038751499E-15</v>
      </c>
      <c r="BG7" s="93">
        <v>0.18151126639412946</v>
      </c>
      <c r="BH7" s="93">
        <v>1.300689360254715E-2</v>
      </c>
      <c r="BI7" s="93">
        <v>0.89210682012044484</v>
      </c>
      <c r="BJ7" s="93">
        <v>3.6610336367168378E-3</v>
      </c>
      <c r="BK7" s="93">
        <v>4.4322825446866948E-8</v>
      </c>
      <c r="BL7" s="93">
        <v>1E-8</v>
      </c>
      <c r="BM7" s="93">
        <v>11.043254698742633</v>
      </c>
      <c r="BN7" s="93">
        <v>2.8453773824084623</v>
      </c>
      <c r="BO7" s="93" t="s">
        <v>924</v>
      </c>
      <c r="BP7" s="93" t="s">
        <v>270</v>
      </c>
      <c r="BQ7" s="93" t="s">
        <v>920</v>
      </c>
    </row>
    <row r="8" spans="1:69">
      <c r="A8" s="93" t="s">
        <v>626</v>
      </c>
      <c r="B8" s="93" t="s">
        <v>627</v>
      </c>
      <c r="C8" s="93" t="s">
        <v>656</v>
      </c>
      <c r="D8" s="93">
        <v>41540</v>
      </c>
      <c r="E8" s="93" t="s">
        <v>657</v>
      </c>
      <c r="F8" s="93" t="s">
        <v>630</v>
      </c>
      <c r="G8" s="93" t="s">
        <v>631</v>
      </c>
      <c r="H8" s="93">
        <v>3.6246203375946626E-3</v>
      </c>
      <c r="I8" s="93" t="s">
        <v>270</v>
      </c>
      <c r="J8" s="93">
        <v>0.31042765472</v>
      </c>
      <c r="K8" s="93">
        <v>3.1042765472000002E-2</v>
      </c>
      <c r="L8" s="93">
        <v>7.9268292682926802</v>
      </c>
      <c r="M8" s="93">
        <v>0.792682926829268</v>
      </c>
      <c r="N8" s="93">
        <v>13.60247103077038</v>
      </c>
      <c r="O8" s="93">
        <v>5.5081069070544988</v>
      </c>
      <c r="P8" s="93">
        <v>2.7161498240318172</v>
      </c>
      <c r="Q8" s="93">
        <v>0.52084838617885365</v>
      </c>
      <c r="R8" s="93" t="s">
        <v>270</v>
      </c>
      <c r="S8" s="93" t="s">
        <v>270</v>
      </c>
      <c r="T8" s="93">
        <v>0</v>
      </c>
      <c r="U8" s="93">
        <v>2.3688514685177644</v>
      </c>
      <c r="V8" s="93" t="s">
        <v>270</v>
      </c>
      <c r="W8" s="93" t="s">
        <v>270</v>
      </c>
      <c r="X8" s="93" t="s">
        <v>270</v>
      </c>
      <c r="Y8" s="93" t="s">
        <v>270</v>
      </c>
      <c r="Z8" s="93" t="s">
        <v>270</v>
      </c>
      <c r="AA8" s="93" t="s">
        <v>270</v>
      </c>
      <c r="AB8" s="93" t="s">
        <v>270</v>
      </c>
      <c r="AC8" s="93" t="s">
        <v>270</v>
      </c>
      <c r="AD8" s="93" t="s">
        <v>270</v>
      </c>
      <c r="AE8" s="93" t="s">
        <v>270</v>
      </c>
      <c r="AF8" s="93" t="s">
        <v>270</v>
      </c>
      <c r="AG8" s="93" t="s">
        <v>270</v>
      </c>
      <c r="AH8" s="93">
        <v>0.11965703260264005</v>
      </c>
      <c r="AI8" s="93">
        <v>1.1965703260264004E-2</v>
      </c>
      <c r="AJ8" s="93">
        <v>0.26003085822452365</v>
      </c>
      <c r="AK8" s="93">
        <v>0.12220151541920705</v>
      </c>
      <c r="AL8" s="93" t="s">
        <v>270</v>
      </c>
      <c r="AM8" s="93" t="s">
        <v>270</v>
      </c>
      <c r="AN8" s="93" t="s">
        <v>270</v>
      </c>
      <c r="AO8" s="93" t="s">
        <v>270</v>
      </c>
      <c r="AP8" s="93">
        <v>3.7617554858934171E-2</v>
      </c>
      <c r="AQ8" s="93">
        <v>3.1347962382445145E-2</v>
      </c>
      <c r="AR8" s="93">
        <v>2.0607760000000001E-7</v>
      </c>
      <c r="AS8" s="93">
        <v>1.384000000000001E-8</v>
      </c>
      <c r="AT8" s="93">
        <v>9.1480000000000001E-7</v>
      </c>
      <c r="AU8" s="93">
        <v>3.3000000000000002E-9</v>
      </c>
      <c r="AV8" s="93">
        <v>2.4400000000000001E-7</v>
      </c>
      <c r="AW8" s="93">
        <v>3.1999999999999998E-10</v>
      </c>
      <c r="AX8" s="93">
        <v>41862</v>
      </c>
      <c r="AY8" s="93">
        <v>4.5645798958927011E-8</v>
      </c>
      <c r="AZ8" s="93">
        <v>1.9586173462959403E-8</v>
      </c>
      <c r="BA8" s="93">
        <v>1.4232625077926722E-8</v>
      </c>
      <c r="BB8" s="93">
        <v>6.6881217280956535E-9</v>
      </c>
      <c r="BC8" s="93">
        <v>19.041306277258734</v>
      </c>
      <c r="BD8" s="93">
        <v>0.25377300535025038</v>
      </c>
      <c r="BE8" s="93">
        <v>8.5492157596314621E-7</v>
      </c>
      <c r="BF8" s="93">
        <v>1.7917687810535191E-14</v>
      </c>
      <c r="BG8" s="93">
        <v>0.13544915843216798</v>
      </c>
      <c r="BH8" s="93">
        <v>1.6629609626384385E-2</v>
      </c>
      <c r="BI8" s="93">
        <v>0.94931446781422346</v>
      </c>
      <c r="BJ8" s="93">
        <v>1.0528765904519087E-2</v>
      </c>
      <c r="BK8" s="93">
        <v>4.4322825446866948E-8</v>
      </c>
      <c r="BL8" s="93">
        <v>1E-8</v>
      </c>
      <c r="BM8" s="93">
        <v>27.666512087182021</v>
      </c>
      <c r="BN8" s="93">
        <v>6.1454682347477965</v>
      </c>
      <c r="BO8" s="93" t="s">
        <v>924</v>
      </c>
      <c r="BP8" s="93" t="s">
        <v>270</v>
      </c>
      <c r="BQ8" s="93" t="s">
        <v>920</v>
      </c>
    </row>
    <row r="9" spans="1:69">
      <c r="A9" s="93" t="s">
        <v>626</v>
      </c>
      <c r="B9" s="93" t="s">
        <v>627</v>
      </c>
      <c r="C9" s="93" t="s">
        <v>661</v>
      </c>
      <c r="D9" s="93">
        <v>41507</v>
      </c>
      <c r="E9" s="93" t="s">
        <v>662</v>
      </c>
      <c r="F9" s="93" t="s">
        <v>630</v>
      </c>
      <c r="G9" s="93" t="s">
        <v>631</v>
      </c>
      <c r="H9" s="93">
        <v>2.6169358063179819E-2</v>
      </c>
      <c r="I9" s="93" t="s">
        <v>270</v>
      </c>
      <c r="J9" s="93">
        <v>0.22376201802000001</v>
      </c>
      <c r="K9" s="93">
        <v>2.2376201801999999E-2</v>
      </c>
      <c r="L9" s="93">
        <v>39.024390243902403</v>
      </c>
      <c r="M9" s="93">
        <v>3.9024390243902403</v>
      </c>
      <c r="N9" s="93">
        <v>17.099513338236548</v>
      </c>
      <c r="O9" s="93">
        <v>5.8288201014483878</v>
      </c>
      <c r="P9" s="93">
        <v>2.4362835891039096</v>
      </c>
      <c r="Q9" s="93">
        <v>0.4952315441203945</v>
      </c>
      <c r="R9" s="93" t="s">
        <v>270</v>
      </c>
      <c r="S9" s="93" t="s">
        <v>270</v>
      </c>
      <c r="T9" s="93">
        <v>0</v>
      </c>
      <c r="U9" s="93">
        <v>2.1729946464129948</v>
      </c>
      <c r="V9" s="93" t="s">
        <v>270</v>
      </c>
      <c r="W9" s="93" t="s">
        <v>270</v>
      </c>
      <c r="X9" s="93" t="s">
        <v>270</v>
      </c>
      <c r="Y9" s="93" t="s">
        <v>270</v>
      </c>
      <c r="Z9" s="93" t="s">
        <v>270</v>
      </c>
      <c r="AA9" s="93" t="s">
        <v>270</v>
      </c>
      <c r="AB9" s="93" t="s">
        <v>270</v>
      </c>
      <c r="AC9" s="93" t="s">
        <v>270</v>
      </c>
      <c r="AD9" s="93" t="s">
        <v>270</v>
      </c>
      <c r="AE9" s="93" t="s">
        <v>270</v>
      </c>
      <c r="AF9" s="93" t="s">
        <v>270</v>
      </c>
      <c r="AG9" s="93" t="s">
        <v>270</v>
      </c>
      <c r="AH9" s="93">
        <v>0.97039890170995624</v>
      </c>
      <c r="AI9" s="93">
        <v>9.7039890170995624E-2</v>
      </c>
      <c r="AJ9" s="93">
        <v>2.3974922504397291</v>
      </c>
      <c r="AK9" s="93">
        <v>1.0102801026704311</v>
      </c>
      <c r="AL9" s="93" t="s">
        <v>270</v>
      </c>
      <c r="AM9" s="93" t="s">
        <v>270</v>
      </c>
      <c r="AN9" s="93" t="s">
        <v>270</v>
      </c>
      <c r="AO9" s="93" t="s">
        <v>270</v>
      </c>
      <c r="AP9" s="93">
        <v>-5.642633228840125E-2</v>
      </c>
      <c r="AQ9" s="93">
        <v>3.1347962382445145E-2</v>
      </c>
      <c r="AR9" s="93">
        <v>1.1801368E-6</v>
      </c>
      <c r="AS9" s="93">
        <v>1.3840000000000023E-8</v>
      </c>
      <c r="AT9" s="93">
        <v>6.5699999999999999E-8</v>
      </c>
      <c r="AU9" s="93">
        <v>0</v>
      </c>
      <c r="AV9" s="93">
        <v>2.326E-7</v>
      </c>
      <c r="AW9" s="93">
        <v>2.8000000000000002E-10</v>
      </c>
      <c r="AX9" s="93">
        <v>41850</v>
      </c>
      <c r="AY9" s="93">
        <v>4.4923581463586024E-8</v>
      </c>
      <c r="AZ9" s="93">
        <v>1.6583038902634667E-8</v>
      </c>
      <c r="BA9" s="93">
        <v>1.2766126006904487E-8</v>
      </c>
      <c r="BB9" s="93">
        <v>5.3791383189328084E-9</v>
      </c>
      <c r="BC9" s="93">
        <v>0.46248553464529429</v>
      </c>
      <c r="BD9" s="93">
        <v>0.23528318216064081</v>
      </c>
      <c r="BE9" s="93">
        <v>8.0102925295094889E-9</v>
      </c>
      <c r="BF9" s="93">
        <v>1.3966883884238456E-16</v>
      </c>
      <c r="BG9" s="93">
        <v>0.81717491361429095</v>
      </c>
      <c r="BH9" s="93">
        <v>3.1314329930351603E-2</v>
      </c>
      <c r="BI9" s="93">
        <v>0.15132247243745856</v>
      </c>
      <c r="BJ9" s="93">
        <v>1.537710575029496E-2</v>
      </c>
      <c r="BK9" s="93">
        <v>4.4322825446866948E-8</v>
      </c>
      <c r="BL9" s="93">
        <v>1E-8</v>
      </c>
      <c r="BM9" s="93">
        <v>-0.65272836452766714</v>
      </c>
      <c r="BN9" s="93">
        <v>0.36694400331185922</v>
      </c>
      <c r="BO9" s="93" t="s">
        <v>923</v>
      </c>
      <c r="BP9" s="93" t="s">
        <v>270</v>
      </c>
      <c r="BQ9" s="93" t="s">
        <v>921</v>
      </c>
    </row>
    <row r="10" spans="1:69">
      <c r="A10" s="93" t="s">
        <v>626</v>
      </c>
      <c r="B10" s="93" t="s">
        <v>627</v>
      </c>
      <c r="C10" s="93" t="s">
        <v>666</v>
      </c>
      <c r="D10" s="93">
        <v>41506</v>
      </c>
      <c r="E10" s="93" t="s">
        <v>667</v>
      </c>
      <c r="F10" s="93" t="s">
        <v>630</v>
      </c>
      <c r="G10" s="93" t="s">
        <v>631</v>
      </c>
      <c r="H10" s="93">
        <v>5.498356097737817E-26</v>
      </c>
      <c r="I10" s="93" t="s">
        <v>270</v>
      </c>
      <c r="J10" s="93">
        <v>0.37143129450000001</v>
      </c>
      <c r="K10" s="93">
        <v>3.7143129449999999E-2</v>
      </c>
      <c r="L10" s="93">
        <v>92.073170731707293</v>
      </c>
      <c r="M10" s="93">
        <v>9.2073170731707297</v>
      </c>
      <c r="N10" s="93">
        <v>15.601132304414335</v>
      </c>
      <c r="O10" s="93">
        <v>0.46020379618186452</v>
      </c>
      <c r="P10" s="93">
        <v>2.1824352827651703</v>
      </c>
      <c r="Q10" s="93">
        <v>0.35232938357113042</v>
      </c>
      <c r="R10" s="93" t="s">
        <v>270</v>
      </c>
      <c r="S10" s="93" t="s">
        <v>270</v>
      </c>
      <c r="T10" s="93">
        <v>0.3</v>
      </c>
      <c r="U10" s="93">
        <v>0.2</v>
      </c>
      <c r="V10" s="93" t="s">
        <v>270</v>
      </c>
      <c r="W10" s="93" t="s">
        <v>270</v>
      </c>
      <c r="X10" s="93" t="s">
        <v>270</v>
      </c>
      <c r="Y10" s="93" t="s">
        <v>270</v>
      </c>
      <c r="Z10" s="93" t="s">
        <v>270</v>
      </c>
      <c r="AA10" s="93" t="s">
        <v>270</v>
      </c>
      <c r="AB10" s="93" t="s">
        <v>270</v>
      </c>
      <c r="AC10" s="93" t="s">
        <v>270</v>
      </c>
      <c r="AD10" s="93" t="s">
        <v>270</v>
      </c>
      <c r="AE10" s="93" t="s">
        <v>270</v>
      </c>
      <c r="AF10" s="93" t="s">
        <v>270</v>
      </c>
      <c r="AG10" s="93" t="s">
        <v>270</v>
      </c>
      <c r="AH10" s="93" t="s">
        <v>270</v>
      </c>
      <c r="AI10" s="93" t="s">
        <v>270</v>
      </c>
      <c r="AJ10" s="93" t="s">
        <v>270</v>
      </c>
      <c r="AK10" s="93" t="s">
        <v>270</v>
      </c>
      <c r="AL10" s="93" t="s">
        <v>270</v>
      </c>
      <c r="AM10" s="93" t="s">
        <v>270</v>
      </c>
      <c r="AN10" s="93" t="s">
        <v>270</v>
      </c>
      <c r="AO10" s="93" t="s">
        <v>270</v>
      </c>
      <c r="AP10" s="93">
        <v>1.5673981191222573E-2</v>
      </c>
      <c r="AQ10" s="93">
        <v>3.1347962382445145E-2</v>
      </c>
      <c r="AR10" s="93">
        <v>3.5278159999999994E-7</v>
      </c>
      <c r="AS10" s="93">
        <v>1.3839999999999997E-8</v>
      </c>
      <c r="AT10" s="93">
        <v>2.3440000000000001E-7</v>
      </c>
      <c r="AU10" s="93">
        <v>4.0000000000000001E-10</v>
      </c>
      <c r="AV10" s="93">
        <v>2.2980000000000001E-7</v>
      </c>
      <c r="AW10" s="93">
        <v>2.8000000000000002E-10</v>
      </c>
      <c r="AX10" s="93">
        <v>41850</v>
      </c>
      <c r="AY10" s="93">
        <v>4.4834944718410107E-8</v>
      </c>
      <c r="AZ10" s="93">
        <v>6.4770913472897155E-9</v>
      </c>
      <c r="BA10" s="93">
        <v>1.1435960881689493E-8</v>
      </c>
      <c r="BB10" s="93">
        <v>2.4774839548416581E-9</v>
      </c>
      <c r="BC10" s="93">
        <v>4.2280661130685857</v>
      </c>
      <c r="BD10" s="93">
        <v>0.21408434191843873</v>
      </c>
      <c r="BE10" s="93">
        <v>1.7812909439990042E-7</v>
      </c>
      <c r="BF10" s="93">
        <v>1.2373321765188786E-15</v>
      </c>
      <c r="BG10" s="93">
        <v>0.21668341261550716</v>
      </c>
      <c r="BH10" s="93">
        <v>1.9288354683658873E-2</v>
      </c>
      <c r="BI10" s="93">
        <v>0.79891420099913024</v>
      </c>
      <c r="BJ10" s="93">
        <v>1.0310464444381124E-2</v>
      </c>
      <c r="BK10" s="93">
        <v>4.4322825446866948E-8</v>
      </c>
      <c r="BL10" s="93">
        <v>1E-8</v>
      </c>
      <c r="BM10" s="93">
        <v>-0.82283391643914605</v>
      </c>
      <c r="BN10" s="93">
        <v>1.4887988479741359</v>
      </c>
      <c r="BO10" s="93" t="s">
        <v>923</v>
      </c>
      <c r="BP10" s="93" t="s">
        <v>270</v>
      </c>
      <c r="BQ10" s="93" t="s">
        <v>920</v>
      </c>
    </row>
    <row r="11" spans="1:69">
      <c r="A11" s="93" t="s">
        <v>626</v>
      </c>
      <c r="B11" s="93" t="s">
        <v>627</v>
      </c>
      <c r="C11" s="93" t="s">
        <v>672</v>
      </c>
      <c r="D11" s="93">
        <v>41507</v>
      </c>
      <c r="E11" s="93" t="s">
        <v>673</v>
      </c>
      <c r="F11" s="93" t="s">
        <v>630</v>
      </c>
      <c r="G11" s="93" t="s">
        <v>631</v>
      </c>
      <c r="H11" s="93">
        <v>5.462332179034777E-26</v>
      </c>
      <c r="I11" s="93" t="s">
        <v>270</v>
      </c>
      <c r="J11" s="93">
        <v>0.31770079722</v>
      </c>
      <c r="K11" s="93">
        <v>3.1770079722000001E-2</v>
      </c>
      <c r="L11" s="93">
        <v>50.304878048780402</v>
      </c>
      <c r="M11" s="93">
        <v>5.0304878048780406</v>
      </c>
      <c r="N11" s="93">
        <v>13.152045263299325</v>
      </c>
      <c r="O11" s="93">
        <v>0.29516372410332259</v>
      </c>
      <c r="P11" s="93">
        <v>1.9107507737138847</v>
      </c>
      <c r="Q11" s="93">
        <v>0.24909316257978464</v>
      </c>
      <c r="R11" s="93" t="s">
        <v>270</v>
      </c>
      <c r="S11" s="93" t="s">
        <v>270</v>
      </c>
      <c r="T11" s="93">
        <v>0.2</v>
      </c>
      <c r="U11" s="93">
        <v>0.14142135623730953</v>
      </c>
      <c r="V11" s="93" t="s">
        <v>270</v>
      </c>
      <c r="W11" s="93" t="s">
        <v>270</v>
      </c>
      <c r="X11" s="93" t="s">
        <v>270</v>
      </c>
      <c r="Y11" s="93" t="s">
        <v>270</v>
      </c>
      <c r="Z11" s="93" t="s">
        <v>270</v>
      </c>
      <c r="AA11" s="93" t="s">
        <v>270</v>
      </c>
      <c r="AB11" s="93" t="s">
        <v>270</v>
      </c>
      <c r="AC11" s="93" t="s">
        <v>270</v>
      </c>
      <c r="AD11" s="93" t="s">
        <v>270</v>
      </c>
      <c r="AE11" s="93" t="s">
        <v>270</v>
      </c>
      <c r="AF11" s="93" t="s">
        <v>270</v>
      </c>
      <c r="AG11" s="93" t="s">
        <v>270</v>
      </c>
      <c r="AH11" s="93">
        <v>0.65780018159043152</v>
      </c>
      <c r="AI11" s="93">
        <v>6.5780018159043149E-2</v>
      </c>
      <c r="AJ11" s="93">
        <v>1.5367377601735741</v>
      </c>
      <c r="AK11" s="93">
        <v>0.29758166410639308</v>
      </c>
      <c r="AL11" s="93" t="s">
        <v>270</v>
      </c>
      <c r="AM11" s="93" t="s">
        <v>270</v>
      </c>
      <c r="AN11" s="93" t="s">
        <v>270</v>
      </c>
      <c r="AO11" s="93" t="s">
        <v>270</v>
      </c>
      <c r="AP11" s="93">
        <v>9.4043887147335428E-2</v>
      </c>
      <c r="AQ11" s="93">
        <v>3.1347962382445145E-2</v>
      </c>
      <c r="AR11" s="93" t="s">
        <v>270</v>
      </c>
      <c r="AS11" s="93" t="s">
        <v>270</v>
      </c>
      <c r="AT11" s="93" t="s">
        <v>270</v>
      </c>
      <c r="AU11" s="93" t="s">
        <v>270</v>
      </c>
      <c r="AV11" s="93" t="s">
        <v>270</v>
      </c>
      <c r="AW11" s="93" t="s">
        <v>270</v>
      </c>
      <c r="AX11" s="93" t="s">
        <v>270</v>
      </c>
      <c r="AY11" s="93" t="s">
        <v>270</v>
      </c>
      <c r="AZ11" s="93" t="s">
        <v>270</v>
      </c>
      <c r="BA11" s="93" t="s">
        <v>270</v>
      </c>
      <c r="BB11" s="93" t="s">
        <v>270</v>
      </c>
      <c r="BC11" s="93" t="s">
        <v>270</v>
      </c>
      <c r="BD11" s="93" t="s">
        <v>270</v>
      </c>
      <c r="BE11" s="93" t="s">
        <v>270</v>
      </c>
      <c r="BF11" s="93" t="s">
        <v>270</v>
      </c>
      <c r="BG11" s="93" t="s">
        <v>270</v>
      </c>
      <c r="BH11" s="93" t="s">
        <v>270</v>
      </c>
      <c r="BI11" s="93" t="s">
        <v>270</v>
      </c>
      <c r="BJ11" s="93" t="s">
        <v>270</v>
      </c>
      <c r="BK11" s="93" t="s">
        <v>270</v>
      </c>
      <c r="BL11" s="93" t="s">
        <v>270</v>
      </c>
      <c r="BM11" s="93" t="s">
        <v>270</v>
      </c>
      <c r="BN11" s="93" t="s">
        <v>270</v>
      </c>
      <c r="BO11" s="93" t="s">
        <v>270</v>
      </c>
      <c r="BP11" s="93" t="s">
        <v>270</v>
      </c>
    </row>
    <row r="12" spans="1:69">
      <c r="A12" s="93" t="s">
        <v>626</v>
      </c>
      <c r="B12" s="93" t="s">
        <v>627</v>
      </c>
      <c r="C12" s="93" t="s">
        <v>678</v>
      </c>
      <c r="D12" s="93">
        <v>41520</v>
      </c>
      <c r="E12" s="93" t="s">
        <v>679</v>
      </c>
      <c r="F12" s="93" t="s">
        <v>630</v>
      </c>
      <c r="G12" s="93" t="s">
        <v>631</v>
      </c>
      <c r="H12" s="93">
        <v>2.9976748467208682E-21</v>
      </c>
      <c r="I12" s="93" t="s">
        <v>270</v>
      </c>
      <c r="J12" s="93">
        <v>0.14891640378000001</v>
      </c>
      <c r="K12" s="93">
        <v>1.4891640378E-2</v>
      </c>
      <c r="L12" s="93">
        <v>61.585365853658502</v>
      </c>
      <c r="M12" s="93">
        <v>6.1585365853658498</v>
      </c>
      <c r="N12" s="93">
        <v>11.384581975999991</v>
      </c>
      <c r="O12" s="93">
        <v>5.2556183418836628</v>
      </c>
      <c r="P12" s="93">
        <v>2.4999462486194837</v>
      </c>
      <c r="Q12" s="93">
        <v>0.53099169041766148</v>
      </c>
      <c r="R12" s="93" t="s">
        <v>270</v>
      </c>
      <c r="S12" s="93" t="s">
        <v>270</v>
      </c>
      <c r="T12" s="93">
        <v>8.5083072554903855E-2</v>
      </c>
      <c r="U12" s="93">
        <v>2.4538951098596176</v>
      </c>
      <c r="V12" s="93" t="s">
        <v>270</v>
      </c>
      <c r="W12" s="93" t="s">
        <v>270</v>
      </c>
      <c r="X12" s="93" t="s">
        <v>270</v>
      </c>
      <c r="Y12" s="93" t="s">
        <v>270</v>
      </c>
      <c r="Z12" s="93" t="s">
        <v>270</v>
      </c>
      <c r="AA12" s="93" t="s">
        <v>270</v>
      </c>
      <c r="AB12" s="93" t="s">
        <v>270</v>
      </c>
      <c r="AC12" s="93" t="s">
        <v>270</v>
      </c>
      <c r="AD12" s="93" t="s">
        <v>270</v>
      </c>
      <c r="AE12" s="93" t="s">
        <v>270</v>
      </c>
      <c r="AF12" s="93" t="s">
        <v>270</v>
      </c>
      <c r="AG12" s="93" t="s">
        <v>270</v>
      </c>
      <c r="AH12" s="93">
        <v>0.21564635371003293</v>
      </c>
      <c r="AI12" s="93">
        <v>2.1564635371003296E-2</v>
      </c>
      <c r="AJ12" s="93">
        <v>0.44938828399101416</v>
      </c>
      <c r="AK12" s="93">
        <v>0.23704074896706465</v>
      </c>
      <c r="AL12" s="93" t="s">
        <v>270</v>
      </c>
      <c r="AM12" s="93" t="s">
        <v>270</v>
      </c>
      <c r="AN12" s="93" t="s">
        <v>270</v>
      </c>
      <c r="AO12" s="93" t="s">
        <v>270</v>
      </c>
      <c r="AP12" s="93">
        <v>2.5078369905956115E-2</v>
      </c>
      <c r="AQ12" s="93">
        <v>3.1347962382445145E-2</v>
      </c>
      <c r="AR12" s="93">
        <v>6.9712079999999992E-7</v>
      </c>
      <c r="AS12" s="93">
        <v>1.3840000000000023E-8</v>
      </c>
      <c r="AT12" s="93">
        <v>1.178E-7</v>
      </c>
      <c r="AU12" s="93">
        <v>1E-10</v>
      </c>
      <c r="AV12" s="93">
        <v>2.4289999999999998E-7</v>
      </c>
      <c r="AW12" s="93">
        <v>2.8999999999999998E-10</v>
      </c>
      <c r="AX12" s="93">
        <v>41850</v>
      </c>
      <c r="AY12" s="93">
        <v>4.5798216025734853E-8</v>
      </c>
      <c r="AZ12" s="93">
        <v>2.211227894135564E-8</v>
      </c>
      <c r="BA12" s="93">
        <v>1.3099718342766094E-8</v>
      </c>
      <c r="BB12" s="93">
        <v>6.9097638657008669E-9</v>
      </c>
      <c r="BC12" s="93">
        <v>1.5721525922776713</v>
      </c>
      <c r="BD12" s="93">
        <v>0.23003906843766952</v>
      </c>
      <c r="BE12" s="93">
        <v>5.8902065631499059E-8</v>
      </c>
      <c r="BF12" s="93">
        <v>1.3645814136059458E-15</v>
      </c>
      <c r="BG12" s="93">
        <v>0.44160501893594484</v>
      </c>
      <c r="BH12" s="93">
        <v>4.8378403050275395E-2</v>
      </c>
      <c r="BI12" s="93">
        <v>0.56257823769393434</v>
      </c>
      <c r="BJ12" s="93">
        <v>3.7665042839862016E-2</v>
      </c>
      <c r="BK12" s="93">
        <v>4.4322825446866948E-8</v>
      </c>
      <c r="BL12" s="93">
        <v>1E-8</v>
      </c>
      <c r="BM12" s="93">
        <v>-0.37196419308791928</v>
      </c>
      <c r="BN12" s="93">
        <v>0.69728964902153878</v>
      </c>
      <c r="BO12" s="93" t="s">
        <v>923</v>
      </c>
      <c r="BP12" s="93" t="s">
        <v>270</v>
      </c>
      <c r="BQ12" s="93" t="s">
        <v>920</v>
      </c>
    </row>
    <row r="13" spans="1:69">
      <c r="A13" s="93" t="s">
        <v>626</v>
      </c>
      <c r="B13" s="93" t="s">
        <v>627</v>
      </c>
      <c r="C13" s="93" t="s">
        <v>683</v>
      </c>
      <c r="D13" s="93">
        <v>41521</v>
      </c>
      <c r="E13" s="93" t="s">
        <v>684</v>
      </c>
      <c r="F13" s="93" t="s">
        <v>630</v>
      </c>
      <c r="G13" s="93" t="s">
        <v>631</v>
      </c>
      <c r="H13" s="93">
        <v>6.8183773032026653E-4</v>
      </c>
      <c r="I13" s="93" t="s">
        <v>270</v>
      </c>
      <c r="J13" s="93">
        <v>0.12044944512</v>
      </c>
      <c r="K13" s="93">
        <v>1.2044944512E-2</v>
      </c>
      <c r="L13" s="93">
        <v>61.585365853658502</v>
      </c>
      <c r="M13" s="93">
        <v>6.1585365853658498</v>
      </c>
      <c r="N13" s="93">
        <v>12.045662229732464</v>
      </c>
      <c r="O13" s="93">
        <v>5.422835608453239</v>
      </c>
      <c r="P13" s="93">
        <v>3.3008893367060326</v>
      </c>
      <c r="Q13" s="93">
        <v>0.53654657331489863</v>
      </c>
      <c r="R13" s="93" t="s">
        <v>270</v>
      </c>
      <c r="S13" s="93" t="s">
        <v>270</v>
      </c>
      <c r="T13" s="93">
        <v>1.1323085918195407E-4</v>
      </c>
      <c r="U13" s="93">
        <v>2.493201331702716</v>
      </c>
      <c r="V13" s="93" t="s">
        <v>270</v>
      </c>
      <c r="W13" s="93" t="s">
        <v>270</v>
      </c>
      <c r="X13" s="93" t="s">
        <v>270</v>
      </c>
      <c r="Y13" s="93" t="s">
        <v>270</v>
      </c>
      <c r="Z13" s="93" t="s">
        <v>270</v>
      </c>
      <c r="AA13" s="93" t="s">
        <v>270</v>
      </c>
      <c r="AB13" s="93" t="s">
        <v>270</v>
      </c>
      <c r="AC13" s="93" t="s">
        <v>270</v>
      </c>
      <c r="AD13" s="93" t="s">
        <v>270</v>
      </c>
      <c r="AE13" s="93" t="s">
        <v>270</v>
      </c>
      <c r="AF13" s="93" t="s">
        <v>270</v>
      </c>
      <c r="AG13" s="93" t="s">
        <v>270</v>
      </c>
      <c r="AH13" s="93">
        <v>0.17618516649399982</v>
      </c>
      <c r="AI13" s="93">
        <v>1.7618516649399982E-2</v>
      </c>
      <c r="AJ13" s="93">
        <v>0.34788395752056067</v>
      </c>
      <c r="AK13" s="93">
        <v>0.1736572332070159</v>
      </c>
      <c r="AL13" s="93" t="s">
        <v>270</v>
      </c>
      <c r="AM13" s="93" t="s">
        <v>270</v>
      </c>
      <c r="AN13" s="93" t="s">
        <v>270</v>
      </c>
      <c r="AO13" s="93" t="s">
        <v>270</v>
      </c>
      <c r="AP13" s="93">
        <v>-7.2100313479623826E-2</v>
      </c>
      <c r="AQ13" s="93">
        <v>3.1347962382445145E-2</v>
      </c>
      <c r="AR13" s="93">
        <v>4.3263840000000006E-7</v>
      </c>
      <c r="AS13" s="93">
        <v>1.3839999999999917E-8</v>
      </c>
      <c r="AT13" s="93">
        <v>2.2100000000000001E-7</v>
      </c>
      <c r="AU13" s="93">
        <v>4.0000000000000001E-10</v>
      </c>
      <c r="AV13" s="93">
        <v>2.5629999999999999E-7</v>
      </c>
      <c r="AW13" s="93">
        <v>2.8999999999999998E-10</v>
      </c>
      <c r="AX13" s="93">
        <v>41849</v>
      </c>
      <c r="AY13" s="93">
        <v>4.5680318796020578E-8</v>
      </c>
      <c r="AZ13" s="93">
        <v>2.156146268734377E-8</v>
      </c>
      <c r="BA13" s="93">
        <v>1.7296660124339613E-8</v>
      </c>
      <c r="BB13" s="93">
        <v>8.6339212822145939E-9</v>
      </c>
      <c r="BC13" s="93">
        <v>3.8379740888885556</v>
      </c>
      <c r="BD13" s="93">
        <v>0.30560920360162325</v>
      </c>
      <c r="BE13" s="93">
        <v>1.5802302107963979E-7</v>
      </c>
      <c r="BF13" s="93">
        <v>3.6708043958092999E-15</v>
      </c>
      <c r="BG13" s="93">
        <v>0.25423199489390669</v>
      </c>
      <c r="BH13" s="93">
        <v>4.2655813728909017E-2</v>
      </c>
      <c r="BI13" s="93">
        <v>0.77575103567980275</v>
      </c>
      <c r="BJ13" s="93">
        <v>3.4403217161541329E-2</v>
      </c>
      <c r="BK13" s="93">
        <v>4.4322825446866948E-8</v>
      </c>
      <c r="BL13" s="93">
        <v>1E-8</v>
      </c>
      <c r="BM13" s="93">
        <v>1.0184400461296979</v>
      </c>
      <c r="BN13" s="93">
        <v>1.3852093918873349</v>
      </c>
      <c r="BO13" s="93" t="s">
        <v>924</v>
      </c>
      <c r="BP13" s="93" t="s">
        <v>270</v>
      </c>
      <c r="BQ13" s="93" t="s">
        <v>920</v>
      </c>
    </row>
    <row r="14" spans="1:69">
      <c r="A14" s="93" t="s">
        <v>626</v>
      </c>
      <c r="B14" s="93" t="s">
        <v>688</v>
      </c>
      <c r="C14" s="93" t="s">
        <v>689</v>
      </c>
      <c r="D14" s="93">
        <v>41527</v>
      </c>
      <c r="E14" s="93" t="s">
        <v>690</v>
      </c>
      <c r="F14" s="93" t="s">
        <v>630</v>
      </c>
      <c r="G14" s="93" t="s">
        <v>631</v>
      </c>
      <c r="H14" s="93">
        <v>8.6248645012516862E-23</v>
      </c>
      <c r="I14" s="93" t="s">
        <v>270</v>
      </c>
      <c r="J14" s="93">
        <v>1.04112156672</v>
      </c>
      <c r="K14" s="93">
        <v>0.10411215667199999</v>
      </c>
      <c r="L14" s="93">
        <v>10.670731707317</v>
      </c>
      <c r="M14" s="93">
        <v>1.0670731707317</v>
      </c>
      <c r="N14" s="93">
        <v>19.937950552534225</v>
      </c>
      <c r="O14" s="93">
        <v>0.88510732826178451</v>
      </c>
      <c r="P14" s="93">
        <v>2.5210026746520233</v>
      </c>
      <c r="Q14" s="93">
        <v>0.58241027671659207</v>
      </c>
      <c r="R14" s="93" t="s">
        <v>270</v>
      </c>
      <c r="S14" s="93" t="s">
        <v>270</v>
      </c>
      <c r="T14" s="93">
        <v>3.9250000000000012</v>
      </c>
      <c r="U14" s="93">
        <v>0.33071650948515163</v>
      </c>
      <c r="V14" s="93" t="s">
        <v>270</v>
      </c>
      <c r="W14" s="93" t="s">
        <v>270</v>
      </c>
      <c r="X14" s="93" t="s">
        <v>270</v>
      </c>
      <c r="Y14" s="93" t="s">
        <v>270</v>
      </c>
      <c r="Z14" s="93" t="s">
        <v>270</v>
      </c>
      <c r="AA14" s="93" t="s">
        <v>270</v>
      </c>
      <c r="AB14" s="93" t="s">
        <v>270</v>
      </c>
      <c r="AC14" s="93" t="s">
        <v>270</v>
      </c>
      <c r="AD14" s="93" t="s">
        <v>270</v>
      </c>
      <c r="AE14" s="93" t="s">
        <v>270</v>
      </c>
      <c r="AF14" s="93" t="s">
        <v>270</v>
      </c>
      <c r="AG14" s="93" t="s">
        <v>270</v>
      </c>
      <c r="AH14" s="93">
        <v>0.85835182264394427</v>
      </c>
      <c r="AI14" s="93">
        <v>8.5835182264394433E-2</v>
      </c>
      <c r="AJ14" s="93">
        <v>2.2667637673781371</v>
      </c>
      <c r="AK14" s="93">
        <v>0.62226780918801472</v>
      </c>
      <c r="AL14" s="93" t="s">
        <v>270</v>
      </c>
      <c r="AM14" s="93" t="s">
        <v>270</v>
      </c>
      <c r="AN14" s="93" t="s">
        <v>270</v>
      </c>
      <c r="AO14" s="93" t="s">
        <v>270</v>
      </c>
      <c r="AP14" s="93">
        <v>-0.2225705329153605</v>
      </c>
      <c r="AQ14" s="93">
        <v>3.1347962382445145E-2</v>
      </c>
      <c r="AR14" s="93">
        <v>1.1085840000000007E-7</v>
      </c>
      <c r="AS14" s="93">
        <v>1.384000000000001E-8</v>
      </c>
      <c r="AT14" s="93">
        <v>8.3900000000000004E-7</v>
      </c>
      <c r="AU14" s="93">
        <v>1.6000000000000001E-9</v>
      </c>
      <c r="AV14" s="93">
        <v>1.8610000000000001E-7</v>
      </c>
      <c r="AW14" s="93">
        <v>4.3999999999999998E-10</v>
      </c>
      <c r="AX14" s="93">
        <v>41857</v>
      </c>
      <c r="AY14" s="93">
        <v>4.4474304301362996E-8</v>
      </c>
      <c r="AZ14" s="93">
        <v>6.5930747590648057E-9</v>
      </c>
      <c r="BA14" s="93">
        <v>1.3210054015176602E-8</v>
      </c>
      <c r="BB14" s="93">
        <v>3.6267308023453989E-9</v>
      </c>
      <c r="BC14" s="93">
        <v>17.864831750617054</v>
      </c>
      <c r="BD14" s="93">
        <v>1.2141166343314191E-2</v>
      </c>
      <c r="BE14" s="93">
        <v>7.8131564168346043E-7</v>
      </c>
      <c r="BF14" s="93">
        <v>6.011029602648753E-15</v>
      </c>
      <c r="BG14" s="93">
        <v>6.5384485211863422E-2</v>
      </c>
      <c r="BH14" s="93">
        <v>1.4293602485886478E-2</v>
      </c>
      <c r="BI14" s="93">
        <v>0.94614338971491319</v>
      </c>
      <c r="BJ14" s="93">
        <v>5.98848543983381E-3</v>
      </c>
      <c r="BK14" s="93">
        <v>4.4322825446866948E-8</v>
      </c>
      <c r="BL14" s="93">
        <v>1E-8</v>
      </c>
      <c r="BM14" s="93">
        <v>-8.215624283107271</v>
      </c>
      <c r="BN14" s="93">
        <v>5.6308794606391022</v>
      </c>
      <c r="BO14" s="93" t="s">
        <v>923</v>
      </c>
      <c r="BP14" s="93" t="s">
        <v>270</v>
      </c>
      <c r="BQ14" s="93" t="s">
        <v>920</v>
      </c>
    </row>
    <row r="15" spans="1:69">
      <c r="A15" s="93" t="s">
        <v>626</v>
      </c>
      <c r="B15" s="93" t="s">
        <v>688</v>
      </c>
      <c r="C15" s="93" t="s">
        <v>695</v>
      </c>
      <c r="D15" s="93">
        <v>41536</v>
      </c>
      <c r="E15" s="93" t="s">
        <v>696</v>
      </c>
      <c r="F15" s="93" t="s">
        <v>630</v>
      </c>
      <c r="G15" s="93" t="s">
        <v>631</v>
      </c>
      <c r="H15" s="93">
        <v>2.4421665562676195E-23</v>
      </c>
      <c r="I15" s="93" t="s">
        <v>270</v>
      </c>
      <c r="J15" s="93">
        <v>0.68166631848000003</v>
      </c>
      <c r="K15" s="93">
        <v>6.8166631848000009E-2</v>
      </c>
      <c r="L15" s="93">
        <v>37.804878048780402</v>
      </c>
      <c r="M15" s="93">
        <v>3.7804878048780401</v>
      </c>
      <c r="N15" s="93">
        <v>23.011384853492498</v>
      </c>
      <c r="O15" s="93">
        <v>1.0261616247463243</v>
      </c>
      <c r="P15" s="93">
        <v>2.5041423026050196</v>
      </c>
      <c r="Q15" s="93">
        <v>0.60849588093988305</v>
      </c>
      <c r="R15" s="93" t="s">
        <v>270</v>
      </c>
      <c r="S15" s="93" t="s">
        <v>270</v>
      </c>
      <c r="T15" s="93">
        <v>2.4500000000000011</v>
      </c>
      <c r="U15" s="93">
        <v>0.34520525295346716</v>
      </c>
      <c r="V15" s="93" t="s">
        <v>270</v>
      </c>
      <c r="W15" s="93" t="s">
        <v>270</v>
      </c>
      <c r="X15" s="93" t="s">
        <v>270</v>
      </c>
      <c r="Y15" s="93" t="s">
        <v>270</v>
      </c>
      <c r="Z15" s="93" t="s">
        <v>270</v>
      </c>
      <c r="AA15" s="93" t="s">
        <v>270</v>
      </c>
      <c r="AB15" s="93" t="s">
        <v>270</v>
      </c>
      <c r="AC15" s="93" t="s">
        <v>270</v>
      </c>
      <c r="AD15" s="93" t="s">
        <v>270</v>
      </c>
      <c r="AE15" s="93" t="s">
        <v>270</v>
      </c>
      <c r="AF15" s="93" t="s">
        <v>270</v>
      </c>
      <c r="AG15" s="93" t="s">
        <v>270</v>
      </c>
      <c r="AH15" s="93">
        <v>1.5962418994491401</v>
      </c>
      <c r="AI15" s="93">
        <v>0.15962418994491401</v>
      </c>
      <c r="AJ15" s="93">
        <v>4.5394813128135869</v>
      </c>
      <c r="AK15" s="93">
        <v>1.2922422516291725</v>
      </c>
      <c r="AL15" s="93" t="s">
        <v>270</v>
      </c>
      <c r="AM15" s="93" t="s">
        <v>270</v>
      </c>
      <c r="AN15" s="93" t="s">
        <v>270</v>
      </c>
      <c r="AO15" s="93" t="s">
        <v>270</v>
      </c>
      <c r="AP15" s="93">
        <v>-2.8213166144200625E-2</v>
      </c>
      <c r="AQ15" s="93">
        <v>3.1347962382445145E-2</v>
      </c>
      <c r="AR15" s="93">
        <v>1.710624E-7</v>
      </c>
      <c r="AS15" s="93">
        <v>1.3839999999999931E-8</v>
      </c>
      <c r="AT15" s="93">
        <v>9.64E-7</v>
      </c>
      <c r="AU15" s="93">
        <v>4.0000000000000002E-9</v>
      </c>
      <c r="AV15" s="93">
        <v>3.643E-7</v>
      </c>
      <c r="AW15" s="93">
        <v>4.6000000000000001E-10</v>
      </c>
      <c r="AX15" s="93">
        <v>41862</v>
      </c>
      <c r="AY15" s="93">
        <v>4.4010803680757246E-8</v>
      </c>
      <c r="AZ15" s="93">
        <v>6.526164629110478E-9</v>
      </c>
      <c r="BA15" s="93">
        <v>1.3121705665650303E-8</v>
      </c>
      <c r="BB15" s="93">
        <v>3.7353215722537169E-9</v>
      </c>
      <c r="BC15" s="93">
        <v>20.903712710919837</v>
      </c>
      <c r="BD15" s="93">
        <v>1.0301997787582997</v>
      </c>
      <c r="BE15" s="93">
        <v>9.0686749065359251E-7</v>
      </c>
      <c r="BF15" s="93">
        <v>7.7240120480630841E-15</v>
      </c>
      <c r="BG15" s="93">
        <v>0.11150607951503391</v>
      </c>
      <c r="BH15" s="93">
        <v>1.367969573769868E-2</v>
      </c>
      <c r="BI15" s="93">
        <v>0.95371568489947223</v>
      </c>
      <c r="BJ15" s="93">
        <v>7.7584035256247422E-3</v>
      </c>
      <c r="BK15" s="93">
        <v>4.4322825446866948E-8</v>
      </c>
      <c r="BL15" s="93">
        <v>1E-8</v>
      </c>
      <c r="BM15" s="93">
        <v>18.750087841569613</v>
      </c>
      <c r="BN15" s="93">
        <v>6.4911012952791536</v>
      </c>
      <c r="BO15" s="93" t="s">
        <v>924</v>
      </c>
      <c r="BP15" s="93" t="s">
        <v>270</v>
      </c>
      <c r="BQ15" s="93" t="s">
        <v>922</v>
      </c>
    </row>
    <row r="16" spans="1:69">
      <c r="A16" s="93" t="s">
        <v>626</v>
      </c>
      <c r="B16" s="93" t="s">
        <v>688</v>
      </c>
      <c r="C16" s="93" t="s">
        <v>698</v>
      </c>
      <c r="D16" s="93">
        <v>41535</v>
      </c>
      <c r="E16" s="93" t="s">
        <v>699</v>
      </c>
      <c r="F16" s="93" t="s">
        <v>630</v>
      </c>
      <c r="G16" s="93" t="s">
        <v>631</v>
      </c>
      <c r="H16" s="93">
        <v>7.4194648407966643E-25</v>
      </c>
      <c r="I16" s="93" t="s">
        <v>270</v>
      </c>
      <c r="J16" s="93">
        <v>1.25373368448</v>
      </c>
      <c r="K16" s="93">
        <v>0.12537336844800001</v>
      </c>
      <c r="L16" s="93">
        <v>168.292682926829</v>
      </c>
      <c r="M16" s="93">
        <v>16.829268292682901</v>
      </c>
      <c r="N16" s="93">
        <v>26.534844572250726</v>
      </c>
      <c r="O16" s="93">
        <v>7.1581522578891486</v>
      </c>
      <c r="P16" s="93">
        <v>3.745916232691493</v>
      </c>
      <c r="Q16" s="93">
        <v>0.51987510521464153</v>
      </c>
      <c r="R16" s="93" t="s">
        <v>270</v>
      </c>
      <c r="S16" s="93" t="s">
        <v>270</v>
      </c>
      <c r="T16" s="93">
        <v>7.554004063198712</v>
      </c>
      <c r="U16" s="93">
        <v>2.6370452474610118</v>
      </c>
      <c r="V16" s="93" t="s">
        <v>270</v>
      </c>
      <c r="W16" s="93" t="s">
        <v>270</v>
      </c>
      <c r="X16" s="93" t="s">
        <v>270</v>
      </c>
      <c r="Y16" s="93" t="s">
        <v>270</v>
      </c>
      <c r="Z16" s="93" t="s">
        <v>270</v>
      </c>
      <c r="AA16" s="93" t="s">
        <v>270</v>
      </c>
      <c r="AB16" s="93" t="s">
        <v>270</v>
      </c>
      <c r="AC16" s="93" t="s">
        <v>270</v>
      </c>
      <c r="AD16" s="93" t="s">
        <v>270</v>
      </c>
      <c r="AE16" s="93" t="s">
        <v>270</v>
      </c>
      <c r="AF16" s="93" t="s">
        <v>270</v>
      </c>
      <c r="AG16" s="93" t="s">
        <v>270</v>
      </c>
      <c r="AH16" s="93">
        <v>0.12066351121532934</v>
      </c>
      <c r="AI16" s="93">
        <v>1.2066351121532936E-2</v>
      </c>
      <c r="AJ16" s="93">
        <v>0.31963270217825285</v>
      </c>
      <c r="AK16" s="93">
        <v>0.10700001514743473</v>
      </c>
      <c r="AL16" s="93" t="s">
        <v>270</v>
      </c>
      <c r="AM16" s="93" t="s">
        <v>270</v>
      </c>
      <c r="AN16" s="93" t="s">
        <v>270</v>
      </c>
      <c r="AO16" s="93" t="s">
        <v>270</v>
      </c>
      <c r="AP16" s="93">
        <v>-0.14733542319749215</v>
      </c>
      <c r="AQ16" s="93">
        <v>3.1347962382445145E-2</v>
      </c>
      <c r="AR16" s="93">
        <v>4.1910554764803102E-8</v>
      </c>
      <c r="AS16" s="93">
        <v>1.384E-8</v>
      </c>
      <c r="AT16" s="93">
        <v>4.3878127256654503E-6</v>
      </c>
      <c r="AU16" s="93">
        <v>4.3878127256654499E-8</v>
      </c>
      <c r="AV16" s="93">
        <v>2.3972945070369301E-7</v>
      </c>
      <c r="AW16" s="93">
        <v>3.59594176055539E-9</v>
      </c>
      <c r="AX16" s="93">
        <v>41752</v>
      </c>
      <c r="AY16" s="93">
        <v>4.2778150871206608E-8</v>
      </c>
      <c r="AZ16" s="93">
        <v>1.3032364552626557E-8</v>
      </c>
      <c r="BA16" s="93">
        <v>1.9628601059303419E-8</v>
      </c>
      <c r="BB16" s="93">
        <v>6.5705820424325511E-9</v>
      </c>
      <c r="BC16" s="93">
        <v>101.57158168183918</v>
      </c>
      <c r="BD16" s="93">
        <v>0.39640538762637478</v>
      </c>
      <c r="BE16" s="93">
        <v>4.3254059737349405E-6</v>
      </c>
      <c r="BF16" s="93">
        <v>2.0001536036047734E-13</v>
      </c>
      <c r="BG16" s="93">
        <v>2.5924727924235072E-2</v>
      </c>
      <c r="BH16" s="93">
        <v>1.1554282885730065E-2</v>
      </c>
      <c r="BI16" s="93">
        <v>0.99020689371950243</v>
      </c>
      <c r="BJ16" s="93">
        <v>1.1436024411908084E-2</v>
      </c>
      <c r="BK16" s="93">
        <v>4.4322825446866948E-8</v>
      </c>
      <c r="BL16" s="93">
        <v>1E-8</v>
      </c>
      <c r="BM16" s="93">
        <v>-37.52084291940637</v>
      </c>
      <c r="BN16" s="93">
        <v>30.002037899607693</v>
      </c>
      <c r="BO16" s="93" t="s">
        <v>923</v>
      </c>
      <c r="BP16" s="93" t="s">
        <v>270</v>
      </c>
      <c r="BQ16" s="93" t="s">
        <v>920</v>
      </c>
    </row>
    <row r="17" spans="1:69">
      <c r="A17" s="93" t="s">
        <v>626</v>
      </c>
      <c r="B17" s="93" t="s">
        <v>688</v>
      </c>
      <c r="C17" s="93" t="s">
        <v>703</v>
      </c>
      <c r="D17" s="93">
        <v>41534</v>
      </c>
      <c r="E17" s="93" t="s">
        <v>704</v>
      </c>
      <c r="F17" s="93" t="s">
        <v>630</v>
      </c>
      <c r="G17" s="93" t="s">
        <v>631</v>
      </c>
      <c r="H17" s="93">
        <v>4.2476382431037418E-26</v>
      </c>
      <c r="I17" s="93" t="s">
        <v>270</v>
      </c>
      <c r="J17" s="93">
        <v>1.0399921783199999</v>
      </c>
      <c r="K17" s="93">
        <v>0.10399921783199999</v>
      </c>
      <c r="L17" s="93">
        <v>247.56097560975601</v>
      </c>
      <c r="M17" s="93">
        <v>24.756097560975601</v>
      </c>
      <c r="N17" s="93">
        <v>9.337791845516934</v>
      </c>
      <c r="O17" s="93">
        <v>0.6110610086210525</v>
      </c>
      <c r="P17" s="93">
        <v>2.4958540124437834</v>
      </c>
      <c r="Q17" s="93">
        <v>0.58189720837241388</v>
      </c>
      <c r="R17" s="93" t="s">
        <v>270</v>
      </c>
      <c r="S17" s="93" t="s">
        <v>270</v>
      </c>
      <c r="T17" s="93">
        <v>7.7749999999999879</v>
      </c>
      <c r="U17" s="93">
        <v>0.33071650948515097</v>
      </c>
      <c r="V17" s="93" t="s">
        <v>270</v>
      </c>
      <c r="W17" s="93" t="s">
        <v>270</v>
      </c>
      <c r="X17" s="93" t="s">
        <v>270</v>
      </c>
      <c r="Y17" s="93" t="s">
        <v>270</v>
      </c>
      <c r="Z17" s="93" t="s">
        <v>270</v>
      </c>
      <c r="AA17" s="93" t="s">
        <v>270</v>
      </c>
      <c r="AB17" s="93" t="s">
        <v>270</v>
      </c>
      <c r="AC17" s="93" t="s">
        <v>270</v>
      </c>
      <c r="AD17" s="93" t="s">
        <v>270</v>
      </c>
      <c r="AE17" s="93" t="s">
        <v>270</v>
      </c>
      <c r="AF17" s="93" t="s">
        <v>270</v>
      </c>
      <c r="AG17" s="93" t="s">
        <v>270</v>
      </c>
      <c r="AH17" s="93">
        <v>4.3057195636331809</v>
      </c>
      <c r="AI17" s="93">
        <v>0.43057195636331808</v>
      </c>
      <c r="AJ17" s="93">
        <v>8.6213086494750186</v>
      </c>
      <c r="AK17" s="93">
        <v>2.4171299906036605</v>
      </c>
      <c r="AL17" s="93" t="s">
        <v>270</v>
      </c>
      <c r="AM17" s="93" t="s">
        <v>270</v>
      </c>
      <c r="AN17" s="93" t="s">
        <v>270</v>
      </c>
      <c r="AO17" s="93" t="s">
        <v>270</v>
      </c>
      <c r="AP17" s="93">
        <v>2.7836990595611288</v>
      </c>
      <c r="AQ17" s="93">
        <v>3.1347962382445145E-2</v>
      </c>
      <c r="AR17" s="93">
        <v>3.8821199999999996E-7</v>
      </c>
      <c r="AS17" s="93">
        <v>1.3840000000000023E-8</v>
      </c>
      <c r="AT17" s="93">
        <v>1.8760000000000001E-7</v>
      </c>
      <c r="AU17" s="93">
        <v>1E-10</v>
      </c>
      <c r="AV17" s="93">
        <v>1.9850000000000001E-7</v>
      </c>
      <c r="AW17" s="93">
        <v>4.6000000000000001E-10</v>
      </c>
      <c r="AX17" s="93">
        <v>41857</v>
      </c>
      <c r="AY17" s="93">
        <v>4.4960475610066463E-8</v>
      </c>
      <c r="AZ17" s="93">
        <v>7.012428329496499E-9</v>
      </c>
      <c r="BA17" s="93">
        <v>1.3078275025205425E-8</v>
      </c>
      <c r="BB17" s="93">
        <v>3.6688411763726035E-9</v>
      </c>
      <c r="BC17" s="93">
        <v>3.1725669564797387</v>
      </c>
      <c r="BD17" s="93">
        <v>1.3680372456643886E-2</v>
      </c>
      <c r="BE17" s="93">
        <v>1.2956124936472813E-7</v>
      </c>
      <c r="BF17" s="93">
        <v>1.0254736172521125E-15</v>
      </c>
      <c r="BG17" s="93">
        <v>0.22658221512410259</v>
      </c>
      <c r="BH17" s="93">
        <v>2.7052241511107772E-2</v>
      </c>
      <c r="BI17" s="93">
        <v>0.74237898363360366</v>
      </c>
      <c r="BJ17" s="93">
        <v>1.6031651723603359E-2</v>
      </c>
      <c r="BK17" s="93">
        <v>4.4322825446866948E-8</v>
      </c>
      <c r="BL17" s="93">
        <v>1E-8</v>
      </c>
      <c r="BM17" s="93">
        <v>-5.0297265164425129</v>
      </c>
      <c r="BN17" s="93">
        <v>1.167487551645656</v>
      </c>
      <c r="BO17" s="93" t="s">
        <v>923</v>
      </c>
      <c r="BP17" s="93" t="s">
        <v>270</v>
      </c>
      <c r="BQ17" s="93" t="s">
        <v>920</v>
      </c>
    </row>
    <row r="18" spans="1:69">
      <c r="A18" s="93" t="s">
        <v>626</v>
      </c>
      <c r="B18" s="93" t="s">
        <v>688</v>
      </c>
      <c r="C18" s="93" t="s">
        <v>708</v>
      </c>
      <c r="D18" s="93">
        <v>41533</v>
      </c>
      <c r="E18" s="93" t="s">
        <v>709</v>
      </c>
      <c r="F18" s="93" t="s">
        <v>630</v>
      </c>
      <c r="G18" s="93" t="s">
        <v>631</v>
      </c>
      <c r="H18" s="93">
        <v>9.7169635369737692E-25</v>
      </c>
      <c r="I18" s="93" t="s">
        <v>270</v>
      </c>
      <c r="J18" s="93">
        <v>0.81669164327999999</v>
      </c>
      <c r="K18" s="93">
        <v>8.1669164328000005E-2</v>
      </c>
      <c r="L18" s="93">
        <v>98.780487804878007</v>
      </c>
      <c r="M18" s="93">
        <v>9.8780487804878003</v>
      </c>
      <c r="N18" s="93">
        <v>16.313961582088794</v>
      </c>
      <c r="O18" s="93">
        <v>5.5714058016335635</v>
      </c>
      <c r="P18" s="93">
        <v>1.2168297539505339</v>
      </c>
      <c r="Q18" s="93">
        <v>0.47876435594831956</v>
      </c>
      <c r="R18" s="93" t="s">
        <v>270</v>
      </c>
      <c r="S18" s="93" t="s">
        <v>270</v>
      </c>
      <c r="T18" s="93">
        <v>1.9617666604075881</v>
      </c>
      <c r="U18" s="93">
        <v>2.2428237537451357</v>
      </c>
      <c r="V18" s="93" t="s">
        <v>270</v>
      </c>
      <c r="W18" s="93" t="s">
        <v>270</v>
      </c>
      <c r="X18" s="93" t="s">
        <v>270</v>
      </c>
      <c r="Y18" s="93" t="s">
        <v>270</v>
      </c>
      <c r="Z18" s="93" t="s">
        <v>270</v>
      </c>
      <c r="AA18" s="93" t="s">
        <v>270</v>
      </c>
      <c r="AB18" s="93" t="s">
        <v>270</v>
      </c>
      <c r="AC18" s="93" t="s">
        <v>270</v>
      </c>
      <c r="AD18" s="93" t="s">
        <v>270</v>
      </c>
      <c r="AE18" s="93" t="s">
        <v>270</v>
      </c>
      <c r="AF18" s="93" t="s">
        <v>270</v>
      </c>
      <c r="AG18" s="93" t="s">
        <v>270</v>
      </c>
      <c r="AH18" s="93">
        <v>2.4388081194321267</v>
      </c>
      <c r="AI18" s="93">
        <v>0.24388081194321265</v>
      </c>
      <c r="AJ18" s="93">
        <v>6.8822790301821328</v>
      </c>
      <c r="AK18" s="93">
        <v>3.7156671130671688</v>
      </c>
      <c r="AL18" s="93" t="s">
        <v>270</v>
      </c>
      <c r="AM18" s="93" t="s">
        <v>270</v>
      </c>
      <c r="AN18" s="93" t="s">
        <v>270</v>
      </c>
      <c r="AO18" s="93" t="s">
        <v>270</v>
      </c>
      <c r="AP18" s="93">
        <v>3.4482758620689655E-2</v>
      </c>
      <c r="AQ18" s="93">
        <v>3.1347962382445145E-2</v>
      </c>
      <c r="AR18" s="93">
        <v>1.3064959999999997E-7</v>
      </c>
      <c r="AS18" s="93">
        <v>1.3839999999999937E-8</v>
      </c>
      <c r="AT18" s="93">
        <v>8.1760000000000002E-7</v>
      </c>
      <c r="AU18" s="93">
        <v>1.3999999999999999E-9</v>
      </c>
      <c r="AV18" s="93">
        <v>2.096E-7</v>
      </c>
      <c r="AW18" s="93">
        <v>5.0000000000000003E-10</v>
      </c>
      <c r="AX18" s="93">
        <v>41858</v>
      </c>
      <c r="AY18" s="93">
        <v>4.4579178604106071E-8</v>
      </c>
      <c r="AZ18" s="93">
        <v>1.6479031354024734E-8</v>
      </c>
      <c r="BA18" s="93">
        <v>6.3761879107007978E-9</v>
      </c>
      <c r="BB18" s="93">
        <v>3.4421781282293595E-9</v>
      </c>
      <c r="BC18" s="93">
        <v>17.340406361312404</v>
      </c>
      <c r="BD18" s="93">
        <v>0.11780049496816214</v>
      </c>
      <c r="BE18" s="93">
        <v>7.6664463348519308E-7</v>
      </c>
      <c r="BF18" s="93">
        <v>1.2950805574792102E-14</v>
      </c>
      <c r="BG18" s="93">
        <v>8.7282022361775832E-2</v>
      </c>
      <c r="BH18" s="93">
        <v>1.3964120397781801E-2</v>
      </c>
      <c r="BI18" s="93">
        <v>0.94504707474289229</v>
      </c>
      <c r="BJ18" s="93">
        <v>5.6409673077777497E-3</v>
      </c>
      <c r="BK18" s="93">
        <v>4.4322825446866948E-8</v>
      </c>
      <c r="BL18" s="93">
        <v>1E-8</v>
      </c>
      <c r="BM18" s="93">
        <v>1.3438210884165189</v>
      </c>
      <c r="BN18" s="93">
        <v>5.4979127282536915</v>
      </c>
      <c r="BO18" s="93" t="s">
        <v>924</v>
      </c>
      <c r="BP18" s="93" t="s">
        <v>270</v>
      </c>
      <c r="BQ18" s="93" t="s">
        <v>920</v>
      </c>
    </row>
    <row r="19" spans="1:69">
      <c r="A19" s="93" t="s">
        <v>626</v>
      </c>
      <c r="B19" s="93" t="s">
        <v>688</v>
      </c>
      <c r="C19" s="93" t="s">
        <v>713</v>
      </c>
      <c r="D19" s="93">
        <v>41514</v>
      </c>
      <c r="E19" s="93" t="s">
        <v>714</v>
      </c>
      <c r="F19" s="93" t="s">
        <v>630</v>
      </c>
      <c r="G19" s="93" t="s">
        <v>631</v>
      </c>
      <c r="H19" s="93">
        <v>8.3290557973910387E-27</v>
      </c>
      <c r="I19" s="93" t="s">
        <v>270</v>
      </c>
      <c r="J19" s="93">
        <v>2.1379409745000002</v>
      </c>
      <c r="K19" s="93">
        <v>0.21379409745000003</v>
      </c>
      <c r="L19" s="93">
        <v>1.82926829268292</v>
      </c>
      <c r="M19" s="93">
        <v>0.18292682926829201</v>
      </c>
      <c r="N19" s="93">
        <v>11.963972532209338</v>
      </c>
      <c r="O19" s="93">
        <v>6.3384408208508338</v>
      </c>
      <c r="P19" s="93">
        <v>2.5203618131899814</v>
      </c>
      <c r="Q19" s="93">
        <v>3.0322721674544559</v>
      </c>
      <c r="R19" s="93" t="s">
        <v>270</v>
      </c>
      <c r="S19" s="93" t="s">
        <v>270</v>
      </c>
      <c r="T19" s="93">
        <v>2.4358810865516123</v>
      </c>
      <c r="U19" s="93">
        <v>3.1151376929862078</v>
      </c>
      <c r="V19" s="93" t="s">
        <v>270</v>
      </c>
      <c r="W19" s="93" t="s">
        <v>270</v>
      </c>
      <c r="X19" s="93" t="s">
        <v>270</v>
      </c>
      <c r="Y19" s="93" t="s">
        <v>270</v>
      </c>
      <c r="Z19" s="93" t="s">
        <v>270</v>
      </c>
      <c r="AA19" s="93" t="s">
        <v>270</v>
      </c>
      <c r="AB19" s="93" t="s">
        <v>270</v>
      </c>
      <c r="AC19" s="93" t="s">
        <v>270</v>
      </c>
      <c r="AD19" s="93" t="s">
        <v>270</v>
      </c>
      <c r="AE19" s="93" t="s">
        <v>270</v>
      </c>
      <c r="AF19" s="93" t="s">
        <v>270</v>
      </c>
      <c r="AG19" s="93" t="s">
        <v>270</v>
      </c>
      <c r="AH19" s="93">
        <v>0.86390222646008974</v>
      </c>
      <c r="AI19" s="93">
        <v>8.6390222646008985E-2</v>
      </c>
      <c r="AJ19" s="93">
        <v>1.8493331453748363</v>
      </c>
      <c r="AK19" s="93">
        <v>2.4451502099144458</v>
      </c>
      <c r="AL19" s="93" t="s">
        <v>270</v>
      </c>
      <c r="AM19" s="93" t="s">
        <v>270</v>
      </c>
      <c r="AN19" s="93" t="s">
        <v>270</v>
      </c>
      <c r="AO19" s="93" t="s">
        <v>270</v>
      </c>
      <c r="AP19" s="93">
        <v>-5.3291536050156747E-2</v>
      </c>
      <c r="AQ19" s="93">
        <v>3.1347962382445145E-2</v>
      </c>
      <c r="AR19" s="93">
        <v>1.1404159999999994E-7</v>
      </c>
      <c r="AS19" s="93">
        <v>1.3840000000000017E-8</v>
      </c>
      <c r="AT19" s="93">
        <v>1.0220999999999999E-6</v>
      </c>
      <c r="AU19" s="93">
        <v>3.2000000000000001E-9</v>
      </c>
      <c r="AV19" s="93">
        <v>2.4130000000000002E-7</v>
      </c>
      <c r="AW19" s="93">
        <v>4.8259999999999997E-8</v>
      </c>
      <c r="AX19" s="93">
        <v>41858</v>
      </c>
      <c r="AY19" s="93">
        <v>4.5515715576334737E-8</v>
      </c>
      <c r="AZ19" s="93">
        <v>2.495838997708663E-8</v>
      </c>
      <c r="BA19" s="93">
        <v>1.3206695901115504E-8</v>
      </c>
      <c r="BB19" s="93">
        <v>1.7461611033794847E-8</v>
      </c>
      <c r="BC19" s="93">
        <v>21.455980328798397</v>
      </c>
      <c r="BD19" s="93">
        <v>0.23439423796803582</v>
      </c>
      <c r="BE19" s="93">
        <v>9.6337758852254963E-7</v>
      </c>
      <c r="BF19" s="93">
        <v>2.9506254146756077E-14</v>
      </c>
      <c r="BG19" s="93">
        <v>7.0388365677814535E-2</v>
      </c>
      <c r="BH19" s="93">
        <v>2.6280534066830723E-2</v>
      </c>
      <c r="BI19" s="93">
        <v>0.95488555842744327</v>
      </c>
      <c r="BJ19" s="93">
        <v>1.9555560431020649E-2</v>
      </c>
      <c r="BK19" s="93">
        <v>4.4322825446866948E-8</v>
      </c>
      <c r="BL19" s="93">
        <v>1E-8</v>
      </c>
      <c r="BM19" s="93">
        <v>-2.5491292108839421</v>
      </c>
      <c r="BN19" s="93">
        <v>6.8937461700725056</v>
      </c>
      <c r="BO19" s="93" t="s">
        <v>923</v>
      </c>
      <c r="BP19" s="93" t="s">
        <v>270</v>
      </c>
      <c r="BQ19" s="93" t="s">
        <v>920</v>
      </c>
    </row>
    <row r="20" spans="1:69">
      <c r="A20" s="93" t="s">
        <v>626</v>
      </c>
      <c r="B20" s="93" t="s">
        <v>688</v>
      </c>
      <c r="C20" s="93" t="s">
        <v>718</v>
      </c>
      <c r="D20" s="93">
        <v>41529</v>
      </c>
      <c r="E20" s="93" t="s">
        <v>719</v>
      </c>
      <c r="F20" s="93" t="s">
        <v>630</v>
      </c>
      <c r="G20" s="93" t="s">
        <v>631</v>
      </c>
      <c r="H20" s="93">
        <v>4.6176619107350955E-26</v>
      </c>
      <c r="I20" s="93" t="s">
        <v>270</v>
      </c>
      <c r="J20" s="93">
        <v>0.79811186249999999</v>
      </c>
      <c r="K20" s="93">
        <v>7.9811186249999999E-2</v>
      </c>
      <c r="L20" s="93">
        <v>12.804878048780401</v>
      </c>
      <c r="M20" s="93">
        <v>1.2804878048780401</v>
      </c>
      <c r="N20" s="93">
        <v>17.865089730272146</v>
      </c>
      <c r="O20" s="93">
        <v>0.82133159143958734</v>
      </c>
      <c r="P20" s="93">
        <v>2.5043571493659993</v>
      </c>
      <c r="Q20" s="93">
        <v>0.58243629098570837</v>
      </c>
      <c r="R20" s="93" t="s">
        <v>270</v>
      </c>
      <c r="S20" s="93" t="s">
        <v>270</v>
      </c>
      <c r="T20" s="93">
        <v>2.1750000000000007</v>
      </c>
      <c r="U20" s="93">
        <v>0.33071650948515285</v>
      </c>
      <c r="V20" s="93" t="s">
        <v>270</v>
      </c>
      <c r="W20" s="93" t="s">
        <v>270</v>
      </c>
      <c r="X20" s="93" t="s">
        <v>270</v>
      </c>
      <c r="Y20" s="93" t="s">
        <v>270</v>
      </c>
      <c r="Z20" s="93" t="s">
        <v>270</v>
      </c>
      <c r="AA20" s="93" t="s">
        <v>270</v>
      </c>
      <c r="AB20" s="93" t="s">
        <v>270</v>
      </c>
      <c r="AC20" s="93" t="s">
        <v>270</v>
      </c>
      <c r="AD20" s="93" t="s">
        <v>270</v>
      </c>
      <c r="AE20" s="93" t="s">
        <v>270</v>
      </c>
      <c r="AF20" s="93" t="s">
        <v>270</v>
      </c>
      <c r="AG20" s="93" t="s">
        <v>270</v>
      </c>
      <c r="AH20" s="93">
        <v>0.59885691073662528</v>
      </c>
      <c r="AI20" s="93">
        <v>5.9885691073662525E-2</v>
      </c>
      <c r="AJ20" s="93">
        <v>1.50138088063751</v>
      </c>
      <c r="AK20" s="93">
        <v>0.41479066565199918</v>
      </c>
      <c r="AL20" s="93" t="s">
        <v>270</v>
      </c>
      <c r="AM20" s="93" t="s">
        <v>270</v>
      </c>
      <c r="AN20" s="93" t="s">
        <v>270</v>
      </c>
      <c r="AO20" s="93" t="s">
        <v>270</v>
      </c>
      <c r="AP20" s="93">
        <v>-0.1128526645768025</v>
      </c>
      <c r="AQ20" s="93">
        <v>3.1347962382445145E-2</v>
      </c>
      <c r="AR20" s="93" t="s">
        <v>270</v>
      </c>
      <c r="AS20" s="93" t="s">
        <v>270</v>
      </c>
      <c r="AT20" s="93" t="s">
        <v>270</v>
      </c>
      <c r="AU20" s="93" t="s">
        <v>270</v>
      </c>
      <c r="AV20" s="93" t="s">
        <v>270</v>
      </c>
      <c r="AW20" s="93" t="s">
        <v>270</v>
      </c>
      <c r="AX20" s="93" t="s">
        <v>270</v>
      </c>
      <c r="AY20" s="93" t="s">
        <v>270</v>
      </c>
      <c r="AZ20" s="93" t="s">
        <v>270</v>
      </c>
      <c r="BA20" s="93" t="s">
        <v>270</v>
      </c>
      <c r="BB20" s="93" t="s">
        <v>270</v>
      </c>
      <c r="BC20" s="93" t="s">
        <v>270</v>
      </c>
      <c r="BD20" s="93" t="s">
        <v>270</v>
      </c>
      <c r="BE20" s="93" t="s">
        <v>270</v>
      </c>
      <c r="BF20" s="93" t="s">
        <v>270</v>
      </c>
      <c r="BG20" s="93" t="s">
        <v>270</v>
      </c>
      <c r="BH20" s="93" t="s">
        <v>270</v>
      </c>
      <c r="BI20" s="93" t="s">
        <v>270</v>
      </c>
      <c r="BJ20" s="93" t="s">
        <v>270</v>
      </c>
      <c r="BK20" s="93" t="s">
        <v>270</v>
      </c>
      <c r="BL20" s="93" t="s">
        <v>270</v>
      </c>
      <c r="BM20" s="93" t="s">
        <v>270</v>
      </c>
      <c r="BN20" s="93" t="s">
        <v>270</v>
      </c>
      <c r="BO20" s="93" t="s">
        <v>270</v>
      </c>
      <c r="BP20" s="93" t="s">
        <v>270</v>
      </c>
    </row>
    <row r="21" spans="1:69">
      <c r="A21" s="93" t="s">
        <v>626</v>
      </c>
      <c r="B21" s="93" t="s">
        <v>688</v>
      </c>
      <c r="C21" s="93" t="s">
        <v>723</v>
      </c>
      <c r="D21" s="93">
        <v>41512</v>
      </c>
      <c r="E21" s="93" t="s">
        <v>724</v>
      </c>
      <c r="F21" s="93" t="s">
        <v>630</v>
      </c>
      <c r="G21" s="93" t="s">
        <v>631</v>
      </c>
      <c r="H21" s="93">
        <v>7.6610770849339411E-24</v>
      </c>
      <c r="I21" s="93" t="s">
        <v>270</v>
      </c>
      <c r="J21" s="93">
        <v>0.56876166378000004</v>
      </c>
      <c r="K21" s="93">
        <v>5.6876166378000005E-2</v>
      </c>
      <c r="L21" s="93">
        <v>81.707317073170699</v>
      </c>
      <c r="M21" s="93">
        <v>8.1707317073170707</v>
      </c>
      <c r="N21" s="93">
        <v>13.583376473088885</v>
      </c>
      <c r="O21" s="93">
        <v>0.67490322670710712</v>
      </c>
      <c r="P21" s="93">
        <v>2.4958169030455064</v>
      </c>
      <c r="Q21" s="93">
        <v>0.5568799535471487</v>
      </c>
      <c r="R21" s="93" t="s">
        <v>270</v>
      </c>
      <c r="S21" s="93" t="s">
        <v>270</v>
      </c>
      <c r="T21" s="93">
        <v>1.9000000000000004</v>
      </c>
      <c r="U21" s="93">
        <v>0.31622776601683933</v>
      </c>
      <c r="V21" s="93" t="s">
        <v>270</v>
      </c>
      <c r="W21" s="93" t="s">
        <v>270</v>
      </c>
      <c r="X21" s="93" t="s">
        <v>270</v>
      </c>
      <c r="Y21" s="93" t="s">
        <v>270</v>
      </c>
      <c r="Z21" s="93" t="s">
        <v>270</v>
      </c>
      <c r="AA21" s="93" t="s">
        <v>270</v>
      </c>
      <c r="AB21" s="93" t="s">
        <v>270</v>
      </c>
      <c r="AC21" s="93" t="s">
        <v>270</v>
      </c>
      <c r="AD21" s="93" t="s">
        <v>270</v>
      </c>
      <c r="AE21" s="93" t="s">
        <v>270</v>
      </c>
      <c r="AF21" s="93" t="s">
        <v>270</v>
      </c>
      <c r="AG21" s="93" t="s">
        <v>270</v>
      </c>
      <c r="AH21" s="93">
        <v>0.46007576726065053</v>
      </c>
      <c r="AI21" s="93">
        <v>4.6007576726065057E-2</v>
      </c>
      <c r="AJ21" s="93">
        <v>1.0304604031368272</v>
      </c>
      <c r="AK21" s="93">
        <v>0.27707845455502189</v>
      </c>
      <c r="AL21" s="93" t="s">
        <v>270</v>
      </c>
      <c r="AM21" s="93" t="s">
        <v>270</v>
      </c>
      <c r="AN21" s="93" t="s">
        <v>270</v>
      </c>
      <c r="AO21" s="93" t="s">
        <v>270</v>
      </c>
      <c r="AP21" s="93">
        <v>-1.8808777429467086E-2</v>
      </c>
      <c r="AQ21" s="93">
        <v>3.1347962382445145E-2</v>
      </c>
      <c r="AR21" s="93" t="s">
        <v>270</v>
      </c>
      <c r="AS21" s="93" t="s">
        <v>270</v>
      </c>
      <c r="AT21" s="93" t="s">
        <v>270</v>
      </c>
      <c r="AU21" s="93" t="s">
        <v>270</v>
      </c>
      <c r="AV21" s="93" t="s">
        <v>270</v>
      </c>
      <c r="AW21" s="93" t="s">
        <v>270</v>
      </c>
      <c r="AX21" s="93" t="s">
        <v>270</v>
      </c>
      <c r="AY21" s="93" t="s">
        <v>270</v>
      </c>
      <c r="AZ21" s="93" t="s">
        <v>270</v>
      </c>
      <c r="BA21" s="93" t="s">
        <v>270</v>
      </c>
      <c r="BB21" s="93" t="s">
        <v>270</v>
      </c>
      <c r="BC21" s="93" t="s">
        <v>270</v>
      </c>
      <c r="BD21" s="93" t="s">
        <v>270</v>
      </c>
      <c r="BE21" s="93" t="s">
        <v>270</v>
      </c>
      <c r="BF21" s="93" t="s">
        <v>270</v>
      </c>
      <c r="BG21" s="93" t="s">
        <v>270</v>
      </c>
      <c r="BH21" s="93" t="s">
        <v>270</v>
      </c>
      <c r="BI21" s="93" t="s">
        <v>270</v>
      </c>
      <c r="BJ21" s="93" t="s">
        <v>270</v>
      </c>
      <c r="BK21" s="93" t="s">
        <v>270</v>
      </c>
      <c r="BL21" s="93" t="s">
        <v>270</v>
      </c>
      <c r="BM21" s="93" t="s">
        <v>270</v>
      </c>
      <c r="BN21" s="93" t="s">
        <v>270</v>
      </c>
      <c r="BO21" s="93" t="s">
        <v>270</v>
      </c>
      <c r="BP21" s="93" t="s">
        <v>270</v>
      </c>
    </row>
    <row r="22" spans="1:69">
      <c r="A22" s="93" t="s">
        <v>626</v>
      </c>
      <c r="B22" s="93" t="s">
        <v>688</v>
      </c>
      <c r="C22" s="93" t="s">
        <v>728</v>
      </c>
      <c r="D22" s="93">
        <v>41505</v>
      </c>
      <c r="E22" s="93" t="s">
        <v>729</v>
      </c>
      <c r="F22" s="93" t="s">
        <v>630</v>
      </c>
      <c r="G22" s="93" t="s">
        <v>631</v>
      </c>
      <c r="H22" s="93">
        <v>9.9070859342243024E-24</v>
      </c>
      <c r="I22" s="93" t="s">
        <v>270</v>
      </c>
      <c r="J22" s="93">
        <v>0.59795517722000002</v>
      </c>
      <c r="K22" s="93">
        <v>5.9795517722000001E-2</v>
      </c>
      <c r="L22" s="93">
        <v>61.890243902439003</v>
      </c>
      <c r="M22" s="93">
        <v>6.1890243902439002</v>
      </c>
      <c r="N22" s="93">
        <v>13.559853009782138</v>
      </c>
      <c r="O22" s="93">
        <v>0.67333692152143221</v>
      </c>
      <c r="P22" s="93">
        <v>2.5109639702070261</v>
      </c>
      <c r="Q22" s="93">
        <v>0.5568575213961835</v>
      </c>
      <c r="R22" s="93" t="s">
        <v>270</v>
      </c>
      <c r="S22" s="93" t="s">
        <v>270</v>
      </c>
      <c r="T22" s="93">
        <v>3.2500000000000009</v>
      </c>
      <c r="U22" s="93">
        <v>0.31622776601683722</v>
      </c>
      <c r="V22" s="93" t="s">
        <v>270</v>
      </c>
      <c r="W22" s="93" t="s">
        <v>270</v>
      </c>
      <c r="X22" s="93" t="s">
        <v>270</v>
      </c>
      <c r="Y22" s="93" t="s">
        <v>270</v>
      </c>
      <c r="Z22" s="93" t="s">
        <v>270</v>
      </c>
      <c r="AA22" s="93" t="s">
        <v>270</v>
      </c>
      <c r="AB22" s="93" t="s">
        <v>270</v>
      </c>
      <c r="AC22" s="93" t="s">
        <v>270</v>
      </c>
      <c r="AD22" s="93" t="s">
        <v>270</v>
      </c>
      <c r="AE22" s="93" t="s">
        <v>270</v>
      </c>
      <c r="AF22" s="93" t="s">
        <v>270</v>
      </c>
      <c r="AG22" s="93" t="s">
        <v>270</v>
      </c>
      <c r="AH22" s="93">
        <v>0.12182926157651089</v>
      </c>
      <c r="AI22" s="93">
        <v>1.218292615765109E-2</v>
      </c>
      <c r="AJ22" s="93">
        <v>0.27191059377781357</v>
      </c>
      <c r="AK22" s="93">
        <v>7.2841929757835627E-2</v>
      </c>
      <c r="AL22" s="93" t="s">
        <v>270</v>
      </c>
      <c r="AM22" s="93" t="s">
        <v>270</v>
      </c>
      <c r="AN22" s="93" t="s">
        <v>270</v>
      </c>
      <c r="AO22" s="93" t="s">
        <v>270</v>
      </c>
      <c r="AP22" s="93">
        <v>2.1943573667711602E-2</v>
      </c>
      <c r="AQ22" s="93">
        <v>3.1347962382445145E-2</v>
      </c>
      <c r="AR22" s="93">
        <v>4.2878063796385703E-8</v>
      </c>
      <c r="AS22" s="93">
        <v>1.384E-8</v>
      </c>
      <c r="AT22" s="93">
        <v>7.36279634517406E-6</v>
      </c>
      <c r="AU22" s="93">
        <v>7.3627963451740605E-8</v>
      </c>
      <c r="AV22" s="93">
        <v>4.0391994785784199E-7</v>
      </c>
      <c r="AW22" s="93">
        <v>6.0587992178676302E-9</v>
      </c>
      <c r="AX22" s="93">
        <v>41754</v>
      </c>
      <c r="AY22" s="93">
        <v>4.5292312323160222E-8</v>
      </c>
      <c r="AZ22" s="93">
        <v>6.7932502195359931E-9</v>
      </c>
      <c r="BA22" s="93">
        <v>1.3157451203884819E-8</v>
      </c>
      <c r="BB22" s="93">
        <v>3.5228455398007496E-9</v>
      </c>
      <c r="BC22" s="93">
        <v>161.56610681712351</v>
      </c>
      <c r="BD22" s="93">
        <v>1.0916234992840612</v>
      </c>
      <c r="BE22" s="93">
        <v>7.3043465816470146E-6</v>
      </c>
      <c r="BF22" s="93">
        <v>5.4070132472164925E-13</v>
      </c>
      <c r="BG22" s="93">
        <v>2.9246506212006383E-2</v>
      </c>
      <c r="BH22" s="93">
        <v>1.0500691063808661E-2</v>
      </c>
      <c r="BI22" s="93">
        <v>0.99383748510485093</v>
      </c>
      <c r="BJ22" s="93">
        <v>1.0432535119179093E-2</v>
      </c>
      <c r="BK22" s="93">
        <v>4.4322825446866948E-8</v>
      </c>
      <c r="BL22" s="93">
        <v>1E-8</v>
      </c>
      <c r="BM22" s="93">
        <v>-35.341820215968212</v>
      </c>
      <c r="BN22" s="93">
        <v>50.418846482979653</v>
      </c>
      <c r="BO22" s="93" t="s">
        <v>923</v>
      </c>
      <c r="BP22" s="93" t="s">
        <v>270</v>
      </c>
      <c r="BQ22" s="93" t="s">
        <v>922</v>
      </c>
    </row>
    <row r="23" spans="1:69">
      <c r="A23" s="93" t="s">
        <v>626</v>
      </c>
      <c r="B23" s="93" t="s">
        <v>688</v>
      </c>
      <c r="C23" s="93" t="s">
        <v>733</v>
      </c>
      <c r="D23" s="93">
        <v>41522</v>
      </c>
      <c r="E23" s="93" t="s">
        <v>734</v>
      </c>
      <c r="F23" s="93" t="s">
        <v>630</v>
      </c>
      <c r="G23" s="93" t="s">
        <v>631</v>
      </c>
      <c r="H23" s="93">
        <v>3.6590594338348085E-26</v>
      </c>
      <c r="I23" s="93" t="s">
        <v>270</v>
      </c>
      <c r="J23" s="93">
        <v>6.4662381120000001E-2</v>
      </c>
      <c r="K23" s="93">
        <v>6.4662381120000004E-3</v>
      </c>
      <c r="L23" s="93">
        <v>64.634146341463406</v>
      </c>
      <c r="M23" s="93">
        <v>6.463414634146341</v>
      </c>
      <c r="N23" s="93">
        <v>13.726250991646921</v>
      </c>
      <c r="O23" s="93">
        <v>0.67446366267082558</v>
      </c>
      <c r="P23" s="93">
        <v>2.5028097238127653</v>
      </c>
      <c r="Q23" s="93">
        <v>0.55725491455291498</v>
      </c>
      <c r="R23" s="93" t="s">
        <v>270</v>
      </c>
      <c r="S23" s="93" t="s">
        <v>270</v>
      </c>
      <c r="T23" s="93">
        <v>2.5000000000000004</v>
      </c>
      <c r="U23" s="93">
        <v>0.31622776601684122</v>
      </c>
      <c r="V23" s="93" t="s">
        <v>270</v>
      </c>
      <c r="W23" s="93" t="s">
        <v>270</v>
      </c>
      <c r="X23" s="93" t="s">
        <v>270</v>
      </c>
      <c r="Y23" s="93" t="s">
        <v>270</v>
      </c>
      <c r="Z23" s="93" t="s">
        <v>270</v>
      </c>
      <c r="AA23" s="93" t="s">
        <v>270</v>
      </c>
      <c r="AB23" s="93" t="s">
        <v>270</v>
      </c>
      <c r="AC23" s="93" t="s">
        <v>270</v>
      </c>
      <c r="AD23" s="93" t="s">
        <v>270</v>
      </c>
      <c r="AE23" s="93" t="s">
        <v>270</v>
      </c>
      <c r="AF23" s="93" t="s">
        <v>270</v>
      </c>
      <c r="AG23" s="93" t="s">
        <v>270</v>
      </c>
      <c r="AH23" s="93">
        <v>1.2615640509271875</v>
      </c>
      <c r="AI23" s="93">
        <v>0.12615640509271875</v>
      </c>
      <c r="AJ23" s="93">
        <v>2.8192685272014515</v>
      </c>
      <c r="AK23" s="93">
        <v>0.75645579772630467</v>
      </c>
      <c r="AL23" s="93" t="s">
        <v>270</v>
      </c>
      <c r="AM23" s="93" t="s">
        <v>270</v>
      </c>
      <c r="AN23" s="93" t="s">
        <v>270</v>
      </c>
      <c r="AO23" s="93" t="s">
        <v>270</v>
      </c>
      <c r="AP23" s="93">
        <v>1.677115987460815</v>
      </c>
      <c r="AQ23" s="93">
        <v>3.1347962382445145E-2</v>
      </c>
      <c r="AR23" s="93">
        <v>1.5572768E-6</v>
      </c>
      <c r="AS23" s="93">
        <v>1.3840000000000023E-8</v>
      </c>
      <c r="AT23" s="93">
        <v>7.5800000000000004E-8</v>
      </c>
      <c r="AU23" s="93">
        <v>0</v>
      </c>
      <c r="AV23" s="93">
        <v>3.2020000000000002E-7</v>
      </c>
      <c r="AW23" s="93">
        <v>3.9E-10</v>
      </c>
      <c r="AX23" s="93">
        <v>41851</v>
      </c>
      <c r="AY23" s="93">
        <v>4.5373659695551005E-8</v>
      </c>
      <c r="AZ23" s="93">
        <v>6.7931304493017928E-9</v>
      </c>
      <c r="BA23" s="93">
        <v>1.3114722952778892E-8</v>
      </c>
      <c r="BB23" s="93">
        <v>3.5187808514184998E-9</v>
      </c>
      <c r="BC23" s="93">
        <v>0.67057315221016667</v>
      </c>
      <c r="BD23" s="93">
        <v>0.65600911708286269</v>
      </c>
      <c r="BE23" s="93">
        <v>1.7311617351670107E-8</v>
      </c>
      <c r="BF23" s="93">
        <v>1.3243986226022389E-16</v>
      </c>
      <c r="BG23" s="93">
        <v>1.1513957607834819</v>
      </c>
      <c r="BH23" s="93">
        <v>2.0655728745248868E-2</v>
      </c>
      <c r="BI23" s="93">
        <v>0.27616588970254385</v>
      </c>
      <c r="BJ23" s="93">
        <v>1.5502196027734191E-2</v>
      </c>
      <c r="BK23" s="93">
        <v>4.4322825446866948E-8</v>
      </c>
      <c r="BL23" s="93">
        <v>1E-8</v>
      </c>
      <c r="BM23" s="93">
        <v>14.943540287560104</v>
      </c>
      <c r="BN23" s="93">
        <v>0.42735467256789467</v>
      </c>
      <c r="BO23" s="93">
        <v>14.945</v>
      </c>
      <c r="BP23" s="93">
        <v>0.43</v>
      </c>
      <c r="BQ23" s="93" t="s">
        <v>921</v>
      </c>
    </row>
    <row r="24" spans="1:69">
      <c r="A24" s="93" t="s">
        <v>626</v>
      </c>
      <c r="B24" s="93" t="s">
        <v>738</v>
      </c>
      <c r="C24" s="93" t="s">
        <v>739</v>
      </c>
      <c r="D24" s="93">
        <v>41526</v>
      </c>
      <c r="E24" s="93" t="s">
        <v>740</v>
      </c>
      <c r="F24" s="93" t="s">
        <v>630</v>
      </c>
      <c r="G24" s="93" t="s">
        <v>631</v>
      </c>
      <c r="H24" s="93">
        <v>1.3606580448705151E-22</v>
      </c>
      <c r="I24" s="93" t="s">
        <v>270</v>
      </c>
      <c r="J24" s="93">
        <v>0.61536420000000003</v>
      </c>
      <c r="K24" s="93">
        <v>6.1536420000000001E-2</v>
      </c>
      <c r="L24" s="93">
        <v>17.987804878048699</v>
      </c>
      <c r="M24" s="93">
        <v>1.7987804878048699</v>
      </c>
      <c r="N24" s="93">
        <v>23.862384507379332</v>
      </c>
      <c r="O24" s="93">
        <v>6.460472434111221</v>
      </c>
      <c r="P24" s="93">
        <v>1.9402077498129648</v>
      </c>
      <c r="Q24" s="93">
        <v>0.45842390075079098</v>
      </c>
      <c r="R24" s="93" t="s">
        <v>270</v>
      </c>
      <c r="S24" s="93" t="s">
        <v>270</v>
      </c>
      <c r="T24" s="93">
        <v>1.0186260476397024</v>
      </c>
      <c r="U24" s="93">
        <v>1.9879609066983757</v>
      </c>
      <c r="V24" s="93" t="s">
        <v>270</v>
      </c>
      <c r="W24" s="93" t="s">
        <v>270</v>
      </c>
      <c r="X24" s="93" t="s">
        <v>270</v>
      </c>
      <c r="Y24" s="93" t="s">
        <v>270</v>
      </c>
      <c r="Z24" s="93" t="s">
        <v>270</v>
      </c>
      <c r="AA24" s="93" t="s">
        <v>270</v>
      </c>
      <c r="AB24" s="93" t="s">
        <v>270</v>
      </c>
      <c r="AC24" s="93" t="s">
        <v>270</v>
      </c>
      <c r="AD24" s="93" t="s">
        <v>270</v>
      </c>
      <c r="AE24" s="93" t="s">
        <v>270</v>
      </c>
      <c r="AF24" s="93" t="s">
        <v>270</v>
      </c>
      <c r="AG24" s="93" t="s">
        <v>270</v>
      </c>
      <c r="AH24" s="93">
        <v>2.3836881334262774</v>
      </c>
      <c r="AI24" s="93">
        <v>0.23836881334262772</v>
      </c>
      <c r="AJ24" s="93">
        <v>7.441948546378983</v>
      </c>
      <c r="AK24" s="93">
        <v>2.8738891281659322</v>
      </c>
      <c r="AL24" s="93" t="s">
        <v>270</v>
      </c>
      <c r="AM24" s="93" t="s">
        <v>270</v>
      </c>
      <c r="AN24" s="93" t="s">
        <v>270</v>
      </c>
      <c r="AO24" s="93" t="s">
        <v>270</v>
      </c>
      <c r="AP24" s="93">
        <v>-0.11598746081504702</v>
      </c>
      <c r="AQ24" s="93">
        <v>3.1347962382445145E-2</v>
      </c>
      <c r="AR24" s="93">
        <v>1.3390199999999999E-6</v>
      </c>
      <c r="AS24" s="93">
        <v>1.3839999999999917E-8</v>
      </c>
      <c r="AT24" s="93">
        <v>5.54E-8</v>
      </c>
      <c r="AU24" s="93">
        <v>0</v>
      </c>
      <c r="AV24" s="93">
        <v>2.1409999999999999E-7</v>
      </c>
      <c r="AW24" s="93">
        <v>2.8000000000000002E-10</v>
      </c>
      <c r="AX24" s="93">
        <v>41850</v>
      </c>
      <c r="AY24" s="93">
        <v>4.4028001335268908E-8</v>
      </c>
      <c r="AZ24" s="93">
        <v>1.3448584475325292E-8</v>
      </c>
      <c r="BA24" s="93">
        <v>1.0166688609019936E-8</v>
      </c>
      <c r="BB24" s="93">
        <v>3.9260620822279102E-9</v>
      </c>
      <c r="BC24" s="93">
        <v>0.25829034356487124</v>
      </c>
      <c r="BD24" s="93">
        <v>0.19720601251439052</v>
      </c>
      <c r="BE24" s="93">
        <v>1.2053100557111563E-9</v>
      </c>
      <c r="BF24" s="93">
        <v>1.6887729209233996E-17</v>
      </c>
      <c r="BG24" s="93">
        <v>0.960196483239248</v>
      </c>
      <c r="BH24" s="93">
        <v>1.5821777097374447E-2</v>
      </c>
      <c r="BI24" s="93">
        <v>2.6645614550624263E-2</v>
      </c>
      <c r="BJ24" s="93">
        <v>2.3125618050146442E-3</v>
      </c>
      <c r="BK24" s="93">
        <v>4.4322825446866948E-8</v>
      </c>
      <c r="BL24" s="93">
        <v>1E-8</v>
      </c>
      <c r="BM24" s="93">
        <v>4.5614691389801294E-2</v>
      </c>
      <c r="BN24" s="93">
        <v>0.30838285270502341</v>
      </c>
      <c r="BO24" s="93" t="s">
        <v>924</v>
      </c>
      <c r="BP24" s="93" t="s">
        <v>270</v>
      </c>
    </row>
    <row r="25" spans="1:69">
      <c r="A25" s="93" t="s">
        <v>626</v>
      </c>
      <c r="B25" s="93" t="s">
        <v>738</v>
      </c>
      <c r="C25" s="93" t="s">
        <v>744</v>
      </c>
      <c r="D25" s="93">
        <v>41528</v>
      </c>
      <c r="E25" s="93" t="s">
        <v>745</v>
      </c>
      <c r="F25" s="93" t="s">
        <v>630</v>
      </c>
      <c r="G25" s="93" t="s">
        <v>631</v>
      </c>
      <c r="H25" s="93">
        <v>3.7004331274108693E-25</v>
      </c>
      <c r="I25" s="93" t="s">
        <v>270</v>
      </c>
      <c r="J25" s="93">
        <v>0.84992100378000002</v>
      </c>
      <c r="K25" s="93">
        <v>8.4992100378000007E-2</v>
      </c>
      <c r="L25" s="93">
        <v>61.890243902439003</v>
      </c>
      <c r="M25" s="93">
        <v>6.1890243902439002</v>
      </c>
      <c r="N25" s="93">
        <v>15.183310419555927</v>
      </c>
      <c r="O25" s="93">
        <v>0.71662249793965005</v>
      </c>
      <c r="P25" s="93">
        <v>2.4593443006585285</v>
      </c>
      <c r="Q25" s="93">
        <v>0.55673874463663975</v>
      </c>
      <c r="R25" s="93" t="s">
        <v>270</v>
      </c>
      <c r="S25" s="93" t="s">
        <v>270</v>
      </c>
      <c r="T25" s="93">
        <v>1.7000000000000002</v>
      </c>
      <c r="U25" s="93">
        <v>0.316227766016839</v>
      </c>
      <c r="V25" s="93" t="s">
        <v>270</v>
      </c>
      <c r="W25" s="93" t="s">
        <v>270</v>
      </c>
      <c r="X25" s="93" t="s">
        <v>270</v>
      </c>
      <c r="Y25" s="93" t="s">
        <v>270</v>
      </c>
      <c r="Z25" s="93" t="s">
        <v>270</v>
      </c>
      <c r="AA25" s="93" t="s">
        <v>270</v>
      </c>
      <c r="AB25" s="93" t="s">
        <v>270</v>
      </c>
      <c r="AC25" s="93" t="s">
        <v>270</v>
      </c>
      <c r="AD25" s="93" t="s">
        <v>270</v>
      </c>
      <c r="AE25" s="93" t="s">
        <v>270</v>
      </c>
      <c r="AF25" s="93" t="s">
        <v>270</v>
      </c>
      <c r="AG25" s="93" t="s">
        <v>270</v>
      </c>
      <c r="AH25" s="93">
        <v>2.4154673960786583</v>
      </c>
      <c r="AI25" s="93">
        <v>0.24154673960786585</v>
      </c>
      <c r="AJ25" s="93">
        <v>5.6872407253128978</v>
      </c>
      <c r="AK25" s="93">
        <v>1.5416459914727669</v>
      </c>
      <c r="AL25" s="93" t="s">
        <v>270</v>
      </c>
      <c r="AM25" s="93" t="s">
        <v>270</v>
      </c>
      <c r="AN25" s="93" t="s">
        <v>270</v>
      </c>
      <c r="AO25" s="93" t="s">
        <v>270</v>
      </c>
      <c r="AP25" s="93">
        <v>-0.19435736677115989</v>
      </c>
      <c r="AQ25" s="93">
        <v>3.1347962382445145E-2</v>
      </c>
      <c r="AR25" s="93" t="s">
        <v>270</v>
      </c>
      <c r="AS25" s="93" t="s">
        <v>270</v>
      </c>
      <c r="AT25" s="93" t="s">
        <v>270</v>
      </c>
      <c r="AU25" s="93" t="s">
        <v>270</v>
      </c>
      <c r="AV25" s="93" t="s">
        <v>270</v>
      </c>
      <c r="AW25" s="93" t="s">
        <v>270</v>
      </c>
      <c r="AX25" s="93" t="s">
        <v>270</v>
      </c>
      <c r="AY25" s="93" t="s">
        <v>270</v>
      </c>
      <c r="AZ25" s="93" t="s">
        <v>270</v>
      </c>
      <c r="BA25" s="93" t="s">
        <v>270</v>
      </c>
      <c r="BB25" s="93" t="s">
        <v>270</v>
      </c>
      <c r="BC25" s="93" t="s">
        <v>270</v>
      </c>
      <c r="BD25" s="93" t="s">
        <v>270</v>
      </c>
      <c r="BE25" s="93" t="s">
        <v>270</v>
      </c>
      <c r="BF25" s="93" t="s">
        <v>270</v>
      </c>
      <c r="BG25" s="93" t="s">
        <v>270</v>
      </c>
      <c r="BH25" s="93" t="s">
        <v>270</v>
      </c>
      <c r="BI25" s="93" t="s">
        <v>270</v>
      </c>
      <c r="BJ25" s="93" t="s">
        <v>270</v>
      </c>
      <c r="BK25" s="93" t="s">
        <v>270</v>
      </c>
      <c r="BL25" s="93" t="s">
        <v>270</v>
      </c>
      <c r="BM25" s="93" t="s">
        <v>270</v>
      </c>
      <c r="BN25" s="93" t="s">
        <v>270</v>
      </c>
      <c r="BO25" s="93" t="s">
        <v>270</v>
      </c>
      <c r="BP25" s="93" t="s">
        <v>270</v>
      </c>
    </row>
    <row r="26" spans="1:69">
      <c r="A26" s="93" t="s">
        <v>626</v>
      </c>
      <c r="B26" s="93" t="s">
        <v>738</v>
      </c>
      <c r="C26" s="93" t="s">
        <v>749</v>
      </c>
      <c r="D26" s="93">
        <v>41513</v>
      </c>
      <c r="E26" s="93" t="s">
        <v>750</v>
      </c>
      <c r="F26" s="93" t="s">
        <v>630</v>
      </c>
      <c r="G26" s="93" t="s">
        <v>631</v>
      </c>
      <c r="H26" s="93">
        <v>7.6654248817762181E-23</v>
      </c>
      <c r="I26" s="93" t="s">
        <v>270</v>
      </c>
      <c r="J26" s="93">
        <v>1.5401885613799999</v>
      </c>
      <c r="K26" s="93">
        <v>0.15401885613799998</v>
      </c>
      <c r="L26" s="93">
        <v>134.451219512195</v>
      </c>
      <c r="M26" s="93">
        <v>13.4451219512195</v>
      </c>
      <c r="N26" s="93">
        <v>13.311054905832478</v>
      </c>
      <c r="O26" s="93">
        <v>0.70773462548411936</v>
      </c>
      <c r="P26" s="93">
        <v>2.509419519956166</v>
      </c>
      <c r="Q26" s="93">
        <v>0.5816439224226938</v>
      </c>
      <c r="R26" s="93" t="s">
        <v>270</v>
      </c>
      <c r="S26" s="93" t="s">
        <v>270</v>
      </c>
      <c r="T26" s="93">
        <v>1.6750000000000003</v>
      </c>
      <c r="U26" s="93">
        <v>0.33071650948515291</v>
      </c>
      <c r="V26" s="93" t="s">
        <v>270</v>
      </c>
      <c r="W26" s="93" t="s">
        <v>270</v>
      </c>
      <c r="X26" s="93" t="s">
        <v>270</v>
      </c>
      <c r="Y26" s="93" t="s">
        <v>270</v>
      </c>
      <c r="Z26" s="93" t="s">
        <v>270</v>
      </c>
      <c r="AA26" s="93" t="s">
        <v>270</v>
      </c>
      <c r="AB26" s="93" t="s">
        <v>270</v>
      </c>
      <c r="AC26" s="93" t="s">
        <v>270</v>
      </c>
      <c r="AD26" s="93" t="s">
        <v>270</v>
      </c>
      <c r="AE26" s="93" t="s">
        <v>270</v>
      </c>
      <c r="AF26" s="93" t="s">
        <v>270</v>
      </c>
      <c r="AG26" s="93" t="s">
        <v>270</v>
      </c>
      <c r="AH26" s="93">
        <v>0.83826006051600843</v>
      </c>
      <c r="AI26" s="93">
        <v>8.3826006051600857E-2</v>
      </c>
      <c r="AJ26" s="93">
        <v>1.8833821355837319</v>
      </c>
      <c r="AK26" s="93">
        <v>0.52097290999925217</v>
      </c>
      <c r="AL26" s="93" t="s">
        <v>270</v>
      </c>
      <c r="AM26" s="93" t="s">
        <v>270</v>
      </c>
      <c r="AN26" s="93" t="s">
        <v>270</v>
      </c>
      <c r="AO26" s="93" t="s">
        <v>270</v>
      </c>
      <c r="AP26" s="93">
        <v>4.0752351097178688E-2</v>
      </c>
      <c r="AQ26" s="93">
        <v>3.1347962382445145E-2</v>
      </c>
      <c r="AR26" s="93" t="s">
        <v>270</v>
      </c>
      <c r="AS26" s="93" t="s">
        <v>270</v>
      </c>
      <c r="AT26" s="93" t="s">
        <v>270</v>
      </c>
      <c r="AU26" s="93" t="s">
        <v>270</v>
      </c>
      <c r="AV26" s="93" t="s">
        <v>270</v>
      </c>
      <c r="AW26" s="93" t="s">
        <v>270</v>
      </c>
      <c r="AX26" s="93" t="s">
        <v>270</v>
      </c>
      <c r="AY26" s="93" t="s">
        <v>270</v>
      </c>
      <c r="AZ26" s="93" t="s">
        <v>270</v>
      </c>
      <c r="BA26" s="93" t="s">
        <v>270</v>
      </c>
      <c r="BB26" s="93" t="s">
        <v>270</v>
      </c>
      <c r="BC26" s="93" t="s">
        <v>270</v>
      </c>
      <c r="BD26" s="93" t="s">
        <v>270</v>
      </c>
      <c r="BE26" s="93" t="s">
        <v>270</v>
      </c>
      <c r="BF26" s="93" t="s">
        <v>270</v>
      </c>
      <c r="BG26" s="93" t="s">
        <v>270</v>
      </c>
      <c r="BH26" s="93" t="s">
        <v>270</v>
      </c>
      <c r="BI26" s="93" t="s">
        <v>270</v>
      </c>
      <c r="BJ26" s="93" t="s">
        <v>270</v>
      </c>
      <c r="BK26" s="93" t="s">
        <v>270</v>
      </c>
      <c r="BL26" s="93" t="s">
        <v>270</v>
      </c>
      <c r="BM26" s="93" t="s">
        <v>270</v>
      </c>
      <c r="BN26" s="93" t="s">
        <v>270</v>
      </c>
      <c r="BO26" s="93" t="s">
        <v>270</v>
      </c>
      <c r="BP26" s="93" t="s">
        <v>270</v>
      </c>
    </row>
    <row r="27" spans="1:69">
      <c r="A27" s="93" t="s">
        <v>626</v>
      </c>
      <c r="B27" s="93" t="s">
        <v>738</v>
      </c>
      <c r="C27" s="93" t="s">
        <v>754</v>
      </c>
      <c r="D27" s="93">
        <v>41494</v>
      </c>
      <c r="E27" s="93" t="s">
        <v>755</v>
      </c>
      <c r="F27" s="93" t="s">
        <v>630</v>
      </c>
      <c r="G27" s="93" t="s">
        <v>631</v>
      </c>
      <c r="H27" s="93">
        <v>7.4896420943292289E-20</v>
      </c>
      <c r="I27" s="93" t="s">
        <v>270</v>
      </c>
      <c r="J27" s="93">
        <v>0.32665329450000002</v>
      </c>
      <c r="K27" s="93">
        <v>3.2665329450000002E-2</v>
      </c>
      <c r="L27" s="93">
        <v>100</v>
      </c>
      <c r="M27" s="93">
        <v>10</v>
      </c>
      <c r="N27" s="93">
        <v>12.183446506724509</v>
      </c>
      <c r="O27" s="93">
        <v>5.2957798946986401</v>
      </c>
      <c r="P27" s="93">
        <v>2.1739444994146124</v>
      </c>
      <c r="Q27" s="93">
        <v>0.51818979032839574</v>
      </c>
      <c r="R27" s="93" t="s">
        <v>270</v>
      </c>
      <c r="S27" s="93" t="s">
        <v>270</v>
      </c>
      <c r="T27" s="93">
        <v>0.77841526435995023</v>
      </c>
      <c r="U27" s="93">
        <v>2.4268883920683635</v>
      </c>
      <c r="V27" s="93" t="s">
        <v>270</v>
      </c>
      <c r="W27" s="93" t="s">
        <v>270</v>
      </c>
      <c r="X27" s="93" t="s">
        <v>270</v>
      </c>
      <c r="Y27" s="93" t="s">
        <v>270</v>
      </c>
      <c r="Z27" s="93" t="s">
        <v>270</v>
      </c>
      <c r="AA27" s="93" t="s">
        <v>270</v>
      </c>
      <c r="AB27" s="93" t="s">
        <v>270</v>
      </c>
      <c r="AC27" s="93" t="s">
        <v>270</v>
      </c>
      <c r="AD27" s="93" t="s">
        <v>270</v>
      </c>
      <c r="AE27" s="93" t="s">
        <v>270</v>
      </c>
      <c r="AF27" s="93" t="s">
        <v>270</v>
      </c>
      <c r="AG27" s="93" t="s">
        <v>270</v>
      </c>
      <c r="AH27" s="93">
        <v>0.36384084329675614</v>
      </c>
      <c r="AI27" s="93">
        <v>3.6384084329675617E-2</v>
      </c>
      <c r="AJ27" s="93">
        <v>0.80640092082419623</v>
      </c>
      <c r="AK27" s="93">
        <v>0.41575113371206673</v>
      </c>
      <c r="AL27" s="93" t="s">
        <v>270</v>
      </c>
      <c r="AM27" s="93" t="s">
        <v>270</v>
      </c>
      <c r="AN27" s="93" t="s">
        <v>270</v>
      </c>
      <c r="AO27" s="93" t="s">
        <v>270</v>
      </c>
      <c r="AP27" s="93">
        <v>-9.7178683385579945E-2</v>
      </c>
      <c r="AQ27" s="93">
        <v>3.1347962382445145E-2</v>
      </c>
      <c r="AR27" s="93">
        <v>6.0245520000000007E-7</v>
      </c>
      <c r="AS27" s="93">
        <v>1.3840000000000023E-8</v>
      </c>
      <c r="AT27" s="93">
        <v>1.2739999999999999E-7</v>
      </c>
      <c r="AU27" s="93">
        <v>1E-10</v>
      </c>
      <c r="AV27" s="93">
        <v>2.3440000000000001E-7</v>
      </c>
      <c r="AW27" s="93">
        <v>2.8000000000000002E-10</v>
      </c>
      <c r="AX27" s="93">
        <v>41849</v>
      </c>
      <c r="AY27" s="93">
        <v>4.5392110996515789E-8</v>
      </c>
      <c r="AZ27" s="93">
        <v>2.0751824592711546E-8</v>
      </c>
      <c r="BA27" s="93">
        <v>1.139146917693257E-8</v>
      </c>
      <c r="BB27" s="93">
        <v>5.8727904820985138E-9</v>
      </c>
      <c r="BC27" s="93">
        <v>1.8066565602312314</v>
      </c>
      <c r="BD27" s="93">
        <v>0.20259317765813623</v>
      </c>
      <c r="BE27" s="93">
        <v>7.0616419826551637E-8</v>
      </c>
      <c r="BF27" s="93">
        <v>1.5230045441655183E-15</v>
      </c>
      <c r="BG27" s="93">
        <v>0.37984904786961549</v>
      </c>
      <c r="BH27" s="93">
        <v>4.2536456596144204E-2</v>
      </c>
      <c r="BI27" s="93">
        <v>0.60871778156093237</v>
      </c>
      <c r="BJ27" s="93">
        <v>3.134028978938401E-2</v>
      </c>
      <c r="BK27" s="93">
        <v>4.4322825446866948E-8</v>
      </c>
      <c r="BL27" s="93">
        <v>1E-8</v>
      </c>
      <c r="BM27" s="93">
        <v>-1.5615530719369342</v>
      </c>
      <c r="BN27" s="93">
        <v>0.76393687107547881</v>
      </c>
      <c r="BO27" s="93" t="s">
        <v>923</v>
      </c>
      <c r="BP27" s="93" t="s">
        <v>270</v>
      </c>
      <c r="BQ27" s="93" t="s">
        <v>920</v>
      </c>
    </row>
    <row r="28" spans="1:69">
      <c r="A28" s="93" t="s">
        <v>626</v>
      </c>
      <c r="B28" s="93" t="s">
        <v>738</v>
      </c>
      <c r="C28" s="93" t="s">
        <v>759</v>
      </c>
      <c r="D28" s="93">
        <v>41492</v>
      </c>
      <c r="E28" s="93" t="s">
        <v>760</v>
      </c>
      <c r="F28" s="93" t="s">
        <v>630</v>
      </c>
      <c r="G28" s="93" t="s">
        <v>631</v>
      </c>
      <c r="H28" s="93">
        <v>3.9662851591043852E-22</v>
      </c>
      <c r="I28" s="93" t="s">
        <v>270</v>
      </c>
      <c r="J28" s="93">
        <v>0.23046814937999999</v>
      </c>
      <c r="K28" s="93">
        <v>2.3046814937999999E-2</v>
      </c>
      <c r="L28" s="93">
        <v>33.536585365853597</v>
      </c>
      <c r="M28" s="93">
        <v>3.3536585365853595</v>
      </c>
      <c r="N28" s="93">
        <v>16.534533379377248</v>
      </c>
      <c r="O28" s="93">
        <v>5.7001835755930461</v>
      </c>
      <c r="P28" s="93">
        <v>1.9757146881845247</v>
      </c>
      <c r="Q28" s="93">
        <v>0.49255115477968725</v>
      </c>
      <c r="R28" s="93" t="s">
        <v>270</v>
      </c>
      <c r="S28" s="93" t="s">
        <v>270</v>
      </c>
      <c r="T28" s="93">
        <v>0.64875536007504209</v>
      </c>
      <c r="U28" s="93">
        <v>2.2237835404956661</v>
      </c>
      <c r="V28" s="93" t="s">
        <v>270</v>
      </c>
      <c r="W28" s="93" t="s">
        <v>270</v>
      </c>
      <c r="X28" s="93" t="s">
        <v>270</v>
      </c>
      <c r="Y28" s="93" t="s">
        <v>270</v>
      </c>
      <c r="Z28" s="93" t="s">
        <v>270</v>
      </c>
      <c r="AA28" s="93" t="s">
        <v>270</v>
      </c>
      <c r="AB28" s="93" t="s">
        <v>270</v>
      </c>
      <c r="AC28" s="93" t="s">
        <v>270</v>
      </c>
      <c r="AD28" s="93" t="s">
        <v>270</v>
      </c>
      <c r="AE28" s="93" t="s">
        <v>270</v>
      </c>
      <c r="AF28" s="93" t="s">
        <v>270</v>
      </c>
      <c r="AG28" s="93" t="s">
        <v>270</v>
      </c>
      <c r="AH28" s="93">
        <v>0.30593820895975254</v>
      </c>
      <c r="AI28" s="93">
        <v>3.0593820895975257E-2</v>
      </c>
      <c r="AJ28" s="93">
        <v>0.78373266999477209</v>
      </c>
      <c r="AK28" s="93">
        <v>0.35137390787717537</v>
      </c>
      <c r="AL28" s="93" t="s">
        <v>270</v>
      </c>
      <c r="AM28" s="93" t="s">
        <v>270</v>
      </c>
      <c r="AN28" s="93" t="s">
        <v>270</v>
      </c>
      <c r="AO28" s="93" t="s">
        <v>270</v>
      </c>
      <c r="AP28" s="93">
        <v>-2.8213166144200625E-2</v>
      </c>
      <c r="AQ28" s="93">
        <v>3.1347962382445145E-2</v>
      </c>
      <c r="AR28" s="93">
        <v>5.343624E-7</v>
      </c>
      <c r="AS28" s="93">
        <v>1.3840000000000023E-8</v>
      </c>
      <c r="AT28" s="93">
        <v>1.5160000000000001E-7</v>
      </c>
      <c r="AU28" s="93">
        <v>1E-10</v>
      </c>
      <c r="AV28" s="93">
        <v>2.252E-7</v>
      </c>
      <c r="AW28" s="93">
        <v>2.8000000000000002E-10</v>
      </c>
      <c r="AX28" s="93">
        <v>41850</v>
      </c>
      <c r="AY28" s="93">
        <v>4.5038897305942524E-8</v>
      </c>
      <c r="AZ28" s="93">
        <v>1.6782750033852415E-8</v>
      </c>
      <c r="BA28" s="93">
        <v>1.0352744966086907E-8</v>
      </c>
      <c r="BB28" s="93">
        <v>4.6414642762130061E-9</v>
      </c>
      <c r="BC28" s="93">
        <v>2.3659795793955287</v>
      </c>
      <c r="BD28" s="93">
        <v>0.1896871803568615</v>
      </c>
      <c r="BE28" s="93">
        <v>9.6208357727970563E-8</v>
      </c>
      <c r="BF28" s="93">
        <v>1.6752810850931622E-15</v>
      </c>
      <c r="BG28" s="93">
        <v>0.34110420953752424</v>
      </c>
      <c r="BH28" s="93">
        <v>3.2452866993749621E-2</v>
      </c>
      <c r="BI28" s="93">
        <v>0.68113463797163132</v>
      </c>
      <c r="BJ28" s="93">
        <v>2.2864698400464869E-2</v>
      </c>
      <c r="BK28" s="93">
        <v>4.4322825446866948E-8</v>
      </c>
      <c r="BL28" s="93">
        <v>1E-8</v>
      </c>
      <c r="BM28" s="93">
        <v>0.45188296858297206</v>
      </c>
      <c r="BN28" s="93">
        <v>0.9280922905028961</v>
      </c>
      <c r="BO28" s="93" t="s">
        <v>924</v>
      </c>
      <c r="BP28" s="93" t="s">
        <v>270</v>
      </c>
      <c r="BQ28" s="93" t="s">
        <v>920</v>
      </c>
    </row>
    <row r="29" spans="1:69">
      <c r="A29" s="93" t="s">
        <v>626</v>
      </c>
      <c r="B29" s="93" t="s">
        <v>738</v>
      </c>
      <c r="C29" s="93" t="s">
        <v>764</v>
      </c>
      <c r="D29" s="93">
        <v>41500</v>
      </c>
      <c r="E29" s="93" t="s">
        <v>765</v>
      </c>
      <c r="F29" s="93" t="s">
        <v>630</v>
      </c>
      <c r="G29" s="93" t="s">
        <v>631</v>
      </c>
      <c r="H29" s="93">
        <v>2.702084205011311E-25</v>
      </c>
      <c r="I29" s="93" t="s">
        <v>270</v>
      </c>
      <c r="J29" s="93">
        <v>0.70302982272000003</v>
      </c>
      <c r="K29" s="93">
        <v>7.0302982272000006E-2</v>
      </c>
      <c r="L29" s="93">
        <v>100</v>
      </c>
      <c r="M29" s="93">
        <v>10</v>
      </c>
      <c r="N29" s="93">
        <v>16.026770947022722</v>
      </c>
      <c r="O29" s="93">
        <v>6.269614880309037</v>
      </c>
      <c r="P29" s="93">
        <v>6.0250203667649362</v>
      </c>
      <c r="Q29" s="93">
        <v>0.60876458450862603</v>
      </c>
      <c r="R29" s="93" t="s">
        <v>270</v>
      </c>
      <c r="S29" s="93" t="s">
        <v>270</v>
      </c>
      <c r="T29" s="93">
        <v>0.94763129270820234</v>
      </c>
      <c r="U29" s="93">
        <v>2.6586316019261811</v>
      </c>
      <c r="V29" s="93" t="s">
        <v>270</v>
      </c>
      <c r="W29" s="93" t="s">
        <v>270</v>
      </c>
      <c r="X29" s="93" t="s">
        <v>270</v>
      </c>
      <c r="Y29" s="93" t="s">
        <v>270</v>
      </c>
      <c r="Z29" s="93" t="s">
        <v>270</v>
      </c>
      <c r="AA29" s="93" t="s">
        <v>270</v>
      </c>
      <c r="AB29" s="93" t="s">
        <v>270</v>
      </c>
      <c r="AC29" s="93" t="s">
        <v>270</v>
      </c>
      <c r="AD29" s="93" t="s">
        <v>270</v>
      </c>
      <c r="AE29" s="93" t="s">
        <v>270</v>
      </c>
      <c r="AF29" s="93" t="s">
        <v>270</v>
      </c>
      <c r="AG29" s="93" t="s">
        <v>270</v>
      </c>
      <c r="AH29" s="93">
        <v>0.6550579842840405</v>
      </c>
      <c r="AI29" s="93">
        <v>6.5505798428404038E-2</v>
      </c>
      <c r="AJ29" s="93">
        <v>1.1395359127577844</v>
      </c>
      <c r="AK29" s="93">
        <v>0.48780567160062621</v>
      </c>
      <c r="AL29" s="93" t="s">
        <v>270</v>
      </c>
      <c r="AM29" s="93" t="s">
        <v>270</v>
      </c>
      <c r="AN29" s="93" t="s">
        <v>270</v>
      </c>
      <c r="AO29" s="93" t="s">
        <v>270</v>
      </c>
      <c r="AP29" s="93">
        <v>6.2695924764890288E-3</v>
      </c>
      <c r="AQ29" s="93">
        <v>3.1347962382445145E-2</v>
      </c>
      <c r="AR29" s="93">
        <v>3.3408718239223903E-8</v>
      </c>
      <c r="AS29" s="93">
        <v>1.384E-8</v>
      </c>
      <c r="AT29" s="93">
        <v>7.2802601683677401E-6</v>
      </c>
      <c r="AU29" s="93">
        <v>7.2802601683677404E-8</v>
      </c>
      <c r="AV29" s="93">
        <v>2.9755819573653701E-7</v>
      </c>
      <c r="AW29" s="93">
        <v>4.4633729360480602E-9</v>
      </c>
      <c r="AX29" s="93">
        <v>41754</v>
      </c>
      <c r="AY29" s="93">
        <v>4.4644603507763181E-8</v>
      </c>
      <c r="AZ29" s="93">
        <v>1.8571271658406156E-8</v>
      </c>
      <c r="BA29" s="93">
        <v>3.1571106721848266E-8</v>
      </c>
      <c r="BB29" s="93">
        <v>1.3514765364906022E-8</v>
      </c>
      <c r="BC29" s="93">
        <v>162.07146040484056</v>
      </c>
      <c r="BD29" s="93">
        <v>0.58227571260715738</v>
      </c>
      <c r="BE29" s="93">
        <v>7.2040444581381291E-6</v>
      </c>
      <c r="BF29" s="93">
        <v>5.4995522054342468E-13</v>
      </c>
      <c r="BG29" s="93">
        <v>1.9888961486081023E-2</v>
      </c>
      <c r="BH29" s="93">
        <v>1.1914097142713917E-2</v>
      </c>
      <c r="BI29" s="93">
        <v>0.99384101820851489</v>
      </c>
      <c r="BJ29" s="93">
        <v>1.1834655769615513E-2</v>
      </c>
      <c r="BK29" s="93">
        <v>4.4322825446866948E-8</v>
      </c>
      <c r="BL29" s="93">
        <v>1E-8</v>
      </c>
      <c r="BM29" s="93">
        <v>-72.606667391441391</v>
      </c>
      <c r="BN29" s="93">
        <v>49.816779410449939</v>
      </c>
      <c r="BO29" s="93" t="s">
        <v>923</v>
      </c>
      <c r="BP29" s="93" t="s">
        <v>270</v>
      </c>
      <c r="BQ29" s="93" t="s">
        <v>920</v>
      </c>
    </row>
  </sheetData>
  <sortState xmlns:xlrd2="http://schemas.microsoft.com/office/spreadsheetml/2017/richdata2" ref="A4:BQ29">
    <sortCondition ref="A5:A32"/>
    <sortCondition ref="B5:B32"/>
    <sortCondition ref="C5:C32"/>
    <sortCondition ref="D5:D32"/>
  </sortState>
  <mergeCells count="73">
    <mergeCell ref="BO2:BO3"/>
    <mergeCell ref="BP2:BP3"/>
    <mergeCell ref="BQ2:BQ3"/>
    <mergeCell ref="BI2:BI3"/>
    <mergeCell ref="BJ2:BJ3"/>
    <mergeCell ref="BK2:BK3"/>
    <mergeCell ref="BL2:BL3"/>
    <mergeCell ref="BM2:BM3"/>
    <mergeCell ref="BN2:BN3"/>
    <mergeCell ref="BC2:BC3"/>
    <mergeCell ref="BD2:BD3"/>
    <mergeCell ref="BE2:BE3"/>
    <mergeCell ref="BF2:BF3"/>
    <mergeCell ref="BG2:BG3"/>
    <mergeCell ref="BH2:BH3"/>
    <mergeCell ref="AW2:AW3"/>
    <mergeCell ref="AX2:AX3"/>
    <mergeCell ref="AY2:AY3"/>
    <mergeCell ref="AZ2:AZ3"/>
    <mergeCell ref="BA2:BA3"/>
    <mergeCell ref="BB2:BB3"/>
    <mergeCell ref="AQ2:AQ3"/>
    <mergeCell ref="AR2:AR3"/>
    <mergeCell ref="AS2:AS3"/>
    <mergeCell ref="AT2:AT3"/>
    <mergeCell ref="AU2:AU3"/>
    <mergeCell ref="AV2:AV3"/>
    <mergeCell ref="AK2:AK3"/>
    <mergeCell ref="AL2:AL3"/>
    <mergeCell ref="AM2:AM3"/>
    <mergeCell ref="AN2:AN3"/>
    <mergeCell ref="AO2:AO3"/>
    <mergeCell ref="AP2:AP3"/>
    <mergeCell ref="AE2:AE3"/>
    <mergeCell ref="AF2:AF3"/>
    <mergeCell ref="AG2:AG3"/>
    <mergeCell ref="AH2:AH3"/>
    <mergeCell ref="AI2:AI3"/>
    <mergeCell ref="AJ2:AJ3"/>
    <mergeCell ref="Y2:Y3"/>
    <mergeCell ref="Z2:Z3"/>
    <mergeCell ref="AA2:AA3"/>
    <mergeCell ref="AB2:AB3"/>
    <mergeCell ref="AC2:AC3"/>
    <mergeCell ref="AD2:AD3"/>
    <mergeCell ref="S2:S3"/>
    <mergeCell ref="T2:T3"/>
    <mergeCell ref="U2:U3"/>
    <mergeCell ref="V2:V3"/>
    <mergeCell ref="W2:W3"/>
    <mergeCell ref="X2:X3"/>
    <mergeCell ref="M2:M3"/>
    <mergeCell ref="N2:N3"/>
    <mergeCell ref="O2:O3"/>
    <mergeCell ref="P2:P3"/>
    <mergeCell ref="Q2:Q3"/>
    <mergeCell ref="R2:R3"/>
    <mergeCell ref="G2:G3"/>
    <mergeCell ref="H2:H3"/>
    <mergeCell ref="I2:I3"/>
    <mergeCell ref="J2:J3"/>
    <mergeCell ref="K2:K3"/>
    <mergeCell ref="L2:L3"/>
    <mergeCell ref="A1:E1"/>
    <mergeCell ref="F1:U1"/>
    <mergeCell ref="V1:AO1"/>
    <mergeCell ref="AP1:BQ1"/>
    <mergeCell ref="A2:A3"/>
    <mergeCell ref="B2:B3"/>
    <mergeCell ref="C2:C3"/>
    <mergeCell ref="D2:D3"/>
    <mergeCell ref="E2:E3"/>
    <mergeCell ref="F2:F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91A45-1808-440D-A4E6-9BDF18F93B65}">
  <dimension ref="A1:BQ27"/>
  <sheetViews>
    <sheetView workbookViewId="0">
      <selection activeCell="A4" sqref="A4:BQ29"/>
    </sheetView>
  </sheetViews>
  <sheetFormatPr defaultRowHeight="13.2"/>
  <cols>
    <col min="1" max="3" width="8.88671875" style="93"/>
    <col min="4" max="4" width="9" style="93" bestFit="1" customWidth="1"/>
    <col min="5" max="7" width="8.88671875" style="93"/>
    <col min="8" max="8" width="9" style="93" bestFit="1" customWidth="1"/>
    <col min="9" max="9" width="8.88671875" style="93"/>
    <col min="10" max="17" width="9" style="93" bestFit="1" customWidth="1"/>
    <col min="18" max="19" width="8.88671875" style="93"/>
    <col min="20" max="21" width="9" style="93" bestFit="1" customWidth="1"/>
    <col min="22" max="33" width="8.88671875" style="93"/>
    <col min="34" max="37" width="9" style="93" bestFit="1" customWidth="1"/>
    <col min="38" max="41" width="8.88671875" style="93"/>
    <col min="42" max="43" width="9" style="93" bestFit="1" customWidth="1"/>
    <col min="44" max="44" width="12.21875" style="93" bestFit="1" customWidth="1"/>
    <col min="45" max="45" width="10.21875" style="93" bestFit="1" customWidth="1"/>
    <col min="46" max="48" width="11.21875" style="93" bestFit="1" customWidth="1"/>
    <col min="49" max="49" width="10.21875" style="93" bestFit="1" customWidth="1"/>
    <col min="50" max="50" width="9" style="93" bestFit="1" customWidth="1"/>
    <col min="51" max="54" width="12.21875" style="93" bestFit="1" customWidth="1"/>
    <col min="55" max="56" width="9" style="93" bestFit="1" customWidth="1"/>
    <col min="57" max="58" width="12.21875" style="93" bestFit="1" customWidth="1"/>
    <col min="59" max="62" width="9" style="93" bestFit="1" customWidth="1"/>
    <col min="63" max="63" width="12.21875" style="93" bestFit="1" customWidth="1"/>
    <col min="64" max="64" width="11" style="93" bestFit="1" customWidth="1"/>
    <col min="65" max="68" width="9" style="93" bestFit="1" customWidth="1"/>
    <col min="69" max="16384" width="8.88671875" style="93"/>
  </cols>
  <sheetData>
    <row r="1" spans="1:69">
      <c r="A1" s="163" t="s">
        <v>925</v>
      </c>
      <c r="B1" s="163" t="s">
        <v>926</v>
      </c>
      <c r="C1" s="163" t="s">
        <v>927</v>
      </c>
      <c r="D1" s="163" t="s">
        <v>928</v>
      </c>
      <c r="E1" s="163" t="s">
        <v>929</v>
      </c>
      <c r="F1" s="163" t="s">
        <v>930</v>
      </c>
      <c r="G1" s="163" t="s">
        <v>931</v>
      </c>
      <c r="H1" s="163" t="s">
        <v>932</v>
      </c>
      <c r="I1" s="163" t="s">
        <v>933</v>
      </c>
      <c r="J1" s="163" t="s">
        <v>934</v>
      </c>
      <c r="K1" s="163" t="s">
        <v>935</v>
      </c>
      <c r="L1" s="163" t="s">
        <v>936</v>
      </c>
      <c r="M1" s="163" t="s">
        <v>937</v>
      </c>
      <c r="N1" s="163" t="s">
        <v>938</v>
      </c>
      <c r="O1" s="163" t="s">
        <v>939</v>
      </c>
      <c r="P1" s="163" t="s">
        <v>940</v>
      </c>
      <c r="Q1" s="163" t="s">
        <v>941</v>
      </c>
      <c r="R1" s="163" t="s">
        <v>942</v>
      </c>
      <c r="S1" s="163" t="s">
        <v>943</v>
      </c>
      <c r="T1" s="163" t="s">
        <v>944</v>
      </c>
      <c r="U1" s="163" t="s">
        <v>945</v>
      </c>
      <c r="V1" s="163" t="s">
        <v>946</v>
      </c>
      <c r="W1" s="163" t="s">
        <v>947</v>
      </c>
      <c r="X1" s="163" t="s">
        <v>948</v>
      </c>
      <c r="Y1" s="163" t="s">
        <v>949</v>
      </c>
      <c r="Z1" s="163" t="s">
        <v>950</v>
      </c>
      <c r="AA1" s="163" t="s">
        <v>951</v>
      </c>
      <c r="AB1" s="163" t="s">
        <v>952</v>
      </c>
      <c r="AC1" s="163" t="s">
        <v>953</v>
      </c>
      <c r="AD1" s="163" t="s">
        <v>954</v>
      </c>
      <c r="AE1" s="163" t="s">
        <v>955</v>
      </c>
      <c r="AF1" s="163" t="s">
        <v>956</v>
      </c>
      <c r="AG1" s="163" t="s">
        <v>957</v>
      </c>
      <c r="AH1" s="163" t="s">
        <v>958</v>
      </c>
      <c r="AI1" s="163" t="s">
        <v>959</v>
      </c>
      <c r="AJ1" s="163" t="s">
        <v>960</v>
      </c>
      <c r="AK1" s="163" t="s">
        <v>961</v>
      </c>
      <c r="AL1" s="163" t="s">
        <v>962</v>
      </c>
      <c r="AM1" s="163" t="s">
        <v>963</v>
      </c>
      <c r="AN1" s="163" t="s">
        <v>964</v>
      </c>
      <c r="AO1" s="163" t="s">
        <v>965</v>
      </c>
      <c r="AP1" s="163" t="s">
        <v>966</v>
      </c>
      <c r="AQ1" s="163" t="s">
        <v>967</v>
      </c>
      <c r="AR1" s="163" t="s">
        <v>968</v>
      </c>
      <c r="AS1" s="163" t="s">
        <v>969</v>
      </c>
      <c r="AT1" s="163" t="s">
        <v>970</v>
      </c>
      <c r="AU1" s="163" t="s">
        <v>971</v>
      </c>
      <c r="AV1" s="163" t="s">
        <v>972</v>
      </c>
      <c r="AW1" s="163" t="s">
        <v>973</v>
      </c>
      <c r="AX1" s="163" t="s">
        <v>974</v>
      </c>
      <c r="AY1" s="163" t="s">
        <v>975</v>
      </c>
      <c r="AZ1" s="163" t="s">
        <v>976</v>
      </c>
      <c r="BA1" s="163" t="s">
        <v>977</v>
      </c>
      <c r="BB1" s="163" t="s">
        <v>978</v>
      </c>
      <c r="BC1" s="163" t="s">
        <v>979</v>
      </c>
      <c r="BD1" s="163" t="s">
        <v>980</v>
      </c>
      <c r="BE1" s="163" t="s">
        <v>981</v>
      </c>
      <c r="BF1" s="163" t="s">
        <v>982</v>
      </c>
      <c r="BG1" s="163" t="s">
        <v>983</v>
      </c>
      <c r="BH1" s="163" t="s">
        <v>984</v>
      </c>
      <c r="BI1" s="163" t="s">
        <v>985</v>
      </c>
      <c r="BJ1" s="163" t="s">
        <v>986</v>
      </c>
      <c r="BK1" s="163" t="s">
        <v>987</v>
      </c>
      <c r="BL1" s="163" t="s">
        <v>988</v>
      </c>
      <c r="BM1" s="163" t="s">
        <v>989</v>
      </c>
      <c r="BN1" s="163" t="s">
        <v>990</v>
      </c>
      <c r="BO1" s="163" t="s">
        <v>991</v>
      </c>
      <c r="BP1" s="163" t="s">
        <v>992</v>
      </c>
      <c r="BQ1" s="163" t="s">
        <v>993</v>
      </c>
    </row>
    <row r="2" spans="1:69">
      <c r="A2" s="93" t="s">
        <v>626</v>
      </c>
      <c r="B2" s="93" t="s">
        <v>627</v>
      </c>
      <c r="C2" s="93" t="s">
        <v>628</v>
      </c>
      <c r="D2" s="93">
        <v>41541</v>
      </c>
      <c r="E2" s="93" t="s">
        <v>629</v>
      </c>
      <c r="F2" s="93" t="s">
        <v>630</v>
      </c>
      <c r="G2" s="93" t="s">
        <v>631</v>
      </c>
      <c r="H2" s="93">
        <v>0.97051914031432385</v>
      </c>
      <c r="I2" s="93" t="s">
        <v>270</v>
      </c>
      <c r="J2" s="93">
        <v>0.60750157991999998</v>
      </c>
      <c r="K2" s="93">
        <v>6.0750157991999995E-2</v>
      </c>
      <c r="L2" s="93">
        <v>5.48780487804878</v>
      </c>
      <c r="M2" s="93">
        <v>0.54878048780487798</v>
      </c>
      <c r="N2" s="93">
        <v>24.191158962976655</v>
      </c>
      <c r="O2" s="93">
        <v>6.933949993896495</v>
      </c>
      <c r="P2" s="93">
        <v>4.1103694026290256</v>
      </c>
      <c r="Q2" s="93">
        <v>0.54287406436624719</v>
      </c>
      <c r="R2" s="93" t="s">
        <v>270</v>
      </c>
      <c r="S2" s="93" t="s">
        <v>270</v>
      </c>
      <c r="T2" s="93">
        <v>0</v>
      </c>
      <c r="U2" s="93">
        <v>1.9859891824862304</v>
      </c>
      <c r="V2" s="93" t="s">
        <v>270</v>
      </c>
      <c r="W2" s="93" t="s">
        <v>270</v>
      </c>
      <c r="X2" s="93" t="s">
        <v>270</v>
      </c>
      <c r="Y2" s="93" t="s">
        <v>270</v>
      </c>
      <c r="Z2" s="93" t="s">
        <v>270</v>
      </c>
      <c r="AA2" s="93" t="s">
        <v>270</v>
      </c>
      <c r="AB2" s="93" t="s">
        <v>270</v>
      </c>
      <c r="AC2" s="93" t="s">
        <v>270</v>
      </c>
      <c r="AD2" s="93" t="s">
        <v>270</v>
      </c>
      <c r="AE2" s="93" t="s">
        <v>270</v>
      </c>
      <c r="AF2" s="93" t="s">
        <v>270</v>
      </c>
      <c r="AG2" s="93" t="s">
        <v>270</v>
      </c>
      <c r="AH2" s="93">
        <v>0.14979840687264318</v>
      </c>
      <c r="AI2" s="93">
        <v>1.497984068726432E-2</v>
      </c>
      <c r="AJ2" s="93">
        <v>0.35996479258544073</v>
      </c>
      <c r="AK2" s="93">
        <v>0.12450998604461938</v>
      </c>
      <c r="AL2" s="93" t="s">
        <v>270</v>
      </c>
      <c r="AM2" s="93" t="s">
        <v>270</v>
      </c>
      <c r="AN2" s="93" t="s">
        <v>270</v>
      </c>
      <c r="AO2" s="93" t="s">
        <v>270</v>
      </c>
      <c r="AP2" s="93">
        <v>-6.8965517241379309E-2</v>
      </c>
      <c r="AQ2" s="93">
        <v>3.1347962382445145E-2</v>
      </c>
      <c r="AR2" s="93">
        <v>4.5101277117751E-8</v>
      </c>
      <c r="AS2" s="93">
        <v>1.384E-8</v>
      </c>
      <c r="AT2" s="93">
        <v>4.4477003383180896E-6</v>
      </c>
      <c r="AU2" s="93">
        <v>4.4477003383180903E-8</v>
      </c>
      <c r="AV2" s="93">
        <v>2.5373849131212002E-7</v>
      </c>
      <c r="AW2" s="93">
        <v>3.8060773696818E-9</v>
      </c>
      <c r="AX2" s="93">
        <v>41754</v>
      </c>
      <c r="AY2" s="93">
        <v>4.4057946569295462E-8</v>
      </c>
      <c r="AZ2" s="93">
        <v>1.4085735674235426E-8</v>
      </c>
      <c r="BA2" s="93">
        <v>2.1538335669776101E-8</v>
      </c>
      <c r="BB2" s="93">
        <v>7.4496944218060955E-9</v>
      </c>
      <c r="BC2" s="93">
        <v>99.951401852845393</v>
      </c>
      <c r="BD2" s="93">
        <v>0.41996592369610586</v>
      </c>
      <c r="BE2" s="93">
        <v>4.3821040560790183E-6</v>
      </c>
      <c r="BF2" s="93">
        <v>2.0703460481096987E-13</v>
      </c>
      <c r="BG2" s="93">
        <v>2.7880060173360696E-2</v>
      </c>
      <c r="BH2" s="93">
        <v>1.1732582701414706E-2</v>
      </c>
      <c r="BI2" s="93">
        <v>0.99004602971347655</v>
      </c>
      <c r="BJ2" s="93">
        <v>1.1614988530170376E-2</v>
      </c>
      <c r="BK2" s="93">
        <v>4.4322825446866948E-8</v>
      </c>
      <c r="BL2" s="93">
        <v>1E-8</v>
      </c>
      <c r="BM2" s="93">
        <v>-33.552691411768997</v>
      </c>
      <c r="BN2" s="93">
        <v>30.386379070867896</v>
      </c>
      <c r="BO2" s="93" t="s">
        <v>923</v>
      </c>
      <c r="BP2" s="93" t="s">
        <v>270</v>
      </c>
      <c r="BQ2" s="93" t="s">
        <v>920</v>
      </c>
    </row>
    <row r="3" spans="1:69">
      <c r="A3" s="93" t="s">
        <v>626</v>
      </c>
      <c r="B3" s="93" t="s">
        <v>627</v>
      </c>
      <c r="C3" s="93" t="s">
        <v>637</v>
      </c>
      <c r="D3" s="93">
        <v>41541</v>
      </c>
      <c r="E3" s="93" t="s">
        <v>638</v>
      </c>
      <c r="F3" s="93" t="s">
        <v>630</v>
      </c>
      <c r="G3" s="93" t="s">
        <v>631</v>
      </c>
      <c r="H3" s="93">
        <v>5.5553342553507063E-25</v>
      </c>
      <c r="I3" s="93" t="s">
        <v>270</v>
      </c>
      <c r="J3" s="93">
        <v>0.60581683578000001</v>
      </c>
      <c r="K3" s="93">
        <v>6.0581683577999999E-2</v>
      </c>
      <c r="L3" s="93">
        <v>9.1463414634146307</v>
      </c>
      <c r="M3" s="93">
        <v>0.91463414634146312</v>
      </c>
      <c r="N3" s="93">
        <v>14.597955437783085</v>
      </c>
      <c r="O3" s="93">
        <v>5.6826106668832219</v>
      </c>
      <c r="P3" s="93">
        <v>3.1498570350103137</v>
      </c>
      <c r="Q3" s="93">
        <v>0.56814521087200909</v>
      </c>
      <c r="R3" s="93" t="s">
        <v>270</v>
      </c>
      <c r="S3" s="93" t="s">
        <v>270</v>
      </c>
      <c r="T3" s="93">
        <v>0.22880232567042666</v>
      </c>
      <c r="U3" s="93">
        <v>2.3930188712636231</v>
      </c>
      <c r="V3" s="93" t="s">
        <v>270</v>
      </c>
      <c r="W3" s="93" t="s">
        <v>270</v>
      </c>
      <c r="X3" s="93" t="s">
        <v>270</v>
      </c>
      <c r="Y3" s="93" t="s">
        <v>270</v>
      </c>
      <c r="Z3" s="93" t="s">
        <v>270</v>
      </c>
      <c r="AA3" s="93" t="s">
        <v>270</v>
      </c>
      <c r="AB3" s="93" t="s">
        <v>270</v>
      </c>
      <c r="AC3" s="93" t="s">
        <v>270</v>
      </c>
      <c r="AD3" s="93" t="s">
        <v>270</v>
      </c>
      <c r="AE3" s="93" t="s">
        <v>270</v>
      </c>
      <c r="AF3" s="93" t="s">
        <v>270</v>
      </c>
      <c r="AG3" s="93" t="s">
        <v>270</v>
      </c>
      <c r="AH3" s="93">
        <v>0.25047407167697666</v>
      </c>
      <c r="AI3" s="93">
        <v>2.5047407167697669E-2</v>
      </c>
      <c r="AJ3" s="93">
        <v>0.53749882499409996</v>
      </c>
      <c r="AK3" s="93">
        <v>0.24313692623291358</v>
      </c>
      <c r="AL3" s="93" t="s">
        <v>270</v>
      </c>
      <c r="AM3" s="93" t="s">
        <v>270</v>
      </c>
      <c r="AN3" s="93" t="s">
        <v>270</v>
      </c>
      <c r="AO3" s="93" t="s">
        <v>270</v>
      </c>
      <c r="AP3" s="93">
        <v>1.8808777429467086E-2</v>
      </c>
      <c r="AQ3" s="93">
        <v>3.1347962382445145E-2</v>
      </c>
      <c r="AR3" s="93">
        <v>6.6790404693956095E-8</v>
      </c>
      <c r="AS3" s="93">
        <v>1.384E-8</v>
      </c>
      <c r="AT3" s="93">
        <v>1.9146646739520499E-6</v>
      </c>
      <c r="AU3" s="93">
        <v>1.91466467395205E-8</v>
      </c>
      <c r="AV3" s="93">
        <v>2.49842150704935E-7</v>
      </c>
      <c r="AW3" s="93">
        <v>3.7476322605740302E-9</v>
      </c>
      <c r="AX3" s="93">
        <v>41752</v>
      </c>
      <c r="AY3" s="93">
        <v>4.5396936560998556E-8</v>
      </c>
      <c r="AZ3" s="93">
        <v>1.8842809681120551E-8</v>
      </c>
      <c r="BA3" s="93">
        <v>1.6505250863454049E-8</v>
      </c>
      <c r="BB3" s="93">
        <v>7.4637674593444883E-9</v>
      </c>
      <c r="BC3" s="93">
        <v>41.176474165866864</v>
      </c>
      <c r="BD3" s="93">
        <v>0.29740086041288571</v>
      </c>
      <c r="BE3" s="93">
        <v>1.8527624865275973E-6</v>
      </c>
      <c r="BF3" s="93">
        <v>5.1665872007460826E-14</v>
      </c>
      <c r="BG3" s="93">
        <v>3.9983156443201093E-2</v>
      </c>
      <c r="BH3" s="93">
        <v>1.3946635061120713E-2</v>
      </c>
      <c r="BI3" s="93">
        <v>0.97608375271429426</v>
      </c>
      <c r="BJ3" s="93">
        <v>1.3683768346271176E-2</v>
      </c>
      <c r="BK3" s="93">
        <v>4.4322825446866948E-8</v>
      </c>
      <c r="BL3" s="93">
        <v>1E-8</v>
      </c>
      <c r="BM3" s="93">
        <v>-15.625923587815867</v>
      </c>
      <c r="BN3" s="93">
        <v>13.003939404507038</v>
      </c>
      <c r="BO3" s="93" t="s">
        <v>923</v>
      </c>
      <c r="BP3" s="93" t="s">
        <v>270</v>
      </c>
      <c r="BQ3" s="93" t="s">
        <v>920</v>
      </c>
    </row>
    <row r="4" spans="1:69">
      <c r="A4" s="93" t="s">
        <v>626</v>
      </c>
      <c r="B4" s="93" t="s">
        <v>627</v>
      </c>
      <c r="C4" s="93" t="s">
        <v>642</v>
      </c>
      <c r="D4" s="93">
        <v>41493</v>
      </c>
      <c r="E4" s="93" t="s">
        <v>643</v>
      </c>
      <c r="F4" s="93" t="s">
        <v>630</v>
      </c>
      <c r="G4" s="93" t="s">
        <v>631</v>
      </c>
      <c r="H4" s="93">
        <v>2.6283234909895577E-22</v>
      </c>
      <c r="I4" s="93" t="s">
        <v>270</v>
      </c>
      <c r="J4" s="93">
        <v>0.27351300200000001</v>
      </c>
      <c r="K4" s="93">
        <v>2.7351300200000001E-2</v>
      </c>
      <c r="L4" s="93">
        <v>32.317073170731703</v>
      </c>
      <c r="M4" s="93">
        <v>3.2317073170731705</v>
      </c>
      <c r="N4" s="93">
        <v>12.289328528600073</v>
      </c>
      <c r="O4" s="93">
        <v>0.63685829931751181</v>
      </c>
      <c r="P4" s="93">
        <v>2.5015932167883999</v>
      </c>
      <c r="Q4" s="93">
        <v>0.55704070212952383</v>
      </c>
      <c r="R4" s="93" t="s">
        <v>270</v>
      </c>
      <c r="S4" s="93" t="s">
        <v>270</v>
      </c>
      <c r="T4" s="93">
        <v>0.55000000000000004</v>
      </c>
      <c r="U4" s="93">
        <v>0.31622776601683789</v>
      </c>
      <c r="V4" s="93" t="s">
        <v>270</v>
      </c>
      <c r="W4" s="93" t="s">
        <v>270</v>
      </c>
      <c r="X4" s="93" t="s">
        <v>270</v>
      </c>
      <c r="Y4" s="93" t="s">
        <v>270</v>
      </c>
      <c r="Z4" s="93" t="s">
        <v>270</v>
      </c>
      <c r="AA4" s="93" t="s">
        <v>270</v>
      </c>
      <c r="AB4" s="93" t="s">
        <v>270</v>
      </c>
      <c r="AC4" s="93" t="s">
        <v>270</v>
      </c>
      <c r="AD4" s="93" t="s">
        <v>270</v>
      </c>
      <c r="AE4" s="93" t="s">
        <v>270</v>
      </c>
      <c r="AF4" s="93" t="s">
        <v>270</v>
      </c>
      <c r="AG4" s="93" t="s">
        <v>270</v>
      </c>
      <c r="AH4" s="93" t="s">
        <v>270</v>
      </c>
      <c r="AI4" s="93" t="s">
        <v>270</v>
      </c>
      <c r="AJ4" s="93" t="s">
        <v>270</v>
      </c>
      <c r="AK4" s="93" t="s">
        <v>270</v>
      </c>
      <c r="AL4" s="93" t="s">
        <v>270</v>
      </c>
      <c r="AM4" s="93" t="s">
        <v>270</v>
      </c>
      <c r="AN4" s="93" t="s">
        <v>270</v>
      </c>
      <c r="AO4" s="93" t="s">
        <v>270</v>
      </c>
      <c r="AP4" s="93">
        <v>-0.13479623824451412</v>
      </c>
      <c r="AQ4" s="93">
        <v>3.1347962382445145E-2</v>
      </c>
      <c r="AR4" s="93">
        <v>2.4399919999999992E-7</v>
      </c>
      <c r="AS4" s="93">
        <v>1.3839999999999944E-8</v>
      </c>
      <c r="AT4" s="93">
        <v>4.2249999999999998E-7</v>
      </c>
      <c r="AU4" s="93">
        <v>1.3999999999999999E-9</v>
      </c>
      <c r="AV4" s="93">
        <v>2.5260000000000003E-7</v>
      </c>
      <c r="AW4" s="93">
        <v>3E-10</v>
      </c>
      <c r="AX4" s="93">
        <v>41851</v>
      </c>
      <c r="AY4" s="93">
        <v>4.5757336412246335E-8</v>
      </c>
      <c r="AZ4" s="93">
        <v>6.8918501782273787E-9</v>
      </c>
      <c r="BA4" s="93">
        <v>1.3108348455971215E-8</v>
      </c>
      <c r="BB4" s="93">
        <v>3.5239920365576837E-9</v>
      </c>
      <c r="BC4" s="93">
        <v>8.2334924495823891</v>
      </c>
      <c r="BD4" s="93">
        <v>0.28627715650845109</v>
      </c>
      <c r="BE4" s="93">
        <v>3.6363431513178241E-7</v>
      </c>
      <c r="BF4" s="93">
        <v>2.8604026541154507E-15</v>
      </c>
      <c r="BG4" s="93">
        <v>0.1499257112407692</v>
      </c>
      <c r="BH4" s="93">
        <v>1.7729916325344645E-2</v>
      </c>
      <c r="BI4" s="93">
        <v>0.88823101504533652</v>
      </c>
      <c r="BJ4" s="93">
        <v>1.0683290198974078E-2</v>
      </c>
      <c r="BK4" s="93">
        <v>4.4322825446866948E-8</v>
      </c>
      <c r="BL4" s="93">
        <v>1E-8</v>
      </c>
      <c r="BM4" s="93">
        <v>2.6519916428746284</v>
      </c>
      <c r="BN4" s="93">
        <v>2.7704653867879458</v>
      </c>
      <c r="BO4" s="93" t="s">
        <v>924</v>
      </c>
      <c r="BP4" s="93" t="s">
        <v>270</v>
      </c>
      <c r="BQ4" s="93" t="s">
        <v>920</v>
      </c>
    </row>
    <row r="5" spans="1:69">
      <c r="A5" s="93" t="s">
        <v>626</v>
      </c>
      <c r="B5" s="93" t="s">
        <v>627</v>
      </c>
      <c r="C5" s="93" t="s">
        <v>649</v>
      </c>
      <c r="D5" s="93">
        <v>41508</v>
      </c>
      <c r="E5" s="93" t="s">
        <v>650</v>
      </c>
      <c r="F5" s="93" t="s">
        <v>630</v>
      </c>
      <c r="G5" s="93" t="s">
        <v>631</v>
      </c>
      <c r="H5" s="93">
        <v>7.3464182465893549E-25</v>
      </c>
      <c r="I5" s="93" t="s">
        <v>270</v>
      </c>
      <c r="J5" s="93">
        <v>0.70640354088000001</v>
      </c>
      <c r="K5" s="93">
        <v>7.0640354087999999E-2</v>
      </c>
      <c r="L5" s="93">
        <v>19.8170731707317</v>
      </c>
      <c r="M5" s="93">
        <v>1.98170731707317</v>
      </c>
      <c r="N5" s="93">
        <v>12.617997783821398</v>
      </c>
      <c r="O5" s="93">
        <v>0.13460091870732502</v>
      </c>
      <c r="P5" s="93">
        <v>1.7426313576122106</v>
      </c>
      <c r="Q5" s="93">
        <v>0.11587317617346322</v>
      </c>
      <c r="R5" s="93" t="s">
        <v>270</v>
      </c>
      <c r="S5" s="93" t="s">
        <v>270</v>
      </c>
      <c r="T5" s="93">
        <v>7.5000000000000011E-2</v>
      </c>
      <c r="U5" s="93">
        <v>6.5824829046386299E-2</v>
      </c>
      <c r="V5" s="93" t="s">
        <v>270</v>
      </c>
      <c r="W5" s="93" t="s">
        <v>270</v>
      </c>
      <c r="X5" s="93" t="s">
        <v>270</v>
      </c>
      <c r="Y5" s="93" t="s">
        <v>270</v>
      </c>
      <c r="Z5" s="93" t="s">
        <v>270</v>
      </c>
      <c r="AA5" s="93" t="s">
        <v>270</v>
      </c>
      <c r="AB5" s="93" t="s">
        <v>270</v>
      </c>
      <c r="AC5" s="93" t="s">
        <v>270</v>
      </c>
      <c r="AD5" s="93" t="s">
        <v>270</v>
      </c>
      <c r="AE5" s="93" t="s">
        <v>270</v>
      </c>
      <c r="AF5" s="93" t="s">
        <v>270</v>
      </c>
      <c r="AG5" s="93" t="s">
        <v>270</v>
      </c>
      <c r="AH5" s="93">
        <v>0.22683903285595164</v>
      </c>
      <c r="AI5" s="93">
        <v>2.2683903285595164E-2</v>
      </c>
      <c r="AJ5" s="93">
        <v>0.53051803879706749</v>
      </c>
      <c r="AK5" s="93">
        <v>8.3478956186050307E-2</v>
      </c>
      <c r="AL5" s="93" t="s">
        <v>270</v>
      </c>
      <c r="AM5" s="93" t="s">
        <v>270</v>
      </c>
      <c r="AN5" s="93" t="s">
        <v>270</v>
      </c>
      <c r="AO5" s="93" t="s">
        <v>270</v>
      </c>
      <c r="AP5" s="93">
        <v>-1.8808777429467086E-2</v>
      </c>
      <c r="AQ5" s="93">
        <v>3.1347962382445145E-2</v>
      </c>
      <c r="AR5" s="93">
        <v>2.7513919999999992E-7</v>
      </c>
      <c r="AS5" s="93">
        <v>1.3840000000000023E-8</v>
      </c>
      <c r="AT5" s="93">
        <v>4.3230000000000003E-7</v>
      </c>
      <c r="AU5" s="93">
        <v>3E-10</v>
      </c>
      <c r="AV5" s="93">
        <v>2.0840000000000001E-7</v>
      </c>
      <c r="AW5" s="93">
        <v>4.8E-10</v>
      </c>
      <c r="AX5" s="93">
        <v>41857</v>
      </c>
      <c r="AY5" s="93">
        <v>4.5657057328841687E-8</v>
      </c>
      <c r="AZ5" s="93">
        <v>6.4762036616892689E-9</v>
      </c>
      <c r="BA5" s="93">
        <v>9.1313883138879825E-9</v>
      </c>
      <c r="BB5" s="93">
        <v>1.4366018069272306E-9</v>
      </c>
      <c r="BC5" s="93">
        <v>8.4684164276593599</v>
      </c>
      <c r="BD5" s="93">
        <v>6.5527549719713862E-2</v>
      </c>
      <c r="BE5" s="93">
        <v>3.7751155435727031E-7</v>
      </c>
      <c r="BF5" s="93">
        <v>2.5069292038751499E-15</v>
      </c>
      <c r="BG5" s="93">
        <v>0.18151126639412946</v>
      </c>
      <c r="BH5" s="93">
        <v>1.300689360254715E-2</v>
      </c>
      <c r="BI5" s="93">
        <v>0.89210682012044484</v>
      </c>
      <c r="BJ5" s="93">
        <v>3.6610336367168378E-3</v>
      </c>
      <c r="BK5" s="93">
        <v>4.4322825446866948E-8</v>
      </c>
      <c r="BL5" s="93">
        <v>1E-8</v>
      </c>
      <c r="BM5" s="93">
        <v>11.043254698742633</v>
      </c>
      <c r="BN5" s="93">
        <v>2.8453773824084623</v>
      </c>
      <c r="BO5" s="93" t="s">
        <v>924</v>
      </c>
      <c r="BP5" s="93" t="s">
        <v>270</v>
      </c>
      <c r="BQ5" s="93" t="s">
        <v>920</v>
      </c>
    </row>
    <row r="6" spans="1:69">
      <c r="A6" s="93" t="s">
        <v>626</v>
      </c>
      <c r="B6" s="93" t="s">
        <v>627</v>
      </c>
      <c r="C6" s="93" t="s">
        <v>656</v>
      </c>
      <c r="D6" s="93">
        <v>41540</v>
      </c>
      <c r="E6" s="93" t="s">
        <v>657</v>
      </c>
      <c r="F6" s="93" t="s">
        <v>630</v>
      </c>
      <c r="G6" s="93" t="s">
        <v>631</v>
      </c>
      <c r="H6" s="93">
        <v>3.6246203375946626E-3</v>
      </c>
      <c r="I6" s="93" t="s">
        <v>270</v>
      </c>
      <c r="J6" s="93">
        <v>0.31042765472</v>
      </c>
      <c r="K6" s="93">
        <v>3.1042765472000002E-2</v>
      </c>
      <c r="L6" s="93">
        <v>7.9268292682926802</v>
      </c>
      <c r="M6" s="93">
        <v>0.792682926829268</v>
      </c>
      <c r="N6" s="93">
        <v>13.60247103077038</v>
      </c>
      <c r="O6" s="93">
        <v>5.5081069070544988</v>
      </c>
      <c r="P6" s="93">
        <v>2.7161498240318172</v>
      </c>
      <c r="Q6" s="93">
        <v>0.52084838617885365</v>
      </c>
      <c r="R6" s="93" t="s">
        <v>270</v>
      </c>
      <c r="S6" s="93" t="s">
        <v>270</v>
      </c>
      <c r="T6" s="93">
        <v>0</v>
      </c>
      <c r="U6" s="93">
        <v>2.3688514685177644</v>
      </c>
      <c r="V6" s="93" t="s">
        <v>270</v>
      </c>
      <c r="W6" s="93" t="s">
        <v>270</v>
      </c>
      <c r="X6" s="93" t="s">
        <v>270</v>
      </c>
      <c r="Y6" s="93" t="s">
        <v>270</v>
      </c>
      <c r="Z6" s="93" t="s">
        <v>270</v>
      </c>
      <c r="AA6" s="93" t="s">
        <v>270</v>
      </c>
      <c r="AB6" s="93" t="s">
        <v>270</v>
      </c>
      <c r="AC6" s="93" t="s">
        <v>270</v>
      </c>
      <c r="AD6" s="93" t="s">
        <v>270</v>
      </c>
      <c r="AE6" s="93" t="s">
        <v>270</v>
      </c>
      <c r="AF6" s="93" t="s">
        <v>270</v>
      </c>
      <c r="AG6" s="93" t="s">
        <v>270</v>
      </c>
      <c r="AH6" s="93">
        <v>0.11965703260264005</v>
      </c>
      <c r="AI6" s="93">
        <v>1.1965703260264004E-2</v>
      </c>
      <c r="AJ6" s="93">
        <v>0.26003085822452365</v>
      </c>
      <c r="AK6" s="93">
        <v>0.12220151541920705</v>
      </c>
      <c r="AL6" s="93" t="s">
        <v>270</v>
      </c>
      <c r="AM6" s="93" t="s">
        <v>270</v>
      </c>
      <c r="AN6" s="93" t="s">
        <v>270</v>
      </c>
      <c r="AO6" s="93" t="s">
        <v>270</v>
      </c>
      <c r="AP6" s="93">
        <v>3.7617554858934171E-2</v>
      </c>
      <c r="AQ6" s="93">
        <v>3.1347962382445145E-2</v>
      </c>
      <c r="AR6" s="93">
        <v>2.0607760000000001E-7</v>
      </c>
      <c r="AS6" s="93">
        <v>1.384000000000001E-8</v>
      </c>
      <c r="AT6" s="93">
        <v>9.1480000000000001E-7</v>
      </c>
      <c r="AU6" s="93">
        <v>3.3000000000000002E-9</v>
      </c>
      <c r="AV6" s="93">
        <v>2.4400000000000001E-7</v>
      </c>
      <c r="AW6" s="93">
        <v>3.1999999999999998E-10</v>
      </c>
      <c r="AX6" s="93">
        <v>41862</v>
      </c>
      <c r="AY6" s="93">
        <v>4.5645798958927011E-8</v>
      </c>
      <c r="AZ6" s="93">
        <v>1.9586173462959403E-8</v>
      </c>
      <c r="BA6" s="93">
        <v>1.4232625077926722E-8</v>
      </c>
      <c r="BB6" s="93">
        <v>6.6881217280956535E-9</v>
      </c>
      <c r="BC6" s="93">
        <v>19.041306277258734</v>
      </c>
      <c r="BD6" s="93">
        <v>0.25377300535025038</v>
      </c>
      <c r="BE6" s="93">
        <v>8.5492157596314621E-7</v>
      </c>
      <c r="BF6" s="93">
        <v>1.7917687810535191E-14</v>
      </c>
      <c r="BG6" s="93">
        <v>0.13544915843216798</v>
      </c>
      <c r="BH6" s="93">
        <v>1.6629609626384385E-2</v>
      </c>
      <c r="BI6" s="93">
        <v>0.94931446781422346</v>
      </c>
      <c r="BJ6" s="93">
        <v>1.0528765904519087E-2</v>
      </c>
      <c r="BK6" s="93">
        <v>4.4322825446866948E-8</v>
      </c>
      <c r="BL6" s="93">
        <v>1E-8</v>
      </c>
      <c r="BM6" s="93">
        <v>27.666512087182021</v>
      </c>
      <c r="BN6" s="93">
        <v>6.1454682347477965</v>
      </c>
      <c r="BO6" s="93" t="s">
        <v>924</v>
      </c>
      <c r="BP6" s="93" t="s">
        <v>270</v>
      </c>
      <c r="BQ6" s="93" t="s">
        <v>920</v>
      </c>
    </row>
    <row r="7" spans="1:69">
      <c r="A7" s="93" t="s">
        <v>626</v>
      </c>
      <c r="B7" s="93" t="s">
        <v>627</v>
      </c>
      <c r="C7" s="93" t="s">
        <v>661</v>
      </c>
      <c r="D7" s="93">
        <v>41507</v>
      </c>
      <c r="E7" s="93" t="s">
        <v>662</v>
      </c>
      <c r="F7" s="93" t="s">
        <v>630</v>
      </c>
      <c r="G7" s="93" t="s">
        <v>631</v>
      </c>
      <c r="H7" s="93">
        <v>2.6169358063179819E-2</v>
      </c>
      <c r="I7" s="93" t="s">
        <v>270</v>
      </c>
      <c r="J7" s="93">
        <v>0.22376201802000001</v>
      </c>
      <c r="K7" s="93">
        <v>2.2376201801999999E-2</v>
      </c>
      <c r="L7" s="93">
        <v>39.024390243902403</v>
      </c>
      <c r="M7" s="93">
        <v>3.9024390243902403</v>
      </c>
      <c r="N7" s="93">
        <v>17.099513338236548</v>
      </c>
      <c r="O7" s="93">
        <v>5.8288201014483878</v>
      </c>
      <c r="P7" s="93">
        <v>2.4362835891039096</v>
      </c>
      <c r="Q7" s="93">
        <v>0.4952315441203945</v>
      </c>
      <c r="R7" s="93" t="s">
        <v>270</v>
      </c>
      <c r="S7" s="93" t="s">
        <v>270</v>
      </c>
      <c r="T7" s="93">
        <v>0</v>
      </c>
      <c r="U7" s="93">
        <v>2.1729946464129948</v>
      </c>
      <c r="V7" s="93" t="s">
        <v>270</v>
      </c>
      <c r="W7" s="93" t="s">
        <v>270</v>
      </c>
      <c r="X7" s="93" t="s">
        <v>270</v>
      </c>
      <c r="Y7" s="93" t="s">
        <v>270</v>
      </c>
      <c r="Z7" s="93" t="s">
        <v>270</v>
      </c>
      <c r="AA7" s="93" t="s">
        <v>270</v>
      </c>
      <c r="AB7" s="93" t="s">
        <v>270</v>
      </c>
      <c r="AC7" s="93" t="s">
        <v>270</v>
      </c>
      <c r="AD7" s="93" t="s">
        <v>270</v>
      </c>
      <c r="AE7" s="93" t="s">
        <v>270</v>
      </c>
      <c r="AF7" s="93" t="s">
        <v>270</v>
      </c>
      <c r="AG7" s="93" t="s">
        <v>270</v>
      </c>
      <c r="AH7" s="93">
        <v>0.97039890170995624</v>
      </c>
      <c r="AI7" s="93">
        <v>9.7039890170995624E-2</v>
      </c>
      <c r="AJ7" s="93">
        <v>2.3974922504397291</v>
      </c>
      <c r="AK7" s="93">
        <v>1.0102801026704311</v>
      </c>
      <c r="AL7" s="93" t="s">
        <v>270</v>
      </c>
      <c r="AM7" s="93" t="s">
        <v>270</v>
      </c>
      <c r="AN7" s="93" t="s">
        <v>270</v>
      </c>
      <c r="AO7" s="93" t="s">
        <v>270</v>
      </c>
      <c r="AP7" s="93">
        <v>-5.642633228840125E-2</v>
      </c>
      <c r="AQ7" s="93">
        <v>3.1347962382445145E-2</v>
      </c>
      <c r="AR7" s="93">
        <v>1.1801368E-6</v>
      </c>
      <c r="AS7" s="93">
        <v>1.3840000000000023E-8</v>
      </c>
      <c r="AT7" s="93">
        <v>6.5699999999999999E-8</v>
      </c>
      <c r="AU7" s="93">
        <v>0</v>
      </c>
      <c r="AV7" s="93">
        <v>2.326E-7</v>
      </c>
      <c r="AW7" s="93">
        <v>2.8000000000000002E-10</v>
      </c>
      <c r="AX7" s="93">
        <v>41850</v>
      </c>
      <c r="AY7" s="93">
        <v>4.4923581463586024E-8</v>
      </c>
      <c r="AZ7" s="93">
        <v>1.6583038902634667E-8</v>
      </c>
      <c r="BA7" s="93">
        <v>1.2766126006904487E-8</v>
      </c>
      <c r="BB7" s="93">
        <v>5.3791383189328084E-9</v>
      </c>
      <c r="BC7" s="93">
        <v>0.46248553464529429</v>
      </c>
      <c r="BD7" s="93">
        <v>0.23528318216064081</v>
      </c>
      <c r="BE7" s="93">
        <v>8.0102925295094889E-9</v>
      </c>
      <c r="BF7" s="93">
        <v>1.3966883884238456E-16</v>
      </c>
      <c r="BG7" s="93">
        <v>0.81717491361429095</v>
      </c>
      <c r="BH7" s="93">
        <v>3.1314329930351603E-2</v>
      </c>
      <c r="BI7" s="93">
        <v>0.15132247243745856</v>
      </c>
      <c r="BJ7" s="93">
        <v>1.537710575029496E-2</v>
      </c>
      <c r="BK7" s="93">
        <v>4.4322825446866948E-8</v>
      </c>
      <c r="BL7" s="93">
        <v>1E-8</v>
      </c>
      <c r="BM7" s="93">
        <v>-0.65272836452766714</v>
      </c>
      <c r="BN7" s="93">
        <v>0.36694400331185922</v>
      </c>
      <c r="BO7" s="93" t="s">
        <v>923</v>
      </c>
      <c r="BP7" s="93" t="s">
        <v>270</v>
      </c>
      <c r="BQ7" s="93" t="s">
        <v>921</v>
      </c>
    </row>
    <row r="8" spans="1:69">
      <c r="A8" s="93" t="s">
        <v>626</v>
      </c>
      <c r="B8" s="93" t="s">
        <v>627</v>
      </c>
      <c r="C8" s="93" t="s">
        <v>666</v>
      </c>
      <c r="D8" s="93">
        <v>41506</v>
      </c>
      <c r="E8" s="93" t="s">
        <v>667</v>
      </c>
      <c r="F8" s="93" t="s">
        <v>630</v>
      </c>
      <c r="G8" s="93" t="s">
        <v>631</v>
      </c>
      <c r="H8" s="93">
        <v>5.498356097737817E-26</v>
      </c>
      <c r="I8" s="93" t="s">
        <v>270</v>
      </c>
      <c r="J8" s="93">
        <v>0.37143129450000001</v>
      </c>
      <c r="K8" s="93">
        <v>3.7143129449999999E-2</v>
      </c>
      <c r="L8" s="93">
        <v>92.073170731707293</v>
      </c>
      <c r="M8" s="93">
        <v>9.2073170731707297</v>
      </c>
      <c r="N8" s="93">
        <v>15.601132304414335</v>
      </c>
      <c r="O8" s="93">
        <v>0.46020379618186452</v>
      </c>
      <c r="P8" s="93">
        <v>2.1824352827651703</v>
      </c>
      <c r="Q8" s="93">
        <v>0.35232938357113042</v>
      </c>
      <c r="R8" s="93" t="s">
        <v>270</v>
      </c>
      <c r="S8" s="93" t="s">
        <v>270</v>
      </c>
      <c r="T8" s="93">
        <v>0.3</v>
      </c>
      <c r="U8" s="93">
        <v>0.2</v>
      </c>
      <c r="V8" s="93" t="s">
        <v>270</v>
      </c>
      <c r="W8" s="93" t="s">
        <v>270</v>
      </c>
      <c r="X8" s="93" t="s">
        <v>270</v>
      </c>
      <c r="Y8" s="93" t="s">
        <v>270</v>
      </c>
      <c r="Z8" s="93" t="s">
        <v>270</v>
      </c>
      <c r="AA8" s="93" t="s">
        <v>270</v>
      </c>
      <c r="AB8" s="93" t="s">
        <v>270</v>
      </c>
      <c r="AC8" s="93" t="s">
        <v>270</v>
      </c>
      <c r="AD8" s="93" t="s">
        <v>270</v>
      </c>
      <c r="AE8" s="93" t="s">
        <v>270</v>
      </c>
      <c r="AF8" s="93" t="s">
        <v>270</v>
      </c>
      <c r="AG8" s="93" t="s">
        <v>270</v>
      </c>
      <c r="AH8" s="93" t="s">
        <v>270</v>
      </c>
      <c r="AI8" s="93" t="s">
        <v>270</v>
      </c>
      <c r="AJ8" s="93" t="s">
        <v>270</v>
      </c>
      <c r="AK8" s="93" t="s">
        <v>270</v>
      </c>
      <c r="AL8" s="93" t="s">
        <v>270</v>
      </c>
      <c r="AM8" s="93" t="s">
        <v>270</v>
      </c>
      <c r="AN8" s="93" t="s">
        <v>270</v>
      </c>
      <c r="AO8" s="93" t="s">
        <v>270</v>
      </c>
      <c r="AP8" s="93">
        <v>1.5673981191222573E-2</v>
      </c>
      <c r="AQ8" s="93">
        <v>3.1347962382445145E-2</v>
      </c>
      <c r="AR8" s="93">
        <v>3.5278159999999994E-7</v>
      </c>
      <c r="AS8" s="93">
        <v>1.3839999999999997E-8</v>
      </c>
      <c r="AT8" s="93">
        <v>2.3440000000000001E-7</v>
      </c>
      <c r="AU8" s="93">
        <v>4.0000000000000001E-10</v>
      </c>
      <c r="AV8" s="93">
        <v>2.2980000000000001E-7</v>
      </c>
      <c r="AW8" s="93">
        <v>2.8000000000000002E-10</v>
      </c>
      <c r="AX8" s="93">
        <v>41850</v>
      </c>
      <c r="AY8" s="93">
        <v>4.4834944718410107E-8</v>
      </c>
      <c r="AZ8" s="93">
        <v>6.4770913472897155E-9</v>
      </c>
      <c r="BA8" s="93">
        <v>1.1435960881689493E-8</v>
      </c>
      <c r="BB8" s="93">
        <v>2.4774839548416581E-9</v>
      </c>
      <c r="BC8" s="93">
        <v>4.2280661130685857</v>
      </c>
      <c r="BD8" s="93">
        <v>0.21408434191843873</v>
      </c>
      <c r="BE8" s="93">
        <v>1.7812909439990042E-7</v>
      </c>
      <c r="BF8" s="93">
        <v>1.2373321765188786E-15</v>
      </c>
      <c r="BG8" s="93">
        <v>0.21668341261550716</v>
      </c>
      <c r="BH8" s="93">
        <v>1.9288354683658873E-2</v>
      </c>
      <c r="BI8" s="93">
        <v>0.79891420099913024</v>
      </c>
      <c r="BJ8" s="93">
        <v>1.0310464444381124E-2</v>
      </c>
      <c r="BK8" s="93">
        <v>4.4322825446866948E-8</v>
      </c>
      <c r="BL8" s="93">
        <v>1E-8</v>
      </c>
      <c r="BM8" s="93">
        <v>-0.82283391643914605</v>
      </c>
      <c r="BN8" s="93">
        <v>1.4887988479741359</v>
      </c>
      <c r="BO8" s="93" t="s">
        <v>923</v>
      </c>
      <c r="BP8" s="93" t="s">
        <v>270</v>
      </c>
      <c r="BQ8" s="93" t="s">
        <v>920</v>
      </c>
    </row>
    <row r="9" spans="1:69">
      <c r="A9" s="93" t="s">
        <v>626</v>
      </c>
      <c r="B9" s="93" t="s">
        <v>627</v>
      </c>
      <c r="C9" s="93" t="s">
        <v>672</v>
      </c>
      <c r="D9" s="93">
        <v>41507</v>
      </c>
      <c r="E9" s="93" t="s">
        <v>673</v>
      </c>
      <c r="F9" s="93" t="s">
        <v>630</v>
      </c>
      <c r="G9" s="93" t="s">
        <v>631</v>
      </c>
      <c r="H9" s="93">
        <v>5.462332179034777E-26</v>
      </c>
      <c r="I9" s="93" t="s">
        <v>270</v>
      </c>
      <c r="J9" s="93">
        <v>0.31770079722</v>
      </c>
      <c r="K9" s="93">
        <v>3.1770079722000001E-2</v>
      </c>
      <c r="L9" s="93">
        <v>50.304878048780402</v>
      </c>
      <c r="M9" s="93">
        <v>5.0304878048780406</v>
      </c>
      <c r="N9" s="93">
        <v>13.152045263299325</v>
      </c>
      <c r="O9" s="93">
        <v>0.29516372410332259</v>
      </c>
      <c r="P9" s="93">
        <v>1.9107507737138847</v>
      </c>
      <c r="Q9" s="93">
        <v>0.24909316257978464</v>
      </c>
      <c r="R9" s="93" t="s">
        <v>270</v>
      </c>
      <c r="S9" s="93" t="s">
        <v>270</v>
      </c>
      <c r="T9" s="93">
        <v>0.2</v>
      </c>
      <c r="U9" s="93">
        <v>0.14142135623730953</v>
      </c>
      <c r="V9" s="93" t="s">
        <v>270</v>
      </c>
      <c r="W9" s="93" t="s">
        <v>270</v>
      </c>
      <c r="X9" s="93" t="s">
        <v>270</v>
      </c>
      <c r="Y9" s="93" t="s">
        <v>270</v>
      </c>
      <c r="Z9" s="93" t="s">
        <v>270</v>
      </c>
      <c r="AA9" s="93" t="s">
        <v>270</v>
      </c>
      <c r="AB9" s="93" t="s">
        <v>270</v>
      </c>
      <c r="AC9" s="93" t="s">
        <v>270</v>
      </c>
      <c r="AD9" s="93" t="s">
        <v>270</v>
      </c>
      <c r="AE9" s="93" t="s">
        <v>270</v>
      </c>
      <c r="AF9" s="93" t="s">
        <v>270</v>
      </c>
      <c r="AG9" s="93" t="s">
        <v>270</v>
      </c>
      <c r="AH9" s="93">
        <v>0.65780018159043152</v>
      </c>
      <c r="AI9" s="93">
        <v>6.5780018159043149E-2</v>
      </c>
      <c r="AJ9" s="93">
        <v>1.5367377601735741</v>
      </c>
      <c r="AK9" s="93">
        <v>0.29758166410639308</v>
      </c>
      <c r="AL9" s="93" t="s">
        <v>270</v>
      </c>
      <c r="AM9" s="93" t="s">
        <v>270</v>
      </c>
      <c r="AN9" s="93" t="s">
        <v>270</v>
      </c>
      <c r="AO9" s="93" t="s">
        <v>270</v>
      </c>
      <c r="AP9" s="93">
        <v>9.4043887147335428E-2</v>
      </c>
      <c r="AQ9" s="93">
        <v>3.1347962382445145E-2</v>
      </c>
      <c r="AR9" s="93" t="s">
        <v>270</v>
      </c>
      <c r="AS9" s="93" t="s">
        <v>270</v>
      </c>
      <c r="AT9" s="93" t="s">
        <v>270</v>
      </c>
      <c r="AU9" s="93" t="s">
        <v>270</v>
      </c>
      <c r="AV9" s="93" t="s">
        <v>270</v>
      </c>
      <c r="AW9" s="93" t="s">
        <v>270</v>
      </c>
      <c r="AX9" s="93" t="s">
        <v>270</v>
      </c>
      <c r="AY9" s="93" t="s">
        <v>270</v>
      </c>
      <c r="AZ9" s="93" t="s">
        <v>270</v>
      </c>
      <c r="BA9" s="93" t="s">
        <v>270</v>
      </c>
      <c r="BB9" s="93" t="s">
        <v>270</v>
      </c>
      <c r="BC9" s="93" t="s">
        <v>270</v>
      </c>
      <c r="BD9" s="93" t="s">
        <v>270</v>
      </c>
      <c r="BE9" s="93" t="s">
        <v>270</v>
      </c>
      <c r="BF9" s="93" t="s">
        <v>270</v>
      </c>
      <c r="BG9" s="93" t="s">
        <v>270</v>
      </c>
      <c r="BH9" s="93" t="s">
        <v>270</v>
      </c>
      <c r="BI9" s="93" t="s">
        <v>270</v>
      </c>
      <c r="BJ9" s="93" t="s">
        <v>270</v>
      </c>
      <c r="BK9" s="93" t="s">
        <v>270</v>
      </c>
      <c r="BL9" s="93" t="s">
        <v>270</v>
      </c>
      <c r="BM9" s="93" t="s">
        <v>270</v>
      </c>
      <c r="BN9" s="93" t="s">
        <v>270</v>
      </c>
      <c r="BO9" s="93" t="s">
        <v>270</v>
      </c>
      <c r="BP9" s="93" t="s">
        <v>270</v>
      </c>
    </row>
    <row r="10" spans="1:69">
      <c r="A10" s="93" t="s">
        <v>626</v>
      </c>
      <c r="B10" s="93" t="s">
        <v>627</v>
      </c>
      <c r="C10" s="93" t="s">
        <v>678</v>
      </c>
      <c r="D10" s="93">
        <v>41520</v>
      </c>
      <c r="E10" s="93" t="s">
        <v>679</v>
      </c>
      <c r="F10" s="93" t="s">
        <v>630</v>
      </c>
      <c r="G10" s="93" t="s">
        <v>631</v>
      </c>
      <c r="H10" s="93">
        <v>2.9976748467208682E-21</v>
      </c>
      <c r="I10" s="93" t="s">
        <v>270</v>
      </c>
      <c r="J10" s="93">
        <v>0.14891640378000001</v>
      </c>
      <c r="K10" s="93">
        <v>1.4891640378E-2</v>
      </c>
      <c r="L10" s="93">
        <v>61.585365853658502</v>
      </c>
      <c r="M10" s="93">
        <v>6.1585365853658498</v>
      </c>
      <c r="N10" s="93">
        <v>11.384581975999991</v>
      </c>
      <c r="O10" s="93">
        <v>5.2556183418836628</v>
      </c>
      <c r="P10" s="93">
        <v>2.4999462486194837</v>
      </c>
      <c r="Q10" s="93">
        <v>0.53099169041766148</v>
      </c>
      <c r="R10" s="93" t="s">
        <v>270</v>
      </c>
      <c r="S10" s="93" t="s">
        <v>270</v>
      </c>
      <c r="T10" s="93">
        <v>8.5083072554903855E-2</v>
      </c>
      <c r="U10" s="93">
        <v>2.4538951098596176</v>
      </c>
      <c r="V10" s="93" t="s">
        <v>270</v>
      </c>
      <c r="W10" s="93" t="s">
        <v>270</v>
      </c>
      <c r="X10" s="93" t="s">
        <v>270</v>
      </c>
      <c r="Y10" s="93" t="s">
        <v>270</v>
      </c>
      <c r="Z10" s="93" t="s">
        <v>270</v>
      </c>
      <c r="AA10" s="93" t="s">
        <v>270</v>
      </c>
      <c r="AB10" s="93" t="s">
        <v>270</v>
      </c>
      <c r="AC10" s="93" t="s">
        <v>270</v>
      </c>
      <c r="AD10" s="93" t="s">
        <v>270</v>
      </c>
      <c r="AE10" s="93" t="s">
        <v>270</v>
      </c>
      <c r="AF10" s="93" t="s">
        <v>270</v>
      </c>
      <c r="AG10" s="93" t="s">
        <v>270</v>
      </c>
      <c r="AH10" s="93">
        <v>0.21564635371003293</v>
      </c>
      <c r="AI10" s="93">
        <v>2.1564635371003296E-2</v>
      </c>
      <c r="AJ10" s="93">
        <v>0.44938828399101416</v>
      </c>
      <c r="AK10" s="93">
        <v>0.23704074896706465</v>
      </c>
      <c r="AL10" s="93" t="s">
        <v>270</v>
      </c>
      <c r="AM10" s="93" t="s">
        <v>270</v>
      </c>
      <c r="AN10" s="93" t="s">
        <v>270</v>
      </c>
      <c r="AO10" s="93" t="s">
        <v>270</v>
      </c>
      <c r="AP10" s="93">
        <v>2.5078369905956115E-2</v>
      </c>
      <c r="AQ10" s="93">
        <v>3.1347962382445145E-2</v>
      </c>
      <c r="AR10" s="93">
        <v>6.9712079999999992E-7</v>
      </c>
      <c r="AS10" s="93">
        <v>1.3840000000000023E-8</v>
      </c>
      <c r="AT10" s="93">
        <v>1.178E-7</v>
      </c>
      <c r="AU10" s="93">
        <v>1E-10</v>
      </c>
      <c r="AV10" s="93">
        <v>2.4289999999999998E-7</v>
      </c>
      <c r="AW10" s="93">
        <v>2.8999999999999998E-10</v>
      </c>
      <c r="AX10" s="93">
        <v>41850</v>
      </c>
      <c r="AY10" s="93">
        <v>4.5798216025734853E-8</v>
      </c>
      <c r="AZ10" s="93">
        <v>2.211227894135564E-8</v>
      </c>
      <c r="BA10" s="93">
        <v>1.3099718342766094E-8</v>
      </c>
      <c r="BB10" s="93">
        <v>6.9097638657008669E-9</v>
      </c>
      <c r="BC10" s="93">
        <v>1.5721525922776713</v>
      </c>
      <c r="BD10" s="93">
        <v>0.23003906843766952</v>
      </c>
      <c r="BE10" s="93">
        <v>5.8902065631499059E-8</v>
      </c>
      <c r="BF10" s="93">
        <v>1.3645814136059458E-15</v>
      </c>
      <c r="BG10" s="93">
        <v>0.44160501893594484</v>
      </c>
      <c r="BH10" s="93">
        <v>4.8378403050275395E-2</v>
      </c>
      <c r="BI10" s="93">
        <v>0.56257823769393434</v>
      </c>
      <c r="BJ10" s="93">
        <v>3.7665042839862016E-2</v>
      </c>
      <c r="BK10" s="93">
        <v>4.4322825446866948E-8</v>
      </c>
      <c r="BL10" s="93">
        <v>1E-8</v>
      </c>
      <c r="BM10" s="93">
        <v>-0.37196419308791928</v>
      </c>
      <c r="BN10" s="93">
        <v>0.69728964902153878</v>
      </c>
      <c r="BO10" s="93" t="s">
        <v>923</v>
      </c>
      <c r="BP10" s="93" t="s">
        <v>270</v>
      </c>
      <c r="BQ10" s="93" t="s">
        <v>920</v>
      </c>
    </row>
    <row r="11" spans="1:69">
      <c r="A11" s="93" t="s">
        <v>626</v>
      </c>
      <c r="B11" s="93" t="s">
        <v>627</v>
      </c>
      <c r="C11" s="93" t="s">
        <v>683</v>
      </c>
      <c r="D11" s="93">
        <v>41521</v>
      </c>
      <c r="E11" s="93" t="s">
        <v>684</v>
      </c>
      <c r="F11" s="93" t="s">
        <v>630</v>
      </c>
      <c r="G11" s="93" t="s">
        <v>631</v>
      </c>
      <c r="H11" s="93">
        <v>6.8183773032026653E-4</v>
      </c>
      <c r="I11" s="93" t="s">
        <v>270</v>
      </c>
      <c r="J11" s="93">
        <v>0.12044944512</v>
      </c>
      <c r="K11" s="93">
        <v>1.2044944512E-2</v>
      </c>
      <c r="L11" s="93">
        <v>61.585365853658502</v>
      </c>
      <c r="M11" s="93">
        <v>6.1585365853658498</v>
      </c>
      <c r="N11" s="93">
        <v>12.045662229732464</v>
      </c>
      <c r="O11" s="93">
        <v>5.422835608453239</v>
      </c>
      <c r="P11" s="93">
        <v>3.3008893367060326</v>
      </c>
      <c r="Q11" s="93">
        <v>0.53654657331489863</v>
      </c>
      <c r="R11" s="93" t="s">
        <v>270</v>
      </c>
      <c r="S11" s="93" t="s">
        <v>270</v>
      </c>
      <c r="T11" s="93">
        <v>1.1323085918195407E-4</v>
      </c>
      <c r="U11" s="93">
        <v>2.493201331702716</v>
      </c>
      <c r="V11" s="93" t="s">
        <v>270</v>
      </c>
      <c r="W11" s="93" t="s">
        <v>270</v>
      </c>
      <c r="X11" s="93" t="s">
        <v>270</v>
      </c>
      <c r="Y11" s="93" t="s">
        <v>270</v>
      </c>
      <c r="Z11" s="93" t="s">
        <v>270</v>
      </c>
      <c r="AA11" s="93" t="s">
        <v>270</v>
      </c>
      <c r="AB11" s="93" t="s">
        <v>270</v>
      </c>
      <c r="AC11" s="93" t="s">
        <v>270</v>
      </c>
      <c r="AD11" s="93" t="s">
        <v>270</v>
      </c>
      <c r="AE11" s="93" t="s">
        <v>270</v>
      </c>
      <c r="AF11" s="93" t="s">
        <v>270</v>
      </c>
      <c r="AG11" s="93" t="s">
        <v>270</v>
      </c>
      <c r="AH11" s="93">
        <v>0.17618516649399982</v>
      </c>
      <c r="AI11" s="93">
        <v>1.7618516649399982E-2</v>
      </c>
      <c r="AJ11" s="93">
        <v>0.34788395752056067</v>
      </c>
      <c r="AK11" s="93">
        <v>0.1736572332070159</v>
      </c>
      <c r="AL11" s="93" t="s">
        <v>270</v>
      </c>
      <c r="AM11" s="93" t="s">
        <v>270</v>
      </c>
      <c r="AN11" s="93" t="s">
        <v>270</v>
      </c>
      <c r="AO11" s="93" t="s">
        <v>270</v>
      </c>
      <c r="AP11" s="93">
        <v>-7.2100313479623826E-2</v>
      </c>
      <c r="AQ11" s="93">
        <v>3.1347962382445145E-2</v>
      </c>
      <c r="AR11" s="93">
        <v>4.3263840000000006E-7</v>
      </c>
      <c r="AS11" s="93">
        <v>1.3839999999999917E-8</v>
      </c>
      <c r="AT11" s="93">
        <v>2.2100000000000001E-7</v>
      </c>
      <c r="AU11" s="93">
        <v>4.0000000000000001E-10</v>
      </c>
      <c r="AV11" s="93">
        <v>2.5629999999999999E-7</v>
      </c>
      <c r="AW11" s="93">
        <v>2.8999999999999998E-10</v>
      </c>
      <c r="AX11" s="93">
        <v>41849</v>
      </c>
      <c r="AY11" s="93">
        <v>4.5680318796020578E-8</v>
      </c>
      <c r="AZ11" s="93">
        <v>2.156146268734377E-8</v>
      </c>
      <c r="BA11" s="93">
        <v>1.7296660124339613E-8</v>
      </c>
      <c r="BB11" s="93">
        <v>8.6339212822145939E-9</v>
      </c>
      <c r="BC11" s="93">
        <v>3.8379740888885556</v>
      </c>
      <c r="BD11" s="93">
        <v>0.30560920360162325</v>
      </c>
      <c r="BE11" s="93">
        <v>1.5802302107963979E-7</v>
      </c>
      <c r="BF11" s="93">
        <v>3.6708043958092999E-15</v>
      </c>
      <c r="BG11" s="93">
        <v>0.25423199489390669</v>
      </c>
      <c r="BH11" s="93">
        <v>4.2655813728909017E-2</v>
      </c>
      <c r="BI11" s="93">
        <v>0.77575103567980275</v>
      </c>
      <c r="BJ11" s="93">
        <v>3.4403217161541329E-2</v>
      </c>
      <c r="BK11" s="93">
        <v>4.4322825446866948E-8</v>
      </c>
      <c r="BL11" s="93">
        <v>1E-8</v>
      </c>
      <c r="BM11" s="93">
        <v>1.0184400461296979</v>
      </c>
      <c r="BN11" s="93">
        <v>1.3852093918873349</v>
      </c>
      <c r="BO11" s="93" t="s">
        <v>924</v>
      </c>
      <c r="BP11" s="93" t="s">
        <v>270</v>
      </c>
      <c r="BQ11" s="93" t="s">
        <v>920</v>
      </c>
    </row>
    <row r="12" spans="1:69">
      <c r="A12" s="93" t="s">
        <v>626</v>
      </c>
      <c r="B12" s="93" t="s">
        <v>688</v>
      </c>
      <c r="C12" s="93" t="s">
        <v>689</v>
      </c>
      <c r="D12" s="93">
        <v>41527</v>
      </c>
      <c r="E12" s="93" t="s">
        <v>690</v>
      </c>
      <c r="F12" s="93" t="s">
        <v>630</v>
      </c>
      <c r="G12" s="93" t="s">
        <v>631</v>
      </c>
      <c r="H12" s="93">
        <v>8.6248645012516862E-23</v>
      </c>
      <c r="I12" s="93" t="s">
        <v>270</v>
      </c>
      <c r="J12" s="93">
        <v>1.04112156672</v>
      </c>
      <c r="K12" s="93">
        <v>0.10411215667199999</v>
      </c>
      <c r="L12" s="93">
        <v>10.670731707317</v>
      </c>
      <c r="M12" s="93">
        <v>1.0670731707317</v>
      </c>
      <c r="N12" s="93">
        <v>19.937950552534225</v>
      </c>
      <c r="O12" s="93">
        <v>0.88510732826178451</v>
      </c>
      <c r="P12" s="93">
        <v>2.5210026746520233</v>
      </c>
      <c r="Q12" s="93">
        <v>0.58241027671659207</v>
      </c>
      <c r="R12" s="93" t="s">
        <v>270</v>
      </c>
      <c r="S12" s="93" t="s">
        <v>270</v>
      </c>
      <c r="T12" s="93">
        <v>3.9250000000000012</v>
      </c>
      <c r="U12" s="93">
        <v>0.33071650948515163</v>
      </c>
      <c r="V12" s="93" t="s">
        <v>270</v>
      </c>
      <c r="W12" s="93" t="s">
        <v>270</v>
      </c>
      <c r="X12" s="93" t="s">
        <v>270</v>
      </c>
      <c r="Y12" s="93" t="s">
        <v>270</v>
      </c>
      <c r="Z12" s="93" t="s">
        <v>270</v>
      </c>
      <c r="AA12" s="93" t="s">
        <v>270</v>
      </c>
      <c r="AB12" s="93" t="s">
        <v>270</v>
      </c>
      <c r="AC12" s="93" t="s">
        <v>270</v>
      </c>
      <c r="AD12" s="93" t="s">
        <v>270</v>
      </c>
      <c r="AE12" s="93" t="s">
        <v>270</v>
      </c>
      <c r="AF12" s="93" t="s">
        <v>270</v>
      </c>
      <c r="AG12" s="93" t="s">
        <v>270</v>
      </c>
      <c r="AH12" s="93">
        <v>0.85835182264394427</v>
      </c>
      <c r="AI12" s="93">
        <v>8.5835182264394433E-2</v>
      </c>
      <c r="AJ12" s="93">
        <v>2.2667637673781371</v>
      </c>
      <c r="AK12" s="93">
        <v>0.62226780918801472</v>
      </c>
      <c r="AL12" s="93" t="s">
        <v>270</v>
      </c>
      <c r="AM12" s="93" t="s">
        <v>270</v>
      </c>
      <c r="AN12" s="93" t="s">
        <v>270</v>
      </c>
      <c r="AO12" s="93" t="s">
        <v>270</v>
      </c>
      <c r="AP12" s="93">
        <v>-0.2225705329153605</v>
      </c>
      <c r="AQ12" s="93">
        <v>3.1347962382445145E-2</v>
      </c>
      <c r="AR12" s="93">
        <v>1.1085840000000007E-7</v>
      </c>
      <c r="AS12" s="93">
        <v>1.384000000000001E-8</v>
      </c>
      <c r="AT12" s="93">
        <v>8.3900000000000004E-7</v>
      </c>
      <c r="AU12" s="93">
        <v>1.6000000000000001E-9</v>
      </c>
      <c r="AV12" s="93">
        <v>1.8610000000000001E-7</v>
      </c>
      <c r="AW12" s="93">
        <v>4.3999999999999998E-10</v>
      </c>
      <c r="AX12" s="93">
        <v>41857</v>
      </c>
      <c r="AY12" s="93">
        <v>4.4474304301362996E-8</v>
      </c>
      <c r="AZ12" s="93">
        <v>6.5930747590648057E-9</v>
      </c>
      <c r="BA12" s="93">
        <v>1.3210054015176602E-8</v>
      </c>
      <c r="BB12" s="93">
        <v>3.6267308023453989E-9</v>
      </c>
      <c r="BC12" s="93">
        <v>17.864831750617054</v>
      </c>
      <c r="BD12" s="93">
        <v>1.2141166343314191E-2</v>
      </c>
      <c r="BE12" s="93">
        <v>7.8131564168346043E-7</v>
      </c>
      <c r="BF12" s="93">
        <v>6.011029602648753E-15</v>
      </c>
      <c r="BG12" s="93">
        <v>6.5384485211863422E-2</v>
      </c>
      <c r="BH12" s="93">
        <v>1.4293602485886478E-2</v>
      </c>
      <c r="BI12" s="93">
        <v>0.94614338971491319</v>
      </c>
      <c r="BJ12" s="93">
        <v>5.98848543983381E-3</v>
      </c>
      <c r="BK12" s="93">
        <v>4.4322825446866948E-8</v>
      </c>
      <c r="BL12" s="93">
        <v>1E-8</v>
      </c>
      <c r="BM12" s="93">
        <v>-8.215624283107271</v>
      </c>
      <c r="BN12" s="93">
        <v>5.6308794606391022</v>
      </c>
      <c r="BO12" s="93" t="s">
        <v>923</v>
      </c>
      <c r="BP12" s="93" t="s">
        <v>270</v>
      </c>
      <c r="BQ12" s="93" t="s">
        <v>920</v>
      </c>
    </row>
    <row r="13" spans="1:69">
      <c r="A13" s="93" t="s">
        <v>626</v>
      </c>
      <c r="B13" s="93" t="s">
        <v>688</v>
      </c>
      <c r="C13" s="93" t="s">
        <v>695</v>
      </c>
      <c r="D13" s="93">
        <v>41536</v>
      </c>
      <c r="E13" s="93" t="s">
        <v>696</v>
      </c>
      <c r="F13" s="93" t="s">
        <v>630</v>
      </c>
      <c r="G13" s="93" t="s">
        <v>631</v>
      </c>
      <c r="H13" s="93">
        <v>2.4421665562676195E-23</v>
      </c>
      <c r="I13" s="93" t="s">
        <v>270</v>
      </c>
      <c r="J13" s="93">
        <v>0.68166631848000003</v>
      </c>
      <c r="K13" s="93">
        <v>6.8166631848000009E-2</v>
      </c>
      <c r="L13" s="93">
        <v>37.804878048780402</v>
      </c>
      <c r="M13" s="93">
        <v>3.7804878048780401</v>
      </c>
      <c r="N13" s="93">
        <v>23.011384853492498</v>
      </c>
      <c r="O13" s="93">
        <v>1.0261616247463243</v>
      </c>
      <c r="P13" s="93">
        <v>2.5041423026050196</v>
      </c>
      <c r="Q13" s="93">
        <v>0.60849588093988305</v>
      </c>
      <c r="R13" s="93" t="s">
        <v>270</v>
      </c>
      <c r="S13" s="93" t="s">
        <v>270</v>
      </c>
      <c r="T13" s="93">
        <v>2.4500000000000011</v>
      </c>
      <c r="U13" s="93">
        <v>0.34520525295346716</v>
      </c>
      <c r="V13" s="93" t="s">
        <v>270</v>
      </c>
      <c r="W13" s="93" t="s">
        <v>270</v>
      </c>
      <c r="X13" s="93" t="s">
        <v>270</v>
      </c>
      <c r="Y13" s="93" t="s">
        <v>270</v>
      </c>
      <c r="Z13" s="93" t="s">
        <v>270</v>
      </c>
      <c r="AA13" s="93" t="s">
        <v>270</v>
      </c>
      <c r="AB13" s="93" t="s">
        <v>270</v>
      </c>
      <c r="AC13" s="93" t="s">
        <v>270</v>
      </c>
      <c r="AD13" s="93" t="s">
        <v>270</v>
      </c>
      <c r="AE13" s="93" t="s">
        <v>270</v>
      </c>
      <c r="AF13" s="93" t="s">
        <v>270</v>
      </c>
      <c r="AG13" s="93" t="s">
        <v>270</v>
      </c>
      <c r="AH13" s="93">
        <v>1.5962418994491401</v>
      </c>
      <c r="AI13" s="93">
        <v>0.15962418994491401</v>
      </c>
      <c r="AJ13" s="93">
        <v>4.5394813128135869</v>
      </c>
      <c r="AK13" s="93">
        <v>1.2922422516291725</v>
      </c>
      <c r="AL13" s="93" t="s">
        <v>270</v>
      </c>
      <c r="AM13" s="93" t="s">
        <v>270</v>
      </c>
      <c r="AN13" s="93" t="s">
        <v>270</v>
      </c>
      <c r="AO13" s="93" t="s">
        <v>270</v>
      </c>
      <c r="AP13" s="93">
        <v>-2.8213166144200625E-2</v>
      </c>
      <c r="AQ13" s="93">
        <v>3.1347962382445145E-2</v>
      </c>
      <c r="AR13" s="93">
        <v>1.710624E-7</v>
      </c>
      <c r="AS13" s="93">
        <v>1.3839999999999931E-8</v>
      </c>
      <c r="AT13" s="93">
        <v>9.64E-7</v>
      </c>
      <c r="AU13" s="93">
        <v>4.0000000000000002E-9</v>
      </c>
      <c r="AV13" s="93">
        <v>3.643E-7</v>
      </c>
      <c r="AW13" s="93">
        <v>4.6000000000000001E-10</v>
      </c>
      <c r="AX13" s="93">
        <v>41862</v>
      </c>
      <c r="AY13" s="93">
        <v>4.4010803680757246E-8</v>
      </c>
      <c r="AZ13" s="93">
        <v>6.526164629110478E-9</v>
      </c>
      <c r="BA13" s="93">
        <v>1.3121705665650303E-8</v>
      </c>
      <c r="BB13" s="93">
        <v>3.7353215722537169E-9</v>
      </c>
      <c r="BC13" s="93">
        <v>20.903712710919837</v>
      </c>
      <c r="BD13" s="93">
        <v>1.0301997787582997</v>
      </c>
      <c r="BE13" s="93">
        <v>9.0686749065359251E-7</v>
      </c>
      <c r="BF13" s="93">
        <v>7.7240120480630841E-15</v>
      </c>
      <c r="BG13" s="93">
        <v>0.11150607951503391</v>
      </c>
      <c r="BH13" s="93">
        <v>1.367969573769868E-2</v>
      </c>
      <c r="BI13" s="93">
        <v>0.95371568489947223</v>
      </c>
      <c r="BJ13" s="93">
        <v>7.7584035256247422E-3</v>
      </c>
      <c r="BK13" s="93">
        <v>4.4322825446866948E-8</v>
      </c>
      <c r="BL13" s="93">
        <v>1E-8</v>
      </c>
      <c r="BM13" s="93">
        <v>18.750087841569613</v>
      </c>
      <c r="BN13" s="93">
        <v>6.4911012952791536</v>
      </c>
      <c r="BO13" s="93" t="s">
        <v>924</v>
      </c>
      <c r="BP13" s="93" t="s">
        <v>270</v>
      </c>
      <c r="BQ13" s="93" t="s">
        <v>922</v>
      </c>
    </row>
    <row r="14" spans="1:69">
      <c r="A14" s="93" t="s">
        <v>626</v>
      </c>
      <c r="B14" s="93" t="s">
        <v>688</v>
      </c>
      <c r="C14" s="93" t="s">
        <v>698</v>
      </c>
      <c r="D14" s="93">
        <v>41535</v>
      </c>
      <c r="E14" s="93" t="s">
        <v>699</v>
      </c>
      <c r="F14" s="93" t="s">
        <v>630</v>
      </c>
      <c r="G14" s="93" t="s">
        <v>631</v>
      </c>
      <c r="H14" s="93">
        <v>7.4194648407966643E-25</v>
      </c>
      <c r="I14" s="93" t="s">
        <v>270</v>
      </c>
      <c r="J14" s="93">
        <v>1.25373368448</v>
      </c>
      <c r="K14" s="93">
        <v>0.12537336844800001</v>
      </c>
      <c r="L14" s="93">
        <v>168.292682926829</v>
      </c>
      <c r="M14" s="93">
        <v>16.829268292682901</v>
      </c>
      <c r="N14" s="93">
        <v>26.534844572250726</v>
      </c>
      <c r="O14" s="93">
        <v>7.1581522578891486</v>
      </c>
      <c r="P14" s="93">
        <v>3.745916232691493</v>
      </c>
      <c r="Q14" s="93">
        <v>0.51987510521464153</v>
      </c>
      <c r="R14" s="93" t="s">
        <v>270</v>
      </c>
      <c r="S14" s="93" t="s">
        <v>270</v>
      </c>
      <c r="T14" s="93">
        <v>7.554004063198712</v>
      </c>
      <c r="U14" s="93">
        <v>2.6370452474610118</v>
      </c>
      <c r="V14" s="93" t="s">
        <v>270</v>
      </c>
      <c r="W14" s="93" t="s">
        <v>270</v>
      </c>
      <c r="X14" s="93" t="s">
        <v>270</v>
      </c>
      <c r="Y14" s="93" t="s">
        <v>270</v>
      </c>
      <c r="Z14" s="93" t="s">
        <v>270</v>
      </c>
      <c r="AA14" s="93" t="s">
        <v>270</v>
      </c>
      <c r="AB14" s="93" t="s">
        <v>270</v>
      </c>
      <c r="AC14" s="93" t="s">
        <v>270</v>
      </c>
      <c r="AD14" s="93" t="s">
        <v>270</v>
      </c>
      <c r="AE14" s="93" t="s">
        <v>270</v>
      </c>
      <c r="AF14" s="93" t="s">
        <v>270</v>
      </c>
      <c r="AG14" s="93" t="s">
        <v>270</v>
      </c>
      <c r="AH14" s="93">
        <v>0.12066351121532934</v>
      </c>
      <c r="AI14" s="93">
        <v>1.2066351121532936E-2</v>
      </c>
      <c r="AJ14" s="93">
        <v>0.31963270217825285</v>
      </c>
      <c r="AK14" s="93">
        <v>0.10700001514743473</v>
      </c>
      <c r="AL14" s="93" t="s">
        <v>270</v>
      </c>
      <c r="AM14" s="93" t="s">
        <v>270</v>
      </c>
      <c r="AN14" s="93" t="s">
        <v>270</v>
      </c>
      <c r="AO14" s="93" t="s">
        <v>270</v>
      </c>
      <c r="AP14" s="93">
        <v>-0.14733542319749215</v>
      </c>
      <c r="AQ14" s="93">
        <v>3.1347962382445145E-2</v>
      </c>
      <c r="AR14" s="93">
        <v>4.1910554764803102E-8</v>
      </c>
      <c r="AS14" s="93">
        <v>1.384E-8</v>
      </c>
      <c r="AT14" s="93">
        <v>4.3878127256654503E-6</v>
      </c>
      <c r="AU14" s="93">
        <v>4.3878127256654499E-8</v>
      </c>
      <c r="AV14" s="93">
        <v>2.3972945070369301E-7</v>
      </c>
      <c r="AW14" s="93">
        <v>3.59594176055539E-9</v>
      </c>
      <c r="AX14" s="93">
        <v>41752</v>
      </c>
      <c r="AY14" s="93">
        <v>4.2778150871206608E-8</v>
      </c>
      <c r="AZ14" s="93">
        <v>1.3032364552626557E-8</v>
      </c>
      <c r="BA14" s="93">
        <v>1.9628601059303419E-8</v>
      </c>
      <c r="BB14" s="93">
        <v>6.5705820424325511E-9</v>
      </c>
      <c r="BC14" s="93">
        <v>101.57158168183918</v>
      </c>
      <c r="BD14" s="93">
        <v>0.39640538762637478</v>
      </c>
      <c r="BE14" s="93">
        <v>4.3254059737349405E-6</v>
      </c>
      <c r="BF14" s="93">
        <v>2.0001536036047734E-13</v>
      </c>
      <c r="BG14" s="93">
        <v>2.5924727924235072E-2</v>
      </c>
      <c r="BH14" s="93">
        <v>1.1554282885730065E-2</v>
      </c>
      <c r="BI14" s="93">
        <v>0.99020689371950243</v>
      </c>
      <c r="BJ14" s="93">
        <v>1.1436024411908084E-2</v>
      </c>
      <c r="BK14" s="93">
        <v>4.4322825446866948E-8</v>
      </c>
      <c r="BL14" s="93">
        <v>1E-8</v>
      </c>
      <c r="BM14" s="93">
        <v>-37.52084291940637</v>
      </c>
      <c r="BN14" s="93">
        <v>30.002037899607693</v>
      </c>
      <c r="BO14" s="93" t="s">
        <v>923</v>
      </c>
      <c r="BP14" s="93" t="s">
        <v>270</v>
      </c>
      <c r="BQ14" s="93" t="s">
        <v>920</v>
      </c>
    </row>
    <row r="15" spans="1:69">
      <c r="A15" s="93" t="s">
        <v>626</v>
      </c>
      <c r="B15" s="93" t="s">
        <v>688</v>
      </c>
      <c r="C15" s="93" t="s">
        <v>703</v>
      </c>
      <c r="D15" s="93">
        <v>41534</v>
      </c>
      <c r="E15" s="93" t="s">
        <v>704</v>
      </c>
      <c r="F15" s="93" t="s">
        <v>630</v>
      </c>
      <c r="G15" s="93" t="s">
        <v>631</v>
      </c>
      <c r="H15" s="93">
        <v>4.2476382431037418E-26</v>
      </c>
      <c r="I15" s="93" t="s">
        <v>270</v>
      </c>
      <c r="J15" s="93">
        <v>1.0399921783199999</v>
      </c>
      <c r="K15" s="93">
        <v>0.10399921783199999</v>
      </c>
      <c r="L15" s="93">
        <v>247.56097560975601</v>
      </c>
      <c r="M15" s="93">
        <v>24.756097560975601</v>
      </c>
      <c r="N15" s="93">
        <v>9.337791845516934</v>
      </c>
      <c r="O15" s="93">
        <v>0.6110610086210525</v>
      </c>
      <c r="P15" s="93">
        <v>2.4958540124437834</v>
      </c>
      <c r="Q15" s="93">
        <v>0.58189720837241388</v>
      </c>
      <c r="R15" s="93" t="s">
        <v>270</v>
      </c>
      <c r="S15" s="93" t="s">
        <v>270</v>
      </c>
      <c r="T15" s="93">
        <v>7.7749999999999879</v>
      </c>
      <c r="U15" s="93">
        <v>0.33071650948515097</v>
      </c>
      <c r="V15" s="93" t="s">
        <v>270</v>
      </c>
      <c r="W15" s="93" t="s">
        <v>270</v>
      </c>
      <c r="X15" s="93" t="s">
        <v>270</v>
      </c>
      <c r="Y15" s="93" t="s">
        <v>270</v>
      </c>
      <c r="Z15" s="93" t="s">
        <v>270</v>
      </c>
      <c r="AA15" s="93" t="s">
        <v>270</v>
      </c>
      <c r="AB15" s="93" t="s">
        <v>270</v>
      </c>
      <c r="AC15" s="93" t="s">
        <v>270</v>
      </c>
      <c r="AD15" s="93" t="s">
        <v>270</v>
      </c>
      <c r="AE15" s="93" t="s">
        <v>270</v>
      </c>
      <c r="AF15" s="93" t="s">
        <v>270</v>
      </c>
      <c r="AG15" s="93" t="s">
        <v>270</v>
      </c>
      <c r="AH15" s="93">
        <v>4.3057195636331809</v>
      </c>
      <c r="AI15" s="93">
        <v>0.43057195636331808</v>
      </c>
      <c r="AJ15" s="93">
        <v>8.6213086494750186</v>
      </c>
      <c r="AK15" s="93">
        <v>2.4171299906036605</v>
      </c>
      <c r="AL15" s="93" t="s">
        <v>270</v>
      </c>
      <c r="AM15" s="93" t="s">
        <v>270</v>
      </c>
      <c r="AN15" s="93" t="s">
        <v>270</v>
      </c>
      <c r="AO15" s="93" t="s">
        <v>270</v>
      </c>
      <c r="AP15" s="93">
        <v>2.7836990595611288</v>
      </c>
      <c r="AQ15" s="93">
        <v>3.1347962382445145E-2</v>
      </c>
      <c r="AR15" s="93">
        <v>3.8821199999999996E-7</v>
      </c>
      <c r="AS15" s="93">
        <v>1.3840000000000023E-8</v>
      </c>
      <c r="AT15" s="93">
        <v>1.8760000000000001E-7</v>
      </c>
      <c r="AU15" s="93">
        <v>1E-10</v>
      </c>
      <c r="AV15" s="93">
        <v>1.9850000000000001E-7</v>
      </c>
      <c r="AW15" s="93">
        <v>4.6000000000000001E-10</v>
      </c>
      <c r="AX15" s="93">
        <v>41857</v>
      </c>
      <c r="AY15" s="93">
        <v>4.4960475610066463E-8</v>
      </c>
      <c r="AZ15" s="93">
        <v>7.012428329496499E-9</v>
      </c>
      <c r="BA15" s="93">
        <v>1.3078275025205425E-8</v>
      </c>
      <c r="BB15" s="93">
        <v>3.6688411763726035E-9</v>
      </c>
      <c r="BC15" s="93">
        <v>3.1725669564797387</v>
      </c>
      <c r="BD15" s="93">
        <v>1.3680372456643886E-2</v>
      </c>
      <c r="BE15" s="93">
        <v>1.2956124936472813E-7</v>
      </c>
      <c r="BF15" s="93">
        <v>1.0254736172521125E-15</v>
      </c>
      <c r="BG15" s="93">
        <v>0.22658221512410259</v>
      </c>
      <c r="BH15" s="93">
        <v>2.7052241511107772E-2</v>
      </c>
      <c r="BI15" s="93">
        <v>0.74237898363360366</v>
      </c>
      <c r="BJ15" s="93">
        <v>1.6031651723603359E-2</v>
      </c>
      <c r="BK15" s="93">
        <v>4.4322825446866948E-8</v>
      </c>
      <c r="BL15" s="93">
        <v>1E-8</v>
      </c>
      <c r="BM15" s="93">
        <v>-5.0297265164425129</v>
      </c>
      <c r="BN15" s="93">
        <v>1.167487551645656</v>
      </c>
      <c r="BO15" s="93" t="s">
        <v>923</v>
      </c>
      <c r="BP15" s="93" t="s">
        <v>270</v>
      </c>
      <c r="BQ15" s="93" t="s">
        <v>920</v>
      </c>
    </row>
    <row r="16" spans="1:69">
      <c r="A16" s="93" t="s">
        <v>626</v>
      </c>
      <c r="B16" s="93" t="s">
        <v>688</v>
      </c>
      <c r="C16" s="93" t="s">
        <v>708</v>
      </c>
      <c r="D16" s="93">
        <v>41533</v>
      </c>
      <c r="E16" s="93" t="s">
        <v>709</v>
      </c>
      <c r="F16" s="93" t="s">
        <v>630</v>
      </c>
      <c r="G16" s="93" t="s">
        <v>631</v>
      </c>
      <c r="H16" s="93">
        <v>9.7169635369737692E-25</v>
      </c>
      <c r="I16" s="93" t="s">
        <v>270</v>
      </c>
      <c r="J16" s="93">
        <v>0.81669164327999999</v>
      </c>
      <c r="K16" s="93">
        <v>8.1669164328000005E-2</v>
      </c>
      <c r="L16" s="93">
        <v>98.780487804878007</v>
      </c>
      <c r="M16" s="93">
        <v>9.8780487804878003</v>
      </c>
      <c r="N16" s="93">
        <v>16.313961582088794</v>
      </c>
      <c r="O16" s="93">
        <v>5.5714058016335635</v>
      </c>
      <c r="P16" s="93">
        <v>1.2168297539505339</v>
      </c>
      <c r="Q16" s="93">
        <v>0.47876435594831956</v>
      </c>
      <c r="R16" s="93" t="s">
        <v>270</v>
      </c>
      <c r="S16" s="93" t="s">
        <v>270</v>
      </c>
      <c r="T16" s="93">
        <v>1.9617666604075881</v>
      </c>
      <c r="U16" s="93">
        <v>2.2428237537451357</v>
      </c>
      <c r="V16" s="93" t="s">
        <v>270</v>
      </c>
      <c r="W16" s="93" t="s">
        <v>270</v>
      </c>
      <c r="X16" s="93" t="s">
        <v>270</v>
      </c>
      <c r="Y16" s="93" t="s">
        <v>270</v>
      </c>
      <c r="Z16" s="93" t="s">
        <v>270</v>
      </c>
      <c r="AA16" s="93" t="s">
        <v>270</v>
      </c>
      <c r="AB16" s="93" t="s">
        <v>270</v>
      </c>
      <c r="AC16" s="93" t="s">
        <v>270</v>
      </c>
      <c r="AD16" s="93" t="s">
        <v>270</v>
      </c>
      <c r="AE16" s="93" t="s">
        <v>270</v>
      </c>
      <c r="AF16" s="93" t="s">
        <v>270</v>
      </c>
      <c r="AG16" s="93" t="s">
        <v>270</v>
      </c>
      <c r="AH16" s="93">
        <v>2.4388081194321267</v>
      </c>
      <c r="AI16" s="93">
        <v>0.24388081194321265</v>
      </c>
      <c r="AJ16" s="93">
        <v>6.8822790301821328</v>
      </c>
      <c r="AK16" s="93">
        <v>3.7156671130671688</v>
      </c>
      <c r="AL16" s="93" t="s">
        <v>270</v>
      </c>
      <c r="AM16" s="93" t="s">
        <v>270</v>
      </c>
      <c r="AN16" s="93" t="s">
        <v>270</v>
      </c>
      <c r="AO16" s="93" t="s">
        <v>270</v>
      </c>
      <c r="AP16" s="93">
        <v>3.4482758620689655E-2</v>
      </c>
      <c r="AQ16" s="93">
        <v>3.1347962382445145E-2</v>
      </c>
      <c r="AR16" s="93">
        <v>1.3064959999999997E-7</v>
      </c>
      <c r="AS16" s="93">
        <v>1.3839999999999937E-8</v>
      </c>
      <c r="AT16" s="93">
        <v>8.1760000000000002E-7</v>
      </c>
      <c r="AU16" s="93">
        <v>1.3999999999999999E-9</v>
      </c>
      <c r="AV16" s="93">
        <v>2.096E-7</v>
      </c>
      <c r="AW16" s="93">
        <v>5.0000000000000003E-10</v>
      </c>
      <c r="AX16" s="93">
        <v>41858</v>
      </c>
      <c r="AY16" s="93">
        <v>4.4579178604106071E-8</v>
      </c>
      <c r="AZ16" s="93">
        <v>1.6479031354024734E-8</v>
      </c>
      <c r="BA16" s="93">
        <v>6.3761879107007978E-9</v>
      </c>
      <c r="BB16" s="93">
        <v>3.4421781282293595E-9</v>
      </c>
      <c r="BC16" s="93">
        <v>17.340406361312404</v>
      </c>
      <c r="BD16" s="93">
        <v>0.11780049496816214</v>
      </c>
      <c r="BE16" s="93">
        <v>7.6664463348519308E-7</v>
      </c>
      <c r="BF16" s="93">
        <v>1.2950805574792102E-14</v>
      </c>
      <c r="BG16" s="93">
        <v>8.7282022361775832E-2</v>
      </c>
      <c r="BH16" s="93">
        <v>1.3964120397781801E-2</v>
      </c>
      <c r="BI16" s="93">
        <v>0.94504707474289229</v>
      </c>
      <c r="BJ16" s="93">
        <v>5.6409673077777497E-3</v>
      </c>
      <c r="BK16" s="93">
        <v>4.4322825446866948E-8</v>
      </c>
      <c r="BL16" s="93">
        <v>1E-8</v>
      </c>
      <c r="BM16" s="93">
        <v>1.3438210884165189</v>
      </c>
      <c r="BN16" s="93">
        <v>5.4979127282536915</v>
      </c>
      <c r="BO16" s="93" t="s">
        <v>924</v>
      </c>
      <c r="BP16" s="93" t="s">
        <v>270</v>
      </c>
      <c r="BQ16" s="93" t="s">
        <v>920</v>
      </c>
    </row>
    <row r="17" spans="1:69">
      <c r="A17" s="93" t="s">
        <v>626</v>
      </c>
      <c r="B17" s="93" t="s">
        <v>688</v>
      </c>
      <c r="C17" s="93" t="s">
        <v>713</v>
      </c>
      <c r="D17" s="93">
        <v>41514</v>
      </c>
      <c r="E17" s="93" t="s">
        <v>714</v>
      </c>
      <c r="F17" s="93" t="s">
        <v>630</v>
      </c>
      <c r="G17" s="93" t="s">
        <v>631</v>
      </c>
      <c r="H17" s="93">
        <v>8.3290557973910387E-27</v>
      </c>
      <c r="I17" s="93" t="s">
        <v>270</v>
      </c>
      <c r="J17" s="93">
        <v>2.1379409745000002</v>
      </c>
      <c r="K17" s="93">
        <v>0.21379409745000003</v>
      </c>
      <c r="L17" s="93">
        <v>1.82926829268292</v>
      </c>
      <c r="M17" s="93">
        <v>0.18292682926829201</v>
      </c>
      <c r="N17" s="93">
        <v>11.963972532209338</v>
      </c>
      <c r="O17" s="93">
        <v>6.3384408208508338</v>
      </c>
      <c r="P17" s="93">
        <v>2.5203618131899814</v>
      </c>
      <c r="Q17" s="93">
        <v>3.0322721674544559</v>
      </c>
      <c r="R17" s="93" t="s">
        <v>270</v>
      </c>
      <c r="S17" s="93" t="s">
        <v>270</v>
      </c>
      <c r="T17" s="93">
        <v>2.4358810865516123</v>
      </c>
      <c r="U17" s="93">
        <v>3.1151376929862078</v>
      </c>
      <c r="V17" s="93" t="s">
        <v>270</v>
      </c>
      <c r="W17" s="93" t="s">
        <v>270</v>
      </c>
      <c r="X17" s="93" t="s">
        <v>270</v>
      </c>
      <c r="Y17" s="93" t="s">
        <v>270</v>
      </c>
      <c r="Z17" s="93" t="s">
        <v>270</v>
      </c>
      <c r="AA17" s="93" t="s">
        <v>270</v>
      </c>
      <c r="AB17" s="93" t="s">
        <v>270</v>
      </c>
      <c r="AC17" s="93" t="s">
        <v>270</v>
      </c>
      <c r="AD17" s="93" t="s">
        <v>270</v>
      </c>
      <c r="AE17" s="93" t="s">
        <v>270</v>
      </c>
      <c r="AF17" s="93" t="s">
        <v>270</v>
      </c>
      <c r="AG17" s="93" t="s">
        <v>270</v>
      </c>
      <c r="AH17" s="93">
        <v>0.86390222646008974</v>
      </c>
      <c r="AI17" s="93">
        <v>8.6390222646008985E-2</v>
      </c>
      <c r="AJ17" s="93">
        <v>1.8493331453748363</v>
      </c>
      <c r="AK17" s="93">
        <v>2.4451502099144458</v>
      </c>
      <c r="AL17" s="93" t="s">
        <v>270</v>
      </c>
      <c r="AM17" s="93" t="s">
        <v>270</v>
      </c>
      <c r="AN17" s="93" t="s">
        <v>270</v>
      </c>
      <c r="AO17" s="93" t="s">
        <v>270</v>
      </c>
      <c r="AP17" s="93">
        <v>-5.3291536050156747E-2</v>
      </c>
      <c r="AQ17" s="93">
        <v>3.1347962382445145E-2</v>
      </c>
      <c r="AR17" s="93">
        <v>1.1404159999999994E-7</v>
      </c>
      <c r="AS17" s="93">
        <v>1.3840000000000017E-8</v>
      </c>
      <c r="AT17" s="93">
        <v>1.0220999999999999E-6</v>
      </c>
      <c r="AU17" s="93">
        <v>3.2000000000000001E-9</v>
      </c>
      <c r="AV17" s="93">
        <v>2.4130000000000002E-7</v>
      </c>
      <c r="AW17" s="93">
        <v>4.8259999999999997E-8</v>
      </c>
      <c r="AX17" s="93">
        <v>41858</v>
      </c>
      <c r="AY17" s="93">
        <v>4.5515715576334737E-8</v>
      </c>
      <c r="AZ17" s="93">
        <v>2.495838997708663E-8</v>
      </c>
      <c r="BA17" s="93">
        <v>1.3206695901115504E-8</v>
      </c>
      <c r="BB17" s="93">
        <v>1.7461611033794847E-8</v>
      </c>
      <c r="BC17" s="93">
        <v>21.455980328798397</v>
      </c>
      <c r="BD17" s="93">
        <v>0.23439423796803582</v>
      </c>
      <c r="BE17" s="93">
        <v>9.6337758852254963E-7</v>
      </c>
      <c r="BF17" s="93">
        <v>2.9506254146756077E-14</v>
      </c>
      <c r="BG17" s="93">
        <v>7.0388365677814535E-2</v>
      </c>
      <c r="BH17" s="93">
        <v>2.6280534066830723E-2</v>
      </c>
      <c r="BI17" s="93">
        <v>0.95488555842744327</v>
      </c>
      <c r="BJ17" s="93">
        <v>1.9555560431020649E-2</v>
      </c>
      <c r="BK17" s="93">
        <v>4.4322825446866948E-8</v>
      </c>
      <c r="BL17" s="93">
        <v>1E-8</v>
      </c>
      <c r="BM17" s="93">
        <v>-2.5491292108839421</v>
      </c>
      <c r="BN17" s="93">
        <v>6.8937461700725056</v>
      </c>
      <c r="BO17" s="93" t="s">
        <v>923</v>
      </c>
      <c r="BP17" s="93" t="s">
        <v>270</v>
      </c>
      <c r="BQ17" s="93" t="s">
        <v>920</v>
      </c>
    </row>
    <row r="18" spans="1:69">
      <c r="A18" s="93" t="s">
        <v>626</v>
      </c>
      <c r="B18" s="93" t="s">
        <v>688</v>
      </c>
      <c r="C18" s="93" t="s">
        <v>718</v>
      </c>
      <c r="D18" s="93">
        <v>41529</v>
      </c>
      <c r="E18" s="93" t="s">
        <v>719</v>
      </c>
      <c r="F18" s="93" t="s">
        <v>630</v>
      </c>
      <c r="G18" s="93" t="s">
        <v>631</v>
      </c>
      <c r="H18" s="93">
        <v>4.6176619107350955E-26</v>
      </c>
      <c r="I18" s="93" t="s">
        <v>270</v>
      </c>
      <c r="J18" s="93">
        <v>0.79811186249999999</v>
      </c>
      <c r="K18" s="93">
        <v>7.9811186249999999E-2</v>
      </c>
      <c r="L18" s="93">
        <v>12.804878048780401</v>
      </c>
      <c r="M18" s="93">
        <v>1.2804878048780401</v>
      </c>
      <c r="N18" s="93">
        <v>17.865089730272146</v>
      </c>
      <c r="O18" s="93">
        <v>0.82133159143958734</v>
      </c>
      <c r="P18" s="93">
        <v>2.5043571493659993</v>
      </c>
      <c r="Q18" s="93">
        <v>0.58243629098570837</v>
      </c>
      <c r="R18" s="93" t="s">
        <v>270</v>
      </c>
      <c r="S18" s="93" t="s">
        <v>270</v>
      </c>
      <c r="T18" s="93">
        <v>2.1750000000000007</v>
      </c>
      <c r="U18" s="93">
        <v>0.33071650948515285</v>
      </c>
      <c r="V18" s="93" t="s">
        <v>270</v>
      </c>
      <c r="W18" s="93" t="s">
        <v>270</v>
      </c>
      <c r="X18" s="93" t="s">
        <v>270</v>
      </c>
      <c r="Y18" s="93" t="s">
        <v>270</v>
      </c>
      <c r="Z18" s="93" t="s">
        <v>270</v>
      </c>
      <c r="AA18" s="93" t="s">
        <v>270</v>
      </c>
      <c r="AB18" s="93" t="s">
        <v>270</v>
      </c>
      <c r="AC18" s="93" t="s">
        <v>270</v>
      </c>
      <c r="AD18" s="93" t="s">
        <v>270</v>
      </c>
      <c r="AE18" s="93" t="s">
        <v>270</v>
      </c>
      <c r="AF18" s="93" t="s">
        <v>270</v>
      </c>
      <c r="AG18" s="93" t="s">
        <v>270</v>
      </c>
      <c r="AH18" s="93">
        <v>0.59885691073662528</v>
      </c>
      <c r="AI18" s="93">
        <v>5.9885691073662525E-2</v>
      </c>
      <c r="AJ18" s="93">
        <v>1.50138088063751</v>
      </c>
      <c r="AK18" s="93">
        <v>0.41479066565199918</v>
      </c>
      <c r="AL18" s="93" t="s">
        <v>270</v>
      </c>
      <c r="AM18" s="93" t="s">
        <v>270</v>
      </c>
      <c r="AN18" s="93" t="s">
        <v>270</v>
      </c>
      <c r="AO18" s="93" t="s">
        <v>270</v>
      </c>
      <c r="AP18" s="93">
        <v>-0.1128526645768025</v>
      </c>
      <c r="AQ18" s="93">
        <v>3.1347962382445145E-2</v>
      </c>
      <c r="AR18" s="93" t="s">
        <v>270</v>
      </c>
      <c r="AS18" s="93" t="s">
        <v>270</v>
      </c>
      <c r="AT18" s="93" t="s">
        <v>270</v>
      </c>
      <c r="AU18" s="93" t="s">
        <v>270</v>
      </c>
      <c r="AV18" s="93" t="s">
        <v>270</v>
      </c>
      <c r="AW18" s="93" t="s">
        <v>270</v>
      </c>
      <c r="AX18" s="93" t="s">
        <v>270</v>
      </c>
      <c r="AY18" s="93" t="s">
        <v>270</v>
      </c>
      <c r="AZ18" s="93" t="s">
        <v>270</v>
      </c>
      <c r="BA18" s="93" t="s">
        <v>270</v>
      </c>
      <c r="BB18" s="93" t="s">
        <v>270</v>
      </c>
      <c r="BC18" s="93" t="s">
        <v>270</v>
      </c>
      <c r="BD18" s="93" t="s">
        <v>270</v>
      </c>
      <c r="BE18" s="93" t="s">
        <v>270</v>
      </c>
      <c r="BF18" s="93" t="s">
        <v>270</v>
      </c>
      <c r="BG18" s="93" t="s">
        <v>270</v>
      </c>
      <c r="BH18" s="93" t="s">
        <v>270</v>
      </c>
      <c r="BI18" s="93" t="s">
        <v>270</v>
      </c>
      <c r="BJ18" s="93" t="s">
        <v>270</v>
      </c>
      <c r="BK18" s="93" t="s">
        <v>270</v>
      </c>
      <c r="BL18" s="93" t="s">
        <v>270</v>
      </c>
      <c r="BM18" s="93" t="s">
        <v>270</v>
      </c>
      <c r="BN18" s="93" t="s">
        <v>270</v>
      </c>
      <c r="BO18" s="93" t="s">
        <v>270</v>
      </c>
      <c r="BP18" s="93" t="s">
        <v>270</v>
      </c>
    </row>
    <row r="19" spans="1:69">
      <c r="A19" s="93" t="s">
        <v>626</v>
      </c>
      <c r="B19" s="93" t="s">
        <v>688</v>
      </c>
      <c r="C19" s="93" t="s">
        <v>723</v>
      </c>
      <c r="D19" s="93">
        <v>41512</v>
      </c>
      <c r="E19" s="93" t="s">
        <v>724</v>
      </c>
      <c r="F19" s="93" t="s">
        <v>630</v>
      </c>
      <c r="G19" s="93" t="s">
        <v>631</v>
      </c>
      <c r="H19" s="93">
        <v>7.6610770849339411E-24</v>
      </c>
      <c r="I19" s="93" t="s">
        <v>270</v>
      </c>
      <c r="J19" s="93">
        <v>0.56876166378000004</v>
      </c>
      <c r="K19" s="93">
        <v>5.6876166378000005E-2</v>
      </c>
      <c r="L19" s="93">
        <v>81.707317073170699</v>
      </c>
      <c r="M19" s="93">
        <v>8.1707317073170707</v>
      </c>
      <c r="N19" s="93">
        <v>13.583376473088885</v>
      </c>
      <c r="O19" s="93">
        <v>0.67490322670710712</v>
      </c>
      <c r="P19" s="93">
        <v>2.4958169030455064</v>
      </c>
      <c r="Q19" s="93">
        <v>0.5568799535471487</v>
      </c>
      <c r="R19" s="93" t="s">
        <v>270</v>
      </c>
      <c r="S19" s="93" t="s">
        <v>270</v>
      </c>
      <c r="T19" s="93">
        <v>1.9000000000000004</v>
      </c>
      <c r="U19" s="93">
        <v>0.31622776601683933</v>
      </c>
      <c r="V19" s="93" t="s">
        <v>270</v>
      </c>
      <c r="W19" s="93" t="s">
        <v>270</v>
      </c>
      <c r="X19" s="93" t="s">
        <v>270</v>
      </c>
      <c r="Y19" s="93" t="s">
        <v>270</v>
      </c>
      <c r="Z19" s="93" t="s">
        <v>270</v>
      </c>
      <c r="AA19" s="93" t="s">
        <v>270</v>
      </c>
      <c r="AB19" s="93" t="s">
        <v>270</v>
      </c>
      <c r="AC19" s="93" t="s">
        <v>270</v>
      </c>
      <c r="AD19" s="93" t="s">
        <v>270</v>
      </c>
      <c r="AE19" s="93" t="s">
        <v>270</v>
      </c>
      <c r="AF19" s="93" t="s">
        <v>270</v>
      </c>
      <c r="AG19" s="93" t="s">
        <v>270</v>
      </c>
      <c r="AH19" s="93">
        <v>0.46007576726065053</v>
      </c>
      <c r="AI19" s="93">
        <v>4.6007576726065057E-2</v>
      </c>
      <c r="AJ19" s="93">
        <v>1.0304604031368272</v>
      </c>
      <c r="AK19" s="93">
        <v>0.27707845455502189</v>
      </c>
      <c r="AL19" s="93" t="s">
        <v>270</v>
      </c>
      <c r="AM19" s="93" t="s">
        <v>270</v>
      </c>
      <c r="AN19" s="93" t="s">
        <v>270</v>
      </c>
      <c r="AO19" s="93" t="s">
        <v>270</v>
      </c>
      <c r="AP19" s="93">
        <v>-1.8808777429467086E-2</v>
      </c>
      <c r="AQ19" s="93">
        <v>3.1347962382445145E-2</v>
      </c>
      <c r="AR19" s="93" t="s">
        <v>270</v>
      </c>
      <c r="AS19" s="93" t="s">
        <v>270</v>
      </c>
      <c r="AT19" s="93" t="s">
        <v>270</v>
      </c>
      <c r="AU19" s="93" t="s">
        <v>270</v>
      </c>
      <c r="AV19" s="93" t="s">
        <v>270</v>
      </c>
      <c r="AW19" s="93" t="s">
        <v>270</v>
      </c>
      <c r="AX19" s="93" t="s">
        <v>270</v>
      </c>
      <c r="AY19" s="93" t="s">
        <v>270</v>
      </c>
      <c r="AZ19" s="93" t="s">
        <v>270</v>
      </c>
      <c r="BA19" s="93" t="s">
        <v>270</v>
      </c>
      <c r="BB19" s="93" t="s">
        <v>270</v>
      </c>
      <c r="BC19" s="93" t="s">
        <v>270</v>
      </c>
      <c r="BD19" s="93" t="s">
        <v>270</v>
      </c>
      <c r="BE19" s="93" t="s">
        <v>270</v>
      </c>
      <c r="BF19" s="93" t="s">
        <v>270</v>
      </c>
      <c r="BG19" s="93" t="s">
        <v>270</v>
      </c>
      <c r="BH19" s="93" t="s">
        <v>270</v>
      </c>
      <c r="BI19" s="93" t="s">
        <v>270</v>
      </c>
      <c r="BJ19" s="93" t="s">
        <v>270</v>
      </c>
      <c r="BK19" s="93" t="s">
        <v>270</v>
      </c>
      <c r="BL19" s="93" t="s">
        <v>270</v>
      </c>
      <c r="BM19" s="93" t="s">
        <v>270</v>
      </c>
      <c r="BN19" s="93" t="s">
        <v>270</v>
      </c>
      <c r="BO19" s="93" t="s">
        <v>270</v>
      </c>
      <c r="BP19" s="93" t="s">
        <v>270</v>
      </c>
    </row>
    <row r="20" spans="1:69">
      <c r="A20" s="93" t="s">
        <v>626</v>
      </c>
      <c r="B20" s="93" t="s">
        <v>688</v>
      </c>
      <c r="C20" s="93" t="s">
        <v>728</v>
      </c>
      <c r="D20" s="93">
        <v>41505</v>
      </c>
      <c r="E20" s="93" t="s">
        <v>729</v>
      </c>
      <c r="F20" s="93" t="s">
        <v>630</v>
      </c>
      <c r="G20" s="93" t="s">
        <v>631</v>
      </c>
      <c r="H20" s="93">
        <v>9.9070859342243024E-24</v>
      </c>
      <c r="I20" s="93" t="s">
        <v>270</v>
      </c>
      <c r="J20" s="93">
        <v>0.59795517722000002</v>
      </c>
      <c r="K20" s="93">
        <v>5.9795517722000001E-2</v>
      </c>
      <c r="L20" s="93">
        <v>61.890243902439003</v>
      </c>
      <c r="M20" s="93">
        <v>6.1890243902439002</v>
      </c>
      <c r="N20" s="93">
        <v>13.559853009782138</v>
      </c>
      <c r="O20" s="93">
        <v>0.67333692152143221</v>
      </c>
      <c r="P20" s="93">
        <v>2.5109639702070261</v>
      </c>
      <c r="Q20" s="93">
        <v>0.5568575213961835</v>
      </c>
      <c r="R20" s="93" t="s">
        <v>270</v>
      </c>
      <c r="S20" s="93" t="s">
        <v>270</v>
      </c>
      <c r="T20" s="93">
        <v>3.2500000000000009</v>
      </c>
      <c r="U20" s="93">
        <v>0.31622776601683722</v>
      </c>
      <c r="V20" s="93" t="s">
        <v>270</v>
      </c>
      <c r="W20" s="93" t="s">
        <v>270</v>
      </c>
      <c r="X20" s="93" t="s">
        <v>270</v>
      </c>
      <c r="Y20" s="93" t="s">
        <v>270</v>
      </c>
      <c r="Z20" s="93" t="s">
        <v>270</v>
      </c>
      <c r="AA20" s="93" t="s">
        <v>270</v>
      </c>
      <c r="AB20" s="93" t="s">
        <v>270</v>
      </c>
      <c r="AC20" s="93" t="s">
        <v>270</v>
      </c>
      <c r="AD20" s="93" t="s">
        <v>270</v>
      </c>
      <c r="AE20" s="93" t="s">
        <v>270</v>
      </c>
      <c r="AF20" s="93" t="s">
        <v>270</v>
      </c>
      <c r="AG20" s="93" t="s">
        <v>270</v>
      </c>
      <c r="AH20" s="93">
        <v>0.12182926157651089</v>
      </c>
      <c r="AI20" s="93">
        <v>1.218292615765109E-2</v>
      </c>
      <c r="AJ20" s="93">
        <v>0.27191059377781357</v>
      </c>
      <c r="AK20" s="93">
        <v>7.2841929757835627E-2</v>
      </c>
      <c r="AL20" s="93" t="s">
        <v>270</v>
      </c>
      <c r="AM20" s="93" t="s">
        <v>270</v>
      </c>
      <c r="AN20" s="93" t="s">
        <v>270</v>
      </c>
      <c r="AO20" s="93" t="s">
        <v>270</v>
      </c>
      <c r="AP20" s="93">
        <v>2.1943573667711602E-2</v>
      </c>
      <c r="AQ20" s="93">
        <v>3.1347962382445145E-2</v>
      </c>
      <c r="AR20" s="93">
        <v>4.2878063796385703E-8</v>
      </c>
      <c r="AS20" s="93">
        <v>1.384E-8</v>
      </c>
      <c r="AT20" s="93">
        <v>7.36279634517406E-6</v>
      </c>
      <c r="AU20" s="93">
        <v>7.3627963451740605E-8</v>
      </c>
      <c r="AV20" s="93">
        <v>4.0391994785784199E-7</v>
      </c>
      <c r="AW20" s="93">
        <v>6.0587992178676302E-9</v>
      </c>
      <c r="AX20" s="93">
        <v>41754</v>
      </c>
      <c r="AY20" s="93">
        <v>4.5292312323160222E-8</v>
      </c>
      <c r="AZ20" s="93">
        <v>6.7932502195359931E-9</v>
      </c>
      <c r="BA20" s="93">
        <v>1.3157451203884819E-8</v>
      </c>
      <c r="BB20" s="93">
        <v>3.5228455398007496E-9</v>
      </c>
      <c r="BC20" s="93">
        <v>161.56610681712351</v>
      </c>
      <c r="BD20" s="93">
        <v>1.0916234992840612</v>
      </c>
      <c r="BE20" s="93">
        <v>7.3043465816470146E-6</v>
      </c>
      <c r="BF20" s="93">
        <v>5.4070132472164925E-13</v>
      </c>
      <c r="BG20" s="93">
        <v>2.9246506212006383E-2</v>
      </c>
      <c r="BH20" s="93">
        <v>1.0500691063808661E-2</v>
      </c>
      <c r="BI20" s="93">
        <v>0.99383748510485093</v>
      </c>
      <c r="BJ20" s="93">
        <v>1.0432535119179093E-2</v>
      </c>
      <c r="BK20" s="93">
        <v>4.4322825446866948E-8</v>
      </c>
      <c r="BL20" s="93">
        <v>1E-8</v>
      </c>
      <c r="BM20" s="93">
        <v>-35.341820215968212</v>
      </c>
      <c r="BN20" s="93">
        <v>50.418846482979653</v>
      </c>
      <c r="BO20" s="93" t="s">
        <v>923</v>
      </c>
      <c r="BP20" s="93" t="s">
        <v>270</v>
      </c>
      <c r="BQ20" s="93" t="s">
        <v>922</v>
      </c>
    </row>
    <row r="21" spans="1:69">
      <c r="A21" s="93" t="s">
        <v>626</v>
      </c>
      <c r="B21" s="93" t="s">
        <v>688</v>
      </c>
      <c r="C21" s="93" t="s">
        <v>733</v>
      </c>
      <c r="D21" s="93">
        <v>41522</v>
      </c>
      <c r="E21" s="93" t="s">
        <v>734</v>
      </c>
      <c r="F21" s="93" t="s">
        <v>630</v>
      </c>
      <c r="G21" s="93" t="s">
        <v>631</v>
      </c>
      <c r="H21" s="93">
        <v>3.6590594338348085E-26</v>
      </c>
      <c r="I21" s="93" t="s">
        <v>270</v>
      </c>
      <c r="J21" s="93">
        <v>6.4662381120000001E-2</v>
      </c>
      <c r="K21" s="93">
        <v>6.4662381120000004E-3</v>
      </c>
      <c r="L21" s="93">
        <v>64.634146341463406</v>
      </c>
      <c r="M21" s="93">
        <v>6.463414634146341</v>
      </c>
      <c r="N21" s="93">
        <v>13.726250991646921</v>
      </c>
      <c r="O21" s="93">
        <v>0.67446366267082558</v>
      </c>
      <c r="P21" s="93">
        <v>2.5028097238127653</v>
      </c>
      <c r="Q21" s="93">
        <v>0.55725491455291498</v>
      </c>
      <c r="R21" s="93" t="s">
        <v>270</v>
      </c>
      <c r="S21" s="93" t="s">
        <v>270</v>
      </c>
      <c r="T21" s="93">
        <v>2.5000000000000004</v>
      </c>
      <c r="U21" s="93">
        <v>0.31622776601684122</v>
      </c>
      <c r="V21" s="93" t="s">
        <v>270</v>
      </c>
      <c r="W21" s="93" t="s">
        <v>270</v>
      </c>
      <c r="X21" s="93" t="s">
        <v>270</v>
      </c>
      <c r="Y21" s="93" t="s">
        <v>270</v>
      </c>
      <c r="Z21" s="93" t="s">
        <v>270</v>
      </c>
      <c r="AA21" s="93" t="s">
        <v>270</v>
      </c>
      <c r="AB21" s="93" t="s">
        <v>270</v>
      </c>
      <c r="AC21" s="93" t="s">
        <v>270</v>
      </c>
      <c r="AD21" s="93" t="s">
        <v>270</v>
      </c>
      <c r="AE21" s="93" t="s">
        <v>270</v>
      </c>
      <c r="AF21" s="93" t="s">
        <v>270</v>
      </c>
      <c r="AG21" s="93" t="s">
        <v>270</v>
      </c>
      <c r="AH21" s="93">
        <v>1.2615640509271875</v>
      </c>
      <c r="AI21" s="93">
        <v>0.12615640509271875</v>
      </c>
      <c r="AJ21" s="93">
        <v>2.8192685272014515</v>
      </c>
      <c r="AK21" s="93">
        <v>0.75645579772630467</v>
      </c>
      <c r="AL21" s="93" t="s">
        <v>270</v>
      </c>
      <c r="AM21" s="93" t="s">
        <v>270</v>
      </c>
      <c r="AN21" s="93" t="s">
        <v>270</v>
      </c>
      <c r="AO21" s="93" t="s">
        <v>270</v>
      </c>
      <c r="AP21" s="93">
        <v>1.677115987460815</v>
      </c>
      <c r="AQ21" s="93">
        <v>3.1347962382445145E-2</v>
      </c>
      <c r="AR21" s="93">
        <v>1.5572768E-6</v>
      </c>
      <c r="AS21" s="93">
        <v>1.3840000000000023E-8</v>
      </c>
      <c r="AT21" s="93">
        <v>7.5800000000000004E-8</v>
      </c>
      <c r="AU21" s="93">
        <v>0</v>
      </c>
      <c r="AV21" s="93">
        <v>3.2020000000000002E-7</v>
      </c>
      <c r="AW21" s="93">
        <v>3.9E-10</v>
      </c>
      <c r="AX21" s="93">
        <v>41851</v>
      </c>
      <c r="AY21" s="93">
        <v>4.5373659695551005E-8</v>
      </c>
      <c r="AZ21" s="93">
        <v>6.7931304493017928E-9</v>
      </c>
      <c r="BA21" s="93">
        <v>1.3114722952778892E-8</v>
      </c>
      <c r="BB21" s="93">
        <v>3.5187808514184998E-9</v>
      </c>
      <c r="BC21" s="93">
        <v>0.67057315221016667</v>
      </c>
      <c r="BD21" s="93">
        <v>0.65600911708286269</v>
      </c>
      <c r="BE21" s="93">
        <v>1.7311617351670107E-8</v>
      </c>
      <c r="BF21" s="93">
        <v>1.3243986226022389E-16</v>
      </c>
      <c r="BG21" s="93">
        <v>1.1513957607834819</v>
      </c>
      <c r="BH21" s="93">
        <v>2.0655728745248868E-2</v>
      </c>
      <c r="BI21" s="93">
        <v>0.27616588970254385</v>
      </c>
      <c r="BJ21" s="93">
        <v>1.5502196027734191E-2</v>
      </c>
      <c r="BK21" s="93">
        <v>4.4322825446866948E-8</v>
      </c>
      <c r="BL21" s="93">
        <v>1E-8</v>
      </c>
      <c r="BM21" s="93">
        <v>14.943540287560104</v>
      </c>
      <c r="BN21" s="93">
        <v>0.42735467256789467</v>
      </c>
      <c r="BO21" s="93">
        <v>14.945</v>
      </c>
      <c r="BP21" s="93">
        <v>0.43</v>
      </c>
      <c r="BQ21" s="93" t="s">
        <v>921</v>
      </c>
    </row>
    <row r="22" spans="1:69">
      <c r="A22" s="93" t="s">
        <v>626</v>
      </c>
      <c r="B22" s="93" t="s">
        <v>738</v>
      </c>
      <c r="C22" s="93" t="s">
        <v>739</v>
      </c>
      <c r="D22" s="93">
        <v>41526</v>
      </c>
      <c r="E22" s="93" t="s">
        <v>740</v>
      </c>
      <c r="F22" s="93" t="s">
        <v>630</v>
      </c>
      <c r="G22" s="93" t="s">
        <v>631</v>
      </c>
      <c r="H22" s="93">
        <v>1.3606580448705151E-22</v>
      </c>
      <c r="I22" s="93" t="s">
        <v>270</v>
      </c>
      <c r="J22" s="93">
        <v>0.61536420000000003</v>
      </c>
      <c r="K22" s="93">
        <v>6.1536420000000001E-2</v>
      </c>
      <c r="L22" s="93">
        <v>17.987804878048699</v>
      </c>
      <c r="M22" s="93">
        <v>1.7987804878048699</v>
      </c>
      <c r="N22" s="93">
        <v>23.862384507379332</v>
      </c>
      <c r="O22" s="93">
        <v>6.460472434111221</v>
      </c>
      <c r="P22" s="93">
        <v>1.9402077498129648</v>
      </c>
      <c r="Q22" s="93">
        <v>0.45842390075079098</v>
      </c>
      <c r="R22" s="93" t="s">
        <v>270</v>
      </c>
      <c r="S22" s="93" t="s">
        <v>270</v>
      </c>
      <c r="T22" s="93">
        <v>1.0186260476397024</v>
      </c>
      <c r="U22" s="93">
        <v>1.9879609066983757</v>
      </c>
      <c r="V22" s="93" t="s">
        <v>270</v>
      </c>
      <c r="W22" s="93" t="s">
        <v>270</v>
      </c>
      <c r="X22" s="93" t="s">
        <v>270</v>
      </c>
      <c r="Y22" s="93" t="s">
        <v>270</v>
      </c>
      <c r="Z22" s="93" t="s">
        <v>270</v>
      </c>
      <c r="AA22" s="93" t="s">
        <v>270</v>
      </c>
      <c r="AB22" s="93" t="s">
        <v>270</v>
      </c>
      <c r="AC22" s="93" t="s">
        <v>270</v>
      </c>
      <c r="AD22" s="93" t="s">
        <v>270</v>
      </c>
      <c r="AE22" s="93" t="s">
        <v>270</v>
      </c>
      <c r="AF22" s="93" t="s">
        <v>270</v>
      </c>
      <c r="AG22" s="93" t="s">
        <v>270</v>
      </c>
      <c r="AH22" s="93">
        <v>2.3836881334262774</v>
      </c>
      <c r="AI22" s="93">
        <v>0.23836881334262772</v>
      </c>
      <c r="AJ22" s="93">
        <v>7.441948546378983</v>
      </c>
      <c r="AK22" s="93">
        <v>2.8738891281659322</v>
      </c>
      <c r="AL22" s="93" t="s">
        <v>270</v>
      </c>
      <c r="AM22" s="93" t="s">
        <v>270</v>
      </c>
      <c r="AN22" s="93" t="s">
        <v>270</v>
      </c>
      <c r="AO22" s="93" t="s">
        <v>270</v>
      </c>
      <c r="AP22" s="93">
        <v>-0.11598746081504702</v>
      </c>
      <c r="AQ22" s="93">
        <v>3.1347962382445145E-2</v>
      </c>
      <c r="AR22" s="93">
        <v>1.3390199999999999E-6</v>
      </c>
      <c r="AS22" s="93">
        <v>1.3839999999999917E-8</v>
      </c>
      <c r="AT22" s="93">
        <v>5.54E-8</v>
      </c>
      <c r="AU22" s="93">
        <v>0</v>
      </c>
      <c r="AV22" s="93">
        <v>2.1409999999999999E-7</v>
      </c>
      <c r="AW22" s="93">
        <v>2.8000000000000002E-10</v>
      </c>
      <c r="AX22" s="93">
        <v>41850</v>
      </c>
      <c r="AY22" s="93">
        <v>4.4028001335268908E-8</v>
      </c>
      <c r="AZ22" s="93">
        <v>1.3448584475325292E-8</v>
      </c>
      <c r="BA22" s="93">
        <v>1.0166688609019936E-8</v>
      </c>
      <c r="BB22" s="93">
        <v>3.9260620822279102E-9</v>
      </c>
      <c r="BC22" s="93">
        <v>0.25829034356487124</v>
      </c>
      <c r="BD22" s="93">
        <v>0.19720601251439052</v>
      </c>
      <c r="BE22" s="93">
        <v>1.2053100557111563E-9</v>
      </c>
      <c r="BF22" s="93">
        <v>1.6887729209233996E-17</v>
      </c>
      <c r="BG22" s="93">
        <v>0.960196483239248</v>
      </c>
      <c r="BH22" s="93">
        <v>1.5821777097374447E-2</v>
      </c>
      <c r="BI22" s="93">
        <v>2.6645614550624263E-2</v>
      </c>
      <c r="BJ22" s="93">
        <v>2.3125618050146442E-3</v>
      </c>
      <c r="BK22" s="93">
        <v>4.4322825446866948E-8</v>
      </c>
      <c r="BL22" s="93">
        <v>1E-8</v>
      </c>
      <c r="BM22" s="93">
        <v>4.5614691389801294E-2</v>
      </c>
      <c r="BN22" s="93">
        <v>0.30838285270502341</v>
      </c>
      <c r="BO22" s="93" t="s">
        <v>924</v>
      </c>
      <c r="BP22" s="93" t="s">
        <v>270</v>
      </c>
    </row>
    <row r="23" spans="1:69">
      <c r="A23" s="93" t="s">
        <v>626</v>
      </c>
      <c r="B23" s="93" t="s">
        <v>738</v>
      </c>
      <c r="C23" s="93" t="s">
        <v>744</v>
      </c>
      <c r="D23" s="93">
        <v>41528</v>
      </c>
      <c r="E23" s="93" t="s">
        <v>745</v>
      </c>
      <c r="F23" s="93" t="s">
        <v>630</v>
      </c>
      <c r="G23" s="93" t="s">
        <v>631</v>
      </c>
      <c r="H23" s="93">
        <v>3.7004331274108693E-25</v>
      </c>
      <c r="I23" s="93" t="s">
        <v>270</v>
      </c>
      <c r="J23" s="93">
        <v>0.84992100378000002</v>
      </c>
      <c r="K23" s="93">
        <v>8.4992100378000007E-2</v>
      </c>
      <c r="L23" s="93">
        <v>61.890243902439003</v>
      </c>
      <c r="M23" s="93">
        <v>6.1890243902439002</v>
      </c>
      <c r="N23" s="93">
        <v>15.183310419555927</v>
      </c>
      <c r="O23" s="93">
        <v>0.71662249793965005</v>
      </c>
      <c r="P23" s="93">
        <v>2.4593443006585285</v>
      </c>
      <c r="Q23" s="93">
        <v>0.55673874463663975</v>
      </c>
      <c r="R23" s="93" t="s">
        <v>270</v>
      </c>
      <c r="S23" s="93" t="s">
        <v>270</v>
      </c>
      <c r="T23" s="93">
        <v>1.7000000000000002</v>
      </c>
      <c r="U23" s="93">
        <v>0.316227766016839</v>
      </c>
      <c r="V23" s="93" t="s">
        <v>270</v>
      </c>
      <c r="W23" s="93" t="s">
        <v>270</v>
      </c>
      <c r="X23" s="93" t="s">
        <v>270</v>
      </c>
      <c r="Y23" s="93" t="s">
        <v>270</v>
      </c>
      <c r="Z23" s="93" t="s">
        <v>270</v>
      </c>
      <c r="AA23" s="93" t="s">
        <v>270</v>
      </c>
      <c r="AB23" s="93" t="s">
        <v>270</v>
      </c>
      <c r="AC23" s="93" t="s">
        <v>270</v>
      </c>
      <c r="AD23" s="93" t="s">
        <v>270</v>
      </c>
      <c r="AE23" s="93" t="s">
        <v>270</v>
      </c>
      <c r="AF23" s="93" t="s">
        <v>270</v>
      </c>
      <c r="AG23" s="93" t="s">
        <v>270</v>
      </c>
      <c r="AH23" s="93">
        <v>2.4154673960786583</v>
      </c>
      <c r="AI23" s="93">
        <v>0.24154673960786585</v>
      </c>
      <c r="AJ23" s="93">
        <v>5.6872407253128978</v>
      </c>
      <c r="AK23" s="93">
        <v>1.5416459914727669</v>
      </c>
      <c r="AL23" s="93" t="s">
        <v>270</v>
      </c>
      <c r="AM23" s="93" t="s">
        <v>270</v>
      </c>
      <c r="AN23" s="93" t="s">
        <v>270</v>
      </c>
      <c r="AO23" s="93" t="s">
        <v>270</v>
      </c>
      <c r="AP23" s="93">
        <v>-0.19435736677115989</v>
      </c>
      <c r="AQ23" s="93">
        <v>3.1347962382445145E-2</v>
      </c>
      <c r="AR23" s="93" t="s">
        <v>270</v>
      </c>
      <c r="AS23" s="93" t="s">
        <v>270</v>
      </c>
      <c r="AT23" s="93" t="s">
        <v>270</v>
      </c>
      <c r="AU23" s="93" t="s">
        <v>270</v>
      </c>
      <c r="AV23" s="93" t="s">
        <v>270</v>
      </c>
      <c r="AW23" s="93" t="s">
        <v>270</v>
      </c>
      <c r="AX23" s="93" t="s">
        <v>270</v>
      </c>
      <c r="AY23" s="93" t="s">
        <v>270</v>
      </c>
      <c r="AZ23" s="93" t="s">
        <v>270</v>
      </c>
      <c r="BA23" s="93" t="s">
        <v>270</v>
      </c>
      <c r="BB23" s="93" t="s">
        <v>270</v>
      </c>
      <c r="BC23" s="93" t="s">
        <v>270</v>
      </c>
      <c r="BD23" s="93" t="s">
        <v>270</v>
      </c>
      <c r="BE23" s="93" t="s">
        <v>270</v>
      </c>
      <c r="BF23" s="93" t="s">
        <v>270</v>
      </c>
      <c r="BG23" s="93" t="s">
        <v>270</v>
      </c>
      <c r="BH23" s="93" t="s">
        <v>270</v>
      </c>
      <c r="BI23" s="93" t="s">
        <v>270</v>
      </c>
      <c r="BJ23" s="93" t="s">
        <v>270</v>
      </c>
      <c r="BK23" s="93" t="s">
        <v>270</v>
      </c>
      <c r="BL23" s="93" t="s">
        <v>270</v>
      </c>
      <c r="BM23" s="93" t="s">
        <v>270</v>
      </c>
      <c r="BN23" s="93" t="s">
        <v>270</v>
      </c>
      <c r="BO23" s="93" t="s">
        <v>270</v>
      </c>
      <c r="BP23" s="93" t="s">
        <v>270</v>
      </c>
    </row>
    <row r="24" spans="1:69">
      <c r="A24" s="93" t="s">
        <v>626</v>
      </c>
      <c r="B24" s="93" t="s">
        <v>738</v>
      </c>
      <c r="C24" s="93" t="s">
        <v>749</v>
      </c>
      <c r="D24" s="93">
        <v>41513</v>
      </c>
      <c r="E24" s="93" t="s">
        <v>750</v>
      </c>
      <c r="F24" s="93" t="s">
        <v>630</v>
      </c>
      <c r="G24" s="93" t="s">
        <v>631</v>
      </c>
      <c r="H24" s="93">
        <v>7.6654248817762181E-23</v>
      </c>
      <c r="I24" s="93" t="s">
        <v>270</v>
      </c>
      <c r="J24" s="93">
        <v>1.5401885613799999</v>
      </c>
      <c r="K24" s="93">
        <v>0.15401885613799998</v>
      </c>
      <c r="L24" s="93">
        <v>134.451219512195</v>
      </c>
      <c r="M24" s="93">
        <v>13.4451219512195</v>
      </c>
      <c r="N24" s="93">
        <v>13.311054905832478</v>
      </c>
      <c r="O24" s="93">
        <v>0.70773462548411936</v>
      </c>
      <c r="P24" s="93">
        <v>2.509419519956166</v>
      </c>
      <c r="Q24" s="93">
        <v>0.5816439224226938</v>
      </c>
      <c r="R24" s="93" t="s">
        <v>270</v>
      </c>
      <c r="S24" s="93" t="s">
        <v>270</v>
      </c>
      <c r="T24" s="93">
        <v>1.6750000000000003</v>
      </c>
      <c r="U24" s="93">
        <v>0.33071650948515291</v>
      </c>
      <c r="V24" s="93" t="s">
        <v>270</v>
      </c>
      <c r="W24" s="93" t="s">
        <v>270</v>
      </c>
      <c r="X24" s="93" t="s">
        <v>270</v>
      </c>
      <c r="Y24" s="93" t="s">
        <v>270</v>
      </c>
      <c r="Z24" s="93" t="s">
        <v>270</v>
      </c>
      <c r="AA24" s="93" t="s">
        <v>270</v>
      </c>
      <c r="AB24" s="93" t="s">
        <v>270</v>
      </c>
      <c r="AC24" s="93" t="s">
        <v>270</v>
      </c>
      <c r="AD24" s="93" t="s">
        <v>270</v>
      </c>
      <c r="AE24" s="93" t="s">
        <v>270</v>
      </c>
      <c r="AF24" s="93" t="s">
        <v>270</v>
      </c>
      <c r="AG24" s="93" t="s">
        <v>270</v>
      </c>
      <c r="AH24" s="93">
        <v>0.83826006051600843</v>
      </c>
      <c r="AI24" s="93">
        <v>8.3826006051600857E-2</v>
      </c>
      <c r="AJ24" s="93">
        <v>1.8833821355837319</v>
      </c>
      <c r="AK24" s="93">
        <v>0.52097290999925217</v>
      </c>
      <c r="AL24" s="93" t="s">
        <v>270</v>
      </c>
      <c r="AM24" s="93" t="s">
        <v>270</v>
      </c>
      <c r="AN24" s="93" t="s">
        <v>270</v>
      </c>
      <c r="AO24" s="93" t="s">
        <v>270</v>
      </c>
      <c r="AP24" s="93">
        <v>4.0752351097178688E-2</v>
      </c>
      <c r="AQ24" s="93">
        <v>3.1347962382445145E-2</v>
      </c>
      <c r="AR24" s="93" t="s">
        <v>270</v>
      </c>
      <c r="AS24" s="93" t="s">
        <v>270</v>
      </c>
      <c r="AT24" s="93" t="s">
        <v>270</v>
      </c>
      <c r="AU24" s="93" t="s">
        <v>270</v>
      </c>
      <c r="AV24" s="93" t="s">
        <v>270</v>
      </c>
      <c r="AW24" s="93" t="s">
        <v>270</v>
      </c>
      <c r="AX24" s="93" t="s">
        <v>270</v>
      </c>
      <c r="AY24" s="93" t="s">
        <v>270</v>
      </c>
      <c r="AZ24" s="93" t="s">
        <v>270</v>
      </c>
      <c r="BA24" s="93" t="s">
        <v>270</v>
      </c>
      <c r="BB24" s="93" t="s">
        <v>270</v>
      </c>
      <c r="BC24" s="93" t="s">
        <v>270</v>
      </c>
      <c r="BD24" s="93" t="s">
        <v>270</v>
      </c>
      <c r="BE24" s="93" t="s">
        <v>270</v>
      </c>
      <c r="BF24" s="93" t="s">
        <v>270</v>
      </c>
      <c r="BG24" s="93" t="s">
        <v>270</v>
      </c>
      <c r="BH24" s="93" t="s">
        <v>270</v>
      </c>
      <c r="BI24" s="93" t="s">
        <v>270</v>
      </c>
      <c r="BJ24" s="93" t="s">
        <v>270</v>
      </c>
      <c r="BK24" s="93" t="s">
        <v>270</v>
      </c>
      <c r="BL24" s="93" t="s">
        <v>270</v>
      </c>
      <c r="BM24" s="93" t="s">
        <v>270</v>
      </c>
      <c r="BN24" s="93" t="s">
        <v>270</v>
      </c>
      <c r="BO24" s="93" t="s">
        <v>270</v>
      </c>
      <c r="BP24" s="93" t="s">
        <v>270</v>
      </c>
    </row>
    <row r="25" spans="1:69">
      <c r="A25" s="93" t="s">
        <v>626</v>
      </c>
      <c r="B25" s="93" t="s">
        <v>738</v>
      </c>
      <c r="C25" s="93" t="s">
        <v>754</v>
      </c>
      <c r="D25" s="93">
        <v>41494</v>
      </c>
      <c r="E25" s="93" t="s">
        <v>755</v>
      </c>
      <c r="F25" s="93" t="s">
        <v>630</v>
      </c>
      <c r="G25" s="93" t="s">
        <v>631</v>
      </c>
      <c r="H25" s="93">
        <v>7.4896420943292289E-20</v>
      </c>
      <c r="I25" s="93" t="s">
        <v>270</v>
      </c>
      <c r="J25" s="93">
        <v>0.32665329450000002</v>
      </c>
      <c r="K25" s="93">
        <v>3.2665329450000002E-2</v>
      </c>
      <c r="L25" s="93">
        <v>100</v>
      </c>
      <c r="M25" s="93">
        <v>10</v>
      </c>
      <c r="N25" s="93">
        <v>12.183446506724509</v>
      </c>
      <c r="O25" s="93">
        <v>5.2957798946986401</v>
      </c>
      <c r="P25" s="93">
        <v>2.1739444994146124</v>
      </c>
      <c r="Q25" s="93">
        <v>0.51818979032839574</v>
      </c>
      <c r="R25" s="93" t="s">
        <v>270</v>
      </c>
      <c r="S25" s="93" t="s">
        <v>270</v>
      </c>
      <c r="T25" s="93">
        <v>0.77841526435995023</v>
      </c>
      <c r="U25" s="93">
        <v>2.4268883920683635</v>
      </c>
      <c r="V25" s="93" t="s">
        <v>270</v>
      </c>
      <c r="W25" s="93" t="s">
        <v>270</v>
      </c>
      <c r="X25" s="93" t="s">
        <v>270</v>
      </c>
      <c r="Y25" s="93" t="s">
        <v>270</v>
      </c>
      <c r="Z25" s="93" t="s">
        <v>270</v>
      </c>
      <c r="AA25" s="93" t="s">
        <v>270</v>
      </c>
      <c r="AB25" s="93" t="s">
        <v>270</v>
      </c>
      <c r="AC25" s="93" t="s">
        <v>270</v>
      </c>
      <c r="AD25" s="93" t="s">
        <v>270</v>
      </c>
      <c r="AE25" s="93" t="s">
        <v>270</v>
      </c>
      <c r="AF25" s="93" t="s">
        <v>270</v>
      </c>
      <c r="AG25" s="93" t="s">
        <v>270</v>
      </c>
      <c r="AH25" s="93">
        <v>0.36384084329675614</v>
      </c>
      <c r="AI25" s="93">
        <v>3.6384084329675617E-2</v>
      </c>
      <c r="AJ25" s="93">
        <v>0.80640092082419623</v>
      </c>
      <c r="AK25" s="93">
        <v>0.41575113371206673</v>
      </c>
      <c r="AL25" s="93" t="s">
        <v>270</v>
      </c>
      <c r="AM25" s="93" t="s">
        <v>270</v>
      </c>
      <c r="AN25" s="93" t="s">
        <v>270</v>
      </c>
      <c r="AO25" s="93" t="s">
        <v>270</v>
      </c>
      <c r="AP25" s="93">
        <v>-9.7178683385579945E-2</v>
      </c>
      <c r="AQ25" s="93">
        <v>3.1347962382445145E-2</v>
      </c>
      <c r="AR25" s="93">
        <v>6.0245520000000007E-7</v>
      </c>
      <c r="AS25" s="93">
        <v>1.3840000000000023E-8</v>
      </c>
      <c r="AT25" s="93">
        <v>1.2739999999999999E-7</v>
      </c>
      <c r="AU25" s="93">
        <v>1E-10</v>
      </c>
      <c r="AV25" s="93">
        <v>2.3440000000000001E-7</v>
      </c>
      <c r="AW25" s="93">
        <v>2.8000000000000002E-10</v>
      </c>
      <c r="AX25" s="93">
        <v>41849</v>
      </c>
      <c r="AY25" s="93">
        <v>4.5392110996515789E-8</v>
      </c>
      <c r="AZ25" s="93">
        <v>2.0751824592711546E-8</v>
      </c>
      <c r="BA25" s="93">
        <v>1.139146917693257E-8</v>
      </c>
      <c r="BB25" s="93">
        <v>5.8727904820985138E-9</v>
      </c>
      <c r="BC25" s="93">
        <v>1.8066565602312314</v>
      </c>
      <c r="BD25" s="93">
        <v>0.20259317765813623</v>
      </c>
      <c r="BE25" s="93">
        <v>7.0616419826551637E-8</v>
      </c>
      <c r="BF25" s="93">
        <v>1.5230045441655183E-15</v>
      </c>
      <c r="BG25" s="93">
        <v>0.37984904786961549</v>
      </c>
      <c r="BH25" s="93">
        <v>4.2536456596144204E-2</v>
      </c>
      <c r="BI25" s="93">
        <v>0.60871778156093237</v>
      </c>
      <c r="BJ25" s="93">
        <v>3.134028978938401E-2</v>
      </c>
      <c r="BK25" s="93">
        <v>4.4322825446866948E-8</v>
      </c>
      <c r="BL25" s="93">
        <v>1E-8</v>
      </c>
      <c r="BM25" s="93">
        <v>-1.5615530719369342</v>
      </c>
      <c r="BN25" s="93">
        <v>0.76393687107547881</v>
      </c>
      <c r="BO25" s="93" t="s">
        <v>923</v>
      </c>
      <c r="BP25" s="93" t="s">
        <v>270</v>
      </c>
      <c r="BQ25" s="93" t="s">
        <v>920</v>
      </c>
    </row>
    <row r="26" spans="1:69">
      <c r="A26" s="93" t="s">
        <v>626</v>
      </c>
      <c r="B26" s="93" t="s">
        <v>738</v>
      </c>
      <c r="C26" s="93" t="s">
        <v>759</v>
      </c>
      <c r="D26" s="93">
        <v>41492</v>
      </c>
      <c r="E26" s="93" t="s">
        <v>760</v>
      </c>
      <c r="F26" s="93" t="s">
        <v>630</v>
      </c>
      <c r="G26" s="93" t="s">
        <v>631</v>
      </c>
      <c r="H26" s="93">
        <v>3.9662851591043852E-22</v>
      </c>
      <c r="I26" s="93" t="s">
        <v>270</v>
      </c>
      <c r="J26" s="93">
        <v>0.23046814937999999</v>
      </c>
      <c r="K26" s="93">
        <v>2.3046814937999999E-2</v>
      </c>
      <c r="L26" s="93">
        <v>33.536585365853597</v>
      </c>
      <c r="M26" s="93">
        <v>3.3536585365853595</v>
      </c>
      <c r="N26" s="93">
        <v>16.534533379377248</v>
      </c>
      <c r="O26" s="93">
        <v>5.7001835755930461</v>
      </c>
      <c r="P26" s="93">
        <v>1.9757146881845247</v>
      </c>
      <c r="Q26" s="93">
        <v>0.49255115477968725</v>
      </c>
      <c r="R26" s="93" t="s">
        <v>270</v>
      </c>
      <c r="S26" s="93" t="s">
        <v>270</v>
      </c>
      <c r="T26" s="93">
        <v>0.64875536007504209</v>
      </c>
      <c r="U26" s="93">
        <v>2.2237835404956661</v>
      </c>
      <c r="V26" s="93" t="s">
        <v>270</v>
      </c>
      <c r="W26" s="93" t="s">
        <v>270</v>
      </c>
      <c r="X26" s="93" t="s">
        <v>270</v>
      </c>
      <c r="Y26" s="93" t="s">
        <v>270</v>
      </c>
      <c r="Z26" s="93" t="s">
        <v>270</v>
      </c>
      <c r="AA26" s="93" t="s">
        <v>270</v>
      </c>
      <c r="AB26" s="93" t="s">
        <v>270</v>
      </c>
      <c r="AC26" s="93" t="s">
        <v>270</v>
      </c>
      <c r="AD26" s="93" t="s">
        <v>270</v>
      </c>
      <c r="AE26" s="93" t="s">
        <v>270</v>
      </c>
      <c r="AF26" s="93" t="s">
        <v>270</v>
      </c>
      <c r="AG26" s="93" t="s">
        <v>270</v>
      </c>
      <c r="AH26" s="93">
        <v>0.30593820895975254</v>
      </c>
      <c r="AI26" s="93">
        <v>3.0593820895975257E-2</v>
      </c>
      <c r="AJ26" s="93">
        <v>0.78373266999477209</v>
      </c>
      <c r="AK26" s="93">
        <v>0.35137390787717537</v>
      </c>
      <c r="AL26" s="93" t="s">
        <v>270</v>
      </c>
      <c r="AM26" s="93" t="s">
        <v>270</v>
      </c>
      <c r="AN26" s="93" t="s">
        <v>270</v>
      </c>
      <c r="AO26" s="93" t="s">
        <v>270</v>
      </c>
      <c r="AP26" s="93">
        <v>-2.8213166144200625E-2</v>
      </c>
      <c r="AQ26" s="93">
        <v>3.1347962382445145E-2</v>
      </c>
      <c r="AR26" s="93">
        <v>5.343624E-7</v>
      </c>
      <c r="AS26" s="93">
        <v>1.3840000000000023E-8</v>
      </c>
      <c r="AT26" s="93">
        <v>1.5160000000000001E-7</v>
      </c>
      <c r="AU26" s="93">
        <v>1E-10</v>
      </c>
      <c r="AV26" s="93">
        <v>2.252E-7</v>
      </c>
      <c r="AW26" s="93">
        <v>2.8000000000000002E-10</v>
      </c>
      <c r="AX26" s="93">
        <v>41850</v>
      </c>
      <c r="AY26" s="93">
        <v>4.5038897305942524E-8</v>
      </c>
      <c r="AZ26" s="93">
        <v>1.6782750033852415E-8</v>
      </c>
      <c r="BA26" s="93">
        <v>1.0352744966086907E-8</v>
      </c>
      <c r="BB26" s="93">
        <v>4.6414642762130061E-9</v>
      </c>
      <c r="BC26" s="93">
        <v>2.3659795793955287</v>
      </c>
      <c r="BD26" s="93">
        <v>0.1896871803568615</v>
      </c>
      <c r="BE26" s="93">
        <v>9.6208357727970563E-8</v>
      </c>
      <c r="BF26" s="93">
        <v>1.6752810850931622E-15</v>
      </c>
      <c r="BG26" s="93">
        <v>0.34110420953752424</v>
      </c>
      <c r="BH26" s="93">
        <v>3.2452866993749621E-2</v>
      </c>
      <c r="BI26" s="93">
        <v>0.68113463797163132</v>
      </c>
      <c r="BJ26" s="93">
        <v>2.2864698400464869E-2</v>
      </c>
      <c r="BK26" s="93">
        <v>4.4322825446866948E-8</v>
      </c>
      <c r="BL26" s="93">
        <v>1E-8</v>
      </c>
      <c r="BM26" s="93">
        <v>0.45188296858297206</v>
      </c>
      <c r="BN26" s="93">
        <v>0.9280922905028961</v>
      </c>
      <c r="BO26" s="93" t="s">
        <v>924</v>
      </c>
      <c r="BP26" s="93" t="s">
        <v>270</v>
      </c>
      <c r="BQ26" s="93" t="s">
        <v>920</v>
      </c>
    </row>
    <row r="27" spans="1:69">
      <c r="A27" s="93" t="s">
        <v>626</v>
      </c>
      <c r="B27" s="93" t="s">
        <v>738</v>
      </c>
      <c r="C27" s="93" t="s">
        <v>764</v>
      </c>
      <c r="D27" s="93">
        <v>41500</v>
      </c>
      <c r="E27" s="93" t="s">
        <v>765</v>
      </c>
      <c r="F27" s="93" t="s">
        <v>630</v>
      </c>
      <c r="G27" s="93" t="s">
        <v>631</v>
      </c>
      <c r="H27" s="93">
        <v>2.702084205011311E-25</v>
      </c>
      <c r="I27" s="93" t="s">
        <v>270</v>
      </c>
      <c r="J27" s="93">
        <v>0.70302982272000003</v>
      </c>
      <c r="K27" s="93">
        <v>7.0302982272000006E-2</v>
      </c>
      <c r="L27" s="93">
        <v>100</v>
      </c>
      <c r="M27" s="93">
        <v>10</v>
      </c>
      <c r="N27" s="93">
        <v>16.026770947022722</v>
      </c>
      <c r="O27" s="93">
        <v>6.269614880309037</v>
      </c>
      <c r="P27" s="93">
        <v>6.0250203667649362</v>
      </c>
      <c r="Q27" s="93">
        <v>0.60876458450862603</v>
      </c>
      <c r="R27" s="93" t="s">
        <v>270</v>
      </c>
      <c r="S27" s="93" t="s">
        <v>270</v>
      </c>
      <c r="T27" s="93">
        <v>0.94763129270820234</v>
      </c>
      <c r="U27" s="93">
        <v>2.6586316019261811</v>
      </c>
      <c r="V27" s="93" t="s">
        <v>270</v>
      </c>
      <c r="W27" s="93" t="s">
        <v>270</v>
      </c>
      <c r="X27" s="93" t="s">
        <v>270</v>
      </c>
      <c r="Y27" s="93" t="s">
        <v>270</v>
      </c>
      <c r="Z27" s="93" t="s">
        <v>270</v>
      </c>
      <c r="AA27" s="93" t="s">
        <v>270</v>
      </c>
      <c r="AB27" s="93" t="s">
        <v>270</v>
      </c>
      <c r="AC27" s="93" t="s">
        <v>270</v>
      </c>
      <c r="AD27" s="93" t="s">
        <v>270</v>
      </c>
      <c r="AE27" s="93" t="s">
        <v>270</v>
      </c>
      <c r="AF27" s="93" t="s">
        <v>270</v>
      </c>
      <c r="AG27" s="93" t="s">
        <v>270</v>
      </c>
      <c r="AH27" s="93">
        <v>0.6550579842840405</v>
      </c>
      <c r="AI27" s="93">
        <v>6.5505798428404038E-2</v>
      </c>
      <c r="AJ27" s="93">
        <v>1.1395359127577844</v>
      </c>
      <c r="AK27" s="93">
        <v>0.48780567160062621</v>
      </c>
      <c r="AL27" s="93" t="s">
        <v>270</v>
      </c>
      <c r="AM27" s="93" t="s">
        <v>270</v>
      </c>
      <c r="AN27" s="93" t="s">
        <v>270</v>
      </c>
      <c r="AO27" s="93" t="s">
        <v>270</v>
      </c>
      <c r="AP27" s="93">
        <v>6.2695924764890288E-3</v>
      </c>
      <c r="AQ27" s="93">
        <v>3.1347962382445145E-2</v>
      </c>
      <c r="AR27" s="93">
        <v>3.3408718239223903E-8</v>
      </c>
      <c r="AS27" s="93">
        <v>1.384E-8</v>
      </c>
      <c r="AT27" s="93">
        <v>7.2802601683677401E-6</v>
      </c>
      <c r="AU27" s="93">
        <v>7.2802601683677404E-8</v>
      </c>
      <c r="AV27" s="93">
        <v>2.9755819573653701E-7</v>
      </c>
      <c r="AW27" s="93">
        <v>4.4633729360480602E-9</v>
      </c>
      <c r="AX27" s="93">
        <v>41754</v>
      </c>
      <c r="AY27" s="93">
        <v>4.4644603507763181E-8</v>
      </c>
      <c r="AZ27" s="93">
        <v>1.8571271658406156E-8</v>
      </c>
      <c r="BA27" s="93">
        <v>3.1571106721848266E-8</v>
      </c>
      <c r="BB27" s="93">
        <v>1.3514765364906022E-8</v>
      </c>
      <c r="BC27" s="93">
        <v>162.07146040484056</v>
      </c>
      <c r="BD27" s="93">
        <v>0.58227571260715738</v>
      </c>
      <c r="BE27" s="93">
        <v>7.2040444581381291E-6</v>
      </c>
      <c r="BF27" s="93">
        <v>5.4995522054342468E-13</v>
      </c>
      <c r="BG27" s="93">
        <v>1.9888961486081023E-2</v>
      </c>
      <c r="BH27" s="93">
        <v>1.1914097142713917E-2</v>
      </c>
      <c r="BI27" s="93">
        <v>0.99384101820851489</v>
      </c>
      <c r="BJ27" s="93">
        <v>1.1834655769615513E-2</v>
      </c>
      <c r="BK27" s="93">
        <v>4.4322825446866948E-8</v>
      </c>
      <c r="BL27" s="93">
        <v>1E-8</v>
      </c>
      <c r="BM27" s="93">
        <v>-72.606667391441391</v>
      </c>
      <c r="BN27" s="93">
        <v>49.816779410449939</v>
      </c>
      <c r="BO27" s="93" t="s">
        <v>923</v>
      </c>
      <c r="BP27" s="93" t="s">
        <v>270</v>
      </c>
      <c r="BQ27" s="93" t="s">
        <v>920</v>
      </c>
    </row>
  </sheetData>
  <sortState xmlns:xlrd2="http://schemas.microsoft.com/office/spreadsheetml/2017/richdata2" ref="A2:BQ27">
    <sortCondition ref="A5:A30"/>
    <sortCondition ref="B5:B30"/>
    <sortCondition ref="C5:C30"/>
    <sortCondition ref="D5:D30"/>
  </sortState>
  <pageMargins left="0.7" right="0.7" top="0.75" bottom="0.75" header="0.3" footer="0.3"/>
</worksheet>
</file>

<file path=customUI/_rels/customUI14.xml.rels><?xml version="1.0" encoding="UTF-8" standalone="yes"?>
<Relationships xmlns="http://schemas.openxmlformats.org/package/2006/relationships"><Relationship Id="BeakerPlusCalc" Type="http://schemas.openxmlformats.org/officeDocument/2006/relationships/image" Target="images/BeakerPlusCalc.jpg"/></Relationships>
</file>

<file path=customUI/customUI14.xml><?xml version="1.0" encoding="utf-8"?>
<customUI xmlns="http://schemas.microsoft.com/office/2009/07/customui">
  <ribbon>
    <tabs>
      <tab id="customTab" label="DGMETA" insertAfterMso="TabHome">
        <group id="customGroup3" label="Database">
          <button id="UpdateDB" label="Update Gas Database" size="large" onAction="SetGasDatabase" imageMso="AdpStoredProcedureQueryAppendValues" screentip="Click this button to apply changes made to the gas Database worksheet."/>
          <button id="ResetDB" label="Select Gas Database" size="large" onAction="SetDefaultDatabase" imageMso="ChartResetToMatchStyle" screentip="Click this button to select the solubility gas data used by the program: Default is He_Weiss, Ne_Weiss, Ar_Weiss, Kr_Weiss, Xe_Clvr, N2_Weiss, O2_B_K, CO2_Weiss_F, CH4_Wies, CO_Wies, H2_Wies, N2O_Weiss_F, CFC11_Warner, CFC12_Warner, CFC113_Bu, SF6_Bull, H1301_B."/>
        </group>
        <group id="customGroup2" label="Graphing">
          <button id="customButton4" label="Gas Solubilities" size="large" onAction="OpenSolGraphForm" imageMso="ChartTrendline" screentip="Click this button to graph any gas solubility data listed in the gas Database worksheet."/>
          <button id="customButton6" label="Gas-Gas Plots" size="large" onAction="CreateGraphs" imageMso="ChartTrendline" screentip="Click this button to graph gas samples in relation to dissolved gas models."/>
        </group>
        <group id="customGroup1" label="Modeling and Tracer Calculations">
          <button id="customButton1" label="Dissolved Gas Modeling" size="large" onAction="OpenGasForm" image="BeakerPlusCalc" screentip="Click this button to calibrate dissolved gas models to measured data by least-squares parameter estimation for temperature, excess air, fractionation, elevation (pressure), or salinity."/>
          <button id="customButton2" label="Env. Tracer Calcs" size="large" onAction="CalculateTracerConccentrations" imageMso="FunctionWizard" screentip="Click this button to compute environmental tracer concentrations for dissolved gas models listed in a ModOut file"/>
        </group>
        <group id="Format" label="Formatting">
          <button id="customButton3" label="Collapse Tracer Calcs" size="large" onAction="OneValueAverage" imageMso="TableStyleTotalsRow" screentip="Click this button to collapse multiple tracer results into a single row using the average value of the results."/>
          <button id="customButton7" label="Output to flat-file" size="large" onAction="ReformatDGMETAout" imageMso="CacheListData" screentip="Click this button to reformat a ModOut, TrcOut, or AvgVal worksheet into flat file for expor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SuppInfo</vt:lpstr>
      <vt:lpstr>Database</vt:lpstr>
      <vt:lpstr>Input_Gases</vt:lpstr>
      <vt:lpstr>Input_Tracers</vt:lpstr>
      <vt:lpstr>TX_Graphs</vt:lpstr>
      <vt:lpstr>TX_Final_ModOut</vt:lpstr>
      <vt:lpstr>TX_TrcOut</vt:lpstr>
      <vt:lpstr>TX_AvgVal</vt:lpstr>
      <vt:lpstr>TX_AvgFlt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Jurgens, Bryant</dc:creator>
  <cp:lastModifiedBy>Jurgens, Bryant</cp:lastModifiedBy>
  <dcterms:created xsi:type="dcterms:W3CDTF">2018-08-13T19:00:22Z</dcterms:created>
  <dcterms:modified xsi:type="dcterms:W3CDTF">2020-11-19T19:18:33Z</dcterms:modified>
</cp:coreProperties>
</file>