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Reports\ReportDrafts\DissolvedGasModeler\Examples\"/>
    </mc:Choice>
  </mc:AlternateContent>
  <xr:revisionPtr revIDLastSave="0" documentId="10_ncr:100000_{13F9BCA7-3DE0-439C-AC8C-F78EAA982210}" xr6:coauthVersionLast="31" xr6:coauthVersionMax="31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4" i="3" l="1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W61" i="2"/>
  <c r="W60" i="2"/>
  <c r="W59" i="2"/>
  <c r="W58" i="2"/>
  <c r="W57" i="2"/>
  <c r="W56" i="2"/>
  <c r="W55" i="2"/>
  <c r="T54" i="2"/>
  <c r="AM43" i="2"/>
  <c r="AP43" i="2" s="1"/>
  <c r="AQ43" i="2" s="1"/>
  <c r="AL43" i="2"/>
  <c r="AJ43" i="2"/>
  <c r="AM42" i="2"/>
  <c r="AP42" i="2" s="1"/>
  <c r="AQ42" i="2" s="1"/>
  <c r="AL42" i="2"/>
  <c r="AJ42" i="2"/>
  <c r="AM41" i="2"/>
  <c r="AP41" i="2" s="1"/>
  <c r="AQ41" i="2" s="1"/>
  <c r="AL41" i="2"/>
  <c r="AJ41" i="2"/>
  <c r="AM39" i="2"/>
  <c r="AP39" i="2" s="1"/>
  <c r="AQ39" i="2" s="1"/>
  <c r="AL39" i="2"/>
  <c r="AJ39" i="2"/>
  <c r="AM38" i="2"/>
  <c r="AP38" i="2" s="1"/>
  <c r="AQ38" i="2" s="1"/>
  <c r="AL38" i="2"/>
  <c r="AJ38" i="2"/>
  <c r="AM37" i="2"/>
  <c r="AP37" i="2" s="1"/>
  <c r="AQ37" i="2" s="1"/>
  <c r="AL37" i="2"/>
  <c r="AJ37" i="2"/>
  <c r="AK43" i="2" s="1"/>
  <c r="AN43" i="2" s="1"/>
  <c r="AO43" i="2" s="1"/>
  <c r="AK37" i="2" l="1"/>
  <c r="AN37" i="2" s="1"/>
  <c r="AO37" i="2" s="1"/>
  <c r="AK38" i="2"/>
  <c r="AN38" i="2" s="1"/>
  <c r="AO38" i="2" s="1"/>
  <c r="AK39" i="2"/>
  <c r="AN39" i="2" s="1"/>
  <c r="AO39" i="2" s="1"/>
  <c r="AK41" i="2"/>
  <c r="AN41" i="2" s="1"/>
  <c r="AO41" i="2" s="1"/>
  <c r="AK42" i="2"/>
  <c r="AN42" i="2" s="1"/>
  <c r="AO4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7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6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<sst xmlns="http://schemas.openxmlformats.org/spreadsheetml/2006/main" count="1023" uniqueCount="334">
  <si>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</si>
  <si>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</si>
  <si>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</si>
  <si>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</si>
  <si>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</si>
  <si>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</si>
  <si>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</si>
  <si>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</si>
  <si>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</si>
  <si>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</si>
  <si>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</si>
  <si>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</si>
  <si>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</si>
  <si>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</si>
  <si>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</si>
  <si>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</si>
  <si>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</si>
  <si>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</si>
  <si>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</si>
  <si>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</si>
  <si>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</si>
  <si>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</si>
  <si>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</si>
  <si>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</si>
  <si>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</si>
  <si>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</si>
  <si>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</si>
  <si>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</si>
  <si>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</si>
  <si>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</si>
  <si>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</si>
  <si>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</si>
  <si>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</si>
  <si>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</si>
  <si>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</si>
  <si>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</si>
  <si>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</si>
  <si>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</si>
  <si>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</si>
  <si>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</si>
  <si>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</si>
  <si>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</si>
  <si>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</si>
  <si>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Diffusivity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</si>
  <si>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</si>
  <si>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</si>
  <si>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</si>
  <si>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</si>
  <si>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</si>
  <si>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</si>
  <si>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</si>
  <si>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</si>
  <si>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</si>
  <si>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</si>
  <si>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</si>
  <si>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</si>
  <si>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</si>
  <si>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</si>
  <si>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</si>
  <si>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</si>
  <si>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</si>
  <si>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</si>
  <si>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</si>
  <si>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Molar Volume at STP</t>
  </si>
  <si>
    <t>Gas Density (g/L) at STP</t>
  </si>
  <si>
    <t>Molar Mass</t>
  </si>
  <si>
    <t>Dry Air Mixing Ratio</t>
  </si>
  <si>
    <t>Solubility reference</t>
  </si>
  <si>
    <t>Activation energy, Ea</t>
  </si>
  <si>
    <t>A</t>
  </si>
  <si>
    <t>Diffusivity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</si>
  <si>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</si>
  <si>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</si>
  <si>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</si>
  <si>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</si>
  <si>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</si>
  <si>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</si>
  <si>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</si>
  <si>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</si>
  <si>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</si>
  <si>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</si>
  <si>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</si>
  <si>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</si>
  <si>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</si>
  <si>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</si>
  <si>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</si>
  <si>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</si>
  <si>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</si>
  <si>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</si>
  <si>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</si>
  <si>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</si>
  <si>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</si>
  <si>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</si>
  <si>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</si>
  <si>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</si>
  <si>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</si>
  <si>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T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</si>
  <si>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</si>
  <si>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</si>
  <si>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</si>
  <si>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</si>
  <si>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</si>
  <si>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</si>
  <si>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</si>
  <si>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</si>
  <si>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</si>
  <si>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</si>
  <si>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</si>
  <si>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</si>
  <si>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</si>
  <si>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</si>
  <si>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</si>
  <si>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</si>
  <si>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</si>
  <si>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</si>
  <si>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</si>
  <si>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</si>
  <si>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</si>
  <si>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</si>
  <si>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</si>
  <si>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</si>
  <si>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</si>
  <si>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</si>
  <si>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</si>
  <si>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</si>
  <si>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</si>
  <si>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</si>
  <si>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</si>
  <si>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</si>
  <si>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</si>
  <si>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</si>
  <si>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</si>
  <si>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</si>
  <si>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</si>
  <si>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</si>
  <si>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</si>
  <si>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</si>
  <si>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</si>
  <si>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</si>
  <si>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</si>
  <si>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</si>
  <si>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</si>
  <si>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</si>
  <si>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</si>
  <si>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</si>
  <si>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</si>
  <si>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</si>
  <si>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</si>
  <si>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</si>
  <si>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</si>
  <si>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</si>
  <si>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</si>
  <si>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</si>
  <si>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</si>
  <si>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</si>
  <si>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</si>
  <si>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</si>
  <si>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</si>
  <si>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</si>
  <si>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</si>
  <si>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</si>
  <si>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</si>
  <si>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</si>
  <si>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</si>
  <si>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</si>
  <si>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</si>
  <si>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</si>
  <si>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</si>
  <si>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</si>
  <si>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</si>
  <si>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</si>
  <si>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</si>
  <si>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</si>
  <si>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</si>
  <si>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</si>
  <si>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</si>
  <si>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</si>
  <si>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</si>
  <si>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</si>
  <si>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</si>
  <si>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</si>
  <si>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</si>
  <si>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Salinity</t>
  </si>
  <si>
    <t>Elevation</t>
  </si>
  <si>
    <t>Temp.</t>
  </si>
  <si>
    <t>Excess Air</t>
  </si>
  <si>
    <t>Fractionation</t>
  </si>
  <si>
    <t>Excess N2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</si>
  <si>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</si>
  <si>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</si>
  <si>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</si>
  <si>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</si>
  <si>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</si>
  <si>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</si>
  <si>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</si>
  <si>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</si>
  <si>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</si>
  <si>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</si>
  <si>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</si>
  <si>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</si>
  <si>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</si>
  <si>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</si>
  <si>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</si>
  <si>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</si>
  <si>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</si>
  <si>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</si>
  <si>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</si>
  <si>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mmol/L</t>
  </si>
  <si>
    <t>Denver Hunt</t>
  </si>
  <si>
    <t>Denver QC</t>
  </si>
  <si>
    <t>AEW #7</t>
  </si>
  <si>
    <t>AEW10</t>
  </si>
  <si>
    <t>AEW11</t>
  </si>
  <si>
    <t>AEW2</t>
  </si>
  <si>
    <t>AEW6</t>
  </si>
  <si>
    <t>AEW7</t>
  </si>
  <si>
    <t>AEW8</t>
  </si>
  <si>
    <t>AEW9</t>
  </si>
  <si>
    <t>AEW#13</t>
  </si>
  <si>
    <t>AEW#14</t>
  </si>
  <si>
    <t>AEW#4</t>
  </si>
  <si>
    <t>AEW#6</t>
  </si>
  <si>
    <t>AEW#8</t>
  </si>
  <si>
    <t>AEW12</t>
  </si>
  <si>
    <t>AEW3</t>
  </si>
  <si>
    <t>AEW-13-11/2014</t>
  </si>
  <si>
    <t>AEW-18-11/2014</t>
  </si>
  <si>
    <t>AEW #1</t>
  </si>
  <si>
    <t>AEW #10</t>
  </si>
  <si>
    <t xml:space="preserve">AEW #14 </t>
  </si>
  <si>
    <t>AEW #20</t>
  </si>
  <si>
    <t>AEW 8</t>
  </si>
  <si>
    <t xml:space="preserve">AEW #17 </t>
  </si>
  <si>
    <t xml:space="preserve">AEW #15 </t>
  </si>
  <si>
    <t>AEW #3</t>
  </si>
  <si>
    <t>AEW12 11-20-14</t>
  </si>
  <si>
    <t>AEW12 s11-20-14</t>
  </si>
  <si>
    <t>AEW16 11-20-14</t>
  </si>
  <si>
    <t>AEW4 11-2014</t>
  </si>
  <si>
    <t>AEW5 11-20-14</t>
  </si>
  <si>
    <t>AEW6 11-2014</t>
  </si>
  <si>
    <t>AEW #12</t>
  </si>
  <si>
    <t>AEW #1 7-2015</t>
  </si>
  <si>
    <t>AEW #2</t>
  </si>
  <si>
    <t>AEW #4 7-2015</t>
  </si>
  <si>
    <t>AEW#15</t>
  </si>
  <si>
    <t>AEW#20</t>
  </si>
  <si>
    <t>AEW#3 7-2015</t>
  </si>
  <si>
    <t>AEW#5</t>
  </si>
  <si>
    <t>AEW #15</t>
  </si>
  <si>
    <t>AEW #17</t>
  </si>
  <si>
    <t>AEW #19</t>
  </si>
  <si>
    <t>AEW #22</t>
  </si>
  <si>
    <t>AEW #9</t>
  </si>
  <si>
    <t>AEW#1</t>
  </si>
  <si>
    <t>AEW#16</t>
  </si>
  <si>
    <t>AEW#18</t>
  </si>
  <si>
    <t>AEW#2</t>
  </si>
  <si>
    <t>AEW#25</t>
  </si>
  <si>
    <t>AEW#26</t>
  </si>
  <si>
    <t>AEW#3</t>
  </si>
  <si>
    <t>AEW#7</t>
  </si>
  <si>
    <t>AEW #4</t>
  </si>
  <si>
    <t xml:space="preserve">AEW #5 </t>
  </si>
  <si>
    <t>AEW #14 4/8/16</t>
  </si>
  <si>
    <t>AEW #17 4/8/16</t>
  </si>
  <si>
    <t>AEW #30 4/8/16</t>
  </si>
  <si>
    <t>AEW#1 4/8/15</t>
  </si>
  <si>
    <t>AEW#11</t>
  </si>
  <si>
    <t>AEW#16 4/8/16</t>
  </si>
  <si>
    <t>AEW#18 4/8/16</t>
  </si>
  <si>
    <t>AEW#21</t>
  </si>
  <si>
    <t>AEW#23 4/8/16</t>
  </si>
  <si>
    <t>AEW#25 4/8/16</t>
  </si>
  <si>
    <t>AEW#27</t>
  </si>
  <si>
    <t>AEW#29 4/8/16</t>
  </si>
  <si>
    <t>AEW#31</t>
  </si>
  <si>
    <t>AEW#5 4/8/16</t>
  </si>
  <si>
    <t>AEW#9 4/8/16</t>
  </si>
  <si>
    <t>AEW #1 1/9/17</t>
  </si>
  <si>
    <t>AEW #12 1/9/17</t>
  </si>
  <si>
    <t>AEW #14 1/9/17</t>
  </si>
  <si>
    <t>AEW #15 1/9/17</t>
  </si>
  <si>
    <t>AEW #16</t>
  </si>
  <si>
    <t>AEW #21 1/9/17</t>
  </si>
  <si>
    <t>AEW #23 1/9/17</t>
  </si>
  <si>
    <t>AEW #6 1/9/17</t>
  </si>
  <si>
    <t>AEW #8 1/9/17</t>
  </si>
  <si>
    <t>AEW #9 1/9/17</t>
  </si>
  <si>
    <t>AEW#10 1/9/17</t>
  </si>
  <si>
    <t>AEW#18 1/9/17</t>
  </si>
  <si>
    <t>AEW#19 1/9/17</t>
  </si>
  <si>
    <t>AEW#20 1/9/17</t>
  </si>
  <si>
    <t>AEW#22 1/9/17</t>
  </si>
  <si>
    <t>AEW #21 4/24/17</t>
  </si>
  <si>
    <t>AEW #24</t>
  </si>
  <si>
    <t>AEW #30</t>
  </si>
  <si>
    <t>AEW #5</t>
  </si>
  <si>
    <t>AEW#18 4/24/17</t>
  </si>
  <si>
    <t>AEW #21</t>
  </si>
  <si>
    <t>AEW #26</t>
  </si>
  <si>
    <t>AEW #8</t>
  </si>
  <si>
    <t>Sano</t>
  </si>
  <si>
    <t>Seawater</t>
  </si>
  <si>
    <t>SW-#7_1_C</t>
  </si>
  <si>
    <t>SW-#8_5.5_C</t>
  </si>
  <si>
    <t>SW-#9_10_C</t>
  </si>
  <si>
    <t>SW-#10_14.4_C</t>
  </si>
  <si>
    <t>SW-#11_17_C</t>
  </si>
  <si>
    <t>SW-#12_21.3_C</t>
  </si>
  <si>
    <t>SW-#13_24.6_C</t>
  </si>
  <si>
    <t>SW-#14_29.6_C</t>
  </si>
  <si>
    <t>Tritium-Helium analysis</t>
  </si>
  <si>
    <t>Select Atmospheric Gas Tracers To Compute Dry Air Mixing Ratios</t>
  </si>
  <si>
    <t>State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</si>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</sst>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E+00"/>
    <numFmt numFmtId="166" formatCode="dd\-mmm\-yy"/>
  </numFmts>
  <fonts count="25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0" fontId="2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0" fontId="13" fillId="0" borderId="0" xfId="3" applyFont="1" applyFill="1" applyBorder="1"/>
    <xf numFmtId="14" fontId="13" fillId="0" borderId="0" xfId="3" applyNumberFormat="1" applyFont="1" applyFill="1" applyBorder="1"/>
    <xf numFmtId="0" fontId="13" fillId="0" borderId="0" xfId="3" applyNumberFormat="1" applyFont="1" applyFill="1" applyBorder="1"/>
    <xf numFmtId="0" fontId="13" fillId="0" borderId="0" xfId="4" applyFont="1" applyFill="1" applyBorder="1"/>
    <xf numFmtId="0" fontId="13" fillId="0" borderId="0" xfId="1" applyFont="1" applyFill="1" applyBorder="1"/>
    <xf numFmtId="14" fontId="13" fillId="0" borderId="0" xfId="1" applyNumberFormat="1" applyFont="1" applyFill="1" applyBorder="1"/>
    <xf numFmtId="0" fontId="13" fillId="0" borderId="0" xfId="1" applyNumberFormat="1" applyFont="1" applyFill="1" applyBorder="1"/>
    <xf numFmtId="11" fontId="13" fillId="0" borderId="0" xfId="6" applyNumberFormat="1" applyFont="1" applyFill="1" applyBorder="1"/>
    <xf numFmtId="0" fontId="13" fillId="0" borderId="0" xfId="7" applyFont="1" applyFill="1" applyBorder="1"/>
    <xf numFmtId="11" fontId="13" fillId="0" borderId="0" xfId="3" applyNumberFormat="1" applyFont="1" applyFill="1" applyBorder="1"/>
    <xf numFmtId="0" fontId="21" fillId="0" borderId="6" xfId="9" applyFont="1" applyFill="1" applyBorder="1" applyAlignment="1"/>
    <xf numFmtId="166" fontId="21" fillId="0" borderId="6" xfId="9" applyNumberFormat="1" applyFont="1" applyFill="1" applyBorder="1" applyAlignment="1">
      <alignment horizontal="right"/>
    </xf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4" xfId="1" applyFont="1" applyFill="1" applyBorder="1" applyAlignment="1">
      <alignment horizontal="center"/>
    </xf>
    <xf numFmtId="165" fontId="18" fillId="2" borderId="8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4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4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7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Normal_Sheet1" xfId="9" xr:uid="{D4055AC7-E3C4-47A4-9C32-EE704D48A7CA}"/>
    <cellStyle name="Percent 2" xfId="5" xr:uid="{A58930ED-928F-4D0E-9C24-E8015B30BC41}"/>
    <cellStyle name="Percent 3" xfId="10" xr:uid="{1E034E1B-B4D7-4FB3-9D90-A7A2FAF4C44A}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Q90"/>
  <sheetViews>
    <sheetView topLeftCell="K34" zoomScale="98" zoomScaleNormal="98" workbookViewId="0">
      <selection activeCell="X48" sqref="X48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0.33203125" style="2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54" t="s">
        <v>8</v>
      </c>
      <c r="D6" s="54"/>
      <c r="E6" s="54"/>
      <c r="F6" s="54"/>
      <c r="G6" s="54"/>
    </row>
    <row r="7" spans="1:31">
      <c r="A7" s="3" t="s">
        <v>9</v>
      </c>
      <c r="B7" s="6" t="s">
        <v>10</v>
      </c>
      <c r="C7" s="53" t="s">
        <v>11</v>
      </c>
      <c r="D7" s="53"/>
      <c r="E7" s="53"/>
      <c r="F7" s="53"/>
      <c r="G7" s="53"/>
    </row>
    <row r="8" spans="1:31">
      <c r="A8" s="3" t="s">
        <v>12</v>
      </c>
      <c r="B8" s="6" t="s">
        <v>13</v>
      </c>
      <c r="C8" s="53" t="s">
        <v>14</v>
      </c>
      <c r="D8" s="53"/>
      <c r="E8" s="53"/>
      <c r="F8" s="53"/>
      <c r="G8" s="53"/>
    </row>
    <row r="9" spans="1:31">
      <c r="A9" s="3" t="s">
        <v>15</v>
      </c>
      <c r="B9" s="6" t="s">
        <v>16</v>
      </c>
      <c r="C9" s="53" t="s">
        <v>17</v>
      </c>
      <c r="D9" s="53"/>
      <c r="E9" s="53"/>
      <c r="F9" s="53"/>
      <c r="G9" s="53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54" t="s">
        <v>8</v>
      </c>
      <c r="C12" s="54"/>
      <c r="D12" s="54"/>
      <c r="E12" s="54"/>
      <c r="F12" s="54"/>
      <c r="G12" s="54"/>
      <c r="H12" s="54"/>
      <c r="I12" s="54"/>
    </row>
    <row r="13" spans="1:31">
      <c r="A13" s="2" t="s">
        <v>20</v>
      </c>
      <c r="B13" s="53" t="s">
        <v>21</v>
      </c>
      <c r="C13" s="53"/>
      <c r="D13" s="53"/>
      <c r="E13" s="53"/>
      <c r="F13" s="53"/>
      <c r="G13" s="53"/>
      <c r="H13" s="53"/>
      <c r="I13" s="53"/>
    </row>
    <row r="14" spans="1:31">
      <c r="A14" s="2" t="s">
        <v>22</v>
      </c>
      <c r="B14" s="53" t="s">
        <v>23</v>
      </c>
      <c r="C14" s="53"/>
      <c r="D14" s="53"/>
      <c r="E14" s="53"/>
      <c r="F14" s="53"/>
      <c r="G14" s="53"/>
      <c r="H14" s="53"/>
      <c r="I14" s="53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4">
      <c r="A17" s="2">
        <v>401900000000000</v>
      </c>
      <c r="B17" s="2" t="s">
        <v>25</v>
      </c>
    </row>
    <row r="18" spans="1:34">
      <c r="A18" s="2">
        <v>3.19</v>
      </c>
      <c r="B18" s="2" t="s">
        <v>26</v>
      </c>
    </row>
    <row r="20" spans="1:34" ht="15.75">
      <c r="A20" s="1" t="s">
        <v>27</v>
      </c>
    </row>
    <row r="21" spans="1:34">
      <c r="A21" s="10" t="s">
        <v>8</v>
      </c>
      <c r="B21" s="5" t="s">
        <v>28</v>
      </c>
      <c r="C21" s="54" t="s">
        <v>29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</row>
    <row r="22" spans="1:34" ht="18.75">
      <c r="A22" s="2" t="s">
        <v>30</v>
      </c>
      <c r="B22" s="6">
        <v>1</v>
      </c>
      <c r="C22" s="51" t="s">
        <v>31</v>
      </c>
      <c r="D22" s="51"/>
      <c r="E22" s="51"/>
      <c r="F22" s="51"/>
      <c r="G22" s="51"/>
      <c r="H22" s="51"/>
      <c r="I22" s="51"/>
      <c r="J22" s="51"/>
      <c r="K22" s="51"/>
      <c r="L22" s="51"/>
      <c r="M22" s="51"/>
    </row>
    <row r="23" spans="1:34" ht="18.75">
      <c r="A23" s="2" t="s">
        <v>32</v>
      </c>
      <c r="B23" s="6">
        <v>2</v>
      </c>
      <c r="C23" s="51" t="s">
        <v>33</v>
      </c>
      <c r="D23" s="51"/>
      <c r="E23" s="51"/>
      <c r="F23" s="51"/>
      <c r="G23" s="51"/>
      <c r="H23" s="51"/>
      <c r="I23" s="51"/>
      <c r="J23" s="51"/>
      <c r="K23" s="51"/>
      <c r="L23" s="51"/>
      <c r="M23" s="51"/>
    </row>
    <row r="24" spans="1:34" ht="18">
      <c r="A24" s="2" t="s">
        <v>34</v>
      </c>
      <c r="B24" s="6">
        <v>3</v>
      </c>
      <c r="C24" s="51" t="s">
        <v>35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</row>
    <row r="25" spans="1:34" ht="18.75">
      <c r="A25" s="2" t="s">
        <v>36</v>
      </c>
      <c r="B25" s="6">
        <v>4</v>
      </c>
      <c r="C25" s="51" t="s">
        <v>37</v>
      </c>
      <c r="D25" s="51"/>
      <c r="E25" s="51"/>
      <c r="F25" s="51"/>
      <c r="G25" s="51"/>
      <c r="H25" s="51"/>
      <c r="I25" s="51"/>
      <c r="J25" s="51"/>
      <c r="K25" s="51"/>
      <c r="L25" s="51"/>
      <c r="M25" s="51"/>
    </row>
    <row r="26" spans="1:34" ht="18.75">
      <c r="A26" s="2" t="s">
        <v>38</v>
      </c>
      <c r="B26" s="6">
        <v>5</v>
      </c>
      <c r="C26" s="51" t="s">
        <v>39</v>
      </c>
      <c r="D26" s="51"/>
      <c r="E26" s="51"/>
      <c r="F26" s="51"/>
      <c r="G26" s="51"/>
      <c r="H26" s="51"/>
      <c r="I26" s="51"/>
      <c r="J26" s="51"/>
      <c r="K26" s="51"/>
      <c r="L26" s="51"/>
      <c r="M26" s="51"/>
    </row>
    <row r="27" spans="1:34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4" ht="15.75">
      <c r="A29" s="1" t="s">
        <v>41</v>
      </c>
      <c r="E29" s="52" t="s">
        <v>42</v>
      </c>
      <c r="F29" s="52"/>
      <c r="G29" s="52"/>
      <c r="H29" s="52"/>
      <c r="I29" s="52"/>
      <c r="J29" s="52"/>
      <c r="K29" s="52"/>
      <c r="L29" s="52"/>
      <c r="M29" s="52"/>
      <c r="N29" s="52"/>
      <c r="O29" s="52"/>
      <c r="Y29" s="52" t="s">
        <v>43</v>
      </c>
      <c r="Z29" s="52"/>
      <c r="AA29" s="52"/>
      <c r="AB29" s="12"/>
      <c r="AC29" s="52" t="s">
        <v>44</v>
      </c>
      <c r="AD29" s="52"/>
      <c r="AE29" s="52"/>
      <c r="AF29" s="52"/>
      <c r="AG29" s="52"/>
      <c r="AH29" s="52"/>
    </row>
    <row r="30" spans="1:34" ht="78">
      <c r="A30" s="5" t="s">
        <v>45</v>
      </c>
      <c r="B30" s="5" t="s">
        <v>46</v>
      </c>
      <c r="C30" s="5" t="s">
        <v>47</v>
      </c>
      <c r="D30" s="5" t="s">
        <v>48</v>
      </c>
      <c r="E30" s="5" t="s">
        <v>49</v>
      </c>
      <c r="F30" s="5" t="s">
        <v>50</v>
      </c>
      <c r="G30" s="5" t="s">
        <v>51</v>
      </c>
      <c r="H30" s="5" t="s">
        <v>52</v>
      </c>
      <c r="I30" s="5" t="s">
        <v>53</v>
      </c>
      <c r="J30" s="5" t="s">
        <v>54</v>
      </c>
      <c r="K30" s="5" t="s">
        <v>55</v>
      </c>
      <c r="L30" s="5" t="s">
        <v>56</v>
      </c>
      <c r="M30" s="5" t="s">
        <v>57</v>
      </c>
      <c r="N30" s="5" t="s">
        <v>58</v>
      </c>
      <c r="O30" s="5" t="s">
        <v>59</v>
      </c>
      <c r="P30" s="5" t="s">
        <v>60</v>
      </c>
      <c r="Q30" s="5" t="s">
        <v>61</v>
      </c>
      <c r="R30" s="5" t="s">
        <v>329</v>
      </c>
      <c r="S30" s="5" t="s">
        <v>62</v>
      </c>
      <c r="T30" s="5" t="s">
        <v>63</v>
      </c>
      <c r="U30" s="5" t="s">
        <v>64</v>
      </c>
      <c r="V30" s="5" t="s">
        <v>65</v>
      </c>
      <c r="W30" s="5" t="s">
        <v>66</v>
      </c>
      <c r="X30" s="5" t="s">
        <v>67</v>
      </c>
      <c r="Y30" s="5" t="s">
        <v>68</v>
      </c>
      <c r="Z30" s="5" t="s">
        <v>69</v>
      </c>
      <c r="AA30" s="5" t="s">
        <v>70</v>
      </c>
      <c r="AB30" s="13" t="s">
        <v>71</v>
      </c>
      <c r="AC30" s="13" t="s">
        <v>72</v>
      </c>
      <c r="AD30" s="13" t="s">
        <v>73</v>
      </c>
      <c r="AE30" s="13" t="s">
        <v>74</v>
      </c>
      <c r="AF30" s="13" t="s">
        <v>75</v>
      </c>
      <c r="AG30" s="13" t="s">
        <v>76</v>
      </c>
      <c r="AH30" s="13" t="s">
        <v>77</v>
      </c>
    </row>
    <row r="31" spans="1:34">
      <c r="A31" s="6" t="s">
        <v>78</v>
      </c>
      <c r="B31" s="2" t="s">
        <v>79</v>
      </c>
      <c r="C31" s="2" t="s">
        <v>80</v>
      </c>
      <c r="D31" s="2" t="s">
        <v>81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82</v>
      </c>
      <c r="J31" s="14" t="s">
        <v>82</v>
      </c>
      <c r="K31" s="2">
        <v>-4.4781000000000001E-2</v>
      </c>
      <c r="L31" s="2">
        <v>2.3540999999999999E-2</v>
      </c>
      <c r="M31" s="2">
        <v>-3.4266000000000001E-3</v>
      </c>
      <c r="N31" s="14" t="s">
        <v>82</v>
      </c>
      <c r="O31" s="14" t="s">
        <v>82</v>
      </c>
      <c r="P31" s="2" t="s">
        <v>83</v>
      </c>
      <c r="Q31" s="2">
        <v>1</v>
      </c>
      <c r="R31" s="2" t="s">
        <v>78</v>
      </c>
      <c r="S31" s="2" t="s">
        <v>84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85</v>
      </c>
      <c r="Y31" s="2">
        <v>11700</v>
      </c>
      <c r="Z31" s="2">
        <v>818</v>
      </c>
      <c r="AA31" s="2" t="s">
        <v>86</v>
      </c>
      <c r="AB31" s="2" t="s">
        <v>84</v>
      </c>
    </row>
    <row r="32" spans="1:34">
      <c r="A32" s="6" t="s">
        <v>84</v>
      </c>
      <c r="B32" s="2" t="s">
        <v>79</v>
      </c>
      <c r="C32" s="2" t="s">
        <v>80</v>
      </c>
      <c r="D32" s="2" t="s">
        <v>87</v>
      </c>
      <c r="E32" s="2">
        <v>-41.461100000000002</v>
      </c>
      <c r="F32" s="2">
        <v>42.596200000000003</v>
      </c>
      <c r="G32" s="2">
        <v>14.009399999999999</v>
      </c>
      <c r="H32" s="14" t="s">
        <v>82</v>
      </c>
      <c r="I32" s="14" t="s">
        <v>82</v>
      </c>
      <c r="J32" s="14" t="s">
        <v>82</v>
      </c>
      <c r="K32" s="2">
        <v>-9.6722999999999999</v>
      </c>
      <c r="L32" s="2">
        <v>14.4725</v>
      </c>
      <c r="M32" s="2">
        <v>4.6188000000000002</v>
      </c>
      <c r="N32" s="14" t="s">
        <v>82</v>
      </c>
      <c r="O32" s="14" t="s">
        <v>82</v>
      </c>
      <c r="P32" s="15" t="s">
        <v>88</v>
      </c>
      <c r="Q32" s="2">
        <v>3</v>
      </c>
      <c r="R32" s="2" t="s">
        <v>84</v>
      </c>
      <c r="S32" s="2" t="s">
        <v>78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89</v>
      </c>
      <c r="Y32" s="2">
        <v>11700</v>
      </c>
      <c r="Z32" s="2">
        <v>818</v>
      </c>
      <c r="AA32" s="2" t="s">
        <v>86</v>
      </c>
      <c r="AB32" s="2" t="s">
        <v>84</v>
      </c>
    </row>
    <row r="33" spans="1:43">
      <c r="A33" s="6" t="s">
        <v>78</v>
      </c>
      <c r="B33" s="2" t="s">
        <v>90</v>
      </c>
      <c r="C33" s="2" t="s">
        <v>91</v>
      </c>
      <c r="D33" s="2" t="s">
        <v>92</v>
      </c>
      <c r="E33" s="2">
        <v>-170.6018</v>
      </c>
      <c r="F33" s="2">
        <v>225.19460000000001</v>
      </c>
      <c r="G33" s="2">
        <v>140.88630000000001</v>
      </c>
      <c r="H33" s="2">
        <v>-22.629000000000001</v>
      </c>
      <c r="I33" s="14" t="s">
        <v>82</v>
      </c>
      <c r="J33" s="14" t="s">
        <v>82</v>
      </c>
      <c r="K33" s="2">
        <v>-0.127113</v>
      </c>
      <c r="L33" s="2">
        <v>7.9277E-2</v>
      </c>
      <c r="M33" s="2">
        <v>-1.2909500000000001E-2</v>
      </c>
      <c r="N33" s="14" t="s">
        <v>82</v>
      </c>
      <c r="O33" s="14" t="s">
        <v>82</v>
      </c>
      <c r="P33" s="15" t="s">
        <v>83</v>
      </c>
      <c r="Q33" s="2">
        <v>1</v>
      </c>
      <c r="R33" s="2" t="s">
        <v>78</v>
      </c>
      <c r="S33" s="2" t="s">
        <v>84</v>
      </c>
      <c r="T33" s="2">
        <v>22.416907353921353</v>
      </c>
      <c r="U33" s="2">
        <v>0.9002</v>
      </c>
      <c r="V33" s="9">
        <v>20.1797</v>
      </c>
      <c r="W33" s="2">
        <v>18.18</v>
      </c>
      <c r="X33" s="2" t="s">
        <v>85</v>
      </c>
      <c r="Y33" s="2">
        <v>14840</v>
      </c>
      <c r="Z33" s="2">
        <v>1608</v>
      </c>
      <c r="AA33" s="2" t="s">
        <v>86</v>
      </c>
      <c r="AB33" s="2" t="s">
        <v>84</v>
      </c>
    </row>
    <row r="34" spans="1:43">
      <c r="A34" s="6" t="s">
        <v>84</v>
      </c>
      <c r="B34" s="2" t="s">
        <v>90</v>
      </c>
      <c r="C34" s="2" t="s">
        <v>91</v>
      </c>
      <c r="D34" s="2" t="s">
        <v>93</v>
      </c>
      <c r="E34" s="2">
        <v>-39.197099999999999</v>
      </c>
      <c r="F34" s="2">
        <v>51.801299999999998</v>
      </c>
      <c r="G34" s="2">
        <v>15.7699</v>
      </c>
      <c r="H34" s="14" t="s">
        <v>82</v>
      </c>
      <c r="I34" s="14" t="s">
        <v>82</v>
      </c>
      <c r="J34" s="14" t="s">
        <v>82</v>
      </c>
      <c r="K34" s="2">
        <v>-0.124695</v>
      </c>
      <c r="L34" s="2">
        <v>7.8373999999999999E-2</v>
      </c>
      <c r="M34" s="2">
        <v>-1.27972E-2</v>
      </c>
      <c r="N34" s="14" t="s">
        <v>82</v>
      </c>
      <c r="O34" s="14" t="s">
        <v>82</v>
      </c>
      <c r="P34" s="15" t="s">
        <v>94</v>
      </c>
      <c r="Q34" s="2">
        <v>1</v>
      </c>
      <c r="R34" s="2" t="s">
        <v>84</v>
      </c>
      <c r="S34" s="2" t="s">
        <v>78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85</v>
      </c>
      <c r="Y34" s="2">
        <v>14840</v>
      </c>
      <c r="Z34" s="2">
        <v>1608</v>
      </c>
      <c r="AA34" s="2" t="s">
        <v>86</v>
      </c>
      <c r="AB34" s="2" t="s">
        <v>84</v>
      </c>
    </row>
    <row r="35" spans="1:43">
      <c r="A35" s="6" t="s">
        <v>84</v>
      </c>
      <c r="B35" s="2" t="s">
        <v>90</v>
      </c>
      <c r="C35" s="2" t="s">
        <v>91</v>
      </c>
      <c r="D35" s="2" t="s">
        <v>95</v>
      </c>
      <c r="E35" s="2">
        <v>-52.857300000000002</v>
      </c>
      <c r="F35" s="2">
        <v>61.049399999999999</v>
      </c>
      <c r="G35" s="2">
        <v>18.915700000000001</v>
      </c>
      <c r="H35" s="14" t="s">
        <v>82</v>
      </c>
      <c r="I35" s="14" t="s">
        <v>82</v>
      </c>
      <c r="J35" s="14" t="s">
        <v>82</v>
      </c>
      <c r="K35" s="2">
        <v>-11.525</v>
      </c>
      <c r="L35" s="2">
        <v>17.7408</v>
      </c>
      <c r="M35" s="2">
        <v>5.3421000000000003</v>
      </c>
      <c r="N35" s="14" t="s">
        <v>82</v>
      </c>
      <c r="O35" s="14" t="s">
        <v>82</v>
      </c>
      <c r="P35" s="15" t="s">
        <v>88</v>
      </c>
      <c r="Q35" s="2">
        <v>3</v>
      </c>
      <c r="R35" s="2" t="s">
        <v>84</v>
      </c>
      <c r="S35" s="2" t="s">
        <v>78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89</v>
      </c>
      <c r="Y35" s="2">
        <v>14840</v>
      </c>
      <c r="Z35" s="2">
        <v>1608</v>
      </c>
      <c r="AA35" s="2" t="s">
        <v>86</v>
      </c>
      <c r="AB35" s="2" t="s">
        <v>84</v>
      </c>
      <c r="AJ35" s="2" t="s">
        <v>96</v>
      </c>
      <c r="AK35" s="2" t="s">
        <v>97</v>
      </c>
      <c r="AM35" s="2" t="s">
        <v>98</v>
      </c>
      <c r="AO35" s="2" t="s">
        <v>97</v>
      </c>
      <c r="AQ35" s="2" t="s">
        <v>98</v>
      </c>
    </row>
    <row r="36" spans="1:43">
      <c r="A36" s="6" t="s">
        <v>84</v>
      </c>
      <c r="B36" s="2" t="s">
        <v>90</v>
      </c>
      <c r="C36" s="2" t="s">
        <v>91</v>
      </c>
      <c r="D36" s="2" t="s">
        <v>99</v>
      </c>
      <c r="E36" s="2">
        <v>-52.857300000000002</v>
      </c>
      <c r="F36" s="2">
        <v>61.049399999999999</v>
      </c>
      <c r="G36" s="2">
        <v>18.915700000000001</v>
      </c>
      <c r="H36" s="14" t="s">
        <v>82</v>
      </c>
      <c r="I36" s="14" t="s">
        <v>82</v>
      </c>
      <c r="J36" s="14" t="s">
        <v>82</v>
      </c>
      <c r="K36" s="2">
        <v>-11.9556</v>
      </c>
      <c r="L36" s="2">
        <v>18.406199999999998</v>
      </c>
      <c r="M36" s="2">
        <v>5.5464000000000002</v>
      </c>
      <c r="N36" s="14" t="s">
        <v>82</v>
      </c>
      <c r="O36" s="14" t="s">
        <v>82</v>
      </c>
      <c r="P36" s="15" t="s">
        <v>88</v>
      </c>
      <c r="Q36" s="2">
        <v>3</v>
      </c>
      <c r="R36" s="2" t="s">
        <v>84</v>
      </c>
      <c r="S36" s="2" t="s">
        <v>78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89</v>
      </c>
      <c r="Y36" s="2">
        <v>14840</v>
      </c>
      <c r="Z36" s="2">
        <v>1608</v>
      </c>
      <c r="AA36" s="2" t="s">
        <v>86</v>
      </c>
      <c r="AB36" s="2" t="s">
        <v>84</v>
      </c>
    </row>
    <row r="37" spans="1:43">
      <c r="A37" s="6" t="s">
        <v>84</v>
      </c>
      <c r="B37" s="2" t="s">
        <v>90</v>
      </c>
      <c r="C37" s="2" t="s">
        <v>91</v>
      </c>
      <c r="D37" s="2" t="s">
        <v>100</v>
      </c>
      <c r="E37" s="2">
        <v>2.1815600000000002</v>
      </c>
      <c r="F37" s="2">
        <v>1.29108</v>
      </c>
      <c r="G37" s="2">
        <v>2.1250399999999998</v>
      </c>
      <c r="H37" s="14" t="s">
        <v>82</v>
      </c>
      <c r="I37" s="14" t="s">
        <v>82</v>
      </c>
      <c r="J37" s="14" t="s">
        <v>82</v>
      </c>
      <c r="K37" s="2">
        <v>-5.9473699999999996E-3</v>
      </c>
      <c r="L37" s="2">
        <v>-5.1389599999999997E-3</v>
      </c>
      <c r="M37" s="14" t="s">
        <v>82</v>
      </c>
      <c r="N37" s="14" t="s">
        <v>82</v>
      </c>
      <c r="O37" s="14" t="s">
        <v>82</v>
      </c>
      <c r="P37" s="15" t="s">
        <v>101</v>
      </c>
      <c r="Q37" s="2">
        <v>5</v>
      </c>
      <c r="R37" s="2" t="s">
        <v>78</v>
      </c>
      <c r="S37" s="2" t="s">
        <v>84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102</v>
      </c>
      <c r="Y37" s="2">
        <v>14840</v>
      </c>
      <c r="Z37" s="2">
        <v>1608</v>
      </c>
      <c r="AA37" s="2" t="s">
        <v>86</v>
      </c>
      <c r="AB37" s="2" t="s">
        <v>84</v>
      </c>
      <c r="AI37" s="2">
        <v>1</v>
      </c>
      <c r="AJ37" s="2">
        <f>273.15+AI37</f>
        <v>274.14999999999998</v>
      </c>
      <c r="AK37" s="2">
        <f>($AD$50+$AE$50*AJ$37+AJ37^2*$AF$50+$AG$50*AJ37^3)/1000</f>
        <v>0</v>
      </c>
      <c r="AL37" s="2">
        <f>($AD$48+$AE$48*AI$37+AI37^2*$AF$48+$AG$48*AI37^3)</f>
        <v>9.6080435999999997E-4</v>
      </c>
      <c r="AM37" s="2">
        <f>($AD$54+$AE$54*AJ$37+AJ37^2*$AF$54+$AG$54*AJ37^3)/1000</f>
        <v>-2.5972276739600746</v>
      </c>
      <c r="AN37" s="2">
        <f>22.414+AK37</f>
        <v>22.414000000000001</v>
      </c>
      <c r="AO37" s="2">
        <f>(22.414-AN37)/22.414</f>
        <v>0</v>
      </c>
      <c r="AP37" s="2">
        <f>22.414+AM37</f>
        <v>19.816772326039928</v>
      </c>
      <c r="AQ37" s="2">
        <f>(22.414-AP37)/22.414</f>
        <v>0.11587524198983107</v>
      </c>
    </row>
    <row r="38" spans="1:43">
      <c r="A38" s="6" t="s">
        <v>78</v>
      </c>
      <c r="B38" s="2" t="s">
        <v>103</v>
      </c>
      <c r="C38" s="2" t="s">
        <v>104</v>
      </c>
      <c r="D38" s="2" t="s">
        <v>105</v>
      </c>
      <c r="E38" s="2">
        <v>-178.17250000000001</v>
      </c>
      <c r="F38" s="2">
        <v>251.81389999999999</v>
      </c>
      <c r="G38" s="2">
        <v>145.2337</v>
      </c>
      <c r="H38" s="2">
        <v>-22.204599999999999</v>
      </c>
      <c r="I38" s="14" t="s">
        <v>82</v>
      </c>
      <c r="J38" s="14" t="s">
        <v>82</v>
      </c>
      <c r="K38" s="2">
        <v>-3.8729E-2</v>
      </c>
      <c r="L38" s="2">
        <v>1.7170999999999999E-2</v>
      </c>
      <c r="M38" s="2">
        <v>-2.1281E-3</v>
      </c>
      <c r="N38" s="14" t="s">
        <v>82</v>
      </c>
      <c r="O38" s="14" t="s">
        <v>82</v>
      </c>
      <c r="P38" s="15" t="s">
        <v>83</v>
      </c>
      <c r="Q38" s="2">
        <v>1</v>
      </c>
      <c r="R38" s="2" t="s">
        <v>78</v>
      </c>
      <c r="S38" s="2" t="s">
        <v>84</v>
      </c>
      <c r="T38" s="2">
        <v>22.392376681614351</v>
      </c>
      <c r="U38" s="2">
        <v>1.784</v>
      </c>
      <c r="V38" s="9">
        <v>39.948</v>
      </c>
      <c r="W38" s="2">
        <v>9340</v>
      </c>
      <c r="X38" s="2" t="s">
        <v>106</v>
      </c>
      <c r="Y38" s="2">
        <v>16680</v>
      </c>
      <c r="Z38" s="2">
        <v>2233</v>
      </c>
      <c r="AA38" s="2" t="s">
        <v>107</v>
      </c>
      <c r="AB38" s="2" t="s">
        <v>84</v>
      </c>
      <c r="AI38" s="2">
        <v>5</v>
      </c>
      <c r="AJ38" s="2">
        <f t="shared" ref="AJ38:AJ43" si="0">273.15+AI38</f>
        <v>278.14999999999998</v>
      </c>
      <c r="AK38" s="2">
        <f>($AD$50+$AE$50*AJ$37+AJ38^2*$AF$50+$AG$50*AJ38^3)/1000</f>
        <v>0</v>
      </c>
      <c r="AL38" s="2">
        <f>($AD$48+$AE$48*AI$37+AI38^2*$AF$48+$AG$48*AI38^3)</f>
        <v>9.6234899999999993E-4</v>
      </c>
      <c r="AM38" s="2">
        <f>($AD$54+$AE$54*AJ$37+AJ38^2*$AF$54+$AG$54*AJ38^3)/1000</f>
        <v>-2.5973696592440745</v>
      </c>
      <c r="AN38" s="2">
        <f t="shared" ref="AN38:AN43" si="1">22.414+AK38</f>
        <v>22.414000000000001</v>
      </c>
      <c r="AO38" s="2">
        <f t="shared" ref="AO38:AO43" si="2">(22.414-AN38)/22.414</f>
        <v>0</v>
      </c>
      <c r="AP38" s="2">
        <f t="shared" ref="AP38:AP43" si="3">22.414+AM38</f>
        <v>19.816630340755928</v>
      </c>
      <c r="AQ38" s="2">
        <f t="shared" ref="AQ38:AQ43" si="4">(22.414-AP38)/22.414</f>
        <v>0.11588157665941255</v>
      </c>
    </row>
    <row r="39" spans="1:43">
      <c r="A39" s="6" t="s">
        <v>84</v>
      </c>
      <c r="B39" s="2" t="s">
        <v>103</v>
      </c>
      <c r="C39" s="2" t="s">
        <v>104</v>
      </c>
      <c r="D39" s="2" t="s">
        <v>108</v>
      </c>
      <c r="E39" s="2">
        <v>2.7915000000000001</v>
      </c>
      <c r="F39" s="2">
        <v>3.1760899999999999</v>
      </c>
      <c r="G39" s="2">
        <v>4.1311600000000004</v>
      </c>
      <c r="H39" s="2">
        <v>4.9037899999999999</v>
      </c>
      <c r="I39" s="14" t="s">
        <v>82</v>
      </c>
      <c r="J39" s="14" t="s">
        <v>82</v>
      </c>
      <c r="K39" s="2">
        <v>-6.9623300000000001E-3</v>
      </c>
      <c r="L39" s="2">
        <v>-7.6667000000000003E-3</v>
      </c>
      <c r="M39" s="2">
        <v>-1.1688799999999999E-2</v>
      </c>
      <c r="N39" s="14" t="s">
        <v>82</v>
      </c>
      <c r="O39" s="14" t="s">
        <v>82</v>
      </c>
      <c r="P39" s="15" t="s">
        <v>109</v>
      </c>
      <c r="Q39" s="2">
        <v>5</v>
      </c>
      <c r="R39" s="2" t="s">
        <v>78</v>
      </c>
      <c r="S39" s="2" t="s">
        <v>84</v>
      </c>
      <c r="T39" s="2">
        <v>22.392376681614351</v>
      </c>
      <c r="U39" s="2">
        <v>1.784</v>
      </c>
      <c r="V39" s="9">
        <v>39.948</v>
      </c>
      <c r="W39" s="2">
        <v>9340</v>
      </c>
      <c r="X39" s="2" t="s">
        <v>102</v>
      </c>
      <c r="Y39" s="2">
        <v>16680</v>
      </c>
      <c r="Z39" s="2">
        <v>2233</v>
      </c>
      <c r="AA39" s="2" t="s">
        <v>107</v>
      </c>
      <c r="AB39" s="2" t="s">
        <v>84</v>
      </c>
      <c r="AI39" s="2">
        <v>10</v>
      </c>
      <c r="AJ39" s="2">
        <f t="shared" si="0"/>
        <v>283.14999999999998</v>
      </c>
      <c r="AK39" s="2">
        <f>($AD$50+$AE$50*AJ$37+AJ39^2*$AF$50+$AG$50*AJ39^3)/1000</f>
        <v>0</v>
      </c>
      <c r="AL39" s="2">
        <f>($AD$48+$AE$48*AI$37+AI39^2*$AF$48+$AG$48*AI39^3)</f>
        <v>9.6717599999999993E-4</v>
      </c>
      <c r="AM39" s="2">
        <f>($AD$54+$AE$54*AJ$37+AJ39^2*$AF$54+$AG$54*AJ39^3)/1000</f>
        <v>-2.5975500329990751</v>
      </c>
      <c r="AN39" s="2">
        <f t="shared" si="1"/>
        <v>22.414000000000001</v>
      </c>
      <c r="AO39" s="2">
        <f t="shared" si="2"/>
        <v>0</v>
      </c>
      <c r="AP39" s="2">
        <f t="shared" si="3"/>
        <v>19.816449967000928</v>
      </c>
      <c r="AQ39" s="2">
        <f t="shared" si="4"/>
        <v>0.11588962402958301</v>
      </c>
    </row>
    <row r="40" spans="1:43">
      <c r="A40" s="6" t="s">
        <v>84</v>
      </c>
      <c r="B40" s="2" t="s">
        <v>103</v>
      </c>
      <c r="C40" s="2" t="s">
        <v>104</v>
      </c>
      <c r="D40" s="2" t="s">
        <v>110</v>
      </c>
      <c r="E40" s="2">
        <v>-57.6661</v>
      </c>
      <c r="F40" s="2">
        <v>74.762699999999995</v>
      </c>
      <c r="G40" s="2">
        <v>20.139800000000001</v>
      </c>
      <c r="H40" s="14" t="s">
        <v>82</v>
      </c>
      <c r="I40" s="14" t="s">
        <v>82</v>
      </c>
      <c r="J40" s="14" t="s">
        <v>82</v>
      </c>
      <c r="K40" s="2">
        <v>-10.271000000000001</v>
      </c>
      <c r="L40" s="2">
        <v>16.094999999999999</v>
      </c>
      <c r="M40" s="2">
        <v>4.7538999999999998</v>
      </c>
      <c r="N40" s="14" t="s">
        <v>82</v>
      </c>
      <c r="O40" s="14" t="s">
        <v>82</v>
      </c>
      <c r="P40" s="15" t="s">
        <v>88</v>
      </c>
      <c r="Q40" s="2">
        <v>3</v>
      </c>
      <c r="R40" s="2" t="s">
        <v>84</v>
      </c>
      <c r="S40" s="2" t="s">
        <v>78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111</v>
      </c>
      <c r="Y40" s="2">
        <v>16680</v>
      </c>
      <c r="Z40" s="2">
        <v>2233</v>
      </c>
      <c r="AA40" s="2" t="s">
        <v>107</v>
      </c>
      <c r="AB40" s="2" t="s">
        <v>84</v>
      </c>
    </row>
    <row r="41" spans="1:43">
      <c r="A41" s="6" t="s">
        <v>78</v>
      </c>
      <c r="B41" s="2" t="s">
        <v>112</v>
      </c>
      <c r="C41" s="2" t="s">
        <v>113</v>
      </c>
      <c r="D41" s="2" t="s">
        <v>114</v>
      </c>
      <c r="E41" s="2">
        <v>-112.684</v>
      </c>
      <c r="F41" s="2">
        <v>153.58170000000001</v>
      </c>
      <c r="G41" s="2">
        <v>74.468999999999994</v>
      </c>
      <c r="H41" s="2">
        <v>-10.0189</v>
      </c>
      <c r="I41" s="14" t="s">
        <v>82</v>
      </c>
      <c r="J41" s="14" t="s">
        <v>82</v>
      </c>
      <c r="K41" s="2">
        <v>-1.1213000000000001E-2</v>
      </c>
      <c r="L41" s="2">
        <v>-1.8439999999999999E-3</v>
      </c>
      <c r="M41" s="2">
        <v>1.1201E-3</v>
      </c>
      <c r="N41" s="14" t="s">
        <v>82</v>
      </c>
      <c r="O41" s="14" t="s">
        <v>82</v>
      </c>
      <c r="P41" s="15" t="s">
        <v>83</v>
      </c>
      <c r="Q41" s="2">
        <v>1</v>
      </c>
      <c r="R41" s="2" t="s">
        <v>78</v>
      </c>
      <c r="S41" s="2" t="s">
        <v>84</v>
      </c>
      <c r="T41" s="2">
        <v>22.352093891704456</v>
      </c>
      <c r="U41" s="2">
        <v>3.7490000000000001</v>
      </c>
      <c r="V41" s="9">
        <v>83.798000000000002</v>
      </c>
      <c r="W41" s="2">
        <v>1.1399999999999999</v>
      </c>
      <c r="X41" s="2" t="s">
        <v>115</v>
      </c>
      <c r="Y41" s="2">
        <v>20200</v>
      </c>
      <c r="Z41" s="2">
        <v>6393</v>
      </c>
      <c r="AA41" s="2" t="s">
        <v>86</v>
      </c>
      <c r="AB41" s="2" t="s">
        <v>84</v>
      </c>
      <c r="AI41" s="2">
        <v>15</v>
      </c>
      <c r="AJ41" s="2">
        <f t="shared" si="0"/>
        <v>288.14999999999998</v>
      </c>
      <c r="AK41" s="2">
        <f>($AD$50+$AE$50*AJ$37+AJ41^2*$AF$50+$AG$50*AJ41^3)/1000</f>
        <v>0</v>
      </c>
      <c r="AL41" s="2">
        <f>($AD$48+$AE$48*AI$37+AI41^2*$AF$48+$AG$48*AI41^3)</f>
        <v>9.7522099999999997E-4</v>
      </c>
      <c r="AM41" s="2">
        <f>($AD$54+$AE$54*AJ$37+AJ41^2*$AF$54+$AG$54*AJ41^3)/1000</f>
        <v>-2.5977336202540751</v>
      </c>
      <c r="AN41" s="2">
        <f t="shared" si="1"/>
        <v>22.414000000000001</v>
      </c>
      <c r="AO41" s="2">
        <f t="shared" si="2"/>
        <v>0</v>
      </c>
      <c r="AP41" s="2">
        <f t="shared" si="3"/>
        <v>19.816266379745926</v>
      </c>
      <c r="AQ41" s="2">
        <f t="shared" si="4"/>
        <v>0.11589781476996856</v>
      </c>
    </row>
    <row r="42" spans="1:43">
      <c r="A42" s="6" t="s">
        <v>84</v>
      </c>
      <c r="B42" s="2" t="s">
        <v>112</v>
      </c>
      <c r="C42" s="2" t="s">
        <v>113</v>
      </c>
      <c r="D42" s="2" t="s">
        <v>116</v>
      </c>
      <c r="E42" s="2">
        <v>-66.992800000000003</v>
      </c>
      <c r="F42" s="2">
        <v>91.016599999999997</v>
      </c>
      <c r="G42" s="2">
        <v>24.220700000000001</v>
      </c>
      <c r="H42" s="14" t="s">
        <v>82</v>
      </c>
      <c r="I42" s="14" t="s">
        <v>82</v>
      </c>
      <c r="J42" s="14" t="s">
        <v>82</v>
      </c>
      <c r="K42" s="2">
        <v>-9.5533999999999999</v>
      </c>
      <c r="L42" s="2">
        <v>15.103899999999999</v>
      </c>
      <c r="M42" s="2">
        <v>4.4164000000000003</v>
      </c>
      <c r="N42" s="14" t="s">
        <v>82</v>
      </c>
      <c r="O42" s="14" t="s">
        <v>82</v>
      </c>
      <c r="P42" s="15" t="s">
        <v>88</v>
      </c>
      <c r="Q42" s="2">
        <v>3</v>
      </c>
      <c r="R42" s="2" t="s">
        <v>84</v>
      </c>
      <c r="S42" s="2" t="s">
        <v>78</v>
      </c>
      <c r="T42" s="2">
        <v>22.352093891704456</v>
      </c>
      <c r="U42" s="2">
        <v>3.7490000000000001</v>
      </c>
      <c r="V42" s="9">
        <v>83.798000000000002</v>
      </c>
      <c r="W42" s="2">
        <v>1.1399999999999999</v>
      </c>
      <c r="X42" s="2" t="s">
        <v>117</v>
      </c>
      <c r="Y42" s="2">
        <v>20200</v>
      </c>
      <c r="Z42" s="2">
        <v>6393</v>
      </c>
      <c r="AA42" s="2" t="s">
        <v>86</v>
      </c>
      <c r="AB42" s="2" t="s">
        <v>84</v>
      </c>
      <c r="AI42" s="2">
        <v>20</v>
      </c>
      <c r="AJ42" s="2">
        <f t="shared" si="0"/>
        <v>293.14999999999998</v>
      </c>
      <c r="AK42" s="2">
        <f>($AD$50+$AE$50*AJ$37+AJ42^2*$AF$50+$AG$50*AJ42^3)/1000</f>
        <v>0</v>
      </c>
      <c r="AL42" s="2">
        <f>($AD$48+$AE$48*AI$37+AI42^2*$AF$48+$AG$48*AI42^3)</f>
        <v>9.8648399999999993E-4</v>
      </c>
      <c r="AM42" s="2">
        <f>($AD$54+$AE$54*AJ$37+AJ42^2*$AF$54+$AG$54*AJ42^3)/1000</f>
        <v>-2.5979204210090749</v>
      </c>
      <c r="AN42" s="2">
        <f t="shared" si="1"/>
        <v>22.414000000000001</v>
      </c>
      <c r="AO42" s="2">
        <f t="shared" si="2"/>
        <v>0</v>
      </c>
      <c r="AP42" s="2">
        <f t="shared" si="3"/>
        <v>19.816079578990927</v>
      </c>
      <c r="AQ42" s="2">
        <f t="shared" si="4"/>
        <v>0.11590614888056905</v>
      </c>
    </row>
    <row r="43" spans="1:43">
      <c r="A43" s="6" t="s">
        <v>78</v>
      </c>
      <c r="B43" s="2" t="s">
        <v>118</v>
      </c>
      <c r="C43" s="2" t="s">
        <v>119</v>
      </c>
      <c r="D43" s="2" t="s">
        <v>120</v>
      </c>
      <c r="E43" s="2">
        <v>-74.739800000000002</v>
      </c>
      <c r="F43" s="2">
        <v>105.21</v>
      </c>
      <c r="G43" s="2">
        <v>27.4664</v>
      </c>
      <c r="H43" s="2" t="s">
        <v>121</v>
      </c>
      <c r="I43" s="14" t="s">
        <v>82</v>
      </c>
      <c r="J43" s="14" t="s">
        <v>82</v>
      </c>
      <c r="K43" s="2">
        <v>-14.133800000000001</v>
      </c>
      <c r="L43" s="2">
        <v>21.877199999999998</v>
      </c>
      <c r="M43" s="2">
        <v>6.5526999999999997</v>
      </c>
      <c r="N43" s="14" t="s">
        <v>82</v>
      </c>
      <c r="O43" s="14" t="s">
        <v>82</v>
      </c>
      <c r="P43" s="15" t="s">
        <v>88</v>
      </c>
      <c r="Q43" s="2">
        <v>3</v>
      </c>
      <c r="R43" s="2" t="s">
        <v>84</v>
      </c>
      <c r="S43" s="2" t="s">
        <v>78</v>
      </c>
      <c r="T43" s="9">
        <v>22.2804</v>
      </c>
      <c r="U43" s="2">
        <v>5.8940000000000001</v>
      </c>
      <c r="V43" s="9">
        <v>131.29300000000001</v>
      </c>
      <c r="W43" s="2">
        <v>8.6999999999999994E-2</v>
      </c>
      <c r="X43" s="2" t="s">
        <v>117</v>
      </c>
      <c r="Y43" s="2">
        <v>21310</v>
      </c>
      <c r="Z43" s="2">
        <v>9007</v>
      </c>
      <c r="AA43" s="2" t="s">
        <v>86</v>
      </c>
      <c r="AB43" s="2" t="s">
        <v>84</v>
      </c>
      <c r="AI43" s="2">
        <v>25</v>
      </c>
      <c r="AJ43" s="2">
        <f t="shared" si="0"/>
        <v>298.14999999999998</v>
      </c>
      <c r="AK43" s="2">
        <f>($AD$50+$AE$50*AJ$37+AJ43^2*$AF$50+$AG$50*AJ43^3)/1000</f>
        <v>0</v>
      </c>
      <c r="AL43" s="2">
        <f>($AD$48+$AE$48*AI$37+AI43^2*$AF$48+$AG$48*AI43^3)</f>
        <v>1.0009649999999999E-3</v>
      </c>
      <c r="AM43" s="2">
        <f>($AD$54+$AE$54*AJ$37+AJ43^2*$AF$54+$AG$54*AJ43^3)/1000</f>
        <v>-2.5981104352640751</v>
      </c>
      <c r="AN43" s="2">
        <f t="shared" si="1"/>
        <v>22.414000000000001</v>
      </c>
      <c r="AO43" s="2">
        <f t="shared" si="2"/>
        <v>0</v>
      </c>
      <c r="AP43" s="2">
        <f t="shared" si="3"/>
        <v>19.815889564735926</v>
      </c>
      <c r="AQ43" s="2">
        <f t="shared" si="4"/>
        <v>0.11591462636138465</v>
      </c>
    </row>
    <row r="44" spans="1:43">
      <c r="A44" s="6" t="s">
        <v>78</v>
      </c>
      <c r="B44" s="2" t="s">
        <v>122</v>
      </c>
      <c r="C44" s="2" t="s">
        <v>123</v>
      </c>
      <c r="D44" s="2" t="s">
        <v>330</v>
      </c>
      <c r="E44" s="2">
        <v>-177.02119999999999</v>
      </c>
      <c r="F44" s="2">
        <v>254.6078</v>
      </c>
      <c r="G44" s="2">
        <v>146.36109999999999</v>
      </c>
      <c r="H44" s="2">
        <v>-22.093299999999999</v>
      </c>
      <c r="I44" s="14" t="s">
        <v>82</v>
      </c>
      <c r="J44" s="14" t="s">
        <v>82</v>
      </c>
      <c r="K44" s="2">
        <v>-5.4052000000000003E-2</v>
      </c>
      <c r="L44" s="2">
        <v>2.7265999999999999E-2</v>
      </c>
      <c r="M44" s="2">
        <v>-3.8430000000000001E-3</v>
      </c>
      <c r="N44" s="14" t="s">
        <v>82</v>
      </c>
      <c r="O44" s="14" t="s">
        <v>82</v>
      </c>
      <c r="P44" s="2" t="s">
        <v>83</v>
      </c>
      <c r="Q44" s="2">
        <v>1</v>
      </c>
      <c r="R44" s="2" t="s">
        <v>78</v>
      </c>
      <c r="S44" s="2" t="s">
        <v>84</v>
      </c>
      <c r="T44" s="2">
        <v>22.392805755395699</v>
      </c>
      <c r="U44" s="2">
        <v>1.2509999999999999</v>
      </c>
      <c r="V44" s="9">
        <v>28.013400000000001</v>
      </c>
      <c r="W44" s="2">
        <v>780840</v>
      </c>
      <c r="X44" s="2" t="s">
        <v>106</v>
      </c>
      <c r="Y44" s="2">
        <v>18501.648000000001</v>
      </c>
      <c r="Z44" s="2">
        <v>3412</v>
      </c>
      <c r="AA44" s="2" t="s">
        <v>124</v>
      </c>
      <c r="AB44" s="2" t="s">
        <v>84</v>
      </c>
    </row>
    <row r="45" spans="1:43">
      <c r="A45" s="6" t="s">
        <v>84</v>
      </c>
      <c r="B45" s="2" t="s">
        <v>122</v>
      </c>
      <c r="C45" s="2" t="s">
        <v>123</v>
      </c>
      <c r="D45" s="2" t="s">
        <v>125</v>
      </c>
      <c r="E45" s="2">
        <v>-59.627400000000002</v>
      </c>
      <c r="F45" s="2">
        <v>85.766099999999994</v>
      </c>
      <c r="G45" s="2">
        <v>24.369599999999998</v>
      </c>
      <c r="H45" s="14" t="s">
        <v>82</v>
      </c>
      <c r="I45" s="14" t="s">
        <v>82</v>
      </c>
      <c r="J45" s="14" t="s">
        <v>82</v>
      </c>
      <c r="K45" s="2">
        <v>-5.1580000000000001E-2</v>
      </c>
      <c r="L45" s="2">
        <v>2.6329000000000002E-2</v>
      </c>
      <c r="M45" s="2">
        <v>-3.7252000000000001E-3</v>
      </c>
      <c r="N45" s="14" t="s">
        <v>82</v>
      </c>
      <c r="O45" s="14" t="s">
        <v>82</v>
      </c>
      <c r="P45" s="2" t="s">
        <v>94</v>
      </c>
      <c r="Q45" s="2">
        <v>1</v>
      </c>
      <c r="R45" s="2" t="s">
        <v>84</v>
      </c>
      <c r="S45" s="2" t="s">
        <v>78</v>
      </c>
      <c r="T45" s="2">
        <v>22.392805755395685</v>
      </c>
      <c r="U45" s="2">
        <v>1.2509999999999999</v>
      </c>
      <c r="V45" s="9">
        <v>28.013400000000001</v>
      </c>
      <c r="W45" s="2">
        <v>780840</v>
      </c>
      <c r="X45" s="2" t="s">
        <v>106</v>
      </c>
      <c r="Y45" s="2">
        <v>18501.648000000001</v>
      </c>
      <c r="Z45" s="2">
        <v>3412</v>
      </c>
      <c r="AA45" s="2" t="s">
        <v>124</v>
      </c>
      <c r="AB45" s="2" t="s">
        <v>84</v>
      </c>
    </row>
    <row r="46" spans="1:43">
      <c r="A46" s="6" t="s">
        <v>84</v>
      </c>
      <c r="B46" s="2" t="s">
        <v>122</v>
      </c>
      <c r="C46" s="2" t="s">
        <v>123</v>
      </c>
      <c r="D46" s="2" t="s">
        <v>126</v>
      </c>
      <c r="E46" s="2">
        <v>6.4293100000000001</v>
      </c>
      <c r="F46" s="2">
        <v>2.9270399999999999</v>
      </c>
      <c r="G46" s="2">
        <v>4.32531</v>
      </c>
      <c r="H46" s="2">
        <v>4.6914899999999999</v>
      </c>
      <c r="I46" s="14" t="s">
        <v>82</v>
      </c>
      <c r="J46" s="14" t="s">
        <v>82</v>
      </c>
      <c r="K46" s="2">
        <v>-7.4412899999999997E-3</v>
      </c>
      <c r="L46" s="2">
        <v>-8.0256600000000004E-3</v>
      </c>
      <c r="M46" s="2">
        <v>-1.46775E-2</v>
      </c>
      <c r="N46" s="14" t="s">
        <v>82</v>
      </c>
      <c r="O46" s="14" t="s">
        <v>82</v>
      </c>
      <c r="P46" s="2" t="s">
        <v>109</v>
      </c>
      <c r="Q46" s="2">
        <v>5</v>
      </c>
      <c r="R46" s="2" t="s">
        <v>78</v>
      </c>
      <c r="S46" s="2" t="s">
        <v>84</v>
      </c>
      <c r="T46" s="2">
        <v>22.392805755395685</v>
      </c>
      <c r="U46" s="2">
        <v>1.2509999999999999</v>
      </c>
      <c r="V46" s="9">
        <v>28.013400000000001</v>
      </c>
      <c r="W46" s="2">
        <v>780840</v>
      </c>
      <c r="X46" s="2" t="s">
        <v>102</v>
      </c>
      <c r="Y46" s="2">
        <v>18501.648000000001</v>
      </c>
      <c r="Z46" s="2">
        <v>3412</v>
      </c>
      <c r="AA46" s="2" t="s">
        <v>124</v>
      </c>
      <c r="AB46" s="2" t="s">
        <v>84</v>
      </c>
    </row>
    <row r="47" spans="1:43">
      <c r="A47" s="6" t="s">
        <v>84</v>
      </c>
      <c r="B47" s="2" t="s">
        <v>127</v>
      </c>
      <c r="C47" s="2" t="s">
        <v>128</v>
      </c>
      <c r="D47" s="2" t="s">
        <v>129</v>
      </c>
      <c r="E47" s="2">
        <v>-177.78880000000001</v>
      </c>
      <c r="F47" s="2">
        <v>255.5907</v>
      </c>
      <c r="G47" s="2">
        <v>146.4813</v>
      </c>
      <c r="H47" s="2">
        <v>-22.204000000000001</v>
      </c>
      <c r="I47" s="14" t="s">
        <v>82</v>
      </c>
      <c r="J47" s="14" t="s">
        <v>82</v>
      </c>
      <c r="K47" s="2">
        <v>-3.7361999999999999E-2</v>
      </c>
      <c r="L47" s="2">
        <v>1.6504000000000001E-2</v>
      </c>
      <c r="M47" s="2">
        <v>-2.0563999999999999E-3</v>
      </c>
      <c r="N47" s="14" t="s">
        <v>82</v>
      </c>
      <c r="O47" s="14" t="s">
        <v>82</v>
      </c>
      <c r="P47" s="2" t="s">
        <v>83</v>
      </c>
      <c r="Q47" s="2">
        <v>1</v>
      </c>
      <c r="R47" s="2" t="s">
        <v>78</v>
      </c>
      <c r="S47" s="2" t="s">
        <v>84</v>
      </c>
      <c r="T47" s="2">
        <v>22.392442267319804</v>
      </c>
      <c r="U47" s="2">
        <v>1.429</v>
      </c>
      <c r="V47" s="9">
        <v>31.998799999999999</v>
      </c>
      <c r="W47" s="2">
        <v>209500</v>
      </c>
      <c r="X47" s="2" t="s">
        <v>106</v>
      </c>
      <c r="Y47" s="2">
        <v>18702.458999999999</v>
      </c>
      <c r="Z47" s="2">
        <v>4286</v>
      </c>
      <c r="AA47" s="2" t="s">
        <v>124</v>
      </c>
      <c r="AB47" s="2" t="s">
        <v>84</v>
      </c>
    </row>
    <row r="48" spans="1:43">
      <c r="A48" s="6" t="s">
        <v>78</v>
      </c>
      <c r="B48" s="2" t="s">
        <v>127</v>
      </c>
      <c r="C48" s="2" t="s">
        <v>128</v>
      </c>
      <c r="D48" s="2" t="s">
        <v>130</v>
      </c>
      <c r="E48" s="2">
        <v>-139.09802999999999</v>
      </c>
      <c r="F48" s="2">
        <v>157228.79999999999</v>
      </c>
      <c r="G48" s="2">
        <v>-66371490</v>
      </c>
      <c r="H48" s="2">
        <v>12436780000</v>
      </c>
      <c r="I48" s="2">
        <v>-862106100000</v>
      </c>
      <c r="J48" s="14" t="s">
        <v>82</v>
      </c>
      <c r="K48" s="2">
        <v>-2.0573000000000001E-2</v>
      </c>
      <c r="L48" s="2">
        <v>12.141999999999999</v>
      </c>
      <c r="M48" s="2">
        <v>-2363.1</v>
      </c>
      <c r="N48" s="14" t="s">
        <v>82</v>
      </c>
      <c r="O48" s="14" t="s">
        <v>82</v>
      </c>
      <c r="P48" s="2" t="s">
        <v>83</v>
      </c>
      <c r="Q48" s="2">
        <v>4</v>
      </c>
      <c r="R48" s="2" t="s">
        <v>78</v>
      </c>
      <c r="S48" s="2" t="s">
        <v>84</v>
      </c>
      <c r="T48" s="2">
        <v>22.392442267319804</v>
      </c>
      <c r="U48" s="2">
        <v>1.429</v>
      </c>
      <c r="V48" s="9">
        <v>31.998799999999999</v>
      </c>
      <c r="W48" s="2">
        <v>209500</v>
      </c>
      <c r="X48" s="2" t="s">
        <v>131</v>
      </c>
      <c r="Y48" s="2">
        <v>18702.458999999999</v>
      </c>
      <c r="Z48" s="2">
        <v>4286</v>
      </c>
      <c r="AA48" s="2" t="s">
        <v>124</v>
      </c>
      <c r="AB48" s="2" t="s">
        <v>78</v>
      </c>
      <c r="AC48" s="2">
        <v>1</v>
      </c>
      <c r="AD48" s="16">
        <v>9.7499999999999996E-4</v>
      </c>
      <c r="AE48" s="16">
        <v>-1.4260000000000001E-5</v>
      </c>
      <c r="AF48" s="16">
        <v>6.4360000000000002E-8</v>
      </c>
      <c r="AG48" s="16"/>
    </row>
    <row r="49" spans="1:34">
      <c r="A49" s="6" t="s">
        <v>84</v>
      </c>
      <c r="B49" s="2" t="s">
        <v>127</v>
      </c>
      <c r="C49" s="2" t="s">
        <v>128</v>
      </c>
      <c r="D49" s="2" t="s">
        <v>132</v>
      </c>
      <c r="E49" s="2">
        <v>5.8081800000000001</v>
      </c>
      <c r="F49" s="2">
        <v>3.2068400000000001</v>
      </c>
      <c r="G49" s="2">
        <v>4.1189</v>
      </c>
      <c r="H49" s="2">
        <v>4.9384499999999996</v>
      </c>
      <c r="I49" s="2">
        <v>1.0156700000000001</v>
      </c>
      <c r="J49" s="2">
        <v>1.4157500000000001</v>
      </c>
      <c r="K49" s="2">
        <v>-7.0121100000000002E-3</v>
      </c>
      <c r="L49" s="2">
        <v>-7.2595799999999999E-3</v>
      </c>
      <c r="M49" s="2">
        <v>-7.9333400000000005E-3</v>
      </c>
      <c r="N49" s="2">
        <v>-5.5449100000000001E-3</v>
      </c>
      <c r="O49" s="2">
        <v>-1.3241200000000001E-7</v>
      </c>
      <c r="P49" s="2" t="s">
        <v>109</v>
      </c>
      <c r="Q49" s="2">
        <v>5</v>
      </c>
      <c r="R49" s="2" t="s">
        <v>78</v>
      </c>
      <c r="S49" s="2" t="s">
        <v>84</v>
      </c>
      <c r="T49" s="2">
        <v>22.392442267319804</v>
      </c>
      <c r="U49" s="2">
        <v>1.429</v>
      </c>
      <c r="V49" s="9">
        <v>31.998799999999999</v>
      </c>
      <c r="W49" s="2">
        <v>209500</v>
      </c>
      <c r="X49" s="2" t="s">
        <v>38</v>
      </c>
      <c r="Y49" s="2">
        <v>18702.458999999999</v>
      </c>
      <c r="Z49" s="2">
        <v>4286</v>
      </c>
      <c r="AA49" s="2" t="s">
        <v>124</v>
      </c>
      <c r="AB49" s="2" t="s">
        <v>84</v>
      </c>
    </row>
    <row r="50" spans="1:34">
      <c r="A50" s="6" t="s">
        <v>78</v>
      </c>
      <c r="B50" s="2" t="s">
        <v>133</v>
      </c>
      <c r="C50" s="2" t="s">
        <v>97</v>
      </c>
      <c r="D50" s="2" t="s">
        <v>134</v>
      </c>
      <c r="E50" s="2">
        <v>-162.83009999999999</v>
      </c>
      <c r="F50" s="2">
        <v>218.29679999999999</v>
      </c>
      <c r="G50" s="2">
        <v>90.924099999999996</v>
      </c>
      <c r="H50" s="14">
        <v>-1.4769600000000001</v>
      </c>
      <c r="I50" s="14" t="s">
        <v>82</v>
      </c>
      <c r="J50" s="14" t="s">
        <v>82</v>
      </c>
      <c r="K50" s="2">
        <v>2.5694999999999999E-2</v>
      </c>
      <c r="L50" s="2">
        <v>-2.5225000000000001E-2</v>
      </c>
      <c r="M50" s="2">
        <v>4.9867000000000002E-3</v>
      </c>
      <c r="N50" s="14" t="s">
        <v>82</v>
      </c>
      <c r="O50" s="14" t="s">
        <v>82</v>
      </c>
      <c r="P50" s="2" t="s">
        <v>135</v>
      </c>
      <c r="Q50" s="2">
        <v>2</v>
      </c>
      <c r="R50" s="2" t="s">
        <v>78</v>
      </c>
      <c r="S50" s="2" t="s">
        <v>78</v>
      </c>
      <c r="T50" s="2">
        <v>22.260748609003542</v>
      </c>
      <c r="U50" s="2">
        <v>1.9770000000000001</v>
      </c>
      <c r="V50" s="9">
        <v>44.009500000000003</v>
      </c>
      <c r="W50" s="2">
        <v>350</v>
      </c>
      <c r="X50" s="2" t="s">
        <v>136</v>
      </c>
      <c r="Y50" s="2">
        <v>18360</v>
      </c>
      <c r="Z50" s="2">
        <v>3047</v>
      </c>
      <c r="AA50" s="2" t="s">
        <v>86</v>
      </c>
      <c r="AB50" s="2" t="s">
        <v>78</v>
      </c>
      <c r="AF50" s="16"/>
      <c r="AG50" s="16"/>
    </row>
    <row r="51" spans="1:34">
      <c r="A51" s="6" t="s">
        <v>78</v>
      </c>
      <c r="B51" s="2" t="s">
        <v>137</v>
      </c>
      <c r="C51" s="2" t="s">
        <v>138</v>
      </c>
      <c r="D51" s="2" t="s">
        <v>139</v>
      </c>
      <c r="E51" s="2">
        <v>-414.3956</v>
      </c>
      <c r="F51" s="2">
        <v>599.86260000000004</v>
      </c>
      <c r="G51" s="2">
        <v>380.36360000000002</v>
      </c>
      <c r="H51" s="2">
        <v>-62.0764</v>
      </c>
      <c r="I51" s="14" t="s">
        <v>82</v>
      </c>
      <c r="J51" s="14" t="s">
        <v>82</v>
      </c>
      <c r="K51" s="2">
        <v>-6.4236000000000001E-2</v>
      </c>
      <c r="L51" s="2">
        <v>3.4979999999999997E-2</v>
      </c>
      <c r="M51" s="2">
        <v>-5.2731999999999996E-3</v>
      </c>
      <c r="N51" s="14" t="s">
        <v>82</v>
      </c>
      <c r="O51" s="14" t="s">
        <v>82</v>
      </c>
      <c r="P51" s="2" t="s">
        <v>140</v>
      </c>
      <c r="Q51" s="2">
        <v>1</v>
      </c>
      <c r="R51" s="2" t="s">
        <v>78</v>
      </c>
      <c r="S51" s="2" t="s">
        <v>78</v>
      </c>
      <c r="T51" s="2">
        <v>22.390034891835306</v>
      </c>
      <c r="U51" s="2">
        <v>0.71650000000000003</v>
      </c>
      <c r="V51" s="9">
        <v>16.042459999999998</v>
      </c>
      <c r="W51" s="2">
        <v>1.41</v>
      </c>
      <c r="X51" s="2" t="s">
        <v>141</v>
      </c>
      <c r="Y51" s="2">
        <v>19510</v>
      </c>
      <c r="Z51" s="2">
        <v>5019</v>
      </c>
      <c r="AA51" s="2" t="s">
        <v>86</v>
      </c>
      <c r="AB51" s="2" t="s">
        <v>84</v>
      </c>
    </row>
    <row r="52" spans="1:34">
      <c r="A52" s="6" t="s">
        <v>78</v>
      </c>
      <c r="B52" s="2" t="s">
        <v>142</v>
      </c>
      <c r="C52" s="2" t="s">
        <v>143</v>
      </c>
      <c r="D52" s="2" t="s">
        <v>144</v>
      </c>
      <c r="E52" s="2">
        <v>-172.49950000000001</v>
      </c>
      <c r="F52" s="2">
        <v>267.67959999999999</v>
      </c>
      <c r="G52" s="2">
        <v>161.08619999999999</v>
      </c>
      <c r="H52" s="2">
        <v>-25.6218</v>
      </c>
      <c r="K52" s="2">
        <v>4.6102999999999998E-2</v>
      </c>
      <c r="L52" s="2">
        <v>-4.1766999999999999E-2</v>
      </c>
      <c r="M52" s="2">
        <v>8.1890000000000001E-3</v>
      </c>
      <c r="P52" s="2" t="s">
        <v>140</v>
      </c>
      <c r="Q52" s="2">
        <v>1</v>
      </c>
      <c r="R52" s="2" t="s">
        <v>78</v>
      </c>
      <c r="S52" s="2" t="s">
        <v>78</v>
      </c>
      <c r="T52" s="2">
        <v>22.390087929656278</v>
      </c>
      <c r="U52" s="2">
        <v>1.2509999999999999</v>
      </c>
      <c r="V52" s="2">
        <v>28.01</v>
      </c>
      <c r="W52" s="2">
        <v>0.11</v>
      </c>
      <c r="X52" s="2" t="s">
        <v>141</v>
      </c>
      <c r="AB52" s="2" t="s">
        <v>84</v>
      </c>
    </row>
    <row r="53" spans="1:34">
      <c r="A53" s="6" t="s">
        <v>78</v>
      </c>
      <c r="B53" s="2" t="s">
        <v>145</v>
      </c>
      <c r="C53" s="2" t="s">
        <v>146</v>
      </c>
      <c r="D53" s="2" t="s">
        <v>147</v>
      </c>
      <c r="E53" s="2">
        <v>-317.19819999999999</v>
      </c>
      <c r="F53" s="2">
        <v>459.7398</v>
      </c>
      <c r="G53" s="2">
        <v>299.26</v>
      </c>
      <c r="H53" s="2">
        <v>-49.394599999999997</v>
      </c>
      <c r="I53" s="14" t="s">
        <v>82</v>
      </c>
      <c r="J53" s="14" t="s">
        <v>82</v>
      </c>
      <c r="K53" s="2">
        <v>-7.4473999999999999E-2</v>
      </c>
      <c r="L53" s="2">
        <v>4.3362999999999999E-2</v>
      </c>
      <c r="M53" s="2">
        <v>-6.7419999999999997E-3</v>
      </c>
      <c r="N53" s="14" t="s">
        <v>82</v>
      </c>
      <c r="O53" s="14" t="s">
        <v>82</v>
      </c>
      <c r="P53" s="2" t="s">
        <v>140</v>
      </c>
      <c r="Q53" s="2">
        <v>1</v>
      </c>
      <c r="R53" s="2" t="s">
        <v>78</v>
      </c>
      <c r="S53" s="2" t="s">
        <v>78</v>
      </c>
      <c r="T53" s="2">
        <v>22.428571428571431</v>
      </c>
      <c r="U53" s="2">
        <v>8.9880000000000002E-2</v>
      </c>
      <c r="V53" s="2">
        <v>2.0158800000000001</v>
      </c>
      <c r="W53" s="2">
        <v>0.57999999999999996</v>
      </c>
      <c r="X53" s="2" t="s">
        <v>141</v>
      </c>
      <c r="Y53" s="2">
        <v>16060</v>
      </c>
      <c r="Z53" s="2">
        <v>3338</v>
      </c>
      <c r="AA53" s="2" t="s">
        <v>86</v>
      </c>
      <c r="AB53" s="2" t="s">
        <v>84</v>
      </c>
    </row>
    <row r="54" spans="1:34">
      <c r="A54" s="6" t="s">
        <v>78</v>
      </c>
      <c r="B54" s="2" t="s">
        <v>148</v>
      </c>
      <c r="C54" s="2" t="s">
        <v>98</v>
      </c>
      <c r="D54" s="2" t="s">
        <v>149</v>
      </c>
      <c r="E54" s="2">
        <v>-168.24590000000001</v>
      </c>
      <c r="F54" s="2">
        <v>226.08940000000001</v>
      </c>
      <c r="G54" s="2">
        <v>93.281700000000001</v>
      </c>
      <c r="H54" s="2">
        <v>-1.4869300000000001</v>
      </c>
      <c r="I54" s="14" t="s">
        <v>82</v>
      </c>
      <c r="J54" s="14" t="s">
        <v>82</v>
      </c>
      <c r="K54" s="2">
        <v>-6.0360999999999998E-2</v>
      </c>
      <c r="L54" s="2">
        <v>3.3765000000000003E-2</v>
      </c>
      <c r="M54" s="2">
        <v>-5.1862000000000002E-3</v>
      </c>
      <c r="N54" s="14" t="s">
        <v>82</v>
      </c>
      <c r="O54" s="14" t="s">
        <v>82</v>
      </c>
      <c r="P54" s="2" t="s">
        <v>135</v>
      </c>
      <c r="Q54" s="2">
        <v>2</v>
      </c>
      <c r="R54" s="2" t="s">
        <v>78</v>
      </c>
      <c r="S54" s="2" t="s">
        <v>78</v>
      </c>
      <c r="T54" s="2">
        <f>V54/U54</f>
        <v>22.262417804754676</v>
      </c>
      <c r="U54" s="2">
        <v>1.9770000000000001</v>
      </c>
      <c r="V54" s="2">
        <v>44.012799999999999</v>
      </c>
      <c r="W54" s="2">
        <v>0.32</v>
      </c>
      <c r="X54" s="2" t="s">
        <v>136</v>
      </c>
      <c r="Y54" s="2">
        <v>19510</v>
      </c>
      <c r="Z54" s="2">
        <v>5019</v>
      </c>
      <c r="AA54" s="2" t="s">
        <v>86</v>
      </c>
      <c r="AB54" s="2" t="s">
        <v>78</v>
      </c>
      <c r="AC54" s="2">
        <v>2</v>
      </c>
      <c r="AD54" s="2">
        <v>4.7390000000000002E-2</v>
      </c>
      <c r="AE54" s="2">
        <v>-9.4563000000000006</v>
      </c>
      <c r="AF54" s="16">
        <v>-6.4270000000000006E-5</v>
      </c>
      <c r="AH54" s="2">
        <v>32.299999999999997</v>
      </c>
    </row>
    <row r="55" spans="1:34" ht="18">
      <c r="A55" s="6" t="s">
        <v>78</v>
      </c>
      <c r="B55" s="2" t="s">
        <v>150</v>
      </c>
      <c r="C55" s="2" t="s">
        <v>151</v>
      </c>
      <c r="D55" s="2" t="s">
        <v>152</v>
      </c>
      <c r="E55" s="2">
        <v>-136.26849999999999</v>
      </c>
      <c r="F55" s="2">
        <v>206.11500000000001</v>
      </c>
      <c r="G55" s="14">
        <v>57.280500000000004</v>
      </c>
      <c r="H55" s="14" t="s">
        <v>82</v>
      </c>
      <c r="I55" s="14" t="s">
        <v>82</v>
      </c>
      <c r="J55" s="14" t="s">
        <v>82</v>
      </c>
      <c r="K55" s="2">
        <v>-0.14859800000000001</v>
      </c>
      <c r="L55" s="2">
        <v>9.5114000000000004E-2</v>
      </c>
      <c r="M55" s="2">
        <v>-1.6339599999999999E-2</v>
      </c>
      <c r="N55" s="14" t="s">
        <v>82</v>
      </c>
      <c r="O55" s="14" t="s">
        <v>82</v>
      </c>
      <c r="P55" s="2" t="s">
        <v>135</v>
      </c>
      <c r="Q55" s="2">
        <v>1</v>
      </c>
      <c r="R55" s="2" t="s">
        <v>84</v>
      </c>
      <c r="S55" s="2" t="s">
        <v>78</v>
      </c>
      <c r="T55" s="2">
        <v>21.595112751050191</v>
      </c>
      <c r="U55" s="2">
        <v>6.3611615083287569</v>
      </c>
      <c r="V55" s="2">
        <v>137.37</v>
      </c>
      <c r="W55" s="2">
        <f>232/1000000</f>
        <v>2.32E-4</v>
      </c>
      <c r="X55" s="2" t="s">
        <v>153</v>
      </c>
      <c r="Y55" s="2">
        <v>18100</v>
      </c>
      <c r="Z55" s="2">
        <v>22331</v>
      </c>
      <c r="AA55" s="2" t="s">
        <v>154</v>
      </c>
      <c r="AB55" s="2" t="s">
        <v>84</v>
      </c>
    </row>
    <row r="56" spans="1:34" ht="18">
      <c r="A56" s="6" t="s">
        <v>78</v>
      </c>
      <c r="B56" s="2" t="s">
        <v>155</v>
      </c>
      <c r="C56" s="2" t="s">
        <v>156</v>
      </c>
      <c r="D56" s="2" t="s">
        <v>157</v>
      </c>
      <c r="E56" s="2">
        <v>-124.4395</v>
      </c>
      <c r="F56" s="2">
        <v>185.4299</v>
      </c>
      <c r="G56" s="2">
        <v>51.638300000000001</v>
      </c>
      <c r="H56" s="14" t="s">
        <v>82</v>
      </c>
      <c r="I56" s="14" t="s">
        <v>82</v>
      </c>
      <c r="J56" s="14" t="s">
        <v>82</v>
      </c>
      <c r="K56" s="2">
        <v>-0.149779</v>
      </c>
      <c r="L56" s="2">
        <v>9.4668000000000002E-2</v>
      </c>
      <c r="M56" s="2">
        <v>-1.6004299999999999E-2</v>
      </c>
      <c r="N56" s="14" t="s">
        <v>82</v>
      </c>
      <c r="O56" s="14" t="s">
        <v>82</v>
      </c>
      <c r="P56" s="2" t="s">
        <v>135</v>
      </c>
      <c r="Q56" s="2">
        <v>1</v>
      </c>
      <c r="R56" s="2" t="s">
        <v>84</v>
      </c>
      <c r="S56" s="2" t="s">
        <v>78</v>
      </c>
      <c r="T56" s="2">
        <v>21.935214413408325</v>
      </c>
      <c r="U56" s="2">
        <v>5.5121412410763311</v>
      </c>
      <c r="V56" s="2">
        <v>120.91</v>
      </c>
      <c r="W56" s="2">
        <f>516/1000000</f>
        <v>5.1599999999999997E-4</v>
      </c>
      <c r="X56" s="2" t="s">
        <v>153</v>
      </c>
      <c r="Y56" s="2">
        <v>20100</v>
      </c>
      <c r="Z56" s="2">
        <v>3600</v>
      </c>
      <c r="AA56" s="2" t="s">
        <v>154</v>
      </c>
      <c r="AB56" s="2" t="s">
        <v>84</v>
      </c>
    </row>
    <row r="57" spans="1:34" ht="18">
      <c r="A57" s="6" t="s">
        <v>78</v>
      </c>
      <c r="B57" s="2" t="s">
        <v>158</v>
      </c>
      <c r="C57" s="2" t="s">
        <v>159</v>
      </c>
      <c r="D57" s="2" t="s">
        <v>160</v>
      </c>
      <c r="E57" s="2">
        <v>-136.12899999999999</v>
      </c>
      <c r="F57" s="2">
        <v>206.47499999999999</v>
      </c>
      <c r="G57" s="2">
        <v>55.895699999999998</v>
      </c>
      <c r="H57" s="14" t="s">
        <v>82</v>
      </c>
      <c r="I57" s="14" t="s">
        <v>82</v>
      </c>
      <c r="J57" s="14" t="s">
        <v>82</v>
      </c>
      <c r="K57" s="2">
        <v>-2.7539999999999999E-2</v>
      </c>
      <c r="L57" s="2">
        <v>6.0330000000000002E-3</v>
      </c>
      <c r="M57" s="14" t="s">
        <v>82</v>
      </c>
      <c r="N57" s="14" t="s">
        <v>82</v>
      </c>
      <c r="O57" s="14" t="s">
        <v>82</v>
      </c>
      <c r="P57" s="2" t="s">
        <v>135</v>
      </c>
      <c r="Q57" s="2">
        <v>1</v>
      </c>
      <c r="R57" s="2" t="s">
        <v>84</v>
      </c>
      <c r="S57" s="2" t="s">
        <v>78</v>
      </c>
      <c r="T57" s="2">
        <v>21.491902248776974</v>
      </c>
      <c r="U57" s="2">
        <v>8.7186326194398696</v>
      </c>
      <c r="V57" s="2">
        <v>187.38</v>
      </c>
      <c r="W57" s="2">
        <f>72/1000000</f>
        <v>7.2000000000000002E-5</v>
      </c>
      <c r="X57" s="2" t="s">
        <v>161</v>
      </c>
      <c r="AB57" s="2" t="s">
        <v>84</v>
      </c>
    </row>
    <row r="58" spans="1:34">
      <c r="A58" s="6" t="s">
        <v>78</v>
      </c>
      <c r="B58" s="2" t="s">
        <v>162</v>
      </c>
      <c r="C58" s="2" t="s">
        <v>163</v>
      </c>
      <c r="D58" s="2" t="s">
        <v>164</v>
      </c>
      <c r="E58" s="2">
        <v>-98.726399999999998</v>
      </c>
      <c r="F58" s="2">
        <v>142.803</v>
      </c>
      <c r="G58" s="2">
        <v>38.874600000000001</v>
      </c>
      <c r="H58" s="14" t="s">
        <v>82</v>
      </c>
      <c r="I58" s="14" t="s">
        <v>82</v>
      </c>
      <c r="J58" s="14" t="s">
        <v>82</v>
      </c>
      <c r="K58" s="2">
        <v>2.68696E-2</v>
      </c>
      <c r="L58" s="2">
        <v>-3.3440699999999997E-2</v>
      </c>
      <c r="M58" s="2">
        <v>7.0843E-3</v>
      </c>
      <c r="N58" s="14" t="s">
        <v>82</v>
      </c>
      <c r="O58" s="14" t="s">
        <v>82</v>
      </c>
      <c r="P58" s="2" t="s">
        <v>135</v>
      </c>
      <c r="Q58" s="2">
        <v>1</v>
      </c>
      <c r="R58" s="2" t="s">
        <v>84</v>
      </c>
      <c r="S58" s="2" t="s">
        <v>78</v>
      </c>
      <c r="T58" s="2">
        <v>22.16387741414858</v>
      </c>
      <c r="U58" s="2">
        <v>6.5895698334248571</v>
      </c>
      <c r="V58" s="2">
        <v>146.05041800000001</v>
      </c>
      <c r="W58" s="2">
        <f>8.6/1000000</f>
        <v>8.599999999999999E-6</v>
      </c>
      <c r="X58" s="2" t="s">
        <v>165</v>
      </c>
      <c r="Y58" s="2">
        <v>19.3</v>
      </c>
      <c r="Z58" s="2">
        <v>2.9000000000000001E-2</v>
      </c>
      <c r="AA58" s="2" t="s">
        <v>166</v>
      </c>
      <c r="AB58" s="2" t="s">
        <v>84</v>
      </c>
    </row>
    <row r="59" spans="1:34" ht="18">
      <c r="A59" s="6" t="s">
        <v>84</v>
      </c>
      <c r="B59" s="2" t="s">
        <v>167</v>
      </c>
      <c r="C59" s="2" t="s">
        <v>168</v>
      </c>
      <c r="D59" s="2" t="s">
        <v>169</v>
      </c>
      <c r="E59" s="2">
        <v>-89.858599999999996</v>
      </c>
      <c r="F59" s="2">
        <v>140.17019999999999</v>
      </c>
      <c r="G59" s="2">
        <v>36.377600000000001</v>
      </c>
      <c r="H59" s="14" t="s">
        <v>82</v>
      </c>
      <c r="I59" s="14" t="s">
        <v>82</v>
      </c>
      <c r="J59" s="14" t="s">
        <v>82</v>
      </c>
      <c r="K59" s="14" t="s">
        <v>82</v>
      </c>
      <c r="L59" s="14" t="s">
        <v>82</v>
      </c>
      <c r="M59" s="14" t="s">
        <v>82</v>
      </c>
      <c r="N59" s="14" t="s">
        <v>82</v>
      </c>
      <c r="O59" s="14" t="s">
        <v>82</v>
      </c>
      <c r="P59" s="2" t="s">
        <v>94</v>
      </c>
      <c r="Q59" s="2">
        <v>1</v>
      </c>
      <c r="R59" s="2" t="s">
        <v>84</v>
      </c>
      <c r="S59" s="2" t="s">
        <v>78</v>
      </c>
      <c r="T59" s="2">
        <v>22.01052413752328</v>
      </c>
      <c r="U59" s="2">
        <v>6.7653999999999996</v>
      </c>
      <c r="V59" s="2">
        <v>148.91</v>
      </c>
      <c r="W59" s="2">
        <f>33/1000000</f>
        <v>3.3000000000000003E-5</v>
      </c>
      <c r="X59" s="2" t="s">
        <v>170</v>
      </c>
      <c r="AB59" s="2" t="s">
        <v>84</v>
      </c>
    </row>
    <row r="60" spans="1:34" ht="18">
      <c r="A60" s="6" t="s">
        <v>78</v>
      </c>
      <c r="B60" s="2" t="s">
        <v>167</v>
      </c>
      <c r="C60" s="2" t="s">
        <v>168</v>
      </c>
      <c r="D60" s="2" t="s">
        <v>171</v>
      </c>
      <c r="E60" s="2">
        <v>-91.878</v>
      </c>
      <c r="F60" s="2">
        <v>139.001</v>
      </c>
      <c r="G60" s="2">
        <v>35.478000000000002</v>
      </c>
      <c r="H60" s="14" t="s">
        <v>82</v>
      </c>
      <c r="I60" s="14" t="s">
        <v>82</v>
      </c>
      <c r="J60" s="14" t="s">
        <v>82</v>
      </c>
      <c r="K60" s="14" t="s">
        <v>82</v>
      </c>
      <c r="L60" s="14" t="s">
        <v>82</v>
      </c>
      <c r="M60" s="14" t="s">
        <v>82</v>
      </c>
      <c r="N60" s="14" t="s">
        <v>82</v>
      </c>
      <c r="O60" s="14" t="s">
        <v>82</v>
      </c>
      <c r="P60" s="2" t="s">
        <v>172</v>
      </c>
      <c r="Q60" s="2">
        <v>1</v>
      </c>
      <c r="R60" s="2" t="s">
        <v>84</v>
      </c>
      <c r="S60" s="2" t="s">
        <v>78</v>
      </c>
      <c r="T60" s="2">
        <v>22.01052413752328</v>
      </c>
      <c r="U60" s="2">
        <v>6.7653999999999996</v>
      </c>
      <c r="V60" s="2">
        <v>148.91</v>
      </c>
      <c r="W60" s="2">
        <f>33/1000000</f>
        <v>3.3000000000000003E-5</v>
      </c>
      <c r="X60" s="2" t="s">
        <v>173</v>
      </c>
      <c r="AB60" s="2" t="s">
        <v>84</v>
      </c>
    </row>
    <row r="61" spans="1:34" ht="18">
      <c r="A61" s="6" t="s">
        <v>84</v>
      </c>
      <c r="B61" s="2" t="s">
        <v>167</v>
      </c>
      <c r="C61" s="2" t="s">
        <v>168</v>
      </c>
      <c r="D61" s="2" t="s">
        <v>174</v>
      </c>
      <c r="E61" s="2">
        <v>-92.968299999999999</v>
      </c>
      <c r="F61" s="2">
        <v>140.17019999999999</v>
      </c>
      <c r="G61" s="2">
        <v>36.377600000000001</v>
      </c>
      <c r="H61" s="14" t="s">
        <v>82</v>
      </c>
      <c r="I61" s="14" t="s">
        <v>82</v>
      </c>
      <c r="J61" s="14" t="s">
        <v>82</v>
      </c>
      <c r="K61" s="14" t="s">
        <v>82</v>
      </c>
      <c r="L61" s="14" t="s">
        <v>82</v>
      </c>
      <c r="M61" s="14" t="s">
        <v>82</v>
      </c>
      <c r="N61" s="14" t="s">
        <v>82</v>
      </c>
      <c r="O61" s="14" t="s">
        <v>82</v>
      </c>
      <c r="P61" s="2" t="s">
        <v>172</v>
      </c>
      <c r="Q61" s="2">
        <v>1</v>
      </c>
      <c r="R61" s="2" t="s">
        <v>84</v>
      </c>
      <c r="S61" s="2" t="s">
        <v>78</v>
      </c>
      <c r="T61" s="2">
        <v>22.01052413752328</v>
      </c>
      <c r="U61" s="2">
        <v>6.7653999999999996</v>
      </c>
      <c r="V61" s="2">
        <v>148.91</v>
      </c>
      <c r="W61" s="2">
        <f>33/1000000</f>
        <v>3.3000000000000003E-5</v>
      </c>
      <c r="X61" s="2" t="s">
        <v>173</v>
      </c>
      <c r="AB61" s="2" t="s">
        <v>84</v>
      </c>
    </row>
    <row r="62" spans="1:34">
      <c r="A62" s="6"/>
      <c r="B62" s="17"/>
      <c r="C62" s="18"/>
      <c r="D62" s="18"/>
      <c r="E62" s="18"/>
      <c r="F62" s="18"/>
      <c r="G62" s="18"/>
      <c r="H62" s="18"/>
      <c r="I62" s="18"/>
      <c r="J62" s="18"/>
      <c r="K62" s="19"/>
      <c r="L62" s="19"/>
      <c r="M62" s="19"/>
    </row>
    <row r="63" spans="1:34">
      <c r="A63" s="6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4">
      <c r="A64" s="6"/>
      <c r="D64" s="14"/>
      <c r="T64" s="9"/>
    </row>
    <row r="65" spans="1:21">
      <c r="A65" s="6"/>
      <c r="T65" s="9"/>
      <c r="U65" s="20"/>
    </row>
    <row r="66" spans="1:21">
      <c r="A66" s="6"/>
      <c r="T66" s="9"/>
    </row>
    <row r="67" spans="1:21">
      <c r="A67" s="6"/>
      <c r="T67" s="9"/>
    </row>
    <row r="68" spans="1:21">
      <c r="A68" s="6"/>
      <c r="T68" s="9"/>
    </row>
    <row r="69" spans="1:21">
      <c r="A69" s="6"/>
      <c r="T69" s="9"/>
    </row>
    <row r="70" spans="1:21">
      <c r="A70" s="6"/>
      <c r="T70" s="9"/>
    </row>
    <row r="71" spans="1:21">
      <c r="A71" s="6"/>
    </row>
    <row r="72" spans="1:21">
      <c r="A72" s="6"/>
    </row>
    <row r="73" spans="1:21">
      <c r="A73" s="6"/>
    </row>
    <row r="74" spans="1:21">
      <c r="A74" s="6"/>
    </row>
    <row r="75" spans="1:21">
      <c r="A75" s="6"/>
    </row>
    <row r="76" spans="1:21">
      <c r="A76" s="6"/>
    </row>
    <row r="77" spans="1:21">
      <c r="A77" s="6"/>
    </row>
    <row r="78" spans="1:21">
      <c r="A78" s="6"/>
    </row>
    <row r="79" spans="1:21">
      <c r="A79" s="6"/>
    </row>
    <row r="80" spans="1:2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31:A9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AO153"/>
  <sheetViews>
    <sheetView tabSelected="1" workbookViewId="0">
      <pane ySplit="3" topLeftCell="A4" activePane="bottomLeft" state="frozen"/>
      <selection pane="bottomLeft" activeCell="P8" sqref="P8"/>
    </sheetView>
  </sheetViews>
  <sheetFormatPr defaultColWidth="9.33203125" defaultRowHeight="15"/>
  <cols>
    <col min="1" max="2" width="9.33203125" style="21"/>
    <col min="3" max="3" width="19" style="21" bestFit="1" customWidth="1"/>
    <col min="4" max="4" width="15" style="21" bestFit="1" customWidth="1"/>
    <col min="5" max="5" width="14" style="21" customWidth="1"/>
    <col min="6" max="16384" width="9.33203125" style="21"/>
  </cols>
  <sheetData>
    <row r="1" spans="1:41" ht="15.75" thickBot="1">
      <c r="A1" s="55" t="s">
        <v>175</v>
      </c>
      <c r="B1" s="55"/>
      <c r="C1" s="55"/>
      <c r="D1" s="55"/>
      <c r="E1" s="55" t="s">
        <v>328</v>
      </c>
      <c r="F1" s="55"/>
      <c r="G1" s="55"/>
      <c r="H1" s="55"/>
      <c r="I1" s="55"/>
      <c r="J1" s="55"/>
      <c r="K1" s="55"/>
      <c r="L1" s="47" t="s">
        <v>176</v>
      </c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</row>
    <row r="2" spans="1:41">
      <c r="A2" s="56" t="s">
        <v>177</v>
      </c>
      <c r="B2" s="56" t="s">
        <v>178</v>
      </c>
      <c r="C2" s="56" t="s">
        <v>179</v>
      </c>
      <c r="D2" s="56" t="s">
        <v>180</v>
      </c>
      <c r="E2" s="56" t="s">
        <v>181</v>
      </c>
      <c r="F2" s="56" t="s">
        <v>182</v>
      </c>
      <c r="G2" s="56" t="s">
        <v>183</v>
      </c>
      <c r="H2" s="56" t="s">
        <v>184</v>
      </c>
      <c r="I2" s="56" t="s">
        <v>185</v>
      </c>
      <c r="J2" s="56" t="s">
        <v>186</v>
      </c>
      <c r="K2" s="56" t="s">
        <v>187</v>
      </c>
      <c r="L2" s="49" t="s">
        <v>80</v>
      </c>
      <c r="M2" s="49" t="s">
        <v>188</v>
      </c>
      <c r="N2" s="49" t="s">
        <v>91</v>
      </c>
      <c r="O2" s="49" t="s">
        <v>189</v>
      </c>
      <c r="P2" s="49" t="s">
        <v>104</v>
      </c>
      <c r="Q2" s="49" t="s">
        <v>190</v>
      </c>
      <c r="R2" s="49" t="s">
        <v>113</v>
      </c>
      <c r="S2" s="49" t="s">
        <v>191</v>
      </c>
      <c r="T2" s="49" t="s">
        <v>119</v>
      </c>
      <c r="U2" s="49" t="s">
        <v>192</v>
      </c>
      <c r="V2" s="49" t="s">
        <v>123</v>
      </c>
      <c r="W2" s="49" t="s">
        <v>193</v>
      </c>
      <c r="X2" s="49" t="s">
        <v>104</v>
      </c>
      <c r="Y2" s="49" t="s">
        <v>190</v>
      </c>
      <c r="Z2" s="49" t="s">
        <v>123</v>
      </c>
      <c r="AA2" s="49" t="s">
        <v>193</v>
      </c>
      <c r="AB2" s="49" t="s">
        <v>128</v>
      </c>
      <c r="AC2" s="49" t="s">
        <v>194</v>
      </c>
      <c r="AD2" s="49" t="s">
        <v>97</v>
      </c>
      <c r="AE2" s="49" t="s">
        <v>195</v>
      </c>
      <c r="AF2" s="49" t="s">
        <v>138</v>
      </c>
      <c r="AG2" s="49" t="s">
        <v>196</v>
      </c>
      <c r="AH2" s="49" t="s">
        <v>146</v>
      </c>
      <c r="AI2" s="49" t="s">
        <v>197</v>
      </c>
      <c r="AJ2" s="49" t="s">
        <v>151</v>
      </c>
      <c r="AK2" s="49" t="s">
        <v>198</v>
      </c>
      <c r="AL2" s="49"/>
      <c r="AM2" s="49"/>
      <c r="AN2" s="49"/>
      <c r="AO2" s="49"/>
    </row>
    <row r="3" spans="1:41" ht="28.5" customHeight="1" thickBot="1">
      <c r="A3" s="57"/>
      <c r="B3" s="57"/>
      <c r="C3" s="57"/>
      <c r="D3" s="57"/>
      <c r="E3" s="57"/>
      <c r="F3" s="57" t="s">
        <v>199</v>
      </c>
      <c r="G3" s="57" t="s">
        <v>200</v>
      </c>
      <c r="H3" s="57" t="s">
        <v>201</v>
      </c>
      <c r="I3" s="57" t="s">
        <v>202</v>
      </c>
      <c r="J3" s="57" t="s">
        <v>203</v>
      </c>
      <c r="K3" s="57" t="s">
        <v>204</v>
      </c>
      <c r="L3" s="50" t="s">
        <v>205</v>
      </c>
      <c r="M3" s="50"/>
      <c r="N3" s="50" t="s">
        <v>205</v>
      </c>
      <c r="O3" s="50"/>
      <c r="P3" s="50" t="s">
        <v>205</v>
      </c>
      <c r="Q3" s="50"/>
      <c r="R3" s="50" t="s">
        <v>205</v>
      </c>
      <c r="S3" s="50"/>
      <c r="T3" s="50" t="s">
        <v>205</v>
      </c>
      <c r="U3" s="50"/>
      <c r="V3" s="50" t="s">
        <v>205</v>
      </c>
      <c r="W3" s="50"/>
      <c r="X3" s="50" t="s">
        <v>206</v>
      </c>
      <c r="Y3" s="50"/>
      <c r="Z3" s="50" t="s">
        <v>206</v>
      </c>
      <c r="AA3" s="50"/>
      <c r="AB3" s="50" t="s">
        <v>206</v>
      </c>
      <c r="AC3" s="50"/>
      <c r="AD3" s="50" t="s">
        <v>206</v>
      </c>
      <c r="AE3" s="50"/>
      <c r="AF3" s="50" t="s">
        <v>206</v>
      </c>
      <c r="AG3" s="50"/>
      <c r="AH3" s="50" t="s">
        <v>206</v>
      </c>
      <c r="AI3" s="50"/>
      <c r="AJ3" s="50" t="s">
        <v>207</v>
      </c>
      <c r="AK3" s="50"/>
      <c r="AL3" s="50"/>
      <c r="AM3" s="50"/>
      <c r="AN3" s="50"/>
      <c r="AO3" s="50"/>
    </row>
    <row r="4" spans="1:41">
      <c r="A4" s="22" t="s">
        <v>208</v>
      </c>
      <c r="B4" s="22" t="s">
        <v>209</v>
      </c>
      <c r="C4" s="32" t="s">
        <v>210</v>
      </c>
      <c r="D4" s="33">
        <v>41440</v>
      </c>
      <c r="F4" s="24">
        <v>0</v>
      </c>
      <c r="G4" s="22">
        <f>5280/3.28</f>
        <v>1609.7560975609756</v>
      </c>
      <c r="H4" s="25">
        <v>5</v>
      </c>
      <c r="I4" s="22">
        <v>0.1</v>
      </c>
      <c r="J4" s="22">
        <v>0.5</v>
      </c>
      <c r="K4" s="22">
        <v>0</v>
      </c>
      <c r="L4" s="22">
        <v>3.7790353741208932E-8</v>
      </c>
      <c r="M4" s="22">
        <v>3.7790353741208931E-10</v>
      </c>
      <c r="N4" s="26">
        <v>1.4984233909720705E-7</v>
      </c>
      <c r="O4" s="26">
        <v>2.996846781944141E-9</v>
      </c>
      <c r="P4" s="24">
        <v>2.3802410021766184E-4</v>
      </c>
      <c r="Q4" s="22">
        <v>4.7604820043532372E-6</v>
      </c>
      <c r="R4" s="22">
        <v>5.2424437788251902E-8</v>
      </c>
      <c r="S4" s="22">
        <v>1.0484887557650382E-9</v>
      </c>
      <c r="T4" s="22">
        <v>7.3573787026647806E-9</v>
      </c>
      <c r="U4" s="22">
        <v>2.2072136107994341E-10</v>
      </c>
      <c r="Z4" s="24"/>
    </row>
    <row r="5" spans="1:41">
      <c r="A5" s="22" t="s">
        <v>208</v>
      </c>
      <c r="B5" s="22" t="s">
        <v>209</v>
      </c>
      <c r="C5" s="32" t="s">
        <v>211</v>
      </c>
      <c r="D5" s="33">
        <v>41532</v>
      </c>
      <c r="F5" s="24">
        <v>0</v>
      </c>
      <c r="G5" s="22">
        <f t="shared" ref="G5:G68" si="0">5280/3.28</f>
        <v>1609.7560975609756</v>
      </c>
      <c r="H5" s="25">
        <v>5</v>
      </c>
      <c r="I5" s="22">
        <v>0.1</v>
      </c>
      <c r="J5" s="22">
        <v>0.5</v>
      </c>
      <c r="K5" s="22">
        <v>0</v>
      </c>
      <c r="L5" s="22">
        <v>3.752288916026877E-8</v>
      </c>
      <c r="M5" s="22">
        <v>3.7522889160268769E-10</v>
      </c>
      <c r="N5" s="22">
        <v>1.4974838614812671E-7</v>
      </c>
      <c r="O5" s="22">
        <v>2.9949677229625344E-9</v>
      </c>
      <c r="P5" s="22">
        <v>2.4676954919418366E-4</v>
      </c>
      <c r="Q5" s="22">
        <v>4.9353909838836733E-6</v>
      </c>
      <c r="R5" s="22">
        <v>5.3263784081228366E-8</v>
      </c>
      <c r="S5" s="22">
        <v>1.0652756816245673E-9</v>
      </c>
      <c r="T5" s="22">
        <v>7.0214137978418411E-9</v>
      </c>
      <c r="U5" s="22">
        <v>2.1064241393525522E-10</v>
      </c>
    </row>
    <row r="6" spans="1:41">
      <c r="A6" s="22" t="s">
        <v>208</v>
      </c>
      <c r="B6" s="22" t="s">
        <v>209</v>
      </c>
      <c r="C6" s="32" t="s">
        <v>212</v>
      </c>
      <c r="D6" s="33">
        <v>41532</v>
      </c>
      <c r="F6" s="24">
        <v>0</v>
      </c>
      <c r="G6" s="22">
        <f t="shared" si="0"/>
        <v>1609.7560975609756</v>
      </c>
      <c r="H6" s="25">
        <v>5</v>
      </c>
      <c r="I6" s="22">
        <v>0.1</v>
      </c>
      <c r="J6" s="22">
        <v>0.5</v>
      </c>
      <c r="K6" s="22">
        <v>0</v>
      </c>
      <c r="L6" s="22">
        <v>3.7314121347079183E-8</v>
      </c>
      <c r="M6" s="22">
        <v>3.7314121347079182E-10</v>
      </c>
      <c r="N6" s="22">
        <v>1.5326943900349245E-7</v>
      </c>
      <c r="O6" s="22">
        <v>3.065388780069849E-9</v>
      </c>
      <c r="P6" s="22">
        <v>2.4980145273634279E-4</v>
      </c>
      <c r="Q6" s="22">
        <v>4.9960290547268557E-6</v>
      </c>
      <c r="R6" s="22">
        <v>5.5090345255839558E-8</v>
      </c>
      <c r="S6" s="22">
        <v>1.1018069051167912E-9</v>
      </c>
      <c r="T6" s="22">
        <v>7.3884106619714797E-9</v>
      </c>
      <c r="U6" s="22">
        <v>2.2165231985914438E-10</v>
      </c>
    </row>
    <row r="7" spans="1:41">
      <c r="A7" s="22" t="s">
        <v>208</v>
      </c>
      <c r="B7" s="22" t="s">
        <v>209</v>
      </c>
      <c r="C7" s="32" t="s">
        <v>213</v>
      </c>
      <c r="D7" s="33">
        <v>41532</v>
      </c>
      <c r="F7" s="24">
        <v>0</v>
      </c>
      <c r="G7" s="22">
        <f t="shared" si="0"/>
        <v>1609.7560975609756</v>
      </c>
      <c r="H7" s="25">
        <v>5</v>
      </c>
      <c r="I7" s="22">
        <v>0.1</v>
      </c>
      <c r="J7" s="22">
        <v>0.5</v>
      </c>
      <c r="K7" s="22">
        <v>0</v>
      </c>
      <c r="L7" s="22">
        <v>3.7294060714782459E-8</v>
      </c>
      <c r="M7" s="22">
        <v>3.7294060714782462E-10</v>
      </c>
      <c r="N7" s="22">
        <v>1.5191865042541809E-7</v>
      </c>
      <c r="O7" s="22">
        <v>3.0383730085083618E-9</v>
      </c>
      <c r="P7" s="22">
        <v>2.4844452208912693E-4</v>
      </c>
      <c r="Q7" s="22">
        <v>4.9688904417825385E-6</v>
      </c>
      <c r="R7" s="22">
        <v>5.5780857767721658E-8</v>
      </c>
      <c r="S7" s="22">
        <v>1.1156171553544332E-9</v>
      </c>
      <c r="T7" s="22">
        <v>7.4357074345865619E-9</v>
      </c>
      <c r="U7" s="22">
        <v>2.2307122303759686E-10</v>
      </c>
    </row>
    <row r="8" spans="1:41">
      <c r="A8" s="22" t="s">
        <v>208</v>
      </c>
      <c r="B8" s="22" t="s">
        <v>209</v>
      </c>
      <c r="C8" s="32" t="s">
        <v>214</v>
      </c>
      <c r="D8" s="33">
        <v>41532</v>
      </c>
      <c r="F8" s="24">
        <v>0</v>
      </c>
      <c r="G8" s="22">
        <f t="shared" si="0"/>
        <v>1609.7560975609756</v>
      </c>
      <c r="H8" s="25">
        <v>5</v>
      </c>
      <c r="I8" s="22">
        <v>0.1</v>
      </c>
      <c r="J8" s="22">
        <v>0.5</v>
      </c>
      <c r="K8" s="22">
        <v>0</v>
      </c>
      <c r="L8" s="22">
        <v>3.7039442966230468E-8</v>
      </c>
      <c r="M8" s="22">
        <v>3.3372538112573652E-7</v>
      </c>
      <c r="N8" s="22">
        <v>1.4834073912104206E-7</v>
      </c>
      <c r="O8" s="22">
        <v>1.3380334668717993E-6</v>
      </c>
      <c r="P8" s="22">
        <v>2.5120802536631717E-4</v>
      </c>
      <c r="Q8" s="22">
        <v>2.2658963888041806E-3</v>
      </c>
      <c r="R8" s="22">
        <v>5.4823537323543534E-8</v>
      </c>
      <c r="S8" s="22">
        <v>4.9450830665836265E-7</v>
      </c>
      <c r="T8" s="22">
        <v>7.5134848742023658E-9</v>
      </c>
      <c r="U8" s="22">
        <v>6.7846768414047364E-8</v>
      </c>
    </row>
    <row r="9" spans="1:41">
      <c r="A9" s="22" t="s">
        <v>208</v>
      </c>
      <c r="B9" s="22" t="s">
        <v>209</v>
      </c>
      <c r="C9" s="32" t="s">
        <v>215</v>
      </c>
      <c r="D9" s="33">
        <v>41532</v>
      </c>
      <c r="F9" s="24">
        <v>0</v>
      </c>
      <c r="G9" s="22">
        <f t="shared" si="0"/>
        <v>1609.7560975609756</v>
      </c>
      <c r="H9" s="25">
        <v>5</v>
      </c>
      <c r="I9" s="22">
        <v>0.1</v>
      </c>
      <c r="J9" s="22">
        <v>0.5</v>
      </c>
      <c r="K9" s="22">
        <v>0</v>
      </c>
      <c r="L9" s="22">
        <v>3.7044162781268538E-8</v>
      </c>
      <c r="M9" s="22">
        <v>3.7044162781268536E-10</v>
      </c>
      <c r="N9" s="22">
        <v>1.5150328621577803E-7</v>
      </c>
      <c r="O9" s="22">
        <v>3.0300657243155605E-9</v>
      </c>
      <c r="P9" s="22">
        <v>2.4704017102977278E-4</v>
      </c>
      <c r="Q9" s="22">
        <v>4.940803420595456E-6</v>
      </c>
      <c r="R9" s="22">
        <v>5.5094310056123308E-8</v>
      </c>
      <c r="S9" s="22">
        <v>1.1018862011224661E-9</v>
      </c>
      <c r="T9" s="22">
        <v>7.3248722465632979E-9</v>
      </c>
      <c r="U9" s="22">
        <v>2.1974616739689892E-10</v>
      </c>
    </row>
    <row r="10" spans="1:41">
      <c r="A10" s="22" t="s">
        <v>208</v>
      </c>
      <c r="B10" s="22" t="s">
        <v>209</v>
      </c>
      <c r="C10" s="32" t="s">
        <v>216</v>
      </c>
      <c r="D10" s="33">
        <v>41532</v>
      </c>
      <c r="F10" s="24">
        <v>0</v>
      </c>
      <c r="G10" s="22">
        <f t="shared" si="0"/>
        <v>1609.7560975609756</v>
      </c>
      <c r="H10" s="25">
        <v>5</v>
      </c>
      <c r="I10" s="22">
        <v>0.1</v>
      </c>
      <c r="J10" s="22">
        <v>0.5</v>
      </c>
      <c r="K10" s="22">
        <v>0</v>
      </c>
      <c r="L10" s="22">
        <v>3.743634351783504E-8</v>
      </c>
      <c r="M10" s="22">
        <v>3.7436343517835041E-10</v>
      </c>
      <c r="N10" s="22">
        <v>1.5229929091595896E-7</v>
      </c>
      <c r="O10" s="22">
        <v>3.0459858183191791E-9</v>
      </c>
      <c r="P10" s="22">
        <v>2.4982181860440687E-4</v>
      </c>
      <c r="Q10" s="22">
        <v>4.9964363720881375E-6</v>
      </c>
      <c r="R10" s="22">
        <v>5.4177413047932481E-8</v>
      </c>
      <c r="S10" s="22">
        <v>1.0835482609586498E-9</v>
      </c>
      <c r="T10" s="22">
        <v>7.2027760087424113E-9</v>
      </c>
      <c r="U10" s="22">
        <v>2.1608328026227232E-10</v>
      </c>
    </row>
    <row r="11" spans="1:41">
      <c r="A11" s="22" t="s">
        <v>208</v>
      </c>
      <c r="B11" s="22" t="s">
        <v>209</v>
      </c>
      <c r="C11" s="32" t="s">
        <v>217</v>
      </c>
      <c r="D11" s="33">
        <v>41532</v>
      </c>
      <c r="F11" s="24">
        <v>0</v>
      </c>
      <c r="G11" s="22">
        <f t="shared" si="0"/>
        <v>1609.7560975609756</v>
      </c>
      <c r="H11" s="25">
        <v>5</v>
      </c>
      <c r="I11" s="22">
        <v>0.1</v>
      </c>
      <c r="J11" s="22">
        <v>0.5</v>
      </c>
      <c r="K11" s="22">
        <v>0</v>
      </c>
      <c r="L11" s="22">
        <v>3.721898210801857E-8</v>
      </c>
      <c r="M11" s="22">
        <v>3.721898210801857E-10</v>
      </c>
      <c r="N11" s="22">
        <v>1.4967175669520198E-7</v>
      </c>
      <c r="O11" s="22">
        <v>2.9934351339040398E-9</v>
      </c>
      <c r="P11" s="22">
        <v>2.4805575390909228E-4</v>
      </c>
      <c r="Q11" s="22">
        <v>4.9611150781818458E-6</v>
      </c>
      <c r="R11" s="22">
        <v>5.5027099573265389E-8</v>
      </c>
      <c r="S11" s="22">
        <v>1.1005419914653078E-9</v>
      </c>
      <c r="T11" s="22">
        <v>7.6006247609969659E-9</v>
      </c>
      <c r="U11" s="22">
        <v>2.2801874282990898E-10</v>
      </c>
    </row>
    <row r="12" spans="1:41">
      <c r="A12" s="22" t="s">
        <v>208</v>
      </c>
      <c r="B12" s="22" t="s">
        <v>209</v>
      </c>
      <c r="C12" s="32" t="s">
        <v>218</v>
      </c>
      <c r="D12" s="33">
        <v>41835</v>
      </c>
      <c r="F12" s="24">
        <v>0</v>
      </c>
      <c r="G12" s="22">
        <f t="shared" si="0"/>
        <v>1609.7560975609756</v>
      </c>
      <c r="H12" s="25">
        <v>5</v>
      </c>
      <c r="I12" s="22">
        <v>0.1</v>
      </c>
      <c r="J12" s="22">
        <v>0.5</v>
      </c>
      <c r="K12" s="22">
        <v>0</v>
      </c>
      <c r="L12" s="22">
        <v>3.7763943808658859E-8</v>
      </c>
      <c r="M12" s="22">
        <v>3.7763943808658859E-10</v>
      </c>
      <c r="N12" s="22">
        <v>1.5190539077735329E-7</v>
      </c>
      <c r="O12" s="22">
        <v>3.0381078155470657E-9</v>
      </c>
      <c r="P12" s="22">
        <v>2.486299581868628E-4</v>
      </c>
      <c r="Q12" s="22">
        <v>4.9725991637372559E-6</v>
      </c>
      <c r="R12" s="22">
        <v>5.354590281754469E-8</v>
      </c>
      <c r="S12" s="22">
        <v>1.0709180563508939E-9</v>
      </c>
      <c r="T12" s="22">
        <v>7.0943222142561425E-9</v>
      </c>
      <c r="U12" s="22">
        <v>2.1282966642768428E-10</v>
      </c>
    </row>
    <row r="13" spans="1:41">
      <c r="A13" s="22" t="s">
        <v>208</v>
      </c>
      <c r="B13" s="22" t="s">
        <v>209</v>
      </c>
      <c r="C13" s="32" t="s">
        <v>219</v>
      </c>
      <c r="D13" s="33">
        <v>41835</v>
      </c>
      <c r="F13" s="24">
        <v>0</v>
      </c>
      <c r="G13" s="22">
        <f t="shared" si="0"/>
        <v>1609.7560975609756</v>
      </c>
      <c r="H13" s="25">
        <v>5</v>
      </c>
      <c r="I13" s="22">
        <v>0.1</v>
      </c>
      <c r="J13" s="22">
        <v>0.5</v>
      </c>
      <c r="K13" s="22">
        <v>0</v>
      </c>
      <c r="L13" s="22">
        <v>3.7064139500295168E-8</v>
      </c>
      <c r="M13" s="22">
        <v>3.7064139500295167E-10</v>
      </c>
      <c r="N13" s="22">
        <v>1.5155642420198476E-7</v>
      </c>
      <c r="O13" s="22">
        <v>3.0311284840396952E-9</v>
      </c>
      <c r="P13" s="22">
        <v>2.5321252423891275E-4</v>
      </c>
      <c r="Q13" s="22">
        <v>5.064250484778255E-6</v>
      </c>
      <c r="R13" s="22">
        <v>5.5623050340973626E-8</v>
      </c>
      <c r="S13" s="22">
        <v>1.1124610068194726E-9</v>
      </c>
      <c r="T13" s="22">
        <v>7.3917338255036281E-9</v>
      </c>
      <c r="U13" s="22">
        <v>2.2175201476510885E-10</v>
      </c>
    </row>
    <row r="14" spans="1:41">
      <c r="A14" s="22" t="s">
        <v>208</v>
      </c>
      <c r="B14" s="22" t="s">
        <v>209</v>
      </c>
      <c r="C14" s="32" t="s">
        <v>220</v>
      </c>
      <c r="D14" s="33">
        <v>41835</v>
      </c>
      <c r="F14" s="24">
        <v>0</v>
      </c>
      <c r="G14" s="22">
        <f t="shared" si="0"/>
        <v>1609.7560975609756</v>
      </c>
      <c r="H14" s="25">
        <v>5</v>
      </c>
      <c r="I14" s="22">
        <v>0.1</v>
      </c>
      <c r="J14" s="22">
        <v>0.5</v>
      </c>
      <c r="K14" s="22">
        <v>0</v>
      </c>
      <c r="L14" s="22">
        <v>3.7086009251124243E-8</v>
      </c>
      <c r="M14" s="22">
        <v>3.7086009251124247E-10</v>
      </c>
      <c r="N14" s="22">
        <v>1.5372436556641078E-7</v>
      </c>
      <c r="O14" s="22">
        <v>3.0744873113282155E-9</v>
      </c>
      <c r="P14" s="22">
        <v>2.5252004255225377E-4</v>
      </c>
      <c r="Q14" s="22">
        <v>5.0504008510450755E-6</v>
      </c>
      <c r="R14" s="22">
        <v>5.5325683307508817E-8</v>
      </c>
      <c r="S14" s="22">
        <v>1.1065136661501763E-9</v>
      </c>
      <c r="T14" s="22">
        <v>7.3193798305834931E-9</v>
      </c>
      <c r="U14" s="22">
        <v>2.1958139491750478E-10</v>
      </c>
    </row>
    <row r="15" spans="1:41">
      <c r="A15" s="22" t="s">
        <v>208</v>
      </c>
      <c r="B15" s="22" t="s">
        <v>209</v>
      </c>
      <c r="C15" s="32" t="s">
        <v>221</v>
      </c>
      <c r="D15" s="33">
        <v>41835</v>
      </c>
      <c r="F15" s="24">
        <v>0</v>
      </c>
      <c r="G15" s="22">
        <f t="shared" si="0"/>
        <v>1609.7560975609756</v>
      </c>
      <c r="H15" s="25">
        <v>5</v>
      </c>
      <c r="I15" s="22">
        <v>0.1</v>
      </c>
      <c r="J15" s="22">
        <v>0.5</v>
      </c>
      <c r="K15" s="22">
        <v>0</v>
      </c>
      <c r="L15" s="22">
        <v>3.722148410608659E-8</v>
      </c>
      <c r="M15" s="22">
        <v>3.7221484106086591E-10</v>
      </c>
      <c r="N15" s="22">
        <v>1.5197269670364461E-7</v>
      </c>
      <c r="O15" s="22">
        <v>3.039453934072892E-9</v>
      </c>
      <c r="P15" s="22">
        <v>2.5319855411922977E-4</v>
      </c>
      <c r="Q15" s="22">
        <v>5.0639710823845954E-6</v>
      </c>
      <c r="R15" s="22">
        <v>5.5370138971050101E-8</v>
      </c>
      <c r="S15" s="22">
        <v>1.107402779421002E-9</v>
      </c>
      <c r="T15" s="22">
        <v>7.3536539871856428E-9</v>
      </c>
      <c r="U15" s="22">
        <v>2.2060961961556927E-10</v>
      </c>
    </row>
    <row r="16" spans="1:41">
      <c r="A16" s="22" t="s">
        <v>208</v>
      </c>
      <c r="B16" s="22" t="s">
        <v>209</v>
      </c>
      <c r="C16" s="32" t="s">
        <v>222</v>
      </c>
      <c r="D16" s="33">
        <v>41835</v>
      </c>
      <c r="F16" s="24">
        <v>0</v>
      </c>
      <c r="G16" s="22">
        <f t="shared" si="0"/>
        <v>1609.7560975609756</v>
      </c>
      <c r="H16" s="25">
        <v>5</v>
      </c>
      <c r="I16" s="22">
        <v>0.1</v>
      </c>
      <c r="J16" s="22">
        <v>0.5</v>
      </c>
      <c r="K16" s="22">
        <v>0</v>
      </c>
      <c r="L16" s="22">
        <v>3.9251867967934083E-8</v>
      </c>
      <c r="M16" s="22">
        <v>3.9251867967934082E-10</v>
      </c>
      <c r="N16" s="22">
        <v>1.5801911162006553E-7</v>
      </c>
      <c r="O16" s="22">
        <v>3.1603822324013107E-9</v>
      </c>
      <c r="P16" s="22">
        <v>2.5590377210906313E-4</v>
      </c>
      <c r="Q16" s="22">
        <v>5.1180754421812632E-6</v>
      </c>
      <c r="R16" s="22">
        <v>5.5584358315264159E-8</v>
      </c>
      <c r="S16" s="22">
        <v>1.1116871663052831E-9</v>
      </c>
      <c r="T16" s="22">
        <v>7.4371379477682022E-9</v>
      </c>
      <c r="U16" s="22">
        <v>2.2311413843304605E-10</v>
      </c>
    </row>
    <row r="17" spans="1:21">
      <c r="A17" s="22" t="s">
        <v>208</v>
      </c>
      <c r="B17" s="22" t="s">
        <v>209</v>
      </c>
      <c r="C17" s="32" t="s">
        <v>223</v>
      </c>
      <c r="D17" s="33">
        <v>41835</v>
      </c>
      <c r="F17" s="24">
        <v>0</v>
      </c>
      <c r="G17" s="22">
        <f t="shared" si="0"/>
        <v>1609.7560975609756</v>
      </c>
      <c r="H17" s="25">
        <v>5</v>
      </c>
      <c r="I17" s="22">
        <v>0.1</v>
      </c>
      <c r="J17" s="22">
        <v>0.5</v>
      </c>
      <c r="K17" s="22">
        <v>0</v>
      </c>
      <c r="L17" s="22">
        <v>3.7689969417901494E-8</v>
      </c>
      <c r="M17" s="22">
        <v>3.7689969417901497E-10</v>
      </c>
      <c r="N17" s="22">
        <v>1.548235201854601E-7</v>
      </c>
      <c r="O17" s="22">
        <v>3.0964704037092022E-9</v>
      </c>
      <c r="P17" s="22">
        <v>2.530405236404035E-4</v>
      </c>
      <c r="Q17" s="22">
        <v>5.06081047280807E-6</v>
      </c>
      <c r="R17" s="22">
        <v>5.49809736643956E-8</v>
      </c>
      <c r="S17" s="22">
        <v>1.0996194732879119E-9</v>
      </c>
      <c r="T17" s="22">
        <v>7.4859530299767987E-9</v>
      </c>
      <c r="U17" s="22">
        <v>2.2457859089930395E-10</v>
      </c>
    </row>
    <row r="18" spans="1:21">
      <c r="A18" s="22" t="s">
        <v>208</v>
      </c>
      <c r="B18" s="22" t="s">
        <v>209</v>
      </c>
      <c r="C18" s="32" t="s">
        <v>224</v>
      </c>
      <c r="D18" s="33">
        <v>41835</v>
      </c>
      <c r="F18" s="24">
        <v>0</v>
      </c>
      <c r="G18" s="22">
        <f t="shared" si="0"/>
        <v>1609.7560975609756</v>
      </c>
      <c r="H18" s="25">
        <v>5</v>
      </c>
      <c r="I18" s="22">
        <v>0.1</v>
      </c>
      <c r="J18" s="22">
        <v>0.5</v>
      </c>
      <c r="K18" s="22">
        <v>0</v>
      </c>
      <c r="L18" s="22">
        <v>3.7425396152983679E-8</v>
      </c>
      <c r="M18" s="22">
        <v>3.7425396152983682E-10</v>
      </c>
      <c r="N18" s="22">
        <v>1.5361913069176891E-7</v>
      </c>
      <c r="O18" s="22">
        <v>3.0723826138353784E-9</v>
      </c>
      <c r="P18" s="22">
        <v>2.5096407394205994E-4</v>
      </c>
      <c r="Q18" s="22">
        <v>5.0192814788411989E-6</v>
      </c>
      <c r="R18" s="22">
        <v>5.4792138574486103E-8</v>
      </c>
      <c r="S18" s="22">
        <v>1.095842771489722E-9</v>
      </c>
      <c r="T18" s="22">
        <v>7.3568134603819003E-9</v>
      </c>
      <c r="U18" s="22">
        <v>2.2070440381145701E-10</v>
      </c>
    </row>
    <row r="19" spans="1:21">
      <c r="A19" s="22" t="s">
        <v>208</v>
      </c>
      <c r="B19" s="22" t="s">
        <v>209</v>
      </c>
      <c r="C19" s="32" t="s">
        <v>215</v>
      </c>
      <c r="D19" s="33">
        <v>41835</v>
      </c>
      <c r="F19" s="24">
        <v>0</v>
      </c>
      <c r="G19" s="22">
        <f t="shared" si="0"/>
        <v>1609.7560975609756</v>
      </c>
      <c r="H19" s="25">
        <v>5</v>
      </c>
      <c r="I19" s="22">
        <v>0.1</v>
      </c>
      <c r="J19" s="22">
        <v>0.5</v>
      </c>
      <c r="K19" s="22">
        <v>0</v>
      </c>
      <c r="L19" s="22">
        <v>3.6867876522214377E-8</v>
      </c>
      <c r="M19" s="22">
        <v>3.6867876522214379E-10</v>
      </c>
      <c r="N19" s="22">
        <v>1.5057542217776461E-7</v>
      </c>
      <c r="O19" s="22">
        <v>3.0115084435552923E-9</v>
      </c>
      <c r="P19" s="22">
        <v>2.4859695028852692E-4</v>
      </c>
      <c r="Q19" s="22">
        <v>4.9719390057705388E-6</v>
      </c>
      <c r="R19" s="22">
        <v>5.3907735323576453E-8</v>
      </c>
      <c r="S19" s="22">
        <v>1.0781547064715291E-9</v>
      </c>
      <c r="T19" s="22">
        <v>7.1134122094458439E-9</v>
      </c>
      <c r="U19" s="22">
        <v>2.1340236628337532E-10</v>
      </c>
    </row>
    <row r="20" spans="1:21">
      <c r="A20" s="22" t="s">
        <v>208</v>
      </c>
      <c r="B20" s="22" t="s">
        <v>209</v>
      </c>
      <c r="C20" s="32" t="s">
        <v>217</v>
      </c>
      <c r="D20" s="33">
        <v>41835</v>
      </c>
      <c r="F20" s="24">
        <v>0</v>
      </c>
      <c r="G20" s="22">
        <f t="shared" si="0"/>
        <v>1609.7560975609756</v>
      </c>
      <c r="H20" s="25">
        <v>5</v>
      </c>
      <c r="I20" s="22">
        <v>0.1</v>
      </c>
      <c r="J20" s="22">
        <v>0.5</v>
      </c>
      <c r="K20" s="22">
        <v>0</v>
      </c>
      <c r="L20" s="22">
        <v>3.8172725409026786E-8</v>
      </c>
      <c r="M20" s="22">
        <v>3.8172725409026786E-10</v>
      </c>
      <c r="N20" s="22">
        <v>1.522387781434831E-7</v>
      </c>
      <c r="O20" s="22">
        <v>3.044775562869662E-9</v>
      </c>
      <c r="P20" s="22">
        <v>2.5758185618231526E-4</v>
      </c>
      <c r="Q20" s="22">
        <v>5.1516371236463057E-6</v>
      </c>
      <c r="R20" s="22">
        <v>5.8809225622236262E-8</v>
      </c>
      <c r="S20" s="22">
        <v>1.1761845124447253E-9</v>
      </c>
      <c r="T20" s="22">
        <v>7.8557093838226015E-9</v>
      </c>
      <c r="U20" s="22">
        <v>2.3567128151467801E-10</v>
      </c>
    </row>
    <row r="21" spans="1:21">
      <c r="A21" s="22" t="s">
        <v>208</v>
      </c>
      <c r="B21" s="22" t="s">
        <v>209</v>
      </c>
      <c r="C21" s="32" t="s">
        <v>225</v>
      </c>
      <c r="D21" s="33">
        <v>41944</v>
      </c>
      <c r="F21" s="24">
        <v>0</v>
      </c>
      <c r="G21" s="22">
        <f t="shared" si="0"/>
        <v>1609.7560975609756</v>
      </c>
      <c r="H21" s="25">
        <v>5</v>
      </c>
      <c r="I21" s="22">
        <v>0.1</v>
      </c>
      <c r="J21" s="22">
        <v>0.5</v>
      </c>
      <c r="K21" s="22">
        <v>0</v>
      </c>
      <c r="L21" s="22">
        <v>3.7747613210771027E-8</v>
      </c>
      <c r="M21" s="22">
        <v>3.7747613210771028E-10</v>
      </c>
      <c r="N21" s="22">
        <v>1.4982473707845244E-7</v>
      </c>
      <c r="O21" s="22">
        <v>3.745618426961311E-9</v>
      </c>
      <c r="P21" s="22">
        <v>2.4273863070714037E-4</v>
      </c>
      <c r="Q21" s="22">
        <v>4.8547726141428077E-6</v>
      </c>
      <c r="R21" s="22">
        <v>5.1534459407872127E-8</v>
      </c>
      <c r="S21" s="22">
        <v>1.0306891881574426E-9</v>
      </c>
      <c r="T21" s="22">
        <v>7.1681880229525411E-9</v>
      </c>
      <c r="U21" s="22">
        <v>2.1504564068857623E-10</v>
      </c>
    </row>
    <row r="22" spans="1:21">
      <c r="A22" s="22" t="s">
        <v>208</v>
      </c>
      <c r="B22" s="22" t="s">
        <v>209</v>
      </c>
      <c r="C22" s="32" t="s">
        <v>226</v>
      </c>
      <c r="D22" s="33">
        <v>41944</v>
      </c>
      <c r="F22" s="24">
        <v>0</v>
      </c>
      <c r="G22" s="22">
        <f t="shared" si="0"/>
        <v>1609.7560975609756</v>
      </c>
      <c r="H22" s="25">
        <v>5</v>
      </c>
      <c r="I22" s="22">
        <v>0.1</v>
      </c>
      <c r="J22" s="22">
        <v>0.5</v>
      </c>
      <c r="K22" s="22">
        <v>0</v>
      </c>
      <c r="L22" s="22">
        <v>3.7641855739316691E-8</v>
      </c>
      <c r="M22" s="22">
        <v>3.764185573931669E-10</v>
      </c>
      <c r="N22" s="22">
        <v>1.4862926441364087E-7</v>
      </c>
      <c r="O22" s="22">
        <v>3.715731610341022E-9</v>
      </c>
      <c r="P22" s="22">
        <v>2.4197283413593434E-4</v>
      </c>
      <c r="Q22" s="22">
        <v>4.8394566827186865E-6</v>
      </c>
      <c r="R22" s="22">
        <v>5.2474048899053508E-8</v>
      </c>
      <c r="S22" s="22">
        <v>1.0494809779810701E-9</v>
      </c>
      <c r="T22" s="22">
        <v>7.0983911151131869E-9</v>
      </c>
      <c r="U22" s="22">
        <v>2.1295173345339559E-10</v>
      </c>
    </row>
    <row r="23" spans="1:21">
      <c r="A23" s="22" t="s">
        <v>208</v>
      </c>
      <c r="B23" s="22" t="s">
        <v>209</v>
      </c>
      <c r="C23" s="32" t="s">
        <v>227</v>
      </c>
      <c r="D23" s="33">
        <v>41957</v>
      </c>
      <c r="F23" s="24">
        <v>0</v>
      </c>
      <c r="G23" s="22">
        <f t="shared" si="0"/>
        <v>1609.7560975609756</v>
      </c>
      <c r="H23" s="25">
        <v>5</v>
      </c>
      <c r="I23" s="22">
        <v>0.1</v>
      </c>
      <c r="J23" s="22">
        <v>0.5</v>
      </c>
      <c r="K23" s="22">
        <v>0</v>
      </c>
      <c r="L23" s="22">
        <v>3.8512329028674894E-8</v>
      </c>
      <c r="M23" s="22">
        <v>3.8512329028674897E-10</v>
      </c>
      <c r="N23" s="22">
        <v>1.528648813725319E-7</v>
      </c>
      <c r="O23" s="22">
        <v>3.0572976274506382E-9</v>
      </c>
      <c r="P23" s="22">
        <v>2.3186954099392232E-4</v>
      </c>
      <c r="Q23" s="22">
        <v>4.6373908198784465E-6</v>
      </c>
      <c r="R23" s="22">
        <v>5.3899028277595706E-8</v>
      </c>
      <c r="S23" s="22">
        <v>1.0779805655519141E-9</v>
      </c>
      <c r="T23" s="22">
        <v>7.209191169668311E-9</v>
      </c>
      <c r="U23" s="22">
        <v>2.1627573509004931E-10</v>
      </c>
    </row>
    <row r="24" spans="1:21">
      <c r="A24" s="22" t="s">
        <v>208</v>
      </c>
      <c r="B24" s="22" t="s">
        <v>209</v>
      </c>
      <c r="C24" s="32" t="s">
        <v>228</v>
      </c>
      <c r="D24" s="33">
        <v>41957</v>
      </c>
      <c r="F24" s="24">
        <v>0</v>
      </c>
      <c r="G24" s="22">
        <f t="shared" si="0"/>
        <v>1609.7560975609756</v>
      </c>
      <c r="H24" s="25">
        <v>5</v>
      </c>
      <c r="I24" s="22">
        <v>0.1</v>
      </c>
      <c r="J24" s="22">
        <v>0.5</v>
      </c>
      <c r="K24" s="22">
        <v>0</v>
      </c>
      <c r="L24" s="22">
        <v>3.9332888753541047E-8</v>
      </c>
      <c r="M24" s="22">
        <v>3.933288875354105E-10</v>
      </c>
      <c r="N24" s="22">
        <v>1.5074944290698669E-7</v>
      </c>
      <c r="O24" s="22">
        <v>3.0149888581397337E-9</v>
      </c>
      <c r="P24" s="22">
        <v>2.5378154680326208E-4</v>
      </c>
      <c r="Q24" s="22">
        <v>5.0756309360652416E-6</v>
      </c>
      <c r="R24" s="22">
        <v>5.55680991076249E-8</v>
      </c>
      <c r="S24" s="22">
        <v>1.111361982152498E-9</v>
      </c>
      <c r="T24" s="22">
        <v>7.1839639403691859E-9</v>
      </c>
      <c r="U24" s="22">
        <v>2.1551891821107556E-10</v>
      </c>
    </row>
    <row r="25" spans="1:21">
      <c r="A25" s="22" t="s">
        <v>208</v>
      </c>
      <c r="B25" s="22" t="s">
        <v>209</v>
      </c>
      <c r="C25" s="32" t="s">
        <v>229</v>
      </c>
      <c r="D25" s="33">
        <v>41957</v>
      </c>
      <c r="F25" s="24">
        <v>0</v>
      </c>
      <c r="G25" s="22">
        <f t="shared" si="0"/>
        <v>1609.7560975609756</v>
      </c>
      <c r="H25" s="25">
        <v>5</v>
      </c>
      <c r="I25" s="22">
        <v>0.1</v>
      </c>
      <c r="J25" s="22">
        <v>0.5</v>
      </c>
      <c r="K25" s="22">
        <v>0</v>
      </c>
      <c r="L25" s="22">
        <v>3.7691192508991241E-8</v>
      </c>
      <c r="M25" s="22">
        <v>3.769119250899124E-10</v>
      </c>
      <c r="N25" s="22">
        <v>1.5318371002520941E-7</v>
      </c>
      <c r="O25" s="22">
        <v>3.0636742005041882E-9</v>
      </c>
      <c r="P25" s="22">
        <v>2.4668582063594544E-4</v>
      </c>
      <c r="Q25" s="22">
        <v>4.9337164127189087E-6</v>
      </c>
      <c r="R25" s="22">
        <v>5.3074299173702107E-8</v>
      </c>
      <c r="S25" s="22">
        <v>1.0614859834740423E-9</v>
      </c>
      <c r="T25" s="22">
        <v>7.2238423768546709E-9</v>
      </c>
      <c r="U25" s="22">
        <v>2.1671527130564013E-10</v>
      </c>
    </row>
    <row r="26" spans="1:21">
      <c r="A26" s="22" t="s">
        <v>208</v>
      </c>
      <c r="B26" s="22" t="s">
        <v>209</v>
      </c>
      <c r="C26" s="32" t="s">
        <v>230</v>
      </c>
      <c r="D26" s="33">
        <v>41957</v>
      </c>
      <c r="F26" s="24">
        <v>0</v>
      </c>
      <c r="G26" s="22">
        <f t="shared" si="0"/>
        <v>1609.7560975609756</v>
      </c>
      <c r="H26" s="25">
        <v>5</v>
      </c>
      <c r="I26" s="22">
        <v>0.1</v>
      </c>
      <c r="J26" s="22">
        <v>0.5</v>
      </c>
      <c r="K26" s="22">
        <v>0</v>
      </c>
      <c r="L26" s="22">
        <v>3.7498680015636752E-8</v>
      </c>
      <c r="M26" s="22">
        <v>3.7498680015636751E-10</v>
      </c>
      <c r="N26" s="22">
        <v>1.5229215450041635E-7</v>
      </c>
      <c r="O26" s="22">
        <v>3.045843090008327E-9</v>
      </c>
      <c r="P26" s="22">
        <v>2.4969545829840078E-4</v>
      </c>
      <c r="Q26" s="22">
        <v>4.9939091659680154E-6</v>
      </c>
      <c r="R26" s="22">
        <v>5.4209812549564055E-8</v>
      </c>
      <c r="S26" s="22">
        <v>1.0841962509912811E-9</v>
      </c>
      <c r="T26" s="22">
        <v>7.1618404889904241E-9</v>
      </c>
      <c r="U26" s="22">
        <v>2.1485521466971271E-10</v>
      </c>
    </row>
    <row r="27" spans="1:21">
      <c r="A27" s="22" t="s">
        <v>208</v>
      </c>
      <c r="B27" s="22" t="s">
        <v>209</v>
      </c>
      <c r="C27" s="32" t="s">
        <v>210</v>
      </c>
      <c r="D27" s="33">
        <v>41957</v>
      </c>
      <c r="F27" s="24">
        <v>0</v>
      </c>
      <c r="G27" s="22">
        <f t="shared" si="0"/>
        <v>1609.7560975609756</v>
      </c>
      <c r="H27" s="25">
        <v>5</v>
      </c>
      <c r="I27" s="22">
        <v>0.1</v>
      </c>
      <c r="J27" s="22">
        <v>0.5</v>
      </c>
      <c r="K27" s="22">
        <v>0</v>
      </c>
      <c r="L27" s="22">
        <v>3.8524499503209018E-8</v>
      </c>
      <c r="M27" s="22">
        <v>3.8524499503209019E-10</v>
      </c>
      <c r="N27" s="22">
        <v>1.5093843524349488E-7</v>
      </c>
      <c r="O27" s="22">
        <v>3.0187687048698975E-9</v>
      </c>
      <c r="P27" s="22">
        <v>2.5355392902651577E-4</v>
      </c>
      <c r="Q27" s="22">
        <v>5.0710785805303157E-6</v>
      </c>
      <c r="R27" s="22">
        <v>5.5016449531486978E-8</v>
      </c>
      <c r="S27" s="22">
        <v>1.1003289906297395E-9</v>
      </c>
      <c r="T27" s="22">
        <v>7.2086526848856346E-9</v>
      </c>
      <c r="U27" s="22">
        <v>2.1625958054656903E-10</v>
      </c>
    </row>
    <row r="28" spans="1:21">
      <c r="A28" s="22" t="s">
        <v>208</v>
      </c>
      <c r="B28" s="22" t="s">
        <v>209</v>
      </c>
      <c r="C28" s="32" t="s">
        <v>231</v>
      </c>
      <c r="D28" s="33">
        <v>41957</v>
      </c>
      <c r="F28" s="24">
        <v>0</v>
      </c>
      <c r="G28" s="22">
        <f t="shared" si="0"/>
        <v>1609.7560975609756</v>
      </c>
      <c r="H28" s="25">
        <v>5</v>
      </c>
      <c r="I28" s="22">
        <v>0.1</v>
      </c>
      <c r="J28" s="22">
        <v>0.5</v>
      </c>
      <c r="K28" s="22">
        <v>0</v>
      </c>
      <c r="L28" s="22">
        <v>3.9481498213363802E-8</v>
      </c>
      <c r="M28" s="22">
        <v>3.9481498213363801E-10</v>
      </c>
      <c r="N28" s="22">
        <v>1.5103176685395394E-7</v>
      </c>
      <c r="O28" s="22">
        <v>3.0206353370790788E-9</v>
      </c>
      <c r="P28" s="22">
        <v>2.435380555528981E-4</v>
      </c>
      <c r="Q28" s="22">
        <v>4.8707611110579617E-6</v>
      </c>
      <c r="R28" s="22">
        <v>5.3074104968850767E-8</v>
      </c>
      <c r="S28" s="22">
        <v>1.0614820993770153E-9</v>
      </c>
      <c r="T28" s="22">
        <v>7.1560891664469256E-9</v>
      </c>
      <c r="U28" s="22">
        <v>2.1468267499340776E-10</v>
      </c>
    </row>
    <row r="29" spans="1:21">
      <c r="A29" s="22" t="s">
        <v>208</v>
      </c>
      <c r="B29" s="22" t="s">
        <v>209</v>
      </c>
      <c r="C29" s="32" t="s">
        <v>232</v>
      </c>
      <c r="D29" s="33">
        <v>41960</v>
      </c>
      <c r="F29" s="24">
        <v>0</v>
      </c>
      <c r="G29" s="22">
        <f t="shared" si="0"/>
        <v>1609.7560975609756</v>
      </c>
      <c r="H29" s="25">
        <v>5</v>
      </c>
      <c r="I29" s="22">
        <v>0.1</v>
      </c>
      <c r="J29" s="22">
        <v>0.5</v>
      </c>
      <c r="K29" s="22">
        <v>0</v>
      </c>
      <c r="L29" s="22">
        <v>3.7602364503949781E-8</v>
      </c>
      <c r="M29" s="22">
        <v>3.7602364503949784E-10</v>
      </c>
      <c r="N29" s="22">
        <v>1.5110165743389945E-7</v>
      </c>
      <c r="O29" s="22">
        <v>3.0220331486779891E-9</v>
      </c>
      <c r="P29" s="22">
        <v>2.498990796945372E-4</v>
      </c>
      <c r="Q29" s="22">
        <v>4.997981593890744E-6</v>
      </c>
      <c r="R29" s="22">
        <v>5.4572192904272041E-8</v>
      </c>
      <c r="S29" s="22">
        <v>1.0914438580854408E-9</v>
      </c>
      <c r="T29" s="22">
        <v>7.2944979361979395E-9</v>
      </c>
      <c r="U29" s="22">
        <v>2.1883493808593817E-10</v>
      </c>
    </row>
    <row r="30" spans="1:21">
      <c r="A30" s="22" t="s">
        <v>208</v>
      </c>
      <c r="B30" s="22" t="s">
        <v>209</v>
      </c>
      <c r="C30" s="32" t="s">
        <v>221</v>
      </c>
      <c r="D30" s="33">
        <v>41960</v>
      </c>
      <c r="F30" s="24">
        <v>0</v>
      </c>
      <c r="G30" s="22">
        <f t="shared" si="0"/>
        <v>1609.7560975609756</v>
      </c>
      <c r="H30" s="25">
        <v>5</v>
      </c>
      <c r="I30" s="22">
        <v>0.1</v>
      </c>
      <c r="J30" s="22">
        <v>0.5</v>
      </c>
      <c r="K30" s="22">
        <v>0</v>
      </c>
      <c r="L30" s="22">
        <v>3.8071428707053508E-8</v>
      </c>
      <c r="M30" s="22">
        <v>3.8071428707053511E-10</v>
      </c>
      <c r="N30" s="22">
        <v>1.505979840629359E-7</v>
      </c>
      <c r="O30" s="22">
        <v>3.0119596812587181E-9</v>
      </c>
      <c r="P30" s="22">
        <v>2.4550774985892447E-4</v>
      </c>
      <c r="Q30" s="22">
        <v>4.9101549971784895E-6</v>
      </c>
      <c r="R30" s="22">
        <v>5.2473606821957461E-8</v>
      </c>
      <c r="S30" s="22">
        <v>1.0494721364391493E-9</v>
      </c>
      <c r="T30" s="22">
        <v>7.2070921729640559E-9</v>
      </c>
      <c r="U30" s="22">
        <v>2.1621276518892168E-10</v>
      </c>
    </row>
    <row r="31" spans="1:21">
      <c r="A31" s="22" t="s">
        <v>208</v>
      </c>
      <c r="B31" s="22" t="s">
        <v>209</v>
      </c>
      <c r="C31" s="32" t="s">
        <v>233</v>
      </c>
      <c r="D31" s="33">
        <v>41963</v>
      </c>
      <c r="F31" s="24">
        <v>0</v>
      </c>
      <c r="G31" s="22">
        <f t="shared" si="0"/>
        <v>1609.7560975609756</v>
      </c>
      <c r="H31" s="25">
        <v>5</v>
      </c>
      <c r="I31" s="22">
        <v>0.1</v>
      </c>
      <c r="J31" s="22">
        <v>0.5</v>
      </c>
      <c r="K31" s="22">
        <v>0</v>
      </c>
      <c r="L31" s="22">
        <v>3.818082062522017E-8</v>
      </c>
      <c r="M31" s="22">
        <v>3.8180820625220169E-10</v>
      </c>
      <c r="N31" s="22">
        <v>1.5158579479159457E-7</v>
      </c>
      <c r="O31" s="22">
        <v>3.0317158958318914E-9</v>
      </c>
      <c r="P31" s="22">
        <v>2.4570294265172999E-4</v>
      </c>
      <c r="Q31" s="22">
        <v>4.9140588530346003E-6</v>
      </c>
      <c r="R31" s="22">
        <v>5.3005312672079143E-8</v>
      </c>
      <c r="S31" s="22">
        <v>1.060106253441583E-9</v>
      </c>
      <c r="T31" s="22">
        <v>7.1612303104658318E-9</v>
      </c>
      <c r="U31" s="22">
        <v>2.1483690931397493E-10</v>
      </c>
    </row>
    <row r="32" spans="1:21">
      <c r="A32" s="22" t="s">
        <v>208</v>
      </c>
      <c r="B32" s="22" t="s">
        <v>209</v>
      </c>
      <c r="C32" s="32" t="s">
        <v>234</v>
      </c>
      <c r="D32" s="33">
        <v>41963</v>
      </c>
      <c r="F32" s="24">
        <v>0</v>
      </c>
      <c r="G32" s="22">
        <f t="shared" si="0"/>
        <v>1609.7560975609756</v>
      </c>
      <c r="H32" s="25">
        <v>5</v>
      </c>
      <c r="I32" s="22">
        <v>0.1</v>
      </c>
      <c r="J32" s="22">
        <v>0.5</v>
      </c>
      <c r="K32" s="22">
        <v>0</v>
      </c>
      <c r="L32" s="22">
        <v>3.7651494803312987E-8</v>
      </c>
      <c r="M32" s="22">
        <v>3.7651494803312989E-10</v>
      </c>
      <c r="N32" s="22">
        <v>1.4761130677651124E-7</v>
      </c>
      <c r="O32" s="22">
        <v>2.9522261355302249E-9</v>
      </c>
      <c r="P32" s="22">
        <v>2.4597848565514099E-4</v>
      </c>
      <c r="Q32" s="22">
        <v>4.9195697131028197E-6</v>
      </c>
      <c r="R32" s="22">
        <v>5.3968459200589685E-8</v>
      </c>
      <c r="S32" s="22">
        <v>1.0793691840117937E-9</v>
      </c>
      <c r="T32" s="22">
        <v>6.9457122659138986E-9</v>
      </c>
      <c r="U32" s="22">
        <v>2.0837136797741695E-10</v>
      </c>
    </row>
    <row r="33" spans="1:21">
      <c r="A33" s="22" t="s">
        <v>208</v>
      </c>
      <c r="B33" s="22" t="s">
        <v>209</v>
      </c>
      <c r="C33" s="32" t="s">
        <v>212</v>
      </c>
      <c r="D33" s="33">
        <v>41963</v>
      </c>
      <c r="F33" s="24">
        <v>0</v>
      </c>
      <c r="G33" s="22">
        <f t="shared" si="0"/>
        <v>1609.7560975609756</v>
      </c>
      <c r="H33" s="25">
        <v>5</v>
      </c>
      <c r="I33" s="22">
        <v>0.1</v>
      </c>
      <c r="J33" s="22">
        <v>0.5</v>
      </c>
      <c r="K33" s="22">
        <v>0</v>
      </c>
      <c r="L33" s="22">
        <v>3.6974439545256531E-8</v>
      </c>
      <c r="M33" s="22">
        <v>3.6974439545256529E-10</v>
      </c>
      <c r="N33" s="22">
        <v>1.4984568378870495E-7</v>
      </c>
      <c r="O33" s="22">
        <v>2.9969136757740993E-9</v>
      </c>
      <c r="P33" s="22">
        <v>2.4778415352466713E-4</v>
      </c>
      <c r="Q33" s="22">
        <v>7.4335246057400131E-6</v>
      </c>
      <c r="R33" s="22">
        <v>5.51591336342692E-8</v>
      </c>
      <c r="S33" s="22">
        <v>1.654774009028076E-9</v>
      </c>
      <c r="T33" s="22">
        <v>7.3369687575850838E-9</v>
      </c>
      <c r="U33" s="22">
        <v>2.2010906272755252E-10</v>
      </c>
    </row>
    <row r="34" spans="1:21">
      <c r="A34" s="22" t="s">
        <v>208</v>
      </c>
      <c r="B34" s="22" t="s">
        <v>209</v>
      </c>
      <c r="C34" s="32" t="s">
        <v>235</v>
      </c>
      <c r="D34" s="33">
        <v>41963</v>
      </c>
      <c r="F34" s="24">
        <v>0</v>
      </c>
      <c r="G34" s="22">
        <f t="shared" si="0"/>
        <v>1609.7560975609756</v>
      </c>
      <c r="H34" s="25">
        <v>5</v>
      </c>
      <c r="I34" s="22">
        <v>0.1</v>
      </c>
      <c r="J34" s="22">
        <v>0.5</v>
      </c>
      <c r="K34" s="22">
        <v>0</v>
      </c>
      <c r="L34" s="22">
        <v>3.7494314328091633E-8</v>
      </c>
      <c r="M34" s="22">
        <v>3.7494314328091634E-10</v>
      </c>
      <c r="N34" s="22">
        <v>1.5166179814586239E-7</v>
      </c>
      <c r="O34" s="22">
        <v>3.033235962917248E-9</v>
      </c>
      <c r="P34" s="22">
        <v>2.4894348272770059E-4</v>
      </c>
      <c r="Q34" s="22">
        <v>4.9788696545540122E-6</v>
      </c>
      <c r="R34" s="22">
        <v>5.3579860378292063E-8</v>
      </c>
      <c r="S34" s="22">
        <v>1.0715972075658412E-9</v>
      </c>
      <c r="T34" s="22">
        <v>7.1594414864505424E-9</v>
      </c>
      <c r="U34" s="22">
        <v>2.1478324459351627E-10</v>
      </c>
    </row>
    <row r="35" spans="1:21">
      <c r="A35" s="22" t="s">
        <v>208</v>
      </c>
      <c r="B35" s="22" t="s">
        <v>209</v>
      </c>
      <c r="C35" s="32" t="s">
        <v>236</v>
      </c>
      <c r="D35" s="33">
        <v>41963</v>
      </c>
      <c r="F35" s="24">
        <v>0</v>
      </c>
      <c r="G35" s="22">
        <f t="shared" si="0"/>
        <v>1609.7560975609756</v>
      </c>
      <c r="H35" s="25">
        <v>5</v>
      </c>
      <c r="I35" s="22">
        <v>0.1</v>
      </c>
      <c r="J35" s="22">
        <v>0.5</v>
      </c>
      <c r="K35" s="22">
        <v>0</v>
      </c>
      <c r="L35" s="22">
        <v>3.7494314328091633E-8</v>
      </c>
      <c r="M35" s="22">
        <v>3.7494314328091634E-10</v>
      </c>
      <c r="N35" s="22">
        <v>1.5166179814586239E-7</v>
      </c>
      <c r="O35" s="22">
        <v>3.033235962917248E-9</v>
      </c>
      <c r="P35" s="22">
        <v>2.4894348272770059E-4</v>
      </c>
      <c r="Q35" s="22">
        <v>4.9788696545540122E-6</v>
      </c>
      <c r="R35" s="22">
        <v>5.3579860378292063E-8</v>
      </c>
      <c r="S35" s="22">
        <v>1.0715972075658412E-9</v>
      </c>
      <c r="T35" s="22">
        <v>7.1594414864505424E-9</v>
      </c>
      <c r="U35" s="22">
        <v>2.1478324459351627E-10</v>
      </c>
    </row>
    <row r="36" spans="1:21">
      <c r="A36" s="22" t="s">
        <v>208</v>
      </c>
      <c r="B36" s="22" t="s">
        <v>209</v>
      </c>
      <c r="C36" s="32" t="s">
        <v>237</v>
      </c>
      <c r="D36" s="33">
        <v>41963</v>
      </c>
      <c r="F36" s="24">
        <v>0</v>
      </c>
      <c r="G36" s="22">
        <f t="shared" si="0"/>
        <v>1609.7560975609756</v>
      </c>
      <c r="H36" s="25">
        <v>5</v>
      </c>
      <c r="I36" s="22">
        <v>0.1</v>
      </c>
      <c r="J36" s="22">
        <v>0.5</v>
      </c>
      <c r="K36" s="22">
        <v>0</v>
      </c>
      <c r="L36" s="22">
        <v>3.7993783368626214E-8</v>
      </c>
      <c r="M36" s="22">
        <v>3.7993783368626214E-10</v>
      </c>
      <c r="N36" s="22">
        <v>1.5136637677087894E-7</v>
      </c>
      <c r="O36" s="22">
        <v>3.027327535417579E-9</v>
      </c>
      <c r="P36" s="22">
        <v>2.4768289785439147E-4</v>
      </c>
      <c r="Q36" s="22">
        <v>4.9536579570878292E-6</v>
      </c>
      <c r="R36" s="22">
        <v>5.3606715348019305E-8</v>
      </c>
      <c r="S36" s="22">
        <v>1.0721343069603861E-9</v>
      </c>
      <c r="T36" s="22">
        <v>7.1258358104866023E-9</v>
      </c>
      <c r="U36" s="22">
        <v>2.1377507431459806E-10</v>
      </c>
    </row>
    <row r="37" spans="1:21">
      <c r="A37" s="22" t="s">
        <v>208</v>
      </c>
      <c r="B37" s="22" t="s">
        <v>209</v>
      </c>
      <c r="C37" s="32" t="s">
        <v>238</v>
      </c>
      <c r="D37" s="33">
        <v>41963</v>
      </c>
      <c r="F37" s="24">
        <v>0</v>
      </c>
      <c r="G37" s="22">
        <f t="shared" si="0"/>
        <v>1609.7560975609756</v>
      </c>
      <c r="H37" s="25">
        <v>5</v>
      </c>
      <c r="I37" s="22">
        <v>0.1</v>
      </c>
      <c r="J37" s="22">
        <v>0.5</v>
      </c>
      <c r="K37" s="22">
        <v>0</v>
      </c>
      <c r="L37" s="22">
        <v>3.7498568197684035E-8</v>
      </c>
      <c r="M37" s="22">
        <v>3.7498568197684038E-10</v>
      </c>
      <c r="N37" s="22">
        <v>1.5169576015862901E-7</v>
      </c>
      <c r="O37" s="22">
        <v>3.0339152031725804E-9</v>
      </c>
      <c r="P37" s="22">
        <v>2.4258794393454961E-4</v>
      </c>
      <c r="Q37" s="22">
        <v>4.8517588786909925E-6</v>
      </c>
      <c r="R37" s="22">
        <v>5.2181682547270179E-8</v>
      </c>
      <c r="S37" s="22">
        <v>1.0436336509454035E-9</v>
      </c>
      <c r="T37" s="22">
        <v>6.8850203655050895E-9</v>
      </c>
      <c r="U37" s="22">
        <v>2.0655061096515269E-10</v>
      </c>
    </row>
    <row r="38" spans="1:21">
      <c r="A38" s="22" t="s">
        <v>208</v>
      </c>
      <c r="B38" s="22" t="s">
        <v>209</v>
      </c>
      <c r="C38" s="32" t="s">
        <v>239</v>
      </c>
      <c r="D38" s="33">
        <v>41963</v>
      </c>
      <c r="F38" s="24">
        <v>0</v>
      </c>
      <c r="G38" s="22">
        <f t="shared" si="0"/>
        <v>1609.7560975609756</v>
      </c>
      <c r="H38" s="25">
        <v>5</v>
      </c>
      <c r="I38" s="22">
        <v>0.1</v>
      </c>
      <c r="J38" s="22">
        <v>0.5</v>
      </c>
      <c r="K38" s="22">
        <v>0</v>
      </c>
      <c r="L38" s="22">
        <v>3.7347136075442896E-8</v>
      </c>
      <c r="M38" s="22">
        <v>3.7347136075442895E-10</v>
      </c>
      <c r="N38" s="22">
        <v>1.473760339820596E-7</v>
      </c>
      <c r="O38" s="22">
        <v>2.9475206796411921E-9</v>
      </c>
      <c r="P38" s="22">
        <v>2.4646037267257183E-4</v>
      </c>
      <c r="Q38" s="22">
        <v>4.9292074534514364E-6</v>
      </c>
      <c r="R38" s="22">
        <v>5.3419328404136693E-8</v>
      </c>
      <c r="S38" s="22">
        <v>1.0683865680827338E-9</v>
      </c>
      <c r="T38" s="22">
        <v>7.2116421762081635E-9</v>
      </c>
      <c r="U38" s="22">
        <v>2.1634926528624489E-10</v>
      </c>
    </row>
    <row r="39" spans="1:21">
      <c r="A39" s="22" t="s">
        <v>208</v>
      </c>
      <c r="B39" s="22" t="s">
        <v>209</v>
      </c>
      <c r="C39" s="32" t="s">
        <v>240</v>
      </c>
      <c r="D39" s="33">
        <v>41963</v>
      </c>
      <c r="F39" s="24">
        <v>0</v>
      </c>
      <c r="G39" s="22">
        <f t="shared" si="0"/>
        <v>1609.7560975609756</v>
      </c>
      <c r="H39" s="25">
        <v>5</v>
      </c>
      <c r="I39" s="22">
        <v>0.1</v>
      </c>
      <c r="J39" s="22">
        <v>0.5</v>
      </c>
      <c r="K39" s="22">
        <v>0</v>
      </c>
      <c r="L39" s="22">
        <v>3.7890484237626966E-8</v>
      </c>
      <c r="M39" s="22">
        <v>3.7890484237626967E-10</v>
      </c>
      <c r="N39" s="22">
        <v>1.55549852566173E-7</v>
      </c>
      <c r="O39" s="22">
        <v>3.11099705132346E-9</v>
      </c>
      <c r="P39" s="22">
        <v>2.4983410734455078E-4</v>
      </c>
      <c r="Q39" s="22">
        <v>4.9966821468910153E-6</v>
      </c>
      <c r="R39" s="22">
        <v>5.0668415266183966E-8</v>
      </c>
      <c r="S39" s="22">
        <v>1.0133683053236793E-9</v>
      </c>
      <c r="T39" s="22">
        <v>7.0752248129393921E-9</v>
      </c>
      <c r="U39" s="22">
        <v>2.1225674438818175E-10</v>
      </c>
    </row>
    <row r="40" spans="1:21">
      <c r="A40" s="22" t="s">
        <v>208</v>
      </c>
      <c r="B40" s="22" t="s">
        <v>209</v>
      </c>
      <c r="C40" s="32" t="s">
        <v>241</v>
      </c>
      <c r="D40" s="33">
        <v>42203</v>
      </c>
      <c r="F40" s="24">
        <v>0</v>
      </c>
      <c r="G40" s="22">
        <f t="shared" si="0"/>
        <v>1609.7560975609756</v>
      </c>
      <c r="H40" s="25">
        <v>5</v>
      </c>
      <c r="I40" s="22">
        <v>0.1</v>
      </c>
      <c r="J40" s="22">
        <v>0.5</v>
      </c>
      <c r="K40" s="22">
        <v>0</v>
      </c>
      <c r="L40" s="22">
        <v>3.7802707367746832E-8</v>
      </c>
      <c r="M40" s="22">
        <v>3.7802707367746831E-10</v>
      </c>
      <c r="N40" s="22">
        <v>1.5105584103163054E-7</v>
      </c>
      <c r="O40" s="22">
        <v>3.0211168206326111E-9</v>
      </c>
      <c r="P40" s="22">
        <v>2.4181441301052121E-4</v>
      </c>
      <c r="Q40" s="22">
        <v>4.8362882602104241E-6</v>
      </c>
      <c r="R40" s="22">
        <v>5.2156431938941378E-8</v>
      </c>
      <c r="S40" s="22">
        <v>1.0431286387788275E-9</v>
      </c>
      <c r="T40" s="22">
        <v>7.0147242688281718E-9</v>
      </c>
      <c r="U40" s="22">
        <v>2.1044172806484516E-10</v>
      </c>
    </row>
    <row r="41" spans="1:21">
      <c r="A41" s="22" t="s">
        <v>208</v>
      </c>
      <c r="B41" s="22" t="s">
        <v>209</v>
      </c>
      <c r="C41" s="32" t="s">
        <v>242</v>
      </c>
      <c r="D41" s="33">
        <v>42213</v>
      </c>
      <c r="F41" s="24">
        <v>0</v>
      </c>
      <c r="G41" s="22">
        <f t="shared" si="0"/>
        <v>1609.7560975609756</v>
      </c>
      <c r="H41" s="25">
        <v>5</v>
      </c>
      <c r="I41" s="22">
        <v>0.1</v>
      </c>
      <c r="J41" s="22">
        <v>0.5</v>
      </c>
      <c r="K41" s="22">
        <v>0</v>
      </c>
      <c r="L41" s="22">
        <v>3.7165748962956575E-8</v>
      </c>
      <c r="M41" s="22">
        <v>3.7165748962956575E-10</v>
      </c>
      <c r="N41" s="22">
        <v>1.5057341550539092E-7</v>
      </c>
      <c r="O41" s="22">
        <v>3.0114683101078183E-9</v>
      </c>
      <c r="P41" s="22">
        <v>2.4657350360609144E-4</v>
      </c>
      <c r="Q41" s="22">
        <v>4.9314700721218287E-6</v>
      </c>
      <c r="R41" s="22">
        <v>5.2888043274100319E-8</v>
      </c>
      <c r="S41" s="22">
        <v>1.0577608654820063E-9</v>
      </c>
      <c r="T41" s="22">
        <v>7.1452905105363698E-9</v>
      </c>
      <c r="U41" s="22">
        <v>2.1435871531609108E-10</v>
      </c>
    </row>
    <row r="42" spans="1:21">
      <c r="A42" s="22" t="s">
        <v>208</v>
      </c>
      <c r="B42" s="22" t="s">
        <v>209</v>
      </c>
      <c r="C42" s="32" t="s">
        <v>243</v>
      </c>
      <c r="D42" s="33">
        <v>42213</v>
      </c>
      <c r="F42" s="24">
        <v>0</v>
      </c>
      <c r="G42" s="22">
        <f t="shared" si="0"/>
        <v>1609.7560975609756</v>
      </c>
      <c r="H42" s="25">
        <v>5</v>
      </c>
      <c r="I42" s="22">
        <v>0.1</v>
      </c>
      <c r="J42" s="22">
        <v>0.5</v>
      </c>
      <c r="K42" s="22">
        <v>0</v>
      </c>
      <c r="L42" s="22">
        <v>3.7014743433146132E-8</v>
      </c>
      <c r="M42" s="22">
        <v>3.7014743433146132E-10</v>
      </c>
      <c r="N42" s="22">
        <v>1.5106315940666468E-7</v>
      </c>
      <c r="O42" s="22">
        <v>3.0212631881332936E-9</v>
      </c>
      <c r="P42" s="22">
        <v>2.4923846952374713E-4</v>
      </c>
      <c r="Q42" s="22">
        <v>4.9847693904749426E-6</v>
      </c>
      <c r="R42" s="22">
        <v>5.3359032624899283E-8</v>
      </c>
      <c r="S42" s="22">
        <v>1.0671806524979856E-9</v>
      </c>
      <c r="T42" s="22">
        <v>7.3503817355063669E-9</v>
      </c>
      <c r="U42" s="22">
        <v>2.2051145206519099E-10</v>
      </c>
    </row>
    <row r="43" spans="1:21">
      <c r="A43" s="22" t="s">
        <v>208</v>
      </c>
      <c r="B43" s="22" t="s">
        <v>209</v>
      </c>
      <c r="C43" s="32" t="s">
        <v>244</v>
      </c>
      <c r="D43" s="33">
        <v>42213</v>
      </c>
      <c r="F43" s="24">
        <v>0</v>
      </c>
      <c r="G43" s="22">
        <f t="shared" si="0"/>
        <v>1609.7560975609756</v>
      </c>
      <c r="H43" s="25">
        <v>5</v>
      </c>
      <c r="I43" s="22">
        <v>0.1</v>
      </c>
      <c r="J43" s="22">
        <v>0.5</v>
      </c>
      <c r="K43" s="22">
        <v>0</v>
      </c>
      <c r="L43" s="22">
        <v>3.7331251026310374E-8</v>
      </c>
      <c r="M43" s="22">
        <v>3.7331251026310376E-10</v>
      </c>
      <c r="N43" s="22">
        <v>1.5145485257132708E-7</v>
      </c>
      <c r="O43" s="22">
        <v>3.0290970514265417E-9</v>
      </c>
      <c r="P43" s="22">
        <v>2.5045377935835876E-4</v>
      </c>
      <c r="Q43" s="22">
        <v>5.0090755871671752E-6</v>
      </c>
      <c r="R43" s="22">
        <v>5.3949173814723399E-8</v>
      </c>
      <c r="S43" s="22">
        <v>1.078983476294468E-9</v>
      </c>
      <c r="T43" s="22">
        <v>7.3360948648149693E-9</v>
      </c>
      <c r="U43" s="22">
        <v>2.2008284594444906E-10</v>
      </c>
    </row>
    <row r="44" spans="1:21">
      <c r="A44" s="22" t="s">
        <v>208</v>
      </c>
      <c r="B44" s="22" t="s">
        <v>209</v>
      </c>
      <c r="C44" s="32" t="s">
        <v>210</v>
      </c>
      <c r="D44" s="33">
        <v>42213</v>
      </c>
      <c r="F44" s="24">
        <v>0</v>
      </c>
      <c r="G44" s="22">
        <f t="shared" si="0"/>
        <v>1609.7560975609756</v>
      </c>
      <c r="H44" s="25">
        <v>5</v>
      </c>
      <c r="I44" s="22">
        <v>0.1</v>
      </c>
      <c r="J44" s="22">
        <v>0.5</v>
      </c>
      <c r="K44" s="22">
        <v>0</v>
      </c>
      <c r="L44" s="22">
        <v>3.8379266747180145E-8</v>
      </c>
      <c r="M44" s="22">
        <v>3.8379266747180148E-10</v>
      </c>
      <c r="N44" s="22">
        <v>1.5337635841701837E-7</v>
      </c>
      <c r="O44" s="22">
        <v>3.0675271683403672E-9</v>
      </c>
      <c r="P44" s="22">
        <v>2.4760156107070283E-4</v>
      </c>
      <c r="Q44" s="22">
        <v>4.9520312214140566E-6</v>
      </c>
      <c r="R44" s="22">
        <v>5.3763909353615124E-8</v>
      </c>
      <c r="S44" s="22">
        <v>1.0752781870723024E-9</v>
      </c>
      <c r="T44" s="22">
        <v>7.1359948484680592E-9</v>
      </c>
      <c r="U44" s="22">
        <v>2.1407984545404177E-10</v>
      </c>
    </row>
    <row r="45" spans="1:21">
      <c r="A45" s="22" t="s">
        <v>208</v>
      </c>
      <c r="B45" s="22" t="s">
        <v>209</v>
      </c>
      <c r="C45" s="32" t="s">
        <v>245</v>
      </c>
      <c r="D45" s="33">
        <v>42213</v>
      </c>
      <c r="F45" s="24">
        <v>0</v>
      </c>
      <c r="G45" s="22">
        <f t="shared" si="0"/>
        <v>1609.7560975609756</v>
      </c>
      <c r="H45" s="25">
        <v>5</v>
      </c>
      <c r="I45" s="22">
        <v>0.1</v>
      </c>
      <c r="J45" s="22">
        <v>0.5</v>
      </c>
      <c r="K45" s="22">
        <v>0</v>
      </c>
      <c r="L45" s="22">
        <v>3.7384925828012683E-8</v>
      </c>
      <c r="M45" s="22">
        <v>3.7384925828012681E-10</v>
      </c>
      <c r="N45" s="22">
        <v>1.4907879128262317E-7</v>
      </c>
      <c r="O45" s="22">
        <v>2.9815758256524634E-9</v>
      </c>
      <c r="P45" s="22">
        <v>2.4546917590024592E-4</v>
      </c>
      <c r="Q45" s="22">
        <v>4.9093835180049184E-6</v>
      </c>
      <c r="R45" s="22">
        <v>5.3449970786662384E-8</v>
      </c>
      <c r="S45" s="22">
        <v>1.0689994157332477E-9</v>
      </c>
      <c r="T45" s="22">
        <v>7.1200792987290402E-9</v>
      </c>
      <c r="U45" s="22">
        <v>2.1360237896187119E-10</v>
      </c>
    </row>
    <row r="46" spans="1:21">
      <c r="A46" s="22" t="s">
        <v>208</v>
      </c>
      <c r="B46" s="22" t="s">
        <v>209</v>
      </c>
      <c r="C46" s="32" t="s">
        <v>246</v>
      </c>
      <c r="D46" s="33">
        <v>42213</v>
      </c>
      <c r="F46" s="24">
        <v>0</v>
      </c>
      <c r="G46" s="22">
        <f t="shared" si="0"/>
        <v>1609.7560975609756</v>
      </c>
      <c r="H46" s="25">
        <v>5</v>
      </c>
      <c r="I46" s="22">
        <v>0.1</v>
      </c>
      <c r="J46" s="22">
        <v>0.5</v>
      </c>
      <c r="K46" s="22">
        <v>0</v>
      </c>
      <c r="L46" s="22">
        <v>3.8038583578363437E-8</v>
      </c>
      <c r="M46" s="22">
        <v>3.8038583578363438E-10</v>
      </c>
      <c r="N46" s="22">
        <v>1.4946153561070138E-7</v>
      </c>
      <c r="O46" s="22">
        <v>2.9892307122140276E-9</v>
      </c>
      <c r="P46" s="22">
        <v>2.4273307974413024E-4</v>
      </c>
      <c r="Q46" s="22">
        <v>4.8546615948826046E-6</v>
      </c>
      <c r="R46" s="22">
        <v>5.2415344385366983E-8</v>
      </c>
      <c r="S46" s="22">
        <v>1.0483068877073398E-9</v>
      </c>
      <c r="T46" s="22">
        <v>6.9265836060368065E-9</v>
      </c>
      <c r="U46" s="22">
        <v>2.0779750818110419E-10</v>
      </c>
    </row>
    <row r="47" spans="1:21">
      <c r="A47" s="22" t="s">
        <v>208</v>
      </c>
      <c r="B47" s="22" t="s">
        <v>209</v>
      </c>
      <c r="C47" s="32" t="s">
        <v>247</v>
      </c>
      <c r="D47" s="33">
        <v>42213</v>
      </c>
      <c r="F47" s="24">
        <v>0</v>
      </c>
      <c r="G47" s="22">
        <f t="shared" si="0"/>
        <v>1609.7560975609756</v>
      </c>
      <c r="H47" s="25">
        <v>5</v>
      </c>
      <c r="I47" s="22">
        <v>0.1</v>
      </c>
      <c r="J47" s="22">
        <v>0.5</v>
      </c>
      <c r="K47" s="22">
        <v>0</v>
      </c>
      <c r="L47" s="22">
        <v>3.7542326226096993E-8</v>
      </c>
      <c r="M47" s="22">
        <v>3.7542326226096997E-10</v>
      </c>
      <c r="N47" s="22">
        <v>1.5033495822025761E-7</v>
      </c>
      <c r="O47" s="22">
        <v>3.0066991644051524E-9</v>
      </c>
      <c r="P47" s="22">
        <v>2.4193607358427251E-4</v>
      </c>
      <c r="Q47" s="22">
        <v>4.83872147168545E-6</v>
      </c>
      <c r="R47" s="22">
        <v>5.2579027904977091E-8</v>
      </c>
      <c r="S47" s="22">
        <v>1.0515805580995418E-9</v>
      </c>
      <c r="T47" s="22">
        <v>6.9732408935179427E-9</v>
      </c>
      <c r="U47" s="22">
        <v>2.0919722680553828E-10</v>
      </c>
    </row>
    <row r="48" spans="1:21">
      <c r="A48" s="22" t="s">
        <v>208</v>
      </c>
      <c r="B48" s="22" t="s">
        <v>209</v>
      </c>
      <c r="C48" s="32" t="s">
        <v>248</v>
      </c>
      <c r="D48" s="33">
        <v>42213</v>
      </c>
      <c r="F48" s="24">
        <v>0</v>
      </c>
      <c r="G48" s="22">
        <f t="shared" si="0"/>
        <v>1609.7560975609756</v>
      </c>
      <c r="H48" s="25">
        <v>5</v>
      </c>
      <c r="I48" s="22">
        <v>0.1</v>
      </c>
      <c r="J48" s="22">
        <v>0.5</v>
      </c>
      <c r="K48" s="22">
        <v>0</v>
      </c>
      <c r="L48" s="22">
        <v>3.7668089395693356E-8</v>
      </c>
      <c r="M48" s="22">
        <v>3.7668089395693356E-10</v>
      </c>
      <c r="N48" s="22">
        <v>1.5024762304154394E-7</v>
      </c>
      <c r="O48" s="22">
        <v>3.0049524608308788E-9</v>
      </c>
      <c r="P48" s="22">
        <v>2.4898721431231046E-4</v>
      </c>
      <c r="Q48" s="22">
        <v>4.9797442862462095E-6</v>
      </c>
      <c r="R48" s="22">
        <v>5.3759560275710308E-8</v>
      </c>
      <c r="S48" s="22">
        <v>1.0751912055142063E-9</v>
      </c>
      <c r="T48" s="22">
        <v>7.201213137825729E-9</v>
      </c>
      <c r="U48" s="22">
        <v>2.1603639413477185E-10</v>
      </c>
    </row>
    <row r="49" spans="1:21">
      <c r="A49" s="22" t="s">
        <v>208</v>
      </c>
      <c r="B49" s="22" t="s">
        <v>209</v>
      </c>
      <c r="C49" s="32" t="s">
        <v>241</v>
      </c>
      <c r="D49" s="33">
        <v>42318</v>
      </c>
      <c r="F49" s="24">
        <v>0</v>
      </c>
      <c r="G49" s="22">
        <f t="shared" si="0"/>
        <v>1609.7560975609756</v>
      </c>
      <c r="H49" s="25">
        <v>5</v>
      </c>
      <c r="I49" s="22">
        <v>0.1</v>
      </c>
      <c r="J49" s="22">
        <v>0.5</v>
      </c>
      <c r="K49" s="22">
        <v>0</v>
      </c>
      <c r="L49" s="22">
        <v>3.9702250355765062E-8</v>
      </c>
      <c r="M49" s="22">
        <v>3.9702250355765063E-10</v>
      </c>
      <c r="N49" s="22">
        <v>1.6049906224306741E-7</v>
      </c>
      <c r="O49" s="22">
        <v>3.2099812448613482E-9</v>
      </c>
      <c r="P49" s="22">
        <v>2.593941953070742E-4</v>
      </c>
      <c r="Q49" s="22">
        <v>5.1878839061414839E-6</v>
      </c>
      <c r="R49" s="22">
        <v>5.7206039531172461E-8</v>
      </c>
      <c r="S49" s="22">
        <v>1.1441207906234493E-9</v>
      </c>
      <c r="T49" s="22">
        <v>7.8366635275312372E-9</v>
      </c>
      <c r="U49" s="22">
        <v>2.3509990582593709E-10</v>
      </c>
    </row>
    <row r="50" spans="1:21">
      <c r="A50" s="22" t="s">
        <v>208</v>
      </c>
      <c r="B50" s="22" t="s">
        <v>209</v>
      </c>
      <c r="C50" s="32" t="s">
        <v>249</v>
      </c>
      <c r="D50" s="33">
        <v>42318</v>
      </c>
      <c r="F50" s="24">
        <v>0</v>
      </c>
      <c r="G50" s="22">
        <f t="shared" si="0"/>
        <v>1609.7560975609756</v>
      </c>
      <c r="H50" s="25">
        <v>5</v>
      </c>
      <c r="I50" s="22">
        <v>0.1</v>
      </c>
      <c r="J50" s="22">
        <v>0.5</v>
      </c>
      <c r="K50" s="22">
        <v>0</v>
      </c>
      <c r="L50" s="22">
        <v>3.9908040099490957E-8</v>
      </c>
      <c r="M50" s="22">
        <v>3.9908040099490958E-10</v>
      </c>
      <c r="N50" s="22">
        <v>1.5802420756596393E-7</v>
      </c>
      <c r="O50" s="22">
        <v>3.1604841513192785E-9</v>
      </c>
      <c r="P50" s="22">
        <v>2.6603104615548581E-4</v>
      </c>
      <c r="Q50" s="22">
        <v>5.3206209231097163E-6</v>
      </c>
      <c r="R50" s="22">
        <v>5.7717058409735067E-8</v>
      </c>
      <c r="S50" s="22">
        <v>1.1543411681947013E-9</v>
      </c>
      <c r="T50" s="22">
        <v>7.7700996478627462E-9</v>
      </c>
      <c r="U50" s="22">
        <v>2.331029894358824E-10</v>
      </c>
    </row>
    <row r="51" spans="1:21">
      <c r="A51" s="22" t="s">
        <v>208</v>
      </c>
      <c r="B51" s="22" t="s">
        <v>209</v>
      </c>
      <c r="C51" s="32" t="s">
        <v>250</v>
      </c>
      <c r="D51" s="33">
        <v>42318</v>
      </c>
      <c r="F51" s="24">
        <v>0</v>
      </c>
      <c r="G51" s="22">
        <f t="shared" si="0"/>
        <v>1609.7560975609756</v>
      </c>
      <c r="H51" s="25">
        <v>5</v>
      </c>
      <c r="I51" s="22">
        <v>0.1</v>
      </c>
      <c r="J51" s="22">
        <v>0.5</v>
      </c>
      <c r="K51" s="22">
        <v>0</v>
      </c>
      <c r="L51" s="22">
        <v>3.9082822782802872E-8</v>
      </c>
      <c r="M51" s="22">
        <v>3.9082822782802871E-10</v>
      </c>
      <c r="N51" s="22">
        <v>1.5848258436672789E-7</v>
      </c>
      <c r="O51" s="22">
        <v>3.1696516873345581E-9</v>
      </c>
      <c r="P51" s="22">
        <v>2.5918613853874385E-4</v>
      </c>
      <c r="Q51" s="22">
        <v>5.183722770774877E-6</v>
      </c>
      <c r="R51" s="22">
        <v>5.5975728837376411E-8</v>
      </c>
      <c r="S51" s="22">
        <v>1.1195145767475282E-9</v>
      </c>
      <c r="T51" s="22">
        <v>7.2719352579593285E-9</v>
      </c>
      <c r="U51" s="22">
        <v>2.1815805773877985E-10</v>
      </c>
    </row>
    <row r="52" spans="1:21">
      <c r="A52" s="22" t="s">
        <v>208</v>
      </c>
      <c r="B52" s="22" t="s">
        <v>209</v>
      </c>
      <c r="C52" s="32" t="s">
        <v>251</v>
      </c>
      <c r="D52" s="33">
        <v>42318</v>
      </c>
      <c r="F52" s="24">
        <v>0</v>
      </c>
      <c r="G52" s="22">
        <f t="shared" si="0"/>
        <v>1609.7560975609756</v>
      </c>
      <c r="H52" s="25">
        <v>5</v>
      </c>
      <c r="I52" s="22">
        <v>0.1</v>
      </c>
      <c r="J52" s="22">
        <v>0.5</v>
      </c>
      <c r="K52" s="22">
        <v>0</v>
      </c>
      <c r="L52" s="22">
        <v>3.958962624521969E-8</v>
      </c>
      <c r="M52" s="22">
        <v>3.9589626245219692E-10</v>
      </c>
      <c r="N52" s="22">
        <v>1.5802572686356182E-7</v>
      </c>
      <c r="O52" s="22">
        <v>3.1605145372712365E-9</v>
      </c>
      <c r="P52" s="22">
        <v>2.5838378598493902E-4</v>
      </c>
      <c r="Q52" s="22">
        <v>5.1676757196987804E-6</v>
      </c>
      <c r="R52" s="22">
        <v>5.6658410394570501E-8</v>
      </c>
      <c r="S52" s="22">
        <v>1.1331682078914101E-9</v>
      </c>
      <c r="T52" s="22">
        <v>7.7066385410268826E-9</v>
      </c>
      <c r="U52" s="22">
        <v>2.3119915623080647E-10</v>
      </c>
    </row>
    <row r="53" spans="1:21">
      <c r="A53" s="22" t="s">
        <v>208</v>
      </c>
      <c r="B53" s="22" t="s">
        <v>209</v>
      </c>
      <c r="C53" s="32" t="s">
        <v>230</v>
      </c>
      <c r="D53" s="33">
        <v>42318</v>
      </c>
      <c r="F53" s="24">
        <v>0</v>
      </c>
      <c r="G53" s="22">
        <f t="shared" si="0"/>
        <v>1609.7560975609756</v>
      </c>
      <c r="H53" s="25">
        <v>5</v>
      </c>
      <c r="I53" s="22">
        <v>0.1</v>
      </c>
      <c r="J53" s="22">
        <v>0.5</v>
      </c>
      <c r="K53" s="22">
        <v>0</v>
      </c>
      <c r="L53" s="22">
        <v>3.9420925417303148E-8</v>
      </c>
      <c r="M53" s="22">
        <v>3.1536740333842518E-10</v>
      </c>
      <c r="N53" s="22">
        <v>1.583597081908272E-7</v>
      </c>
      <c r="O53" s="22">
        <v>3.167194163816544E-9</v>
      </c>
      <c r="P53" s="22">
        <v>2.512038710335165E-4</v>
      </c>
      <c r="Q53" s="22">
        <v>5.0240774206703297E-6</v>
      </c>
      <c r="R53" s="22">
        <v>5.5184647863463644E-8</v>
      </c>
      <c r="S53" s="22">
        <v>1.6555394359039092E-9</v>
      </c>
      <c r="T53" s="22">
        <v>7.3865502907888153E-9</v>
      </c>
      <c r="U53" s="22">
        <v>2.2159650872366445E-10</v>
      </c>
    </row>
    <row r="54" spans="1:21">
      <c r="A54" s="22" t="s">
        <v>208</v>
      </c>
      <c r="B54" s="22" t="s">
        <v>209</v>
      </c>
      <c r="C54" s="32" t="s">
        <v>252</v>
      </c>
      <c r="D54" s="33">
        <v>42318</v>
      </c>
      <c r="F54" s="24">
        <v>0</v>
      </c>
      <c r="G54" s="22">
        <f t="shared" si="0"/>
        <v>1609.7560975609756</v>
      </c>
      <c r="H54" s="25">
        <v>5</v>
      </c>
      <c r="I54" s="22">
        <v>0.1</v>
      </c>
      <c r="J54" s="22">
        <v>0.5</v>
      </c>
      <c r="K54" s="22">
        <v>0</v>
      </c>
      <c r="L54" s="22">
        <v>3.9782938138542747E-8</v>
      </c>
      <c r="M54" s="22">
        <v>3.9782938138542748E-10</v>
      </c>
      <c r="N54" s="22">
        <v>1.5780961251131745E-7</v>
      </c>
      <c r="O54" s="22">
        <v>3.1561922502263492E-9</v>
      </c>
      <c r="P54" s="22">
        <v>2.5817488698040667E-4</v>
      </c>
      <c r="Q54" s="22">
        <v>5.1634977396081334E-6</v>
      </c>
      <c r="R54" s="22">
        <v>5.6163385906967356E-8</v>
      </c>
      <c r="S54" s="22">
        <v>1.1232677181393471E-9</v>
      </c>
      <c r="T54" s="22">
        <v>7.6261050380781464E-9</v>
      </c>
      <c r="U54" s="22">
        <v>2.2878315114234439E-10</v>
      </c>
    </row>
    <row r="55" spans="1:21">
      <c r="A55" s="22" t="s">
        <v>208</v>
      </c>
      <c r="B55" s="22" t="s">
        <v>209</v>
      </c>
      <c r="C55" s="32" t="s">
        <v>253</v>
      </c>
      <c r="D55" s="33">
        <v>42318</v>
      </c>
      <c r="F55" s="24">
        <v>0</v>
      </c>
      <c r="G55" s="22">
        <f t="shared" si="0"/>
        <v>1609.7560975609756</v>
      </c>
      <c r="H55" s="25">
        <v>5</v>
      </c>
      <c r="I55" s="22">
        <v>0.1</v>
      </c>
      <c r="J55" s="22">
        <v>0.5</v>
      </c>
      <c r="K55" s="22">
        <v>0</v>
      </c>
      <c r="L55" s="22">
        <v>3.9776557468553507E-8</v>
      </c>
      <c r="M55" s="22">
        <v>3.9776557468553509E-10</v>
      </c>
      <c r="N55" s="22">
        <v>1.5969883041518191E-7</v>
      </c>
      <c r="O55" s="22">
        <v>3.193976608303638E-9</v>
      </c>
      <c r="P55" s="22">
        <v>2.5983484686454753E-4</v>
      </c>
      <c r="Q55" s="22">
        <v>5.1966969372909507E-6</v>
      </c>
      <c r="R55" s="22">
        <v>5.7001082843178426E-8</v>
      </c>
      <c r="S55" s="22">
        <v>1.1400216568635686E-9</v>
      </c>
      <c r="T55" s="22">
        <v>7.7287814192111761E-9</v>
      </c>
      <c r="U55" s="22">
        <v>2.3186344257633527E-10</v>
      </c>
    </row>
    <row r="56" spans="1:21">
      <c r="A56" s="22" t="s">
        <v>208</v>
      </c>
      <c r="B56" s="22" t="s">
        <v>209</v>
      </c>
      <c r="C56" s="32" t="s">
        <v>254</v>
      </c>
      <c r="D56" s="33">
        <v>42318</v>
      </c>
      <c r="F56" s="24">
        <v>0</v>
      </c>
      <c r="G56" s="22">
        <f t="shared" si="0"/>
        <v>1609.7560975609756</v>
      </c>
      <c r="H56" s="25">
        <v>5</v>
      </c>
      <c r="I56" s="22">
        <v>0.1</v>
      </c>
      <c r="J56" s="22">
        <v>0.5</v>
      </c>
      <c r="K56" s="22">
        <v>0</v>
      </c>
      <c r="L56" s="22">
        <v>3.9734805636524645E-8</v>
      </c>
      <c r="M56" s="22">
        <v>3.9734805636524645E-10</v>
      </c>
      <c r="N56" s="22">
        <v>1.5865875679669172E-7</v>
      </c>
      <c r="O56" s="22">
        <v>3.1731751359338343E-9</v>
      </c>
      <c r="P56" s="22">
        <v>2.6031591147858798E-4</v>
      </c>
      <c r="Q56" s="22">
        <v>5.2063182295717595E-6</v>
      </c>
      <c r="R56" s="22">
        <v>5.5517357097218092E-8</v>
      </c>
      <c r="S56" s="22">
        <v>1.1103471419443619E-9</v>
      </c>
      <c r="T56" s="22">
        <v>7.2221341225350591E-9</v>
      </c>
      <c r="U56" s="22">
        <v>2.1666402367605177E-10</v>
      </c>
    </row>
    <row r="57" spans="1:21">
      <c r="A57" s="22" t="s">
        <v>208</v>
      </c>
      <c r="B57" s="22" t="s">
        <v>209</v>
      </c>
      <c r="C57" s="32" t="s">
        <v>218</v>
      </c>
      <c r="D57" s="33">
        <v>42318</v>
      </c>
      <c r="F57" s="24">
        <v>0</v>
      </c>
      <c r="G57" s="22">
        <f t="shared" si="0"/>
        <v>1609.7560975609756</v>
      </c>
      <c r="H57" s="25">
        <v>5</v>
      </c>
      <c r="I57" s="22">
        <v>0.1</v>
      </c>
      <c r="J57" s="22">
        <v>0.5</v>
      </c>
      <c r="K57" s="22">
        <v>0</v>
      </c>
      <c r="L57" s="22">
        <v>3.9648793573638085E-8</v>
      </c>
      <c r="M57" s="22">
        <v>3.9648793573638084E-10</v>
      </c>
      <c r="N57" s="22">
        <v>1.5715194976668891E-7</v>
      </c>
      <c r="O57" s="22">
        <v>3.1430389953337782E-9</v>
      </c>
      <c r="P57" s="22">
        <v>2.6110709118360261E-4</v>
      </c>
      <c r="Q57" s="22">
        <v>5.2221418236720522E-6</v>
      </c>
      <c r="R57" s="22">
        <v>5.7600036692328922E-8</v>
      </c>
      <c r="S57" s="22">
        <v>1.1520007338465785E-9</v>
      </c>
      <c r="T57" s="22">
        <v>7.9064962742455257E-9</v>
      </c>
      <c r="U57" s="22">
        <v>2.3719488822736575E-10</v>
      </c>
    </row>
    <row r="58" spans="1:21">
      <c r="A58" s="22" t="s">
        <v>208</v>
      </c>
      <c r="B58" s="22" t="s">
        <v>209</v>
      </c>
      <c r="C58" s="32" t="s">
        <v>219</v>
      </c>
      <c r="D58" s="33">
        <v>42318</v>
      </c>
      <c r="F58" s="24">
        <v>0</v>
      </c>
      <c r="G58" s="22">
        <f t="shared" si="0"/>
        <v>1609.7560975609756</v>
      </c>
      <c r="H58" s="25">
        <v>5</v>
      </c>
      <c r="I58" s="22">
        <v>0.1</v>
      </c>
      <c r="J58" s="22">
        <v>0.5</v>
      </c>
      <c r="K58" s="22">
        <v>0</v>
      </c>
      <c r="L58" s="22">
        <v>3.9552462385112401E-8</v>
      </c>
      <c r="M58" s="22">
        <v>3.9552462385112401E-10</v>
      </c>
      <c r="N58" s="22">
        <v>1.5614053796972729E-7</v>
      </c>
      <c r="O58" s="22">
        <v>3.1228107593945459E-9</v>
      </c>
      <c r="P58" s="22">
        <v>2.5795639419397992E-4</v>
      </c>
      <c r="Q58" s="22">
        <v>5.1591278838795987E-6</v>
      </c>
      <c r="R58" s="22">
        <v>5.5777236683028992E-8</v>
      </c>
      <c r="S58" s="22">
        <v>1.1155447336605799E-9</v>
      </c>
      <c r="T58" s="22">
        <v>7.4524112318451895E-9</v>
      </c>
      <c r="U58" s="22">
        <v>2.2357233695535567E-10</v>
      </c>
    </row>
    <row r="59" spans="1:21">
      <c r="A59" s="22" t="s">
        <v>208</v>
      </c>
      <c r="B59" s="22" t="s">
        <v>209</v>
      </c>
      <c r="C59" s="32" t="s">
        <v>255</v>
      </c>
      <c r="D59" s="33">
        <v>42318</v>
      </c>
      <c r="F59" s="24">
        <v>0</v>
      </c>
      <c r="G59" s="22">
        <f t="shared" si="0"/>
        <v>1609.7560975609756</v>
      </c>
      <c r="H59" s="25">
        <v>5</v>
      </c>
      <c r="I59" s="22">
        <v>0.1</v>
      </c>
      <c r="J59" s="22">
        <v>0.5</v>
      </c>
      <c r="K59" s="22">
        <v>0</v>
      </c>
      <c r="L59" s="22">
        <v>3.9346012933486077E-8</v>
      </c>
      <c r="M59" s="22">
        <v>3.9346012933486078E-10</v>
      </c>
      <c r="N59" s="22">
        <v>1.5684710043286215E-7</v>
      </c>
      <c r="O59" s="22">
        <v>3.1369420086572433E-9</v>
      </c>
      <c r="P59" s="22">
        <v>2.5892909320114464E-4</v>
      </c>
      <c r="Q59" s="22">
        <v>5.1785818640228929E-6</v>
      </c>
      <c r="R59" s="22">
        <v>5.6652025915495657E-8</v>
      </c>
      <c r="S59" s="22">
        <v>1.1330405183099131E-9</v>
      </c>
      <c r="T59" s="22">
        <v>7.803233985706801E-9</v>
      </c>
      <c r="U59" s="22">
        <v>2.34097019571204E-10</v>
      </c>
    </row>
    <row r="60" spans="1:21">
      <c r="A60" s="22" t="s">
        <v>208</v>
      </c>
      <c r="B60" s="22" t="s">
        <v>209</v>
      </c>
      <c r="C60" s="32" t="s">
        <v>256</v>
      </c>
      <c r="D60" s="33">
        <v>42318</v>
      </c>
      <c r="F60" s="24">
        <v>0</v>
      </c>
      <c r="G60" s="22">
        <f t="shared" si="0"/>
        <v>1609.7560975609756</v>
      </c>
      <c r="H60" s="25">
        <v>5</v>
      </c>
      <c r="I60" s="22">
        <v>0.1</v>
      </c>
      <c r="J60" s="22">
        <v>0.5</v>
      </c>
      <c r="K60" s="22">
        <v>0</v>
      </c>
      <c r="L60" s="22">
        <v>3.9689199382245355E-8</v>
      </c>
      <c r="M60" s="22">
        <v>3.9689199382245355E-10</v>
      </c>
      <c r="N60" s="22">
        <v>1.5665187071622506E-7</v>
      </c>
      <c r="O60" s="22">
        <v>3.1330374143245015E-9</v>
      </c>
      <c r="P60" s="22">
        <v>2.6218206485246993E-4</v>
      </c>
      <c r="Q60" s="22">
        <v>5.2436412970493984E-6</v>
      </c>
      <c r="R60" s="22">
        <v>5.8019320919956311E-8</v>
      </c>
      <c r="S60" s="22">
        <v>1.1603864183991263E-9</v>
      </c>
      <c r="T60" s="22">
        <v>7.894263913305421E-9</v>
      </c>
      <c r="U60" s="22">
        <v>2.3682791739916263E-10</v>
      </c>
    </row>
    <row r="61" spans="1:21">
      <c r="A61" s="22" t="s">
        <v>208</v>
      </c>
      <c r="B61" s="22" t="s">
        <v>209</v>
      </c>
      <c r="C61" s="32" t="s">
        <v>257</v>
      </c>
      <c r="D61" s="33">
        <v>42318</v>
      </c>
      <c r="F61" s="24">
        <v>0</v>
      </c>
      <c r="G61" s="22">
        <f t="shared" si="0"/>
        <v>1609.7560975609756</v>
      </c>
      <c r="H61" s="25">
        <v>5</v>
      </c>
      <c r="I61" s="22">
        <v>0.1</v>
      </c>
      <c r="J61" s="22">
        <v>0.5</v>
      </c>
      <c r="K61" s="22">
        <v>0</v>
      </c>
      <c r="L61" s="22">
        <v>3.9785808897623368E-8</v>
      </c>
      <c r="M61" s="22">
        <v>3.9785808897623369E-10</v>
      </c>
      <c r="N61" s="22">
        <v>1.5801046723133348E-7</v>
      </c>
      <c r="O61" s="22">
        <v>3.1602093446266699E-9</v>
      </c>
      <c r="P61" s="22">
        <v>2.5941277686362881E-4</v>
      </c>
      <c r="Q61" s="22">
        <v>5.188255537272576E-6</v>
      </c>
      <c r="R61" s="22">
        <v>5.6487207133740531E-8</v>
      </c>
      <c r="S61" s="22">
        <v>1.1297441426748106E-9</v>
      </c>
      <c r="T61" s="22">
        <v>7.6321370875362187E-9</v>
      </c>
      <c r="U61" s="22">
        <v>2.2896411262608654E-10</v>
      </c>
    </row>
    <row r="62" spans="1:21">
      <c r="A62" s="22" t="s">
        <v>208</v>
      </c>
      <c r="B62" s="22" t="s">
        <v>209</v>
      </c>
      <c r="C62" s="32" t="s">
        <v>258</v>
      </c>
      <c r="D62" s="33">
        <v>42318</v>
      </c>
      <c r="F62" s="24">
        <v>0</v>
      </c>
      <c r="G62" s="22">
        <f t="shared" si="0"/>
        <v>1609.7560975609756</v>
      </c>
      <c r="H62" s="25">
        <v>5</v>
      </c>
      <c r="I62" s="22">
        <v>0.1</v>
      </c>
      <c r="J62" s="22">
        <v>0.5</v>
      </c>
      <c r="K62" s="22">
        <v>0</v>
      </c>
      <c r="L62" s="22">
        <v>3.9235516005083911E-8</v>
      </c>
      <c r="M62" s="22">
        <v>3.9235516005083912E-10</v>
      </c>
      <c r="N62" s="22">
        <v>1.5726771757755496E-7</v>
      </c>
      <c r="O62" s="22">
        <v>3.1453543515510991E-9</v>
      </c>
      <c r="P62" s="22">
        <v>2.5924632007958922E-4</v>
      </c>
      <c r="Q62" s="22">
        <v>5.1849264015917843E-6</v>
      </c>
      <c r="R62" s="22">
        <v>5.7377400370447861E-8</v>
      </c>
      <c r="S62" s="22">
        <v>1.1475480074089573E-9</v>
      </c>
      <c r="T62" s="22">
        <v>7.8803140268843039E-9</v>
      </c>
      <c r="U62" s="22">
        <v>2.3640942080652913E-10</v>
      </c>
    </row>
    <row r="63" spans="1:21">
      <c r="A63" s="22" t="s">
        <v>208</v>
      </c>
      <c r="B63" s="22" t="s">
        <v>209</v>
      </c>
      <c r="C63" s="32" t="s">
        <v>259</v>
      </c>
      <c r="D63" s="33">
        <v>42318</v>
      </c>
      <c r="F63" s="24">
        <v>0</v>
      </c>
      <c r="G63" s="22">
        <f t="shared" si="0"/>
        <v>1609.7560975609756</v>
      </c>
      <c r="H63" s="25">
        <v>5</v>
      </c>
      <c r="I63" s="22">
        <v>0.1</v>
      </c>
      <c r="J63" s="22">
        <v>0.5</v>
      </c>
      <c r="K63" s="22">
        <v>0</v>
      </c>
      <c r="L63" s="22">
        <v>3.9282243431975999E-8</v>
      </c>
      <c r="M63" s="22">
        <v>3.9282243431975999E-10</v>
      </c>
      <c r="N63" s="22">
        <v>1.5773665104650762E-7</v>
      </c>
      <c r="O63" s="22">
        <v>3.1547330209301527E-9</v>
      </c>
      <c r="P63" s="22">
        <v>2.6007461554318636E-4</v>
      </c>
      <c r="Q63" s="22">
        <v>5.2014923108637275E-6</v>
      </c>
      <c r="R63" s="22">
        <v>5.6658453121035263E-8</v>
      </c>
      <c r="S63" s="22">
        <v>1.1331690624207053E-9</v>
      </c>
      <c r="T63" s="22">
        <v>7.5776801712427127E-9</v>
      </c>
      <c r="U63" s="22">
        <v>2.2733040513728138E-10</v>
      </c>
    </row>
    <row r="64" spans="1:21">
      <c r="A64" s="22" t="s">
        <v>208</v>
      </c>
      <c r="B64" s="22" t="s">
        <v>209</v>
      </c>
      <c r="C64" s="32" t="s">
        <v>260</v>
      </c>
      <c r="D64" s="33">
        <v>42318</v>
      </c>
      <c r="F64" s="24">
        <v>0</v>
      </c>
      <c r="G64" s="22">
        <f t="shared" si="0"/>
        <v>1609.7560975609756</v>
      </c>
      <c r="H64" s="25">
        <v>5</v>
      </c>
      <c r="I64" s="22">
        <v>0.1</v>
      </c>
      <c r="J64" s="22">
        <v>0.5</v>
      </c>
      <c r="K64" s="22">
        <v>0</v>
      </c>
      <c r="L64" s="22">
        <v>3.9448685479152536E-8</v>
      </c>
      <c r="M64" s="22">
        <v>3.1558948383322031E-10</v>
      </c>
      <c r="N64" s="22">
        <v>1.5730430609528151E-7</v>
      </c>
      <c r="O64" s="22">
        <v>3.1460861219056301E-9</v>
      </c>
      <c r="P64" s="22">
        <v>2.4746779099096529E-4</v>
      </c>
      <c r="Q64" s="22">
        <v>4.9493558198193057E-6</v>
      </c>
      <c r="R64" s="22">
        <v>5.667588339009351E-8</v>
      </c>
      <c r="S64" s="22">
        <v>1.7002765017028052E-9</v>
      </c>
      <c r="T64" s="22">
        <v>7.2850950644321817E-9</v>
      </c>
      <c r="U64" s="22">
        <v>2.1855285193296544E-10</v>
      </c>
    </row>
    <row r="65" spans="1:21">
      <c r="A65" s="22" t="s">
        <v>208</v>
      </c>
      <c r="B65" s="22" t="s">
        <v>209</v>
      </c>
      <c r="C65" s="32" t="s">
        <v>220</v>
      </c>
      <c r="D65" s="33">
        <v>42318</v>
      </c>
      <c r="F65" s="24">
        <v>0</v>
      </c>
      <c r="G65" s="22">
        <f t="shared" si="0"/>
        <v>1609.7560975609756</v>
      </c>
      <c r="H65" s="25">
        <v>5</v>
      </c>
      <c r="I65" s="22">
        <v>0.1</v>
      </c>
      <c r="J65" s="22">
        <v>0.5</v>
      </c>
      <c r="K65" s="22">
        <v>0</v>
      </c>
      <c r="L65" s="22">
        <v>3.958067254990444E-8</v>
      </c>
      <c r="M65" s="22">
        <v>3.9580672549904441E-10</v>
      </c>
      <c r="N65" s="22">
        <v>1.5765871073784085E-7</v>
      </c>
      <c r="O65" s="22">
        <v>3.1531742147568172E-9</v>
      </c>
      <c r="P65" s="22">
        <v>2.6023848422238423E-4</v>
      </c>
      <c r="Q65" s="22">
        <v>5.2047696844476851E-6</v>
      </c>
      <c r="R65" s="22">
        <v>5.6556238574230942E-8</v>
      </c>
      <c r="S65" s="22">
        <v>1.1311247714846189E-9</v>
      </c>
      <c r="T65" s="22">
        <v>7.7442573189940313E-9</v>
      </c>
      <c r="U65" s="22">
        <v>2.3232771956982094E-10</v>
      </c>
    </row>
    <row r="66" spans="1:21">
      <c r="A66" s="22" t="s">
        <v>208</v>
      </c>
      <c r="B66" s="22" t="s">
        <v>209</v>
      </c>
      <c r="C66" s="32" t="s">
        <v>248</v>
      </c>
      <c r="D66" s="33">
        <v>42318</v>
      </c>
      <c r="F66" s="24">
        <v>0</v>
      </c>
      <c r="G66" s="22">
        <f t="shared" si="0"/>
        <v>1609.7560975609756</v>
      </c>
      <c r="H66" s="25">
        <v>5</v>
      </c>
      <c r="I66" s="22">
        <v>0.1</v>
      </c>
      <c r="J66" s="22">
        <v>0.5</v>
      </c>
      <c r="K66" s="22">
        <v>0</v>
      </c>
      <c r="L66" s="22">
        <v>3.9664599540548143E-8</v>
      </c>
      <c r="M66" s="22">
        <v>3.9664599540548142E-10</v>
      </c>
      <c r="N66" s="22">
        <v>1.5914965286717126E-7</v>
      </c>
      <c r="O66" s="22">
        <v>3.1829930573434255E-9</v>
      </c>
      <c r="P66" s="22">
        <v>2.6022466145258729E-4</v>
      </c>
      <c r="Q66" s="22">
        <v>5.2044932290517459E-6</v>
      </c>
      <c r="R66" s="22">
        <v>5.7434188518922655E-8</v>
      </c>
      <c r="S66" s="22">
        <v>1.1486837703784532E-9</v>
      </c>
      <c r="T66" s="22">
        <v>7.9278791308083844E-9</v>
      </c>
      <c r="U66" s="22">
        <v>2.3783637392425152E-10</v>
      </c>
    </row>
    <row r="67" spans="1:21">
      <c r="A67" s="22" t="s">
        <v>208</v>
      </c>
      <c r="B67" s="22" t="s">
        <v>209</v>
      </c>
      <c r="C67" s="32" t="s">
        <v>261</v>
      </c>
      <c r="D67" s="33">
        <v>42318</v>
      </c>
      <c r="F67" s="24">
        <v>0</v>
      </c>
      <c r="G67" s="22">
        <f t="shared" si="0"/>
        <v>1609.7560975609756</v>
      </c>
      <c r="H67" s="25">
        <v>5</v>
      </c>
      <c r="I67" s="22">
        <v>0.1</v>
      </c>
      <c r="J67" s="22">
        <v>0.5</v>
      </c>
      <c r="K67" s="22">
        <v>0</v>
      </c>
      <c r="L67" s="22">
        <v>3.967371921646882E-8</v>
      </c>
      <c r="M67" s="22">
        <v>3.967371921646882E-10</v>
      </c>
      <c r="N67" s="22">
        <v>1.5961325859322479E-7</v>
      </c>
      <c r="O67" s="22">
        <v>3.1922651718644957E-9</v>
      </c>
      <c r="P67" s="22">
        <v>2.60126434839884E-4</v>
      </c>
      <c r="Q67" s="22">
        <v>5.2025286967976802E-6</v>
      </c>
      <c r="R67" s="22">
        <v>5.697339447476428E-8</v>
      </c>
      <c r="S67" s="22">
        <v>1.1394678894952855E-9</v>
      </c>
      <c r="T67" s="22">
        <v>7.8881787495815285E-9</v>
      </c>
      <c r="U67" s="22">
        <v>2.3664536248744585E-10</v>
      </c>
    </row>
    <row r="68" spans="1:21">
      <c r="A68" s="22" t="s">
        <v>208</v>
      </c>
      <c r="B68" s="22" t="s">
        <v>209</v>
      </c>
      <c r="C68" s="32" t="s">
        <v>222</v>
      </c>
      <c r="D68" s="33">
        <v>42318</v>
      </c>
      <c r="F68" s="24">
        <v>0</v>
      </c>
      <c r="G68" s="22">
        <f t="shared" si="0"/>
        <v>1609.7560975609756</v>
      </c>
      <c r="H68" s="25">
        <v>5</v>
      </c>
      <c r="I68" s="22">
        <v>0.1</v>
      </c>
      <c r="J68" s="22">
        <v>0.5</v>
      </c>
      <c r="K68" s="22">
        <v>0</v>
      </c>
      <c r="L68" s="22">
        <v>3.971543356975307E-8</v>
      </c>
      <c r="M68" s="22">
        <v>3.971543356975307E-10</v>
      </c>
      <c r="N68" s="22">
        <v>1.5829110927908798E-7</v>
      </c>
      <c r="O68" s="22">
        <v>3.1658221855817597E-9</v>
      </c>
      <c r="P68" s="22">
        <v>2.6411287923620532E-4</v>
      </c>
      <c r="Q68" s="22">
        <v>5.2822575847241061E-6</v>
      </c>
      <c r="R68" s="22">
        <v>5.7815990427844729E-8</v>
      </c>
      <c r="S68" s="22">
        <v>1.1563198085568947E-9</v>
      </c>
      <c r="T68" s="22">
        <v>7.8868462497879501E-9</v>
      </c>
      <c r="U68" s="22">
        <v>2.3660538749363852E-10</v>
      </c>
    </row>
    <row r="69" spans="1:21">
      <c r="A69" s="22" t="s">
        <v>208</v>
      </c>
      <c r="B69" s="22" t="s">
        <v>209</v>
      </c>
      <c r="C69" s="32" t="s">
        <v>227</v>
      </c>
      <c r="D69" s="33">
        <v>42322</v>
      </c>
      <c r="F69" s="24">
        <v>0</v>
      </c>
      <c r="G69" s="22">
        <f t="shared" ref="G69:G124" si="1">5280/3.28</f>
        <v>1609.7560975609756</v>
      </c>
      <c r="H69" s="25">
        <v>5</v>
      </c>
      <c r="I69" s="22">
        <v>0.1</v>
      </c>
      <c r="J69" s="22">
        <v>0.5</v>
      </c>
      <c r="K69" s="22">
        <v>0</v>
      </c>
      <c r="L69" s="22">
        <v>3.8512329028674894E-8</v>
      </c>
      <c r="M69" s="22">
        <v>3.8512329028674897E-10</v>
      </c>
      <c r="N69" s="22">
        <v>1.528648813725319E-7</v>
      </c>
      <c r="O69" s="22">
        <v>3.0572976274506382E-9</v>
      </c>
      <c r="P69" s="22">
        <v>2.3186954099392232E-4</v>
      </c>
      <c r="Q69" s="22">
        <v>4.6373908198784465E-6</v>
      </c>
      <c r="R69" s="22">
        <v>5.3899028277595706E-8</v>
      </c>
      <c r="S69" s="22">
        <v>1.0779805655519141E-9</v>
      </c>
      <c r="T69" s="22">
        <v>7.209191169668311E-9</v>
      </c>
      <c r="U69" s="22">
        <v>2.1627573509004931E-10</v>
      </c>
    </row>
    <row r="70" spans="1:21">
      <c r="A70" s="22" t="s">
        <v>208</v>
      </c>
      <c r="B70" s="22" t="s">
        <v>209</v>
      </c>
      <c r="C70" s="32" t="s">
        <v>227</v>
      </c>
      <c r="D70" s="33">
        <v>42359</v>
      </c>
      <c r="F70" s="24">
        <v>0</v>
      </c>
      <c r="G70" s="22">
        <f t="shared" si="1"/>
        <v>1609.7560975609756</v>
      </c>
      <c r="H70" s="25">
        <v>5</v>
      </c>
      <c r="I70" s="22">
        <v>0.1</v>
      </c>
      <c r="J70" s="22">
        <v>0.5</v>
      </c>
      <c r="K70" s="22">
        <v>0</v>
      </c>
      <c r="L70" s="22">
        <v>3.6176900237769184E-8</v>
      </c>
      <c r="M70" s="22">
        <v>2.8941520190215345E-10</v>
      </c>
      <c r="N70" s="22">
        <v>1.4847055518117514E-7</v>
      </c>
      <c r="O70" s="22">
        <v>2.9694111036235031E-9</v>
      </c>
      <c r="P70" s="22">
        <v>2.4253866254377412E-4</v>
      </c>
      <c r="Q70" s="22">
        <v>4.8507732508754826E-6</v>
      </c>
      <c r="R70" s="22">
        <v>5.5319447403493112E-8</v>
      </c>
      <c r="S70" s="22">
        <v>1.6595834221047932E-9</v>
      </c>
      <c r="T70" s="22">
        <v>7.2833559808197784E-9</v>
      </c>
      <c r="U70" s="22">
        <v>2.1850067942459334E-10</v>
      </c>
    </row>
    <row r="71" spans="1:21">
      <c r="A71" s="22" t="s">
        <v>208</v>
      </c>
      <c r="B71" s="22" t="s">
        <v>209</v>
      </c>
      <c r="C71" s="32" t="s">
        <v>243</v>
      </c>
      <c r="D71" s="33">
        <v>42359</v>
      </c>
      <c r="F71" s="24">
        <v>0</v>
      </c>
      <c r="G71" s="22">
        <f t="shared" si="1"/>
        <v>1609.7560975609756</v>
      </c>
      <c r="H71" s="25">
        <v>5</v>
      </c>
      <c r="I71" s="22">
        <v>0.1</v>
      </c>
      <c r="J71" s="22">
        <v>0.5</v>
      </c>
      <c r="K71" s="22">
        <v>0</v>
      </c>
      <c r="L71" s="22">
        <v>3.5861626127155997E-8</v>
      </c>
      <c r="M71" s="22">
        <v>3.5861626127155996E-10</v>
      </c>
      <c r="N71" s="22">
        <v>1.4730976553798997E-7</v>
      </c>
      <c r="O71" s="22">
        <v>2.9461953107597993E-9</v>
      </c>
      <c r="P71" s="22">
        <v>2.4885082505589286E-4</v>
      </c>
      <c r="Q71" s="22">
        <v>4.9770165011178574E-6</v>
      </c>
      <c r="R71" s="22">
        <v>5.4537002887417031E-8</v>
      </c>
      <c r="S71" s="22">
        <v>1.0907400577483407E-9</v>
      </c>
      <c r="T71" s="22">
        <v>7.6447554473977036E-9</v>
      </c>
      <c r="U71" s="22">
        <v>2.293426634219311E-10</v>
      </c>
    </row>
    <row r="72" spans="1:21">
      <c r="A72" s="22" t="s">
        <v>208</v>
      </c>
      <c r="B72" s="22" t="s">
        <v>209</v>
      </c>
      <c r="C72" s="32" t="s">
        <v>262</v>
      </c>
      <c r="D72" s="33">
        <v>42359</v>
      </c>
      <c r="F72" s="24">
        <v>0</v>
      </c>
      <c r="G72" s="22">
        <f t="shared" si="1"/>
        <v>1609.7560975609756</v>
      </c>
      <c r="H72" s="25">
        <v>5</v>
      </c>
      <c r="I72" s="22">
        <v>0.1</v>
      </c>
      <c r="J72" s="22">
        <v>0.5</v>
      </c>
      <c r="K72" s="22">
        <v>0</v>
      </c>
      <c r="L72" s="22">
        <v>3.6936961628983412E-8</v>
      </c>
      <c r="M72" s="22">
        <v>2.9549569303186732E-10</v>
      </c>
      <c r="N72" s="22">
        <v>1.4931124087973591E-7</v>
      </c>
      <c r="O72" s="22">
        <v>2.9862248175947184E-9</v>
      </c>
      <c r="P72" s="22">
        <v>2.3823916194322411E-4</v>
      </c>
      <c r="Q72" s="22">
        <v>4.7647832388644819E-6</v>
      </c>
      <c r="R72" s="22">
        <v>5.3730442806508E-8</v>
      </c>
      <c r="S72" s="22">
        <v>1.61191328419524E-9</v>
      </c>
      <c r="T72" s="22">
        <v>7.3854454897024792E-9</v>
      </c>
      <c r="U72" s="22">
        <v>2.2156336469107436E-10</v>
      </c>
    </row>
    <row r="73" spans="1:21">
      <c r="A73" s="22" t="s">
        <v>208</v>
      </c>
      <c r="B73" s="22" t="s">
        <v>209</v>
      </c>
      <c r="C73" s="32" t="s">
        <v>263</v>
      </c>
      <c r="D73" s="33">
        <v>42359</v>
      </c>
      <c r="F73" s="24">
        <v>0</v>
      </c>
      <c r="G73" s="22">
        <f t="shared" si="1"/>
        <v>1609.7560975609756</v>
      </c>
      <c r="H73" s="25">
        <v>5</v>
      </c>
      <c r="I73" s="22">
        <v>0.1</v>
      </c>
      <c r="J73" s="22">
        <v>0.5</v>
      </c>
      <c r="K73" s="22">
        <v>0</v>
      </c>
      <c r="L73" s="22">
        <v>3.6208584656291454E-8</v>
      </c>
      <c r="M73" s="22">
        <v>2.8966867725033166E-10</v>
      </c>
      <c r="N73" s="22">
        <v>1.4976837601487359E-7</v>
      </c>
      <c r="O73" s="22">
        <v>2.9953675202974718E-9</v>
      </c>
      <c r="P73" s="22">
        <v>2.4283964349157107E-4</v>
      </c>
      <c r="Q73" s="22">
        <v>4.8567928698314214E-6</v>
      </c>
      <c r="R73" s="22">
        <v>5.5348607731363953E-8</v>
      </c>
      <c r="S73" s="22">
        <v>1.6604582319409186E-9</v>
      </c>
      <c r="T73" s="22">
        <v>7.4605671066317509E-9</v>
      </c>
      <c r="U73" s="22">
        <v>2.2381701319895251E-10</v>
      </c>
    </row>
    <row r="74" spans="1:21">
      <c r="A74" s="22" t="s">
        <v>208</v>
      </c>
      <c r="B74" s="22" t="s">
        <v>209</v>
      </c>
      <c r="C74" s="32" t="s">
        <v>264</v>
      </c>
      <c r="D74" s="33">
        <v>42468</v>
      </c>
      <c r="F74" s="24">
        <v>0</v>
      </c>
      <c r="G74" s="22">
        <f t="shared" si="1"/>
        <v>1609.7560975609756</v>
      </c>
      <c r="H74" s="25">
        <v>5</v>
      </c>
      <c r="I74" s="22">
        <v>0.1</v>
      </c>
      <c r="J74" s="22">
        <v>0.5</v>
      </c>
      <c r="K74" s="22">
        <v>0</v>
      </c>
      <c r="L74" s="22">
        <v>3.7285679447344405E-8</v>
      </c>
      <c r="M74" s="22">
        <v>3.7285679447344405E-10</v>
      </c>
      <c r="N74" s="22">
        <v>1.4823400351661552E-7</v>
      </c>
      <c r="O74" s="22">
        <v>2.9646800703323106E-9</v>
      </c>
      <c r="P74" s="22">
        <v>2.586518525010237E-4</v>
      </c>
      <c r="Q74" s="22">
        <v>5.1730370500204743E-6</v>
      </c>
      <c r="R74" s="22">
        <v>5.7854063629148161E-8</v>
      </c>
      <c r="S74" s="22">
        <v>1.1570812725829632E-9</v>
      </c>
      <c r="T74" s="22">
        <v>7.6844041751945055E-9</v>
      </c>
      <c r="U74" s="22">
        <v>2.3053212525583516E-10</v>
      </c>
    </row>
    <row r="75" spans="1:21">
      <c r="A75" s="22" t="s">
        <v>208</v>
      </c>
      <c r="B75" s="22" t="s">
        <v>209</v>
      </c>
      <c r="C75" s="32" t="s">
        <v>265</v>
      </c>
      <c r="D75" s="33">
        <v>42468</v>
      </c>
      <c r="F75" s="24">
        <v>0</v>
      </c>
      <c r="G75" s="22">
        <f t="shared" si="1"/>
        <v>1609.7560975609756</v>
      </c>
      <c r="H75" s="25">
        <v>5</v>
      </c>
      <c r="I75" s="22">
        <v>0.1</v>
      </c>
      <c r="J75" s="22">
        <v>0.5</v>
      </c>
      <c r="K75" s="22">
        <v>0</v>
      </c>
      <c r="L75" s="22">
        <v>3.7397812734832642E-8</v>
      </c>
      <c r="M75" s="22">
        <v>3.7397812734832642E-10</v>
      </c>
      <c r="N75" s="22">
        <v>1.5085875151266871E-7</v>
      </c>
      <c r="O75" s="22">
        <v>3.0171750302533742E-9</v>
      </c>
      <c r="P75" s="22">
        <v>2.5834832942147121E-4</v>
      </c>
      <c r="Q75" s="22">
        <v>5.1669665884294239E-6</v>
      </c>
      <c r="R75" s="22">
        <v>5.8077887669717908E-8</v>
      </c>
      <c r="S75" s="22">
        <v>1.1615577533943582E-9</v>
      </c>
      <c r="T75" s="22">
        <v>7.7814529501447367E-9</v>
      </c>
      <c r="U75" s="22">
        <v>2.334435885043421E-10</v>
      </c>
    </row>
    <row r="76" spans="1:21">
      <c r="A76" s="22" t="s">
        <v>208</v>
      </c>
      <c r="B76" s="22" t="s">
        <v>209</v>
      </c>
      <c r="C76" s="32" t="s">
        <v>251</v>
      </c>
      <c r="D76" s="33">
        <v>42468</v>
      </c>
      <c r="F76" s="24">
        <v>0</v>
      </c>
      <c r="G76" s="22">
        <f t="shared" si="1"/>
        <v>1609.7560975609756</v>
      </c>
      <c r="H76" s="25">
        <v>5</v>
      </c>
      <c r="I76" s="22">
        <v>0.1</v>
      </c>
      <c r="J76" s="22">
        <v>0.5</v>
      </c>
      <c r="K76" s="22">
        <v>0</v>
      </c>
      <c r="L76" s="22">
        <v>3.709080704124161E-8</v>
      </c>
      <c r="M76" s="22">
        <v>3.7090807041241612E-10</v>
      </c>
      <c r="N76" s="22">
        <v>1.5335326046200472E-7</v>
      </c>
      <c r="O76" s="22">
        <v>3.0670652092400946E-9</v>
      </c>
      <c r="P76" s="22">
        <v>2.5351667226677785E-4</v>
      </c>
      <c r="Q76" s="22">
        <v>5.0703334453355568E-6</v>
      </c>
      <c r="R76" s="22">
        <v>5.5927436731712603E-8</v>
      </c>
      <c r="S76" s="22">
        <v>1.118548734634252E-9</v>
      </c>
      <c r="T76" s="22">
        <v>7.6093654072827905E-9</v>
      </c>
      <c r="U76" s="22">
        <v>2.2828096221848372E-10</v>
      </c>
    </row>
    <row r="77" spans="1:21">
      <c r="A77" s="22" t="s">
        <v>208</v>
      </c>
      <c r="B77" s="22" t="s">
        <v>209</v>
      </c>
      <c r="C77" s="32" t="s">
        <v>266</v>
      </c>
      <c r="D77" s="33">
        <v>42468</v>
      </c>
      <c r="F77" s="24">
        <v>0</v>
      </c>
      <c r="G77" s="22">
        <f t="shared" si="1"/>
        <v>1609.7560975609756</v>
      </c>
      <c r="H77" s="25">
        <v>5</v>
      </c>
      <c r="I77" s="22">
        <v>0.1</v>
      </c>
      <c r="J77" s="22">
        <v>0.5</v>
      </c>
      <c r="K77" s="22">
        <v>0</v>
      </c>
      <c r="L77" s="22">
        <v>3.7589836548127317E-8</v>
      </c>
      <c r="M77" s="22">
        <v>3.7589836548127319E-10</v>
      </c>
      <c r="N77" s="22">
        <v>1.4996722775432001E-7</v>
      </c>
      <c r="O77" s="22">
        <v>2.9993445550864005E-9</v>
      </c>
      <c r="P77" s="22">
        <v>2.4918754153271418E-4</v>
      </c>
      <c r="Q77" s="22">
        <v>4.983750830654284E-6</v>
      </c>
      <c r="R77" s="22">
        <v>5.6968310013270694E-8</v>
      </c>
      <c r="S77" s="22">
        <v>1.1393662002654139E-9</v>
      </c>
      <c r="T77" s="22">
        <v>7.7295943171723259E-9</v>
      </c>
      <c r="U77" s="22">
        <v>2.3188782951516976E-10</v>
      </c>
    </row>
    <row r="78" spans="1:21">
      <c r="A78" s="22" t="s">
        <v>208</v>
      </c>
      <c r="B78" s="22" t="s">
        <v>209</v>
      </c>
      <c r="C78" s="32" t="s">
        <v>267</v>
      </c>
      <c r="D78" s="33">
        <v>42468</v>
      </c>
      <c r="F78" s="24">
        <v>0</v>
      </c>
      <c r="G78" s="22">
        <f t="shared" si="1"/>
        <v>1609.7560975609756</v>
      </c>
      <c r="H78" s="25">
        <v>5</v>
      </c>
      <c r="I78" s="22">
        <v>0.1</v>
      </c>
      <c r="J78" s="22">
        <v>0.5</v>
      </c>
      <c r="K78" s="22">
        <v>0</v>
      </c>
      <c r="L78" s="22">
        <v>3.7518442388977521E-8</v>
      </c>
      <c r="M78" s="22">
        <v>3.7518442388977525E-10</v>
      </c>
      <c r="N78" s="22">
        <v>1.4993142904796728E-7</v>
      </c>
      <c r="O78" s="22">
        <v>4.1980800133430838E-9</v>
      </c>
      <c r="P78" s="22">
        <v>2.4958349205558253E-4</v>
      </c>
      <c r="Q78" s="22">
        <v>4.991669841111651E-6</v>
      </c>
      <c r="R78" s="22">
        <v>5.6229249741608437E-8</v>
      </c>
      <c r="S78" s="22">
        <v>1.1245849948321689E-9</v>
      </c>
      <c r="T78" s="22">
        <v>7.6111874339616632E-9</v>
      </c>
      <c r="U78" s="22">
        <v>2.2833562301884989E-10</v>
      </c>
    </row>
    <row r="79" spans="1:21">
      <c r="A79" s="22" t="s">
        <v>208</v>
      </c>
      <c r="B79" s="22" t="s">
        <v>209</v>
      </c>
      <c r="C79" s="32" t="s">
        <v>268</v>
      </c>
      <c r="D79" s="33">
        <v>42468</v>
      </c>
      <c r="F79" s="24">
        <v>0</v>
      </c>
      <c r="G79" s="22">
        <f t="shared" si="1"/>
        <v>1609.7560975609756</v>
      </c>
      <c r="H79" s="25">
        <v>5</v>
      </c>
      <c r="I79" s="22">
        <v>0.1</v>
      </c>
      <c r="J79" s="22">
        <v>0.5</v>
      </c>
      <c r="K79" s="22">
        <v>0</v>
      </c>
      <c r="L79" s="22">
        <v>3.7705560809322682E-8</v>
      </c>
      <c r="M79" s="22">
        <v>3.7705560809322681E-10</v>
      </c>
      <c r="N79" s="22">
        <v>1.5189926915510475E-7</v>
      </c>
      <c r="O79" s="22">
        <v>3.0379853831020951E-9</v>
      </c>
      <c r="P79" s="22">
        <v>2.5295839284383397E-4</v>
      </c>
      <c r="Q79" s="22">
        <v>5.0591678568766792E-6</v>
      </c>
      <c r="R79" s="22">
        <v>5.5436730061533849E-8</v>
      </c>
      <c r="S79" s="22">
        <v>1.108734601230677E-9</v>
      </c>
      <c r="T79" s="22">
        <v>7.6417918306742407E-9</v>
      </c>
      <c r="U79" s="22">
        <v>2.2925375492022721E-10</v>
      </c>
    </row>
    <row r="80" spans="1:21">
      <c r="A80" s="22" t="s">
        <v>208</v>
      </c>
      <c r="B80" s="22" t="s">
        <v>209</v>
      </c>
      <c r="C80" s="32" t="s">
        <v>245</v>
      </c>
      <c r="D80" s="33">
        <v>42468</v>
      </c>
      <c r="F80" s="24">
        <v>0</v>
      </c>
      <c r="G80" s="22">
        <f t="shared" si="1"/>
        <v>1609.7560975609756</v>
      </c>
      <c r="H80" s="25">
        <v>5</v>
      </c>
      <c r="I80" s="22">
        <v>0.1</v>
      </c>
      <c r="J80" s="22">
        <v>0.5</v>
      </c>
      <c r="K80" s="22">
        <v>0</v>
      </c>
      <c r="L80" s="22">
        <v>3.7349785814679175E-8</v>
      </c>
      <c r="M80" s="22">
        <v>3.7349785814679178E-10</v>
      </c>
      <c r="N80" s="22">
        <v>1.5274046385322742E-7</v>
      </c>
      <c r="O80" s="22">
        <v>3.0548092770645484E-9</v>
      </c>
      <c r="P80" s="22">
        <v>2.5508236172447476E-4</v>
      </c>
      <c r="Q80" s="22">
        <v>5.1016472344894957E-6</v>
      </c>
      <c r="R80" s="22">
        <v>5.631918388421308E-8</v>
      </c>
      <c r="S80" s="22">
        <v>1.1263836776842616E-9</v>
      </c>
      <c r="T80" s="22">
        <v>7.9334393654036888E-9</v>
      </c>
      <c r="U80" s="22">
        <v>2.3800318096211063E-10</v>
      </c>
    </row>
    <row r="81" spans="1:21">
      <c r="A81" s="22" t="s">
        <v>208</v>
      </c>
      <c r="B81" s="22" t="s">
        <v>209</v>
      </c>
      <c r="C81" s="32" t="s">
        <v>269</v>
      </c>
      <c r="D81" s="33">
        <v>42468</v>
      </c>
      <c r="F81" s="24">
        <v>0</v>
      </c>
      <c r="G81" s="22">
        <f t="shared" si="1"/>
        <v>1609.7560975609756</v>
      </c>
      <c r="H81" s="25">
        <v>5</v>
      </c>
      <c r="I81" s="22">
        <v>0.1</v>
      </c>
      <c r="J81" s="22">
        <v>0.5</v>
      </c>
      <c r="K81" s="22">
        <v>0</v>
      </c>
      <c r="L81" s="22">
        <v>3.7589836548127317E-8</v>
      </c>
      <c r="M81" s="22">
        <v>3.7589836548127319E-10</v>
      </c>
      <c r="N81" s="22">
        <v>1.4996722775432001E-7</v>
      </c>
      <c r="O81" s="22">
        <v>2.9993445550864005E-9</v>
      </c>
      <c r="P81" s="22">
        <v>2.4918754153271418E-4</v>
      </c>
      <c r="Q81" s="22">
        <v>4.983750830654284E-6</v>
      </c>
      <c r="R81" s="22">
        <v>5.6968310013270694E-8</v>
      </c>
      <c r="S81" s="22">
        <v>1.1393662002654139E-9</v>
      </c>
      <c r="T81" s="22">
        <v>7.7295943171723259E-9</v>
      </c>
      <c r="U81" s="22">
        <v>2.3188782951516976E-10</v>
      </c>
    </row>
    <row r="82" spans="1:21">
      <c r="A82" s="22" t="s">
        <v>208</v>
      </c>
      <c r="B82" s="22" t="s">
        <v>209</v>
      </c>
      <c r="C82" s="32" t="s">
        <v>270</v>
      </c>
      <c r="D82" s="33">
        <v>42468</v>
      </c>
      <c r="F82" s="24">
        <v>0</v>
      </c>
      <c r="G82" s="22">
        <f t="shared" si="1"/>
        <v>1609.7560975609756</v>
      </c>
      <c r="H82" s="25">
        <v>5</v>
      </c>
      <c r="I82" s="22">
        <v>0.1</v>
      </c>
      <c r="J82" s="22">
        <v>0.5</v>
      </c>
      <c r="K82" s="22">
        <v>0</v>
      </c>
      <c r="L82" s="22">
        <v>3.8288360018181589E-8</v>
      </c>
      <c r="M82" s="22">
        <v>3.8288360018181589E-10</v>
      </c>
      <c r="N82" s="22">
        <v>1.5163603313092208E-7</v>
      </c>
      <c r="O82" s="22">
        <v>3.0327206626184418E-9</v>
      </c>
      <c r="P82" s="22">
        <v>2.5583094370728004E-4</v>
      </c>
      <c r="Q82" s="22">
        <v>5.1166188741456006E-6</v>
      </c>
      <c r="R82" s="22">
        <v>5.7004894271256206E-8</v>
      </c>
      <c r="S82" s="22">
        <v>1.1400978854251241E-9</v>
      </c>
      <c r="T82" s="22">
        <v>7.5733087902363209E-9</v>
      </c>
      <c r="U82" s="22">
        <v>2.2719926370708962E-10</v>
      </c>
    </row>
    <row r="83" spans="1:21">
      <c r="A83" s="22" t="s">
        <v>208</v>
      </c>
      <c r="B83" s="22" t="s">
        <v>209</v>
      </c>
      <c r="C83" s="32" t="s">
        <v>271</v>
      </c>
      <c r="D83" s="33">
        <v>42468</v>
      </c>
      <c r="F83" s="24">
        <v>0</v>
      </c>
      <c r="G83" s="22">
        <f t="shared" si="1"/>
        <v>1609.7560975609756</v>
      </c>
      <c r="H83" s="25">
        <v>5</v>
      </c>
      <c r="I83" s="22">
        <v>0.1</v>
      </c>
      <c r="J83" s="22">
        <v>0.5</v>
      </c>
      <c r="K83" s="22">
        <v>0</v>
      </c>
      <c r="L83" s="22">
        <v>3.7242336636456862E-8</v>
      </c>
      <c r="M83" s="22">
        <v>3.7242336636456862E-10</v>
      </c>
      <c r="N83" s="22">
        <v>1.5201331843523469E-7</v>
      </c>
      <c r="O83" s="22">
        <v>3.0402663687046939E-9</v>
      </c>
      <c r="P83" s="22">
        <v>2.5036439264949852E-4</v>
      </c>
      <c r="Q83" s="22">
        <v>5.0072878529899705E-6</v>
      </c>
      <c r="R83" s="22">
        <v>5.6460079970774494E-8</v>
      </c>
      <c r="S83" s="22">
        <v>1.1292015994154899E-9</v>
      </c>
      <c r="T83" s="22">
        <v>7.6463097667804404E-9</v>
      </c>
      <c r="U83" s="22">
        <v>2.293892930034132E-10</v>
      </c>
    </row>
    <row r="84" spans="1:21">
      <c r="A84" s="22" t="s">
        <v>208</v>
      </c>
      <c r="B84" s="22" t="s">
        <v>209</v>
      </c>
      <c r="C84" s="32" t="s">
        <v>272</v>
      </c>
      <c r="D84" s="33">
        <v>42468</v>
      </c>
      <c r="F84" s="24">
        <v>0</v>
      </c>
      <c r="G84" s="22">
        <f t="shared" si="1"/>
        <v>1609.7560975609756</v>
      </c>
      <c r="H84" s="25">
        <v>5</v>
      </c>
      <c r="I84" s="22">
        <v>0.1</v>
      </c>
      <c r="J84" s="22">
        <v>0.5</v>
      </c>
      <c r="K84" s="22">
        <v>0</v>
      </c>
      <c r="L84" s="22">
        <v>3.7589836548127317E-8</v>
      </c>
      <c r="M84" s="22">
        <v>3.7589836548127319E-10</v>
      </c>
      <c r="N84" s="22">
        <v>1.4996722775432001E-7</v>
      </c>
      <c r="O84" s="22">
        <v>2.9993445550864005E-9</v>
      </c>
      <c r="P84" s="22">
        <v>2.4918754153271418E-4</v>
      </c>
      <c r="Q84" s="22">
        <v>4.983750830654284E-6</v>
      </c>
      <c r="R84" s="22">
        <v>5.6968310013270694E-8</v>
      </c>
      <c r="S84" s="22">
        <v>1.1393662002654139E-9</v>
      </c>
      <c r="T84" s="22">
        <v>7.7295943171723259E-9</v>
      </c>
      <c r="U84" s="22">
        <v>2.3188782951516976E-10</v>
      </c>
    </row>
    <row r="85" spans="1:21">
      <c r="A85" s="22" t="s">
        <v>208</v>
      </c>
      <c r="B85" s="22" t="s">
        <v>209</v>
      </c>
      <c r="C85" s="32" t="s">
        <v>273</v>
      </c>
      <c r="D85" s="33">
        <v>42468</v>
      </c>
      <c r="F85" s="24">
        <v>0</v>
      </c>
      <c r="G85" s="22">
        <f t="shared" si="1"/>
        <v>1609.7560975609756</v>
      </c>
      <c r="H85" s="25">
        <v>5</v>
      </c>
      <c r="I85" s="22">
        <v>0.1</v>
      </c>
      <c r="J85" s="22">
        <v>0.5</v>
      </c>
      <c r="K85" s="22">
        <v>0</v>
      </c>
      <c r="L85" s="22">
        <v>3.7510272467223966E-8</v>
      </c>
      <c r="M85" s="22">
        <v>3.7510272467223968E-10</v>
      </c>
      <c r="N85" s="22">
        <v>1.4957980375148728E-7</v>
      </c>
      <c r="O85" s="22">
        <v>2.9915960750297457E-9</v>
      </c>
      <c r="P85" s="22">
        <v>2.497716213188381E-4</v>
      </c>
      <c r="Q85" s="22">
        <v>4.9954324263767621E-6</v>
      </c>
      <c r="R85" s="22">
        <v>5.614242475372441E-8</v>
      </c>
      <c r="S85" s="22">
        <v>1.1228484950744882E-9</v>
      </c>
      <c r="T85" s="22">
        <v>7.7335945450875718E-9</v>
      </c>
      <c r="U85" s="22">
        <v>2.3200783635262715E-10</v>
      </c>
    </row>
    <row r="86" spans="1:21">
      <c r="A86" s="22" t="s">
        <v>208</v>
      </c>
      <c r="B86" s="22" t="s">
        <v>209</v>
      </c>
      <c r="C86" s="32" t="s">
        <v>259</v>
      </c>
      <c r="D86" s="33">
        <v>42468</v>
      </c>
      <c r="F86" s="24">
        <v>0</v>
      </c>
      <c r="G86" s="22">
        <f t="shared" si="1"/>
        <v>1609.7560975609756</v>
      </c>
      <c r="H86" s="25">
        <v>5</v>
      </c>
      <c r="I86" s="22">
        <v>0.1</v>
      </c>
      <c r="J86" s="22">
        <v>0.5</v>
      </c>
      <c r="K86" s="22">
        <v>0</v>
      </c>
      <c r="L86" s="22">
        <v>3.7474499474441344E-8</v>
      </c>
      <c r="M86" s="22">
        <v>3.7474499474441345E-10</v>
      </c>
      <c r="N86" s="22">
        <v>1.5138343635743257E-7</v>
      </c>
      <c r="O86" s="22">
        <v>3.0276687271486514E-9</v>
      </c>
      <c r="P86" s="22">
        <v>2.535887325682339E-4</v>
      </c>
      <c r="Q86" s="22">
        <v>5.0717746513646781E-6</v>
      </c>
      <c r="R86" s="22">
        <v>5.6008356875116929E-8</v>
      </c>
      <c r="S86" s="22">
        <v>1.1201671375023386E-9</v>
      </c>
      <c r="T86" s="22">
        <v>7.3629829260328064E-9</v>
      </c>
      <c r="U86" s="22">
        <v>2.2088948778098417E-10</v>
      </c>
    </row>
    <row r="87" spans="1:21">
      <c r="A87" s="22" t="s">
        <v>208</v>
      </c>
      <c r="B87" s="22" t="s">
        <v>209</v>
      </c>
      <c r="C87" s="32" t="s">
        <v>274</v>
      </c>
      <c r="D87" s="33">
        <v>42468</v>
      </c>
      <c r="F87" s="24">
        <v>0</v>
      </c>
      <c r="G87" s="22">
        <f t="shared" si="1"/>
        <v>1609.7560975609756</v>
      </c>
      <c r="H87" s="25">
        <v>5</v>
      </c>
      <c r="I87" s="22">
        <v>0.1</v>
      </c>
      <c r="J87" s="22">
        <v>0.5</v>
      </c>
      <c r="K87" s="22">
        <v>0</v>
      </c>
      <c r="L87" s="22">
        <v>3.7350400096565934E-8</v>
      </c>
      <c r="M87" s="22">
        <v>3.7350400096565937E-10</v>
      </c>
      <c r="N87" s="22">
        <v>1.503973072866198E-7</v>
      </c>
      <c r="O87" s="22">
        <v>3.0079461457323959E-9</v>
      </c>
      <c r="P87" s="22">
        <v>2.541555226828724E-4</v>
      </c>
      <c r="Q87" s="22">
        <v>5.0831104536574485E-6</v>
      </c>
      <c r="R87" s="22">
        <v>5.6259479799439322E-8</v>
      </c>
      <c r="S87" s="22">
        <v>1.1251895959887866E-9</v>
      </c>
      <c r="T87" s="22">
        <v>7.4823155162565889E-9</v>
      </c>
      <c r="U87" s="22">
        <v>2.2446946548769767E-10</v>
      </c>
    </row>
    <row r="88" spans="1:21">
      <c r="A88" s="22" t="s">
        <v>208</v>
      </c>
      <c r="B88" s="22" t="s">
        <v>209</v>
      </c>
      <c r="C88" s="32" t="s">
        <v>275</v>
      </c>
      <c r="D88" s="33">
        <v>42468</v>
      </c>
      <c r="F88" s="24">
        <v>0</v>
      </c>
      <c r="G88" s="22">
        <f t="shared" si="1"/>
        <v>1609.7560975609756</v>
      </c>
      <c r="H88" s="25">
        <v>5</v>
      </c>
      <c r="I88" s="22">
        <v>0.1</v>
      </c>
      <c r="J88" s="22">
        <v>0.5</v>
      </c>
      <c r="K88" s="22">
        <v>0</v>
      </c>
      <c r="L88" s="22">
        <v>3.8204008883841345E-8</v>
      </c>
      <c r="M88" s="22">
        <v>3.8204008883841347E-10</v>
      </c>
      <c r="N88" s="22">
        <v>1.5249236082501583E-7</v>
      </c>
      <c r="O88" s="22">
        <v>3.0498472165003165E-9</v>
      </c>
      <c r="P88" s="22">
        <v>2.5271189162325101E-4</v>
      </c>
      <c r="Q88" s="22">
        <v>5.0542378324650201E-6</v>
      </c>
      <c r="R88" s="22">
        <v>5.6071058749533749E-8</v>
      </c>
      <c r="S88" s="22">
        <v>1.121421174990675E-9</v>
      </c>
      <c r="T88" s="22">
        <v>7.4494332448379018E-9</v>
      </c>
      <c r="U88" s="22">
        <v>2.2348299734513706E-10</v>
      </c>
    </row>
    <row r="89" spans="1:21">
      <c r="A89" s="22" t="s">
        <v>208</v>
      </c>
      <c r="B89" s="22" t="s">
        <v>209</v>
      </c>
      <c r="C89" s="32" t="s">
        <v>260</v>
      </c>
      <c r="D89" s="33">
        <v>42468</v>
      </c>
      <c r="F89" s="24">
        <v>0</v>
      </c>
      <c r="G89" s="22">
        <f t="shared" si="1"/>
        <v>1609.7560975609756</v>
      </c>
      <c r="H89" s="25">
        <v>5</v>
      </c>
      <c r="I89" s="22">
        <v>0.1</v>
      </c>
      <c r="J89" s="22">
        <v>0.5</v>
      </c>
      <c r="K89" s="22">
        <v>0</v>
      </c>
      <c r="L89" s="22">
        <v>3.7217774382072386E-8</v>
      </c>
      <c r="M89" s="22">
        <v>3.7217774382072384E-10</v>
      </c>
      <c r="N89" s="22">
        <v>1.5446827710469566E-7</v>
      </c>
      <c r="O89" s="22">
        <v>3.089365542093913E-9</v>
      </c>
      <c r="P89" s="22">
        <v>2.5370664137199677E-4</v>
      </c>
      <c r="Q89" s="22">
        <v>5.0741328274399354E-6</v>
      </c>
      <c r="R89" s="22">
        <v>5.5996879947704527E-8</v>
      </c>
      <c r="S89" s="22">
        <v>1.1199375989540905E-9</v>
      </c>
      <c r="T89" s="22">
        <v>7.8412431291177322E-9</v>
      </c>
      <c r="U89" s="22">
        <v>2.3523729387353195E-10</v>
      </c>
    </row>
    <row r="90" spans="1:21">
      <c r="A90" s="22" t="s">
        <v>208</v>
      </c>
      <c r="B90" s="22" t="s">
        <v>209</v>
      </c>
      <c r="C90" s="32" t="s">
        <v>276</v>
      </c>
      <c r="D90" s="33">
        <v>42468</v>
      </c>
      <c r="F90" s="24">
        <v>0</v>
      </c>
      <c r="G90" s="22">
        <f t="shared" si="1"/>
        <v>1609.7560975609756</v>
      </c>
      <c r="H90" s="25">
        <v>5</v>
      </c>
      <c r="I90" s="22">
        <v>0.1</v>
      </c>
      <c r="J90" s="22">
        <v>0.5</v>
      </c>
      <c r="K90" s="22">
        <v>0</v>
      </c>
      <c r="L90" s="22">
        <v>3.7303783608282743E-8</v>
      </c>
      <c r="M90" s="22">
        <v>3.7303783608282746E-10</v>
      </c>
      <c r="N90" s="22">
        <v>1.5046699338096278E-7</v>
      </c>
      <c r="O90" s="22">
        <v>3.0093398676192554E-9</v>
      </c>
      <c r="P90" s="22">
        <v>2.4942907054947345E-4</v>
      </c>
      <c r="Q90" s="22">
        <v>4.9885814109894693E-6</v>
      </c>
      <c r="R90" s="22">
        <v>5.6552149663874494E-8</v>
      </c>
      <c r="S90" s="22">
        <v>1.1310429932774899E-9</v>
      </c>
      <c r="T90" s="22">
        <v>7.6387698254772365E-9</v>
      </c>
      <c r="U90" s="22">
        <v>2.2916309476431709E-10</v>
      </c>
    </row>
    <row r="91" spans="1:21">
      <c r="A91" s="22" t="s">
        <v>208</v>
      </c>
      <c r="B91" s="22" t="s">
        <v>209</v>
      </c>
      <c r="C91" s="32" t="s">
        <v>277</v>
      </c>
      <c r="D91" s="33">
        <v>42468</v>
      </c>
      <c r="F91" s="24">
        <v>0</v>
      </c>
      <c r="G91" s="22">
        <f t="shared" si="1"/>
        <v>1609.7560975609756</v>
      </c>
      <c r="H91" s="25">
        <v>5</v>
      </c>
      <c r="I91" s="22">
        <v>0.1</v>
      </c>
      <c r="J91" s="22">
        <v>0.5</v>
      </c>
      <c r="K91" s="22">
        <v>0</v>
      </c>
      <c r="L91" s="22">
        <v>3.778101014214125E-8</v>
      </c>
      <c r="M91" s="22">
        <v>3.7781010142141253E-10</v>
      </c>
      <c r="N91" s="22">
        <v>1.5242763990054E-7</v>
      </c>
      <c r="O91" s="22">
        <v>3.0485527980108E-9</v>
      </c>
      <c r="P91" s="22">
        <v>2.5297545305030025E-4</v>
      </c>
      <c r="Q91" s="22">
        <v>5.0595090610060048E-6</v>
      </c>
      <c r="R91" s="22">
        <v>5.6370152656793215E-8</v>
      </c>
      <c r="S91" s="22">
        <v>1.1274030531358642E-9</v>
      </c>
      <c r="T91" s="22">
        <v>7.7073513154485809E-9</v>
      </c>
      <c r="U91" s="22">
        <v>2.3122053946345742E-10</v>
      </c>
    </row>
    <row r="92" spans="1:21">
      <c r="A92" s="22" t="s">
        <v>208</v>
      </c>
      <c r="B92" s="22" t="s">
        <v>209</v>
      </c>
      <c r="C92" s="32" t="s">
        <v>278</v>
      </c>
      <c r="D92" s="33">
        <v>42468</v>
      </c>
      <c r="F92" s="24">
        <v>0</v>
      </c>
      <c r="G92" s="22">
        <f t="shared" si="1"/>
        <v>1609.7560975609756</v>
      </c>
      <c r="H92" s="25">
        <v>5</v>
      </c>
      <c r="I92" s="22">
        <v>0.1</v>
      </c>
      <c r="J92" s="22">
        <v>0.5</v>
      </c>
      <c r="K92" s="22">
        <v>0</v>
      </c>
      <c r="L92" s="22">
        <v>3.7849216099464875E-8</v>
      </c>
      <c r="M92" s="22">
        <v>3.7849216099464877E-10</v>
      </c>
      <c r="N92" s="22">
        <v>1.5393125891280562E-7</v>
      </c>
      <c r="O92" s="22">
        <v>3.0786251782561124E-9</v>
      </c>
      <c r="P92" s="22">
        <v>2.5415898078568117E-4</v>
      </c>
      <c r="Q92" s="22">
        <v>5.0831796157136237E-6</v>
      </c>
      <c r="R92" s="22">
        <v>5.6502534109727801E-8</v>
      </c>
      <c r="S92" s="22">
        <v>1.130050682194556E-9</v>
      </c>
      <c r="T92" s="22">
        <v>7.5893318773131962E-9</v>
      </c>
      <c r="U92" s="22">
        <v>2.2767995631939587E-10</v>
      </c>
    </row>
    <row r="93" spans="1:21">
      <c r="A93" s="22" t="s">
        <v>208</v>
      </c>
      <c r="B93" s="22" t="s">
        <v>209</v>
      </c>
      <c r="C93" s="32" t="s">
        <v>279</v>
      </c>
      <c r="D93" s="33">
        <v>42744</v>
      </c>
      <c r="F93" s="24">
        <v>0</v>
      </c>
      <c r="G93" s="22">
        <f t="shared" si="1"/>
        <v>1609.7560975609756</v>
      </c>
      <c r="H93" s="25">
        <v>5</v>
      </c>
      <c r="I93" s="22">
        <v>0.1</v>
      </c>
      <c r="J93" s="22">
        <v>0.5</v>
      </c>
      <c r="K93" s="22">
        <v>0</v>
      </c>
      <c r="L93" s="22">
        <v>3.6910226735554819E-8</v>
      </c>
      <c r="M93" s="22">
        <v>3.6910226735554817E-10</v>
      </c>
      <c r="N93" s="22">
        <v>1.4645909725676542E-7</v>
      </c>
      <c r="O93" s="22">
        <v>2.9291819451353084E-9</v>
      </c>
      <c r="P93" s="22">
        <v>2.5841972214869937E-4</v>
      </c>
      <c r="Q93" s="22">
        <v>5.1683944429739874E-6</v>
      </c>
      <c r="R93" s="22">
        <v>5.4607270765450116E-8</v>
      </c>
      <c r="S93" s="22">
        <v>1.0921454153090024E-9</v>
      </c>
      <c r="T93" s="22">
        <v>7.1643657535093572E-9</v>
      </c>
      <c r="U93" s="22">
        <v>2.149309726052807E-10</v>
      </c>
    </row>
    <row r="94" spans="1:21">
      <c r="A94" s="22" t="s">
        <v>208</v>
      </c>
      <c r="B94" s="22" t="s">
        <v>209</v>
      </c>
      <c r="C94" s="32" t="s">
        <v>280</v>
      </c>
      <c r="D94" s="33">
        <v>42744</v>
      </c>
      <c r="F94" s="24">
        <v>0</v>
      </c>
      <c r="G94" s="22">
        <f t="shared" si="1"/>
        <v>1609.7560975609756</v>
      </c>
      <c r="H94" s="25">
        <v>5</v>
      </c>
      <c r="I94" s="22">
        <v>0.1</v>
      </c>
      <c r="J94" s="22">
        <v>0.5</v>
      </c>
      <c r="K94" s="22">
        <v>0</v>
      </c>
      <c r="L94" s="22">
        <v>3.6725384150877535E-8</v>
      </c>
      <c r="M94" s="22">
        <v>3.6725384150877536E-10</v>
      </c>
      <c r="N94" s="22">
        <v>1.4556311949784751E-7</v>
      </c>
      <c r="O94" s="22">
        <v>2.91126238995695E-9</v>
      </c>
      <c r="P94" s="22">
        <v>2.4597577719073885E-4</v>
      </c>
      <c r="Q94" s="22">
        <v>4.9195155438147773E-6</v>
      </c>
      <c r="R94" s="22">
        <v>5.5255711642654378E-8</v>
      </c>
      <c r="S94" s="22">
        <v>1.1051142328530875E-9</v>
      </c>
      <c r="T94" s="22">
        <v>7.0972822456320343E-9</v>
      </c>
      <c r="U94" s="22">
        <v>2.1291846736896102E-10</v>
      </c>
    </row>
    <row r="95" spans="1:21">
      <c r="A95" s="22" t="s">
        <v>208</v>
      </c>
      <c r="B95" s="22" t="s">
        <v>209</v>
      </c>
      <c r="C95" s="32" t="s">
        <v>281</v>
      </c>
      <c r="D95" s="33">
        <v>42744</v>
      </c>
      <c r="F95" s="24">
        <v>0</v>
      </c>
      <c r="G95" s="22">
        <f t="shared" si="1"/>
        <v>1609.7560975609756</v>
      </c>
      <c r="H95" s="25">
        <v>5</v>
      </c>
      <c r="I95" s="22">
        <v>0.1</v>
      </c>
      <c r="J95" s="22">
        <v>0.5</v>
      </c>
      <c r="K95" s="22">
        <v>0</v>
      </c>
      <c r="L95" s="22">
        <v>3.6988631257852333E-8</v>
      </c>
      <c r="M95" s="22">
        <v>3.6988631257852334E-10</v>
      </c>
      <c r="N95" s="22">
        <v>1.4684333735648794E-7</v>
      </c>
      <c r="O95" s="22">
        <v>2.9368667471297588E-9</v>
      </c>
      <c r="P95" s="22">
        <v>2.4989969334560672E-4</v>
      </c>
      <c r="Q95" s="22">
        <v>4.9979938669121349E-6</v>
      </c>
      <c r="R95" s="22">
        <v>5.559744930097116E-8</v>
      </c>
      <c r="S95" s="22">
        <v>1.1119489860194232E-9</v>
      </c>
      <c r="T95" s="22">
        <v>7.4870346830145035E-9</v>
      </c>
      <c r="U95" s="22">
        <v>2.2461104049043509E-10</v>
      </c>
    </row>
    <row r="96" spans="1:21">
      <c r="A96" s="22" t="s">
        <v>208</v>
      </c>
      <c r="B96" s="22" t="s">
        <v>209</v>
      </c>
      <c r="C96" s="32" t="s">
        <v>282</v>
      </c>
      <c r="D96" s="33">
        <v>42744</v>
      </c>
      <c r="F96" s="24">
        <v>0</v>
      </c>
      <c r="G96" s="22">
        <f t="shared" si="1"/>
        <v>1609.7560975609756</v>
      </c>
      <c r="H96" s="25">
        <v>5</v>
      </c>
      <c r="I96" s="22">
        <v>0.1</v>
      </c>
      <c r="J96" s="22">
        <v>0.5</v>
      </c>
      <c r="K96" s="22">
        <v>0</v>
      </c>
      <c r="L96" s="22">
        <v>3.6992381445317749E-8</v>
      </c>
      <c r="M96" s="22">
        <v>3.6992381445317751E-10</v>
      </c>
      <c r="N96" s="22">
        <v>1.4649313953102808E-7</v>
      </c>
      <c r="O96" s="22">
        <v>2.9298627906205615E-9</v>
      </c>
      <c r="P96" s="22">
        <v>2.5148363999555416E-4</v>
      </c>
      <c r="Q96" s="22">
        <v>5.0296727999110835E-6</v>
      </c>
      <c r="R96" s="22">
        <v>5.73059652697347E-8</v>
      </c>
      <c r="S96" s="22">
        <v>1.1461193053946941E-9</v>
      </c>
      <c r="T96" s="22">
        <v>7.8529050065740481E-9</v>
      </c>
      <c r="U96" s="22">
        <v>2.3558715019722145E-10</v>
      </c>
    </row>
    <row r="97" spans="1:21">
      <c r="A97" s="22" t="s">
        <v>208</v>
      </c>
      <c r="B97" s="22" t="s">
        <v>209</v>
      </c>
      <c r="C97" s="32" t="s">
        <v>283</v>
      </c>
      <c r="D97" s="33">
        <v>42744</v>
      </c>
      <c r="F97" s="24">
        <v>0</v>
      </c>
      <c r="G97" s="22">
        <f t="shared" si="1"/>
        <v>1609.7560975609756</v>
      </c>
      <c r="H97" s="25">
        <v>5</v>
      </c>
      <c r="I97" s="22">
        <v>0.1</v>
      </c>
      <c r="J97" s="22">
        <v>0.5</v>
      </c>
      <c r="K97" s="22">
        <v>0</v>
      </c>
      <c r="L97" s="22">
        <v>3.6406800692473593E-8</v>
      </c>
      <c r="M97" s="22">
        <v>3.6406800692473593E-10</v>
      </c>
      <c r="N97" s="22">
        <v>1.4747058122888519E-7</v>
      </c>
      <c r="O97" s="22">
        <v>2.9494116245777038E-9</v>
      </c>
      <c r="P97" s="22">
        <v>2.4627707685911113E-4</v>
      </c>
      <c r="Q97" s="22">
        <v>4.9255415371822229E-6</v>
      </c>
      <c r="R97" s="22">
        <v>5.5077068550273068E-8</v>
      </c>
      <c r="S97" s="22">
        <v>1.1015413710054614E-9</v>
      </c>
      <c r="T97" s="22">
        <v>7.5595198934799808E-9</v>
      </c>
      <c r="U97" s="22">
        <v>2.267855968043994E-10</v>
      </c>
    </row>
    <row r="98" spans="1:21">
      <c r="A98" s="22" t="s">
        <v>208</v>
      </c>
      <c r="B98" s="22" t="s">
        <v>209</v>
      </c>
      <c r="C98" s="32" t="s">
        <v>284</v>
      </c>
      <c r="D98" s="33">
        <v>42744</v>
      </c>
      <c r="F98" s="24">
        <v>0</v>
      </c>
      <c r="G98" s="22">
        <f t="shared" si="1"/>
        <v>1609.7560975609756</v>
      </c>
      <c r="H98" s="25">
        <v>5</v>
      </c>
      <c r="I98" s="22">
        <v>0.1</v>
      </c>
      <c r="J98" s="22">
        <v>0.5</v>
      </c>
      <c r="K98" s="22">
        <v>0</v>
      </c>
      <c r="L98" s="22">
        <v>3.726545875105132E-8</v>
      </c>
      <c r="M98" s="22">
        <v>3.7265458751051322E-10</v>
      </c>
      <c r="N98" s="22">
        <v>1.4524074626798918E-7</v>
      </c>
      <c r="O98" s="22">
        <v>2.9048149253597838E-9</v>
      </c>
      <c r="P98" s="22">
        <v>2.5004155958568795E-4</v>
      </c>
      <c r="Q98" s="22">
        <v>5.0008311917137589E-6</v>
      </c>
      <c r="R98" s="22">
        <v>5.5668732773509509E-8</v>
      </c>
      <c r="S98" s="22">
        <v>1.1133746554701901E-9</v>
      </c>
      <c r="T98" s="22">
        <v>7.5936539534749673E-9</v>
      </c>
      <c r="U98" s="22">
        <v>2.2780961860424901E-10</v>
      </c>
    </row>
    <row r="99" spans="1:21">
      <c r="A99" s="22" t="s">
        <v>208</v>
      </c>
      <c r="B99" s="22" t="s">
        <v>209</v>
      </c>
      <c r="C99" s="32" t="s">
        <v>285</v>
      </c>
      <c r="D99" s="33">
        <v>42744</v>
      </c>
      <c r="F99" s="24">
        <v>0</v>
      </c>
      <c r="G99" s="22">
        <f t="shared" si="1"/>
        <v>1609.7560975609756</v>
      </c>
      <c r="H99" s="25">
        <v>5</v>
      </c>
      <c r="I99" s="22">
        <v>0.1</v>
      </c>
      <c r="J99" s="22">
        <v>0.5</v>
      </c>
      <c r="K99" s="22">
        <v>0</v>
      </c>
      <c r="L99" s="22">
        <v>3.6882528860146746E-8</v>
      </c>
      <c r="M99" s="22">
        <v>3.6882528860146745E-10</v>
      </c>
      <c r="N99" s="22">
        <v>1.460473988016054E-7</v>
      </c>
      <c r="O99" s="22">
        <v>2.9209479760321081E-9</v>
      </c>
      <c r="P99" s="22">
        <v>2.4769743378298643E-4</v>
      </c>
      <c r="Q99" s="22">
        <v>4.9539486756597283E-6</v>
      </c>
      <c r="R99" s="22">
        <v>5.6124238398966967E-8</v>
      </c>
      <c r="S99" s="22">
        <v>1.1224847679793394E-9</v>
      </c>
      <c r="T99" s="22">
        <v>7.6154022640951699E-9</v>
      </c>
      <c r="U99" s="22">
        <v>2.2846206792285508E-10</v>
      </c>
    </row>
    <row r="100" spans="1:21">
      <c r="A100" s="22" t="s">
        <v>208</v>
      </c>
      <c r="B100" s="22" t="s">
        <v>209</v>
      </c>
      <c r="C100" s="32" t="s">
        <v>286</v>
      </c>
      <c r="D100" s="33">
        <v>42744</v>
      </c>
      <c r="F100" s="24">
        <v>0</v>
      </c>
      <c r="G100" s="22">
        <f t="shared" si="1"/>
        <v>1609.7560975609756</v>
      </c>
      <c r="H100" s="25">
        <v>5</v>
      </c>
      <c r="I100" s="22">
        <v>0.1</v>
      </c>
      <c r="J100" s="22">
        <v>0.5</v>
      </c>
      <c r="K100" s="22">
        <v>0</v>
      </c>
      <c r="L100" s="22">
        <v>3.6731010938248161E-8</v>
      </c>
      <c r="M100" s="22">
        <v>3.6731010938248162E-10</v>
      </c>
      <c r="N100" s="22">
        <v>1.4726828540103142E-7</v>
      </c>
      <c r="O100" s="22">
        <v>2.9453657080206286E-9</v>
      </c>
      <c r="P100" s="22">
        <v>2.5243936329365506E-4</v>
      </c>
      <c r="Q100" s="22">
        <v>5.0487872658731009E-6</v>
      </c>
      <c r="R100" s="22">
        <v>5.6750839134567887E-8</v>
      </c>
      <c r="S100" s="22">
        <v>1.1350167826913579E-9</v>
      </c>
      <c r="T100" s="22">
        <v>7.7667649486349581E-9</v>
      </c>
      <c r="U100" s="22">
        <v>2.3300294845904873E-10</v>
      </c>
    </row>
    <row r="101" spans="1:21">
      <c r="A101" s="22" t="s">
        <v>208</v>
      </c>
      <c r="B101" s="22" t="s">
        <v>209</v>
      </c>
      <c r="C101" s="32" t="s">
        <v>287</v>
      </c>
      <c r="D101" s="33">
        <v>42744</v>
      </c>
      <c r="F101" s="24">
        <v>0</v>
      </c>
      <c r="G101" s="22">
        <f t="shared" si="1"/>
        <v>1609.7560975609756</v>
      </c>
      <c r="H101" s="25">
        <v>5</v>
      </c>
      <c r="I101" s="22">
        <v>0.1</v>
      </c>
      <c r="J101" s="22">
        <v>0.5</v>
      </c>
      <c r="K101" s="22">
        <v>0</v>
      </c>
      <c r="L101" s="22">
        <v>3.685390036543174E-8</v>
      </c>
      <c r="M101" s="22">
        <v>3.6853900365431742E-10</v>
      </c>
      <c r="N101" s="22">
        <v>1.4689872000974399E-7</v>
      </c>
      <c r="O101" s="22">
        <v>2.9379744001948797E-9</v>
      </c>
      <c r="P101" s="22">
        <v>2.4718778754570015E-4</v>
      </c>
      <c r="Q101" s="22">
        <v>4.9437557509140034E-6</v>
      </c>
      <c r="R101" s="22">
        <v>5.4996583491904533E-8</v>
      </c>
      <c r="S101" s="22">
        <v>1.0999316698380907E-9</v>
      </c>
      <c r="T101" s="22">
        <v>7.4229758723698683E-9</v>
      </c>
      <c r="U101" s="22">
        <v>2.2268927617109603E-10</v>
      </c>
    </row>
    <row r="102" spans="1:21">
      <c r="A102" s="22" t="s">
        <v>208</v>
      </c>
      <c r="B102" s="22" t="s">
        <v>209</v>
      </c>
      <c r="C102" s="32" t="s">
        <v>288</v>
      </c>
      <c r="D102" s="33">
        <v>42744</v>
      </c>
      <c r="F102" s="24">
        <v>0</v>
      </c>
      <c r="G102" s="22">
        <f t="shared" si="1"/>
        <v>1609.7560975609756</v>
      </c>
      <c r="H102" s="25">
        <v>5</v>
      </c>
      <c r="I102" s="22">
        <v>0.1</v>
      </c>
      <c r="J102" s="22">
        <v>0.5</v>
      </c>
      <c r="K102" s="22">
        <v>0</v>
      </c>
      <c r="L102" s="22">
        <v>3.7282560264900908E-8</v>
      </c>
      <c r="M102" s="22">
        <v>3.7282560264900909E-10</v>
      </c>
      <c r="N102" s="22">
        <v>1.4748009597693879E-7</v>
      </c>
      <c r="O102" s="22">
        <v>2.9496019195387758E-9</v>
      </c>
      <c r="P102" s="22">
        <v>2.499804159845327E-4</v>
      </c>
      <c r="Q102" s="22">
        <v>4.9996083196906543E-6</v>
      </c>
      <c r="R102" s="22">
        <v>5.5881855759546104E-8</v>
      </c>
      <c r="S102" s="22">
        <v>1.1176371151909221E-9</v>
      </c>
      <c r="T102" s="22">
        <v>7.7160558693464458E-9</v>
      </c>
      <c r="U102" s="22">
        <v>2.3148167608039337E-10</v>
      </c>
    </row>
    <row r="103" spans="1:21">
      <c r="A103" s="22" t="s">
        <v>208</v>
      </c>
      <c r="B103" s="22" t="s">
        <v>209</v>
      </c>
      <c r="C103" s="32" t="s">
        <v>289</v>
      </c>
      <c r="D103" s="33">
        <v>42744</v>
      </c>
      <c r="F103" s="24">
        <v>0</v>
      </c>
      <c r="G103" s="22">
        <f t="shared" si="1"/>
        <v>1609.7560975609756</v>
      </c>
      <c r="H103" s="25">
        <v>5</v>
      </c>
      <c r="I103" s="22">
        <v>0.1</v>
      </c>
      <c r="J103" s="22">
        <v>0.5</v>
      </c>
      <c r="K103" s="22">
        <v>0</v>
      </c>
      <c r="L103" s="22">
        <v>3.7062979664093169E-8</v>
      </c>
      <c r="M103" s="22">
        <v>3.706297966409317E-10</v>
      </c>
      <c r="N103" s="22">
        <v>1.4542489209855165E-7</v>
      </c>
      <c r="O103" s="22">
        <v>2.9084978419710332E-9</v>
      </c>
      <c r="P103" s="22">
        <v>2.471614345792326E-4</v>
      </c>
      <c r="Q103" s="22">
        <v>4.9432286915846522E-6</v>
      </c>
      <c r="R103" s="22">
        <v>5.4930649862991082E-8</v>
      </c>
      <c r="S103" s="22">
        <v>1.0986129972598217E-9</v>
      </c>
      <c r="T103" s="22">
        <v>7.4008456126683166E-9</v>
      </c>
      <c r="U103" s="22">
        <v>2.220253683800495E-10</v>
      </c>
    </row>
    <row r="104" spans="1:21">
      <c r="A104" s="22" t="s">
        <v>208</v>
      </c>
      <c r="B104" s="22" t="s">
        <v>209</v>
      </c>
      <c r="C104" s="32" t="s">
        <v>290</v>
      </c>
      <c r="D104" s="33">
        <v>42744</v>
      </c>
      <c r="F104" s="24">
        <v>0</v>
      </c>
      <c r="G104" s="22">
        <f t="shared" si="1"/>
        <v>1609.7560975609756</v>
      </c>
      <c r="H104" s="25">
        <v>5</v>
      </c>
      <c r="I104" s="22">
        <v>0.1</v>
      </c>
      <c r="J104" s="22">
        <v>0.5</v>
      </c>
      <c r="K104" s="22">
        <v>0</v>
      </c>
      <c r="L104" s="22">
        <v>3.7105871328240226E-8</v>
      </c>
      <c r="M104" s="22">
        <v>3.7105871328240229E-10</v>
      </c>
      <c r="N104" s="22">
        <v>1.4546429562683762E-7</v>
      </c>
      <c r="O104" s="22">
        <v>2.9092859125367526E-9</v>
      </c>
      <c r="P104" s="22">
        <v>2.46527932486714E-4</v>
      </c>
      <c r="Q104" s="22">
        <v>4.9305586497342803E-6</v>
      </c>
      <c r="R104" s="22">
        <v>5.5485989355917485E-8</v>
      </c>
      <c r="S104" s="22">
        <v>1.6645796806775245E-9</v>
      </c>
      <c r="T104" s="22">
        <v>7.4680567476960391E-9</v>
      </c>
      <c r="U104" s="22">
        <v>2.2404170243088117E-10</v>
      </c>
    </row>
    <row r="105" spans="1:21">
      <c r="A105" s="22" t="s">
        <v>208</v>
      </c>
      <c r="B105" s="22" t="s">
        <v>209</v>
      </c>
      <c r="C105" s="32" t="s">
        <v>291</v>
      </c>
      <c r="D105" s="33">
        <v>42744</v>
      </c>
      <c r="F105" s="24">
        <v>0</v>
      </c>
      <c r="G105" s="22">
        <f t="shared" si="1"/>
        <v>1609.7560975609756</v>
      </c>
      <c r="H105" s="25">
        <v>5</v>
      </c>
      <c r="I105" s="22">
        <v>0.1</v>
      </c>
      <c r="J105" s="22">
        <v>0.5</v>
      </c>
      <c r="K105" s="22">
        <v>0</v>
      </c>
      <c r="L105" s="22">
        <v>3.7096745967710472E-8</v>
      </c>
      <c r="M105" s="22">
        <v>3.7096745967710474E-10</v>
      </c>
      <c r="N105" s="22">
        <v>1.4398275859936046E-7</v>
      </c>
      <c r="O105" s="22">
        <v>2.8796551719872093E-9</v>
      </c>
      <c r="P105" s="22">
        <v>2.48017705271234E-4</v>
      </c>
      <c r="Q105" s="22">
        <v>4.9603541054246801E-6</v>
      </c>
      <c r="R105" s="22">
        <v>5.5939577970493383E-8</v>
      </c>
      <c r="S105" s="22">
        <v>1.1187915594098678E-9</v>
      </c>
      <c r="T105" s="22">
        <v>7.6679739228315526E-9</v>
      </c>
      <c r="U105" s="22">
        <v>2.3003921768494657E-10</v>
      </c>
    </row>
    <row r="106" spans="1:21">
      <c r="A106" s="22" t="s">
        <v>208</v>
      </c>
      <c r="B106" s="22" t="s">
        <v>209</v>
      </c>
      <c r="C106" s="32" t="s">
        <v>292</v>
      </c>
      <c r="D106" s="33">
        <v>42744</v>
      </c>
      <c r="F106" s="24">
        <v>0</v>
      </c>
      <c r="G106" s="22">
        <f t="shared" si="1"/>
        <v>1609.7560975609756</v>
      </c>
      <c r="H106" s="25">
        <v>5</v>
      </c>
      <c r="I106" s="22">
        <v>0.1</v>
      </c>
      <c r="J106" s="22">
        <v>0.5</v>
      </c>
      <c r="K106" s="22">
        <v>0</v>
      </c>
      <c r="L106" s="22">
        <v>3.7105871328240226E-8</v>
      </c>
      <c r="M106" s="22">
        <v>3.7105871328240229E-10</v>
      </c>
      <c r="N106" s="22">
        <v>1.4546429562683762E-7</v>
      </c>
      <c r="O106" s="22">
        <v>2.9092859125367526E-9</v>
      </c>
      <c r="P106" s="22">
        <v>2.46527932486714E-4</v>
      </c>
      <c r="Q106" s="22">
        <v>4.9305586497342803E-6</v>
      </c>
      <c r="R106" s="22">
        <v>5.5485989355917485E-8</v>
      </c>
      <c r="S106" s="22">
        <v>1.6645796806775245E-9</v>
      </c>
      <c r="T106" s="22">
        <v>7.4680567476960391E-9</v>
      </c>
      <c r="U106" s="22">
        <v>2.2404170243088117E-10</v>
      </c>
    </row>
    <row r="107" spans="1:21">
      <c r="A107" s="22" t="s">
        <v>208</v>
      </c>
      <c r="B107" s="22" t="s">
        <v>209</v>
      </c>
      <c r="C107" s="32" t="s">
        <v>293</v>
      </c>
      <c r="D107" s="33">
        <v>42744</v>
      </c>
      <c r="F107" s="24">
        <v>0</v>
      </c>
      <c r="G107" s="22">
        <f t="shared" si="1"/>
        <v>1609.7560975609756</v>
      </c>
      <c r="H107" s="25">
        <v>5</v>
      </c>
      <c r="I107" s="22">
        <v>0.1</v>
      </c>
      <c r="J107" s="22">
        <v>0.5</v>
      </c>
      <c r="K107" s="22">
        <v>0</v>
      </c>
      <c r="L107" s="22">
        <v>3.7082512071132052E-8</v>
      </c>
      <c r="M107" s="22">
        <v>3.7082512071132055E-10</v>
      </c>
      <c r="N107" s="22">
        <v>1.4388823518545826E-7</v>
      </c>
      <c r="O107" s="22">
        <v>2.8777647037091652E-9</v>
      </c>
      <c r="P107" s="22">
        <v>2.4765347623629348E-4</v>
      </c>
      <c r="Q107" s="22">
        <v>4.95306952472587E-6</v>
      </c>
      <c r="R107" s="22">
        <v>5.4593480436327296E-8</v>
      </c>
      <c r="S107" s="22">
        <v>1.0918696087265459E-9</v>
      </c>
      <c r="T107" s="22">
        <v>7.3441135013894261E-9</v>
      </c>
      <c r="U107" s="22">
        <v>2.2032340504168278E-10</v>
      </c>
    </row>
    <row r="108" spans="1:21">
      <c r="A108" s="22" t="s">
        <v>208</v>
      </c>
      <c r="B108" s="22" t="s">
        <v>209</v>
      </c>
      <c r="C108" s="32" t="s">
        <v>248</v>
      </c>
      <c r="D108" s="33">
        <v>42744</v>
      </c>
      <c r="F108" s="24">
        <v>0</v>
      </c>
      <c r="G108" s="22">
        <f t="shared" si="1"/>
        <v>1609.7560975609756</v>
      </c>
      <c r="H108" s="25">
        <v>5</v>
      </c>
      <c r="I108" s="22">
        <v>0.1</v>
      </c>
      <c r="J108" s="22">
        <v>0.5</v>
      </c>
      <c r="K108" s="22">
        <v>0</v>
      </c>
      <c r="L108" s="22">
        <v>3.6561719713754914E-8</v>
      </c>
      <c r="M108" s="22">
        <v>3.6561719713754915E-10</v>
      </c>
      <c r="N108" s="22">
        <v>1.4890272935677461E-7</v>
      </c>
      <c r="O108" s="22">
        <v>2.9780545871354922E-9</v>
      </c>
      <c r="P108" s="22">
        <v>2.4796970493301957E-4</v>
      </c>
      <c r="Q108" s="22">
        <v>4.9593940986603917E-6</v>
      </c>
      <c r="R108" s="22">
        <v>5.5004481414184935E-8</v>
      </c>
      <c r="S108" s="22">
        <v>1.1000896282836987E-9</v>
      </c>
      <c r="T108" s="22">
        <v>7.3866283987122312E-9</v>
      </c>
      <c r="U108" s="22">
        <v>2.2159885196136692E-10</v>
      </c>
    </row>
    <row r="109" spans="1:21">
      <c r="A109" s="22" t="s">
        <v>208</v>
      </c>
      <c r="B109" s="22" t="s">
        <v>209</v>
      </c>
      <c r="C109" s="32" t="s">
        <v>241</v>
      </c>
      <c r="D109" s="33">
        <v>42849</v>
      </c>
      <c r="F109" s="24">
        <v>0</v>
      </c>
      <c r="G109" s="22">
        <f t="shared" si="1"/>
        <v>1609.7560975609756</v>
      </c>
      <c r="H109" s="25">
        <v>5</v>
      </c>
      <c r="I109" s="22">
        <v>0.1</v>
      </c>
      <c r="J109" s="22">
        <v>0.5</v>
      </c>
      <c r="K109" s="22">
        <v>0</v>
      </c>
      <c r="L109" s="22">
        <v>3.5876623742616099E-8</v>
      </c>
      <c r="M109" s="22">
        <v>2.9394683967872635E-10</v>
      </c>
      <c r="N109" s="22">
        <v>1.4700639166729716E-7</v>
      </c>
      <c r="O109" s="22">
        <v>2.9401278333459434E-9</v>
      </c>
      <c r="P109" s="22">
        <v>2.5190665291939074E-4</v>
      </c>
      <c r="Q109" s="22">
        <v>5.0381330583878153E-6</v>
      </c>
      <c r="R109" s="22">
        <v>5.7230649433910523E-8</v>
      </c>
      <c r="S109" s="22">
        <v>1.7169194830173157E-9</v>
      </c>
      <c r="T109" s="22">
        <v>8.0363724535409836E-9</v>
      </c>
      <c r="U109" s="22">
        <v>2.4291260507560293E-10</v>
      </c>
    </row>
    <row r="110" spans="1:21">
      <c r="A110" s="22" t="s">
        <v>208</v>
      </c>
      <c r="B110" s="22" t="s">
        <v>209</v>
      </c>
      <c r="C110" s="32" t="s">
        <v>249</v>
      </c>
      <c r="D110" s="33">
        <v>42849</v>
      </c>
      <c r="F110" s="24">
        <v>0</v>
      </c>
      <c r="G110" s="22">
        <f t="shared" si="1"/>
        <v>1609.7560975609756</v>
      </c>
      <c r="H110" s="25">
        <v>5</v>
      </c>
      <c r="I110" s="22">
        <v>0.1</v>
      </c>
      <c r="J110" s="22">
        <v>0.5</v>
      </c>
      <c r="K110" s="22">
        <v>0</v>
      </c>
      <c r="L110" s="22">
        <v>3.573818873142621E-8</v>
      </c>
      <c r="M110" s="22">
        <v>3.4517991751101736E-10</v>
      </c>
      <c r="N110" s="22">
        <v>1.5092752174334383E-7</v>
      </c>
      <c r="O110" s="22">
        <v>3.0185504348668765E-9</v>
      </c>
      <c r="P110" s="22">
        <v>2.4937428435848068E-4</v>
      </c>
      <c r="Q110" s="22">
        <v>4.9874856871696136E-6</v>
      </c>
      <c r="R110" s="22">
        <v>5.5684363079316652E-8</v>
      </c>
      <c r="S110" s="22">
        <v>1.6705308923794994E-9</v>
      </c>
      <c r="T110" s="22">
        <v>7.5727613888040486E-9</v>
      </c>
      <c r="U110" s="22">
        <v>2.2718284166412146E-10</v>
      </c>
    </row>
    <row r="111" spans="1:21">
      <c r="A111" s="22" t="s">
        <v>208</v>
      </c>
      <c r="B111" s="22" t="s">
        <v>209</v>
      </c>
      <c r="C111" s="32" t="s">
        <v>283</v>
      </c>
      <c r="D111" s="33">
        <v>42849</v>
      </c>
      <c r="F111" s="24">
        <v>0</v>
      </c>
      <c r="G111" s="22">
        <f t="shared" si="1"/>
        <v>1609.7560975609756</v>
      </c>
      <c r="H111" s="25">
        <v>5</v>
      </c>
      <c r="I111" s="22">
        <v>0.1</v>
      </c>
      <c r="J111" s="22">
        <v>0.5</v>
      </c>
      <c r="K111" s="22">
        <v>0</v>
      </c>
      <c r="L111" s="22">
        <v>3.6128405158535072E-8</v>
      </c>
      <c r="M111" s="22">
        <v>4.8098706766111672E-10</v>
      </c>
      <c r="N111" s="22">
        <v>1.4487368009574697E-7</v>
      </c>
      <c r="O111" s="22">
        <v>2.8974736019149395E-9</v>
      </c>
      <c r="P111" s="22">
        <v>2.5019720613164476E-4</v>
      </c>
      <c r="Q111" s="22">
        <v>5.0039441226328956E-6</v>
      </c>
      <c r="R111" s="22">
        <v>5.7367554144329026E-8</v>
      </c>
      <c r="S111" s="22">
        <v>1.7210266243298708E-9</v>
      </c>
      <c r="T111" s="22">
        <v>8.0265694077562358E-9</v>
      </c>
      <c r="U111" s="22">
        <v>2.4079708223268709E-10</v>
      </c>
    </row>
    <row r="112" spans="1:21">
      <c r="A112" s="22" t="s">
        <v>208</v>
      </c>
      <c r="B112" s="22" t="s">
        <v>209</v>
      </c>
      <c r="C112" s="32" t="s">
        <v>294</v>
      </c>
      <c r="D112" s="33">
        <v>42849</v>
      </c>
      <c r="F112" s="24">
        <v>0</v>
      </c>
      <c r="G112" s="22">
        <f t="shared" si="1"/>
        <v>1609.7560975609756</v>
      </c>
      <c r="H112" s="25">
        <v>5</v>
      </c>
      <c r="I112" s="22">
        <v>0.1</v>
      </c>
      <c r="J112" s="22">
        <v>0.5</v>
      </c>
      <c r="K112" s="22">
        <v>0</v>
      </c>
      <c r="L112" s="22">
        <v>3.698134388795993E-8</v>
      </c>
      <c r="M112" s="22">
        <v>3.6981343887959933E-10</v>
      </c>
      <c r="N112" s="22">
        <v>1.4620753944409077E-7</v>
      </c>
      <c r="O112" s="22">
        <v>2.9241507888818157E-9</v>
      </c>
      <c r="P112" s="22">
        <v>2.5007212307873015E-4</v>
      </c>
      <c r="Q112" s="22">
        <v>5.0014424615746033E-6</v>
      </c>
      <c r="R112" s="22">
        <v>5.7388425067140765E-8</v>
      </c>
      <c r="S112" s="22">
        <v>1.7216527520142228E-9</v>
      </c>
      <c r="T112" s="22">
        <v>7.7279664190736308E-9</v>
      </c>
      <c r="U112" s="22">
        <v>2.3183899257220892E-10</v>
      </c>
    </row>
    <row r="113" spans="1:21">
      <c r="A113" s="22" t="s">
        <v>208</v>
      </c>
      <c r="B113" s="22" t="s">
        <v>209</v>
      </c>
      <c r="C113" s="32" t="s">
        <v>295</v>
      </c>
      <c r="D113" s="33">
        <v>42849</v>
      </c>
      <c r="F113" s="24">
        <v>0</v>
      </c>
      <c r="G113" s="22">
        <f t="shared" si="1"/>
        <v>1609.7560975609756</v>
      </c>
      <c r="H113" s="25">
        <v>5</v>
      </c>
      <c r="I113" s="22">
        <v>0.1</v>
      </c>
      <c r="J113" s="22">
        <v>0.5</v>
      </c>
      <c r="K113" s="22">
        <v>0</v>
      </c>
      <c r="L113" s="22">
        <v>3.5803215069548934E-8</v>
      </c>
      <c r="M113" s="22">
        <v>4.7665772550921309E-10</v>
      </c>
      <c r="N113" s="22">
        <v>1.4488840009789339E-7</v>
      </c>
      <c r="O113" s="22">
        <v>2.8977680019578676E-9</v>
      </c>
      <c r="P113" s="22">
        <v>2.5040005258309311E-4</v>
      </c>
      <c r="Q113" s="22">
        <v>5.0080010516618621E-6</v>
      </c>
      <c r="R113" s="22">
        <v>5.7403103559171557E-8</v>
      </c>
      <c r="S113" s="22">
        <v>1.7220931067751466E-9</v>
      </c>
      <c r="T113" s="22">
        <v>7.8972794505993007E-9</v>
      </c>
      <c r="U113" s="22">
        <v>2.36918383517979E-10</v>
      </c>
    </row>
    <row r="114" spans="1:21">
      <c r="A114" s="22" t="s">
        <v>208</v>
      </c>
      <c r="B114" s="22" t="s">
        <v>209</v>
      </c>
      <c r="C114" s="32" t="s">
        <v>296</v>
      </c>
      <c r="D114" s="33">
        <v>42849</v>
      </c>
      <c r="F114" s="24">
        <v>0</v>
      </c>
      <c r="G114" s="22">
        <f t="shared" si="1"/>
        <v>1609.7560975609756</v>
      </c>
      <c r="H114" s="25">
        <v>5</v>
      </c>
      <c r="I114" s="22">
        <v>0.1</v>
      </c>
      <c r="J114" s="22">
        <v>0.5</v>
      </c>
      <c r="K114" s="22">
        <v>0</v>
      </c>
      <c r="L114" s="22">
        <v>3.6162883821991322E-8</v>
      </c>
      <c r="M114" s="22">
        <v>3.9187715250125517E-10</v>
      </c>
      <c r="N114" s="22">
        <v>1.483433672588682E-7</v>
      </c>
      <c r="O114" s="22">
        <v>2.9668673451773642E-9</v>
      </c>
      <c r="P114" s="22">
        <v>2.5442231156360442E-4</v>
      </c>
      <c r="Q114" s="22">
        <v>5.088446231272089E-6</v>
      </c>
      <c r="R114" s="22">
        <v>5.6222496652305226E-8</v>
      </c>
      <c r="S114" s="22">
        <v>1.6866748995691566E-9</v>
      </c>
      <c r="T114" s="22">
        <v>7.8018847090529498E-9</v>
      </c>
      <c r="U114" s="22">
        <v>2.3405654127158847E-10</v>
      </c>
    </row>
    <row r="115" spans="1:21">
      <c r="A115" s="22" t="s">
        <v>208</v>
      </c>
      <c r="B115" s="22" t="s">
        <v>209</v>
      </c>
      <c r="C115" s="32" t="s">
        <v>297</v>
      </c>
      <c r="D115" s="33">
        <v>42849</v>
      </c>
      <c r="F115" s="24">
        <v>0</v>
      </c>
      <c r="G115" s="22">
        <f t="shared" si="1"/>
        <v>1609.7560975609756</v>
      </c>
      <c r="H115" s="25">
        <v>5</v>
      </c>
      <c r="I115" s="22">
        <v>0.1</v>
      </c>
      <c r="J115" s="22">
        <v>0.5</v>
      </c>
      <c r="K115" s="22">
        <v>0</v>
      </c>
      <c r="L115" s="22">
        <v>3.5777925452665396E-8</v>
      </c>
      <c r="M115" s="22">
        <v>2.7313333872599426E-10</v>
      </c>
      <c r="N115" s="22">
        <v>1.5051192356764162E-7</v>
      </c>
      <c r="O115" s="22">
        <v>5.0545540641867511E-9</v>
      </c>
      <c r="P115" s="22">
        <v>2.4885551675876607E-4</v>
      </c>
      <c r="Q115" s="22">
        <v>4.0133231823806522E-6</v>
      </c>
      <c r="R115" s="22">
        <v>5.7073069335831904E-8</v>
      </c>
      <c r="S115" s="22">
        <v>1.1552867319440558E-9</v>
      </c>
      <c r="T115" s="22">
        <v>7.535572150263666E-9</v>
      </c>
      <c r="U115" s="22">
        <v>2.7183891771207572E-10</v>
      </c>
    </row>
    <row r="116" spans="1:21">
      <c r="A116" s="22" t="s">
        <v>208</v>
      </c>
      <c r="B116" s="22" t="s">
        <v>209</v>
      </c>
      <c r="C116" s="32" t="s">
        <v>253</v>
      </c>
      <c r="D116" s="33">
        <v>42849</v>
      </c>
      <c r="F116" s="24">
        <v>0</v>
      </c>
      <c r="G116" s="22">
        <f t="shared" si="1"/>
        <v>1609.7560975609756</v>
      </c>
      <c r="H116" s="25">
        <v>5</v>
      </c>
      <c r="I116" s="22">
        <v>0.1</v>
      </c>
      <c r="J116" s="22">
        <v>0.5</v>
      </c>
      <c r="K116" s="22">
        <v>0</v>
      </c>
      <c r="L116" s="22">
        <v>3.6176342276375749E-8</v>
      </c>
      <c r="M116" s="22">
        <v>2.7753105734565004E-10</v>
      </c>
      <c r="N116" s="22">
        <v>1.4710902527077958E-7</v>
      </c>
      <c r="O116" s="22">
        <v>2.9421805054155916E-9</v>
      </c>
      <c r="P116" s="22">
        <v>2.5259627543705788E-4</v>
      </c>
      <c r="Q116" s="22">
        <v>5.0519255087411577E-6</v>
      </c>
      <c r="R116" s="22">
        <v>5.622607974334759E-8</v>
      </c>
      <c r="S116" s="22">
        <v>1.6867823923004277E-9</v>
      </c>
      <c r="T116" s="22">
        <v>7.751968705680172E-9</v>
      </c>
      <c r="U116" s="22">
        <v>2.3255906117040514E-10</v>
      </c>
    </row>
    <row r="117" spans="1:21">
      <c r="A117" s="22" t="s">
        <v>208</v>
      </c>
      <c r="B117" s="22" t="s">
        <v>209</v>
      </c>
      <c r="C117" s="32" t="s">
        <v>298</v>
      </c>
      <c r="D117" s="33">
        <v>42849</v>
      </c>
      <c r="F117" s="24">
        <v>0</v>
      </c>
      <c r="G117" s="22">
        <f t="shared" si="1"/>
        <v>1609.7560975609756</v>
      </c>
      <c r="H117" s="25">
        <v>5</v>
      </c>
      <c r="I117" s="22">
        <v>0.1</v>
      </c>
      <c r="J117" s="22">
        <v>0.5</v>
      </c>
      <c r="K117" s="22">
        <v>0</v>
      </c>
      <c r="L117" s="22">
        <v>3.6833641573992762E-8</v>
      </c>
      <c r="M117" s="22">
        <v>3.6833641573992763E-10</v>
      </c>
      <c r="N117" s="22">
        <v>1.4589448408650515E-7</v>
      </c>
      <c r="O117" s="22">
        <v>2.9178896817301032E-9</v>
      </c>
      <c r="P117" s="22">
        <v>2.5407103846617672E-4</v>
      </c>
      <c r="Q117" s="22">
        <v>5.0814207693235348E-6</v>
      </c>
      <c r="R117" s="22">
        <v>5.7374018985775211E-8</v>
      </c>
      <c r="S117" s="22">
        <v>1.1474803797155041E-9</v>
      </c>
      <c r="T117" s="22">
        <v>7.7100051327968271E-9</v>
      </c>
      <c r="U117" s="22">
        <v>2.3130015398390481E-10</v>
      </c>
    </row>
    <row r="118" spans="1:21">
      <c r="A118" s="22" t="s">
        <v>208</v>
      </c>
      <c r="B118" s="22" t="s">
        <v>209</v>
      </c>
      <c r="C118" s="32" t="s">
        <v>299</v>
      </c>
      <c r="D118" s="33">
        <v>43042</v>
      </c>
      <c r="F118" s="24">
        <v>0</v>
      </c>
      <c r="G118" s="22">
        <f t="shared" si="1"/>
        <v>1609.7560975609756</v>
      </c>
      <c r="H118" s="25">
        <v>5</v>
      </c>
      <c r="I118" s="22">
        <v>0.1</v>
      </c>
      <c r="J118" s="22">
        <v>0.5</v>
      </c>
      <c r="K118" s="22">
        <v>0</v>
      </c>
      <c r="L118" s="22">
        <v>3.5620744185186439E-8</v>
      </c>
      <c r="M118" s="22">
        <v>3.8600228538128379E-10</v>
      </c>
      <c r="N118" s="22">
        <v>1.4936671000761998E-7</v>
      </c>
      <c r="O118" s="22">
        <v>2.9873342001523997E-9</v>
      </c>
      <c r="P118" s="22">
        <v>2.4844429718106367E-4</v>
      </c>
      <c r="Q118" s="22">
        <v>4.9688859436212736E-6</v>
      </c>
      <c r="R118" s="22">
        <v>5.4715700650339789E-8</v>
      </c>
      <c r="S118" s="22">
        <v>1.6414710195101936E-9</v>
      </c>
      <c r="T118" s="22">
        <v>7.5546000041061448E-9</v>
      </c>
      <c r="U118" s="22">
        <v>2.2663800012318435E-10</v>
      </c>
    </row>
    <row r="119" spans="1:21">
      <c r="A119" s="22" t="s">
        <v>208</v>
      </c>
      <c r="B119" s="22" t="s">
        <v>209</v>
      </c>
      <c r="C119" s="32" t="s">
        <v>300</v>
      </c>
      <c r="D119" s="33">
        <v>43042</v>
      </c>
      <c r="F119" s="24">
        <v>0</v>
      </c>
      <c r="G119" s="22">
        <f t="shared" si="1"/>
        <v>1609.7560975609756</v>
      </c>
      <c r="H119" s="25">
        <v>5</v>
      </c>
      <c r="I119" s="22">
        <v>0.1</v>
      </c>
      <c r="J119" s="22">
        <v>0.5</v>
      </c>
      <c r="K119" s="22">
        <v>0</v>
      </c>
      <c r="L119" s="22">
        <v>3.8363688231145953E-8</v>
      </c>
      <c r="M119" s="22">
        <v>4.1572605153588513E-10</v>
      </c>
      <c r="N119" s="22">
        <v>1.4857331477989806E-7</v>
      </c>
      <c r="O119" s="22">
        <v>2.9714662955979614E-9</v>
      </c>
      <c r="P119" s="22">
        <v>2.4972156069645682E-4</v>
      </c>
      <c r="Q119" s="22">
        <v>4.9944312139291363E-6</v>
      </c>
      <c r="R119" s="22">
        <v>5.6091550378526278E-8</v>
      </c>
      <c r="S119" s="22">
        <v>1.6827465113557883E-9</v>
      </c>
      <c r="T119" s="22">
        <v>7.8271496097633229E-9</v>
      </c>
      <c r="U119" s="22">
        <v>2.3481448829289969E-10</v>
      </c>
    </row>
    <row r="120" spans="1:21">
      <c r="A120" s="22" t="s">
        <v>208</v>
      </c>
      <c r="B120" s="22" t="s">
        <v>209</v>
      </c>
      <c r="C120" s="32" t="s">
        <v>297</v>
      </c>
      <c r="D120" s="33">
        <v>43042</v>
      </c>
      <c r="F120" s="24">
        <v>0</v>
      </c>
      <c r="G120" s="22">
        <f t="shared" si="1"/>
        <v>1609.7560975609756</v>
      </c>
      <c r="H120" s="25">
        <v>5</v>
      </c>
      <c r="I120" s="22">
        <v>0.1</v>
      </c>
      <c r="J120" s="22">
        <v>0.5</v>
      </c>
      <c r="K120" s="22">
        <v>0</v>
      </c>
      <c r="L120" s="22">
        <v>3.7316922808474781E-8</v>
      </c>
      <c r="M120" s="22">
        <v>4.0438283413120183E-10</v>
      </c>
      <c r="N120" s="22">
        <v>1.498093476211709E-7</v>
      </c>
      <c r="O120" s="22">
        <v>2.996186952423418E-9</v>
      </c>
      <c r="P120" s="22">
        <v>2.5239853627264996E-4</v>
      </c>
      <c r="Q120" s="22">
        <v>5.0479707254529994E-6</v>
      </c>
      <c r="R120" s="22">
        <v>5.5789282658148777E-8</v>
      </c>
      <c r="S120" s="22">
        <v>1.6736784797444632E-9</v>
      </c>
      <c r="T120" s="22">
        <v>7.5856427989063691E-9</v>
      </c>
      <c r="U120" s="22">
        <v>2.2756928396719107E-10</v>
      </c>
    </row>
    <row r="121" spans="1:21">
      <c r="A121" s="22" t="s">
        <v>208</v>
      </c>
      <c r="B121" s="22" t="s">
        <v>209</v>
      </c>
      <c r="C121" s="32" t="s">
        <v>227</v>
      </c>
      <c r="D121" s="33">
        <v>43066</v>
      </c>
      <c r="F121" s="24">
        <v>0</v>
      </c>
      <c r="G121" s="22">
        <f t="shared" si="1"/>
        <v>1609.7560975609756</v>
      </c>
      <c r="H121" s="25">
        <v>5</v>
      </c>
      <c r="I121" s="22">
        <v>0.1</v>
      </c>
      <c r="J121" s="22">
        <v>0.5</v>
      </c>
      <c r="K121" s="22">
        <v>0</v>
      </c>
      <c r="L121" s="22">
        <v>3.6411630837431078E-8</v>
      </c>
      <c r="M121" s="22">
        <v>2.4854043410619958E-10</v>
      </c>
      <c r="N121" s="22">
        <v>1.5002727769674129E-7</v>
      </c>
      <c r="O121" s="22">
        <v>3.000545553934826E-9</v>
      </c>
      <c r="P121" s="22">
        <v>2.5274360211651771E-4</v>
      </c>
      <c r="Q121" s="22">
        <v>5.0548720423303544E-6</v>
      </c>
      <c r="R121" s="22">
        <v>5.6771824346164853E-8</v>
      </c>
      <c r="S121" s="22">
        <v>1.7031547303849455E-9</v>
      </c>
      <c r="T121" s="22">
        <v>7.9245597736723996E-9</v>
      </c>
      <c r="U121" s="22">
        <v>2.3773679321017196E-10</v>
      </c>
    </row>
    <row r="122" spans="1:21">
      <c r="A122" s="22" t="s">
        <v>208</v>
      </c>
      <c r="B122" s="22" t="s">
        <v>209</v>
      </c>
      <c r="C122" s="32" t="s">
        <v>243</v>
      </c>
      <c r="D122" s="33">
        <v>43066</v>
      </c>
      <c r="F122" s="24">
        <v>0</v>
      </c>
      <c r="G122" s="22">
        <f t="shared" si="1"/>
        <v>1609.7560975609756</v>
      </c>
      <c r="H122" s="25">
        <v>5</v>
      </c>
      <c r="I122" s="22">
        <v>0.1</v>
      </c>
      <c r="J122" s="22">
        <v>0.5</v>
      </c>
      <c r="K122" s="22">
        <v>0</v>
      </c>
      <c r="L122" s="22">
        <v>3.6179795913180689E-8</v>
      </c>
      <c r="M122" s="22">
        <v>2.2841522145632858E-10</v>
      </c>
      <c r="N122" s="22">
        <v>1.5064726192155361E-7</v>
      </c>
      <c r="O122" s="22">
        <v>3.0129452384310724E-9</v>
      </c>
      <c r="P122" s="22">
        <v>2.545816620265006E-4</v>
      </c>
      <c r="Q122" s="22">
        <v>5.0916332405300122E-6</v>
      </c>
      <c r="R122" s="22">
        <v>5.7460881569695195E-8</v>
      </c>
      <c r="S122" s="22">
        <v>1.7238264470908558E-9</v>
      </c>
      <c r="T122" s="22">
        <v>8.0511703061062524E-9</v>
      </c>
      <c r="U122" s="22">
        <v>2.4153510918318759E-10</v>
      </c>
    </row>
    <row r="123" spans="1:21">
      <c r="A123" s="22" t="s">
        <v>208</v>
      </c>
      <c r="B123" s="22" t="s">
        <v>209</v>
      </c>
      <c r="C123" s="32" t="s">
        <v>210</v>
      </c>
      <c r="D123" s="33">
        <v>43066</v>
      </c>
      <c r="F123" s="24">
        <v>0</v>
      </c>
      <c r="G123" s="22">
        <f t="shared" si="1"/>
        <v>1609.7560975609756</v>
      </c>
      <c r="H123" s="25">
        <v>5</v>
      </c>
      <c r="I123" s="22">
        <v>0.1</v>
      </c>
      <c r="J123" s="22">
        <v>0.5</v>
      </c>
      <c r="K123" s="22">
        <v>0</v>
      </c>
      <c r="L123" s="22">
        <v>3.5918066208911437E-8</v>
      </c>
      <c r="M123" s="22">
        <v>3.6618890576723611E-10</v>
      </c>
      <c r="N123" s="22">
        <v>1.4993856928167522E-7</v>
      </c>
      <c r="O123" s="22">
        <v>3.3907771298858561E-9</v>
      </c>
      <c r="P123" s="22">
        <v>2.5394124878283915E-4</v>
      </c>
      <c r="Q123" s="22">
        <v>5.0788249756567835E-6</v>
      </c>
      <c r="R123" s="22">
        <v>5.7466027398976373E-8</v>
      </c>
      <c r="S123" s="22">
        <v>1.723980821969291E-9</v>
      </c>
      <c r="T123" s="22">
        <v>8.0422287001821702E-9</v>
      </c>
      <c r="U123" s="22">
        <v>3.0191298463628104E-10</v>
      </c>
    </row>
    <row r="124" spans="1:21">
      <c r="A124" s="22" t="s">
        <v>208</v>
      </c>
      <c r="B124" s="22" t="s">
        <v>209</v>
      </c>
      <c r="C124" s="32" t="s">
        <v>301</v>
      </c>
      <c r="D124" s="33">
        <v>43066</v>
      </c>
      <c r="F124" s="24">
        <v>0</v>
      </c>
      <c r="G124" s="22">
        <f t="shared" si="1"/>
        <v>1609.7560975609756</v>
      </c>
      <c r="H124" s="25">
        <v>5</v>
      </c>
      <c r="I124" s="22">
        <v>0.1</v>
      </c>
      <c r="J124" s="22">
        <v>0.5</v>
      </c>
      <c r="K124" s="22">
        <v>0</v>
      </c>
      <c r="L124" s="22">
        <v>3.6456191738941766E-8</v>
      </c>
      <c r="M124" s="22">
        <v>3.7167515878155706E-10</v>
      </c>
      <c r="N124" s="22">
        <v>1.4899315774041069E-7</v>
      </c>
      <c r="O124" s="22">
        <v>3.3693971750963201E-9</v>
      </c>
      <c r="P124" s="22">
        <v>2.5303170516447854E-4</v>
      </c>
      <c r="Q124" s="22">
        <v>5.0606341032895709E-6</v>
      </c>
      <c r="R124" s="22">
        <v>5.7828680218308308E-8</v>
      </c>
      <c r="S124" s="22">
        <v>1.7348604065492491E-9</v>
      </c>
      <c r="T124" s="22">
        <v>8.0382574851178329E-9</v>
      </c>
      <c r="U124" s="22">
        <v>3.0176390141104533E-10</v>
      </c>
    </row>
    <row r="125" spans="1:21">
      <c r="A125" s="22" t="s">
        <v>302</v>
      </c>
      <c r="B125" s="22" t="s">
        <v>303</v>
      </c>
      <c r="C125" s="22" t="s">
        <v>304</v>
      </c>
      <c r="D125" s="23">
        <v>38504</v>
      </c>
      <c r="F125" s="22">
        <v>34.200000000000003</v>
      </c>
      <c r="G125" s="22">
        <v>0</v>
      </c>
      <c r="H125" s="25">
        <v>5</v>
      </c>
      <c r="I125" s="22">
        <v>0.1</v>
      </c>
      <c r="J125" s="22">
        <v>0.5</v>
      </c>
      <c r="K125" s="22">
        <v>0</v>
      </c>
      <c r="L125" s="22">
        <v>4.1900000000000005E-8</v>
      </c>
      <c r="M125" s="22">
        <v>1.3000000000000001E-9</v>
      </c>
      <c r="N125" s="22">
        <v>1.7849999999999999E-7</v>
      </c>
      <c r="O125" s="22">
        <v>2.1000000000000002E-9</v>
      </c>
      <c r="P125" s="22">
        <v>3.725E-4</v>
      </c>
      <c r="Q125" s="22">
        <v>3.3000000000000002E-6</v>
      </c>
      <c r="R125" s="22">
        <v>9.057000000000001E-8</v>
      </c>
      <c r="S125" s="22">
        <v>9.8000000000000013E-10</v>
      </c>
      <c r="T125" s="22">
        <v>1.405E-8</v>
      </c>
      <c r="U125" s="31">
        <v>4.0000000000000001E-10</v>
      </c>
    </row>
    <row r="126" spans="1:21">
      <c r="A126" s="22" t="s">
        <v>302</v>
      </c>
      <c r="B126" s="22" t="s">
        <v>303</v>
      </c>
      <c r="C126" s="22" t="s">
        <v>305</v>
      </c>
      <c r="D126" s="23">
        <v>38504</v>
      </c>
      <c r="F126" s="22">
        <v>34.200000000000003</v>
      </c>
      <c r="G126" s="22">
        <v>0</v>
      </c>
      <c r="H126" s="25">
        <v>5</v>
      </c>
      <c r="I126" s="22">
        <v>0.1</v>
      </c>
      <c r="J126" s="22">
        <v>0.5</v>
      </c>
      <c r="K126" s="22">
        <v>0</v>
      </c>
      <c r="L126" s="22">
        <v>3.9700000000000005E-8</v>
      </c>
      <c r="M126" s="22">
        <v>1.3000000000000001E-9</v>
      </c>
      <c r="N126" s="22">
        <v>1.7199999999999998E-7</v>
      </c>
      <c r="O126" s="22">
        <v>2.1000000000000002E-9</v>
      </c>
      <c r="P126" s="22">
        <v>3.392E-4</v>
      </c>
      <c r="Q126" s="22">
        <v>3.0000000000000001E-6</v>
      </c>
      <c r="R126" s="22">
        <v>7.6410000000000007E-8</v>
      </c>
      <c r="S126" s="22">
        <v>7.9000000000000006E-10</v>
      </c>
      <c r="T126" s="22">
        <v>1.1679999999999999E-8</v>
      </c>
      <c r="U126" s="22">
        <v>1.7000000000000001E-10</v>
      </c>
    </row>
    <row r="127" spans="1:21">
      <c r="A127" s="22" t="s">
        <v>302</v>
      </c>
      <c r="B127" s="22" t="s">
        <v>303</v>
      </c>
      <c r="C127" s="22" t="s">
        <v>306</v>
      </c>
      <c r="D127" s="23">
        <v>38504</v>
      </c>
      <c r="F127" s="22">
        <v>34.200000000000003</v>
      </c>
      <c r="G127" s="22">
        <v>0</v>
      </c>
      <c r="H127" s="25">
        <v>5</v>
      </c>
      <c r="I127" s="22">
        <v>0.1</v>
      </c>
      <c r="J127" s="22">
        <v>0.5</v>
      </c>
      <c r="K127" s="22">
        <v>0</v>
      </c>
      <c r="L127" s="22">
        <v>3.8100000000000004E-8</v>
      </c>
      <c r="M127" s="22">
        <v>7.0000000000000006E-10</v>
      </c>
      <c r="N127" s="22">
        <v>1.6399999999999999E-7</v>
      </c>
      <c r="O127" s="22">
        <v>1.9000000000000001E-9</v>
      </c>
      <c r="P127" s="22">
        <v>3.0289999999999999E-4</v>
      </c>
      <c r="Q127" s="22">
        <v>2.7E-6</v>
      </c>
      <c r="R127" s="22">
        <v>7.2040000000000002E-8</v>
      </c>
      <c r="S127" s="22">
        <v>7.2999999999999996E-10</v>
      </c>
      <c r="T127" s="22">
        <v>9.7399999999999999E-9</v>
      </c>
      <c r="U127" s="22">
        <v>2.1000000000000002E-10</v>
      </c>
    </row>
    <row r="128" spans="1:21">
      <c r="A128" s="22" t="s">
        <v>302</v>
      </c>
      <c r="B128" s="22" t="s">
        <v>303</v>
      </c>
      <c r="C128" s="22" t="s">
        <v>307</v>
      </c>
      <c r="D128" s="23">
        <v>38504</v>
      </c>
      <c r="F128" s="22">
        <v>34.200000000000003</v>
      </c>
      <c r="G128" s="22">
        <v>0</v>
      </c>
      <c r="H128" s="25">
        <v>5</v>
      </c>
      <c r="I128" s="22">
        <v>0.1</v>
      </c>
      <c r="J128" s="22">
        <v>0.5</v>
      </c>
      <c r="K128" s="22">
        <v>0</v>
      </c>
      <c r="L128" s="22">
        <v>3.7400000000000004E-8</v>
      </c>
      <c r="M128" s="22">
        <v>8.9999999999999999E-10</v>
      </c>
      <c r="N128" s="22">
        <v>1.5869999999999999E-7</v>
      </c>
      <c r="O128" s="22">
        <v>1.7000000000000001E-9</v>
      </c>
      <c r="P128" s="22">
        <v>2.721E-4</v>
      </c>
      <c r="Q128" s="22">
        <v>2.4000000000000003E-6</v>
      </c>
      <c r="R128" s="22">
        <v>6.2960000000000003E-8</v>
      </c>
      <c r="S128" s="22">
        <v>6.4000000000000006E-10</v>
      </c>
      <c r="T128" s="22">
        <v>8.5199999999999995E-9</v>
      </c>
      <c r="U128" s="22">
        <v>2.5999999999999998E-10</v>
      </c>
    </row>
    <row r="129" spans="1:26">
      <c r="A129" s="22" t="s">
        <v>302</v>
      </c>
      <c r="B129" s="22" t="s">
        <v>303</v>
      </c>
      <c r="C129" s="22" t="s">
        <v>308</v>
      </c>
      <c r="D129" s="23">
        <v>38504</v>
      </c>
      <c r="F129" s="22">
        <v>34.200000000000003</v>
      </c>
      <c r="G129" s="22">
        <v>0</v>
      </c>
      <c r="H129" s="25">
        <v>5</v>
      </c>
      <c r="I129" s="22">
        <v>0.1</v>
      </c>
      <c r="J129" s="22">
        <v>0.5</v>
      </c>
      <c r="K129" s="22">
        <v>0</v>
      </c>
      <c r="L129" s="22">
        <v>3.8299999999999999E-8</v>
      </c>
      <c r="M129" s="22">
        <v>4.0000000000000001E-10</v>
      </c>
      <c r="N129" s="22">
        <v>1.6019999999999999E-7</v>
      </c>
      <c r="O129" s="22">
        <v>1.7000000000000001E-9</v>
      </c>
      <c r="P129" s="22">
        <v>2.653E-4</v>
      </c>
      <c r="Q129" s="22">
        <v>2.3E-6</v>
      </c>
      <c r="R129" s="22">
        <v>6.0769999999999994E-8</v>
      </c>
      <c r="S129" s="22">
        <v>6.0999999999999996E-10</v>
      </c>
      <c r="T129" s="22">
        <v>7.980000000000001E-9</v>
      </c>
      <c r="U129" s="22">
        <v>1.4000000000000001E-10</v>
      </c>
    </row>
    <row r="130" spans="1:26">
      <c r="A130" s="22" t="s">
        <v>302</v>
      </c>
      <c r="B130" s="22" t="s">
        <v>303</v>
      </c>
      <c r="C130" s="22" t="s">
        <v>309</v>
      </c>
      <c r="D130" s="23">
        <v>38504</v>
      </c>
      <c r="F130" s="22">
        <v>34.200000000000003</v>
      </c>
      <c r="G130" s="22">
        <v>0</v>
      </c>
      <c r="H130" s="25">
        <v>5</v>
      </c>
      <c r="I130" s="22">
        <v>0.1</v>
      </c>
      <c r="J130" s="22">
        <v>0.5</v>
      </c>
      <c r="K130" s="22">
        <v>0</v>
      </c>
      <c r="L130" s="22">
        <v>3.84E-8</v>
      </c>
      <c r="M130" s="22">
        <v>1.0000000000000001E-9</v>
      </c>
      <c r="N130" s="22">
        <v>1.539E-7</v>
      </c>
      <c r="O130" s="22">
        <v>2.4E-9</v>
      </c>
      <c r="P130" s="22">
        <v>2.4560000000000001E-4</v>
      </c>
      <c r="Q130" s="22">
        <v>2.2000000000000001E-6</v>
      </c>
      <c r="R130" s="22">
        <v>5.1929999999999996E-8</v>
      </c>
      <c r="S130" s="22">
        <v>5.3000000000000003E-10</v>
      </c>
      <c r="T130" s="22">
        <v>6.8999999999999997E-9</v>
      </c>
      <c r="U130" s="22">
        <v>1.8999999999999999E-10</v>
      </c>
    </row>
    <row r="131" spans="1:26">
      <c r="A131" s="22" t="s">
        <v>302</v>
      </c>
      <c r="B131" s="22" t="s">
        <v>303</v>
      </c>
      <c r="C131" s="22" t="s">
        <v>310</v>
      </c>
      <c r="D131" s="23">
        <v>38504</v>
      </c>
      <c r="F131" s="22">
        <v>34.200000000000003</v>
      </c>
      <c r="G131" s="22">
        <v>0</v>
      </c>
      <c r="H131" s="25">
        <v>5</v>
      </c>
      <c r="I131" s="22">
        <v>0.1</v>
      </c>
      <c r="J131" s="22">
        <v>0.5</v>
      </c>
      <c r="K131" s="22">
        <v>0</v>
      </c>
      <c r="L131" s="22">
        <v>3.8500000000000001E-8</v>
      </c>
      <c r="M131" s="22">
        <v>1.8E-9</v>
      </c>
      <c r="N131" s="22">
        <v>1.5529999999999999E-7</v>
      </c>
      <c r="O131" s="22">
        <v>1.4999999999999998E-9</v>
      </c>
      <c r="P131" s="22">
        <v>2.3550000000000001E-4</v>
      </c>
      <c r="Q131" s="22">
        <v>2.1000000000000002E-6</v>
      </c>
      <c r="R131" s="22">
        <v>4.8669999999999998E-8</v>
      </c>
      <c r="S131" s="22">
        <v>4.9000000000000007E-10</v>
      </c>
      <c r="T131" s="22">
        <v>6.4000000000000002E-9</v>
      </c>
      <c r="U131" s="22">
        <v>8.9999999999999999E-11</v>
      </c>
    </row>
    <row r="132" spans="1:26">
      <c r="A132" s="22" t="s">
        <v>302</v>
      </c>
      <c r="B132" s="22" t="s">
        <v>303</v>
      </c>
      <c r="C132" s="22" t="s">
        <v>311</v>
      </c>
      <c r="D132" s="23">
        <v>38504</v>
      </c>
      <c r="F132" s="22">
        <v>34.200000000000003</v>
      </c>
      <c r="G132" s="22">
        <v>0</v>
      </c>
      <c r="H132" s="25">
        <v>5</v>
      </c>
      <c r="I132" s="22">
        <v>0.1</v>
      </c>
      <c r="J132" s="22">
        <v>0.5</v>
      </c>
      <c r="K132" s="22">
        <v>0</v>
      </c>
      <c r="L132" s="22">
        <v>3.7400000000000004E-8</v>
      </c>
      <c r="M132" s="22">
        <v>1.3000000000000001E-9</v>
      </c>
      <c r="N132" s="22">
        <v>1.4639999999999999E-7</v>
      </c>
      <c r="O132" s="22">
        <v>2.7999999999999998E-9</v>
      </c>
      <c r="P132" s="22">
        <v>2.1580000000000001E-4</v>
      </c>
      <c r="Q132" s="22">
        <v>2.0000000000000003E-6</v>
      </c>
      <c r="R132" s="22">
        <v>4.4109999999999996E-8</v>
      </c>
      <c r="S132" s="22">
        <v>5.0000000000000003E-10</v>
      </c>
      <c r="T132" s="22">
        <v>5.6999999999999998E-9</v>
      </c>
      <c r="U132" s="22">
        <v>1.2E-10</v>
      </c>
    </row>
    <row r="133" spans="1:26">
      <c r="A133" s="26"/>
      <c r="B133" s="28"/>
      <c r="C133" s="27"/>
      <c r="D133" s="27"/>
      <c r="E133" s="26"/>
      <c r="F133" s="26"/>
      <c r="G133" s="26"/>
      <c r="H133" s="28"/>
      <c r="I133" s="22"/>
      <c r="J133" s="22"/>
      <c r="K133" s="22"/>
      <c r="L133" s="22"/>
      <c r="M133" s="22"/>
      <c r="N133" s="29"/>
      <c r="O133" s="29"/>
      <c r="P133" s="26"/>
      <c r="Q133" s="22"/>
      <c r="R133" s="30"/>
      <c r="S133" s="22"/>
      <c r="T133" s="22"/>
      <c r="U133" s="29"/>
      <c r="Z133" s="24"/>
    </row>
    <row r="134" spans="1:26">
      <c r="A134" s="26"/>
      <c r="B134" s="28"/>
      <c r="C134" s="27"/>
      <c r="D134" s="27"/>
      <c r="E134" s="26"/>
      <c r="F134" s="26"/>
      <c r="G134" s="26"/>
      <c r="H134" s="28"/>
      <c r="I134" s="22"/>
      <c r="J134" s="22"/>
      <c r="K134" s="22"/>
      <c r="L134" s="22"/>
      <c r="M134" s="22"/>
      <c r="N134" s="29"/>
      <c r="O134" s="29"/>
      <c r="P134" s="26"/>
      <c r="Q134" s="22"/>
      <c r="R134" s="30"/>
      <c r="S134" s="22"/>
      <c r="T134" s="22"/>
      <c r="U134" s="29"/>
      <c r="Z134" s="24"/>
    </row>
    <row r="135" spans="1:26">
      <c r="A135" s="26"/>
      <c r="B135" s="28"/>
      <c r="C135" s="27"/>
      <c r="D135" s="27"/>
      <c r="E135" s="26"/>
      <c r="F135" s="26"/>
      <c r="G135" s="26"/>
      <c r="H135" s="28"/>
      <c r="I135" s="22"/>
      <c r="J135" s="22"/>
      <c r="K135" s="22"/>
      <c r="L135" s="22"/>
      <c r="M135" s="22"/>
      <c r="N135" s="29"/>
      <c r="O135" s="29"/>
      <c r="P135" s="26"/>
      <c r="Q135" s="22"/>
      <c r="R135" s="30"/>
      <c r="S135" s="22"/>
      <c r="T135" s="22"/>
      <c r="U135" s="29"/>
      <c r="Z135" s="24"/>
    </row>
    <row r="136" spans="1:26">
      <c r="A136" s="26"/>
      <c r="B136" s="28"/>
      <c r="C136" s="27"/>
      <c r="D136" s="27"/>
      <c r="E136" s="26"/>
      <c r="F136" s="26"/>
      <c r="G136" s="26"/>
      <c r="H136" s="28"/>
      <c r="I136" s="22"/>
      <c r="J136" s="22"/>
      <c r="K136" s="22"/>
      <c r="L136" s="22"/>
      <c r="M136" s="22"/>
      <c r="N136" s="29"/>
      <c r="O136" s="29"/>
      <c r="P136" s="26"/>
      <c r="Q136" s="22"/>
      <c r="R136" s="30"/>
      <c r="S136" s="22"/>
      <c r="T136" s="22"/>
      <c r="U136" s="29"/>
      <c r="Z136" s="24"/>
    </row>
    <row r="137" spans="1:26">
      <c r="A137" s="26"/>
      <c r="B137" s="28"/>
      <c r="C137" s="27"/>
      <c r="D137" s="27"/>
      <c r="E137" s="26"/>
      <c r="F137" s="26"/>
      <c r="G137" s="26"/>
      <c r="H137" s="28"/>
      <c r="I137" s="22"/>
      <c r="J137" s="22"/>
      <c r="K137" s="22"/>
      <c r="L137" s="22"/>
      <c r="M137" s="22"/>
      <c r="N137" s="29"/>
      <c r="O137" s="29"/>
      <c r="P137" s="26"/>
      <c r="Q137" s="22"/>
      <c r="R137" s="30"/>
      <c r="S137" s="22"/>
      <c r="T137" s="22"/>
      <c r="U137" s="29"/>
      <c r="Z137" s="24"/>
    </row>
    <row r="138" spans="1:26">
      <c r="A138" s="26"/>
      <c r="B138" s="28"/>
      <c r="C138" s="27"/>
      <c r="D138" s="27"/>
      <c r="E138" s="26"/>
      <c r="F138" s="26"/>
      <c r="G138" s="26"/>
      <c r="H138" s="28"/>
      <c r="I138" s="22"/>
      <c r="J138" s="22"/>
      <c r="K138" s="22"/>
      <c r="L138" s="22"/>
      <c r="M138" s="22"/>
      <c r="N138" s="29"/>
      <c r="O138" s="29"/>
      <c r="P138" s="26"/>
      <c r="Q138" s="22"/>
      <c r="R138" s="30"/>
      <c r="S138" s="22"/>
      <c r="T138" s="22"/>
      <c r="U138" s="29"/>
      <c r="Z138" s="24"/>
    </row>
    <row r="139" spans="1:26">
      <c r="A139" s="26"/>
      <c r="B139" s="28"/>
      <c r="C139" s="27"/>
      <c r="D139" s="27"/>
      <c r="E139" s="26"/>
      <c r="F139" s="26"/>
      <c r="G139" s="26"/>
      <c r="H139" s="28"/>
      <c r="I139" s="22"/>
      <c r="J139" s="22"/>
      <c r="K139" s="22"/>
      <c r="L139" s="22"/>
      <c r="M139" s="22"/>
      <c r="N139" s="29"/>
      <c r="O139" s="29"/>
      <c r="P139" s="26"/>
      <c r="Q139" s="22"/>
      <c r="R139" s="30"/>
      <c r="S139" s="22"/>
      <c r="T139" s="22"/>
      <c r="U139" s="29"/>
      <c r="Z139" s="24"/>
    </row>
    <row r="140" spans="1:26">
      <c r="A140" s="26"/>
      <c r="B140" s="28"/>
      <c r="C140" s="27"/>
      <c r="D140" s="27"/>
      <c r="E140" s="26"/>
      <c r="F140" s="26"/>
      <c r="G140" s="26"/>
      <c r="H140" s="28"/>
      <c r="I140" s="22"/>
      <c r="J140" s="22"/>
      <c r="K140" s="22"/>
      <c r="L140" s="22"/>
      <c r="M140" s="22"/>
      <c r="N140" s="29"/>
      <c r="O140" s="29"/>
      <c r="P140" s="26"/>
      <c r="Q140" s="22"/>
      <c r="R140" s="30"/>
      <c r="S140" s="22"/>
      <c r="T140" s="22"/>
      <c r="U140" s="29"/>
      <c r="Z140" s="24"/>
    </row>
    <row r="141" spans="1:26">
      <c r="A141" s="26"/>
      <c r="B141" s="28"/>
      <c r="C141" s="27"/>
      <c r="D141" s="27"/>
      <c r="E141" s="26"/>
      <c r="F141" s="26"/>
      <c r="G141" s="26"/>
      <c r="H141" s="28"/>
      <c r="I141" s="22"/>
      <c r="J141" s="22"/>
      <c r="K141" s="22"/>
      <c r="L141" s="22"/>
      <c r="M141" s="22"/>
      <c r="N141" s="29"/>
      <c r="O141" s="29"/>
      <c r="P141" s="26"/>
      <c r="Q141" s="22"/>
      <c r="R141" s="30"/>
      <c r="S141" s="22"/>
      <c r="T141" s="22"/>
      <c r="U141" s="29"/>
      <c r="Z141" s="24"/>
    </row>
    <row r="142" spans="1:26">
      <c r="A142" s="26"/>
      <c r="B142" s="28"/>
      <c r="C142" s="27"/>
      <c r="D142" s="27"/>
      <c r="E142" s="26"/>
      <c r="F142" s="26"/>
      <c r="G142" s="26"/>
      <c r="H142" s="28"/>
      <c r="I142" s="22"/>
      <c r="J142" s="22"/>
      <c r="K142" s="22"/>
      <c r="L142" s="22"/>
      <c r="M142" s="22"/>
      <c r="N142" s="29"/>
      <c r="O142" s="29"/>
      <c r="P142" s="26"/>
      <c r="Q142" s="22"/>
      <c r="R142" s="30"/>
      <c r="S142" s="22"/>
      <c r="T142" s="22"/>
      <c r="U142" s="29"/>
      <c r="Z142" s="24"/>
    </row>
    <row r="143" spans="1:26">
      <c r="A143" s="26"/>
      <c r="B143" s="28"/>
      <c r="C143" s="27"/>
      <c r="D143" s="27"/>
      <c r="E143" s="26"/>
      <c r="F143" s="26"/>
      <c r="G143" s="26"/>
      <c r="H143" s="28"/>
      <c r="I143" s="22"/>
      <c r="J143" s="22"/>
      <c r="K143" s="22"/>
      <c r="L143" s="22"/>
      <c r="M143" s="22"/>
      <c r="N143" s="29"/>
      <c r="O143" s="29"/>
      <c r="P143" s="26"/>
      <c r="Q143" s="22"/>
      <c r="R143" s="30"/>
      <c r="S143" s="22"/>
      <c r="T143" s="22"/>
      <c r="U143" s="29"/>
    </row>
    <row r="144" spans="1:26">
      <c r="A144" s="26"/>
      <c r="B144" s="28"/>
      <c r="C144" s="27"/>
      <c r="D144" s="27"/>
      <c r="E144" s="26"/>
      <c r="F144" s="26"/>
      <c r="G144" s="26"/>
      <c r="H144" s="28"/>
      <c r="I144" s="22"/>
      <c r="J144" s="22"/>
      <c r="K144" s="22"/>
      <c r="L144" s="22"/>
      <c r="M144" s="22"/>
      <c r="N144" s="29"/>
      <c r="O144" s="29"/>
      <c r="P144" s="26"/>
      <c r="Q144" s="22"/>
      <c r="R144" s="30"/>
      <c r="S144" s="22"/>
      <c r="T144" s="22"/>
      <c r="U144" s="29"/>
    </row>
    <row r="145" spans="1:21">
      <c r="A145" s="26"/>
      <c r="B145" s="28"/>
      <c r="C145" s="27"/>
      <c r="D145" s="27"/>
      <c r="E145" s="26"/>
      <c r="F145" s="26"/>
      <c r="G145" s="26"/>
      <c r="H145" s="28"/>
      <c r="I145" s="22"/>
      <c r="J145" s="22"/>
      <c r="K145" s="22"/>
      <c r="L145" s="22"/>
      <c r="M145" s="22"/>
      <c r="N145" s="29"/>
      <c r="O145" s="29"/>
      <c r="P145" s="26"/>
      <c r="Q145" s="22"/>
      <c r="R145" s="30"/>
      <c r="S145" s="22"/>
      <c r="T145" s="22"/>
      <c r="U145" s="29"/>
    </row>
    <row r="146" spans="1:21">
      <c r="A146" s="26"/>
      <c r="B146" s="28"/>
      <c r="C146" s="27"/>
      <c r="D146" s="27"/>
      <c r="E146" s="26"/>
      <c r="F146" s="26"/>
      <c r="G146" s="26"/>
      <c r="H146" s="28"/>
      <c r="I146" s="22"/>
      <c r="J146" s="22"/>
      <c r="K146" s="22"/>
      <c r="L146" s="22"/>
      <c r="M146" s="22"/>
      <c r="N146" s="29"/>
      <c r="O146" s="29"/>
      <c r="P146" s="26"/>
      <c r="Q146" s="22"/>
      <c r="R146" s="30"/>
      <c r="S146" s="22"/>
      <c r="T146" s="22"/>
      <c r="U146" s="29"/>
    </row>
    <row r="147" spans="1:21">
      <c r="A147" s="26"/>
      <c r="B147" s="28"/>
      <c r="C147" s="27"/>
      <c r="D147" s="27"/>
      <c r="E147" s="26"/>
      <c r="F147" s="26"/>
      <c r="G147" s="26"/>
      <c r="H147" s="28"/>
      <c r="I147" s="22"/>
      <c r="J147" s="22"/>
      <c r="K147" s="22"/>
      <c r="L147" s="22"/>
      <c r="M147" s="22"/>
      <c r="N147" s="29"/>
      <c r="O147" s="29"/>
      <c r="P147" s="26"/>
      <c r="Q147" s="22"/>
      <c r="R147" s="30"/>
      <c r="S147" s="22"/>
      <c r="T147" s="22"/>
      <c r="U147" s="29"/>
    </row>
    <row r="148" spans="1:21">
      <c r="A148" s="26"/>
      <c r="B148" s="28"/>
      <c r="C148" s="27"/>
      <c r="D148" s="27"/>
      <c r="E148" s="26"/>
      <c r="F148" s="26"/>
      <c r="G148" s="26"/>
      <c r="H148" s="28"/>
      <c r="I148" s="22"/>
      <c r="J148" s="22"/>
      <c r="K148" s="22"/>
      <c r="L148" s="22"/>
      <c r="M148" s="22"/>
      <c r="N148" s="29"/>
      <c r="O148" s="29"/>
      <c r="P148" s="26"/>
      <c r="Q148" s="22"/>
      <c r="R148" s="30"/>
      <c r="S148" s="22"/>
      <c r="T148" s="22"/>
      <c r="U148" s="29"/>
    </row>
    <row r="149" spans="1:21">
      <c r="A149" s="26"/>
      <c r="B149" s="28"/>
      <c r="C149" s="27"/>
      <c r="D149" s="27"/>
      <c r="E149" s="26"/>
      <c r="F149" s="26"/>
      <c r="G149" s="26"/>
      <c r="H149" s="28"/>
      <c r="I149" s="22"/>
      <c r="J149" s="22"/>
      <c r="K149" s="22"/>
      <c r="L149" s="22"/>
      <c r="M149" s="22"/>
      <c r="N149" s="29"/>
      <c r="O149" s="29"/>
      <c r="P149" s="26"/>
      <c r="Q149" s="22"/>
      <c r="R149" s="30"/>
      <c r="S149" s="22"/>
      <c r="T149" s="22"/>
      <c r="U149" s="29"/>
    </row>
    <row r="150" spans="1:21">
      <c r="A150" s="26"/>
      <c r="B150" s="28"/>
      <c r="C150" s="27"/>
      <c r="D150" s="27"/>
      <c r="E150" s="26"/>
      <c r="F150" s="26"/>
      <c r="G150" s="26"/>
      <c r="H150" s="28"/>
      <c r="I150" s="22"/>
      <c r="J150" s="22"/>
      <c r="K150" s="22"/>
      <c r="L150" s="22"/>
      <c r="M150" s="22"/>
      <c r="N150" s="29"/>
      <c r="O150" s="29"/>
      <c r="P150" s="26"/>
      <c r="Q150" s="22"/>
      <c r="R150" s="30"/>
      <c r="S150" s="22"/>
      <c r="T150" s="22"/>
      <c r="U150" s="29"/>
    </row>
    <row r="151" spans="1:21">
      <c r="A151" s="26"/>
      <c r="B151" s="28"/>
      <c r="C151" s="27"/>
      <c r="D151" s="27"/>
      <c r="E151" s="26"/>
      <c r="F151" s="26"/>
      <c r="G151" s="26"/>
      <c r="H151" s="28"/>
      <c r="I151" s="22"/>
      <c r="J151" s="22"/>
      <c r="K151" s="22"/>
      <c r="L151" s="22"/>
      <c r="M151" s="22"/>
      <c r="N151" s="29"/>
      <c r="O151" s="29"/>
      <c r="P151" s="26"/>
      <c r="Q151" s="22"/>
      <c r="R151" s="30"/>
      <c r="S151" s="22"/>
      <c r="T151" s="22"/>
      <c r="U151" s="29"/>
    </row>
    <row r="152" spans="1:21">
      <c r="A152" s="26"/>
      <c r="B152" s="28"/>
      <c r="C152" s="27"/>
      <c r="D152" s="27"/>
      <c r="E152" s="26"/>
      <c r="F152" s="26"/>
      <c r="G152" s="26"/>
      <c r="H152" s="28"/>
      <c r="I152" s="22"/>
      <c r="J152" s="22"/>
      <c r="K152" s="22"/>
      <c r="L152" s="22"/>
      <c r="M152" s="22"/>
      <c r="N152" s="29"/>
      <c r="O152" s="29"/>
      <c r="P152" s="26"/>
      <c r="Q152" s="22"/>
      <c r="R152" s="30"/>
      <c r="S152" s="22"/>
      <c r="T152" s="22"/>
      <c r="U152" s="29"/>
    </row>
    <row r="153" spans="1:21">
      <c r="A153" s="26"/>
      <c r="B153" s="28"/>
      <c r="C153" s="27"/>
      <c r="D153" s="27"/>
      <c r="E153" s="26"/>
      <c r="F153" s="26"/>
      <c r="G153" s="26"/>
      <c r="H153" s="28"/>
      <c r="I153" s="22"/>
      <c r="J153" s="22"/>
      <c r="K153" s="22"/>
      <c r="L153" s="22"/>
      <c r="M153" s="22"/>
      <c r="N153" s="29"/>
      <c r="O153" s="29"/>
      <c r="P153" s="26"/>
      <c r="Q153" s="22"/>
      <c r="R153" s="30"/>
      <c r="S153" s="22"/>
      <c r="T153" s="22"/>
      <c r="U153" s="29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6C66AE18-FCA4-4089-B11F-2435AA11E192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70283B03-FD2E-4B7A-8247-891A50D5D488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104"/>
  <sheetViews>
    <sheetView workbookViewId="0">
      <pane ySplit="3" topLeftCell="A4" activePane="bottomLeft" state="frozen"/>
      <selection pane="bottomLeft" activeCell="A4" sqref="A4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1" customWidth="1"/>
    <col min="5" max="5" width="14.6640625" style="21" customWidth="1"/>
    <col min="6" max="15" width="9.33203125" style="21"/>
    <col min="16" max="16" width="15.5" style="21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35" t="s">
        <v>175</v>
      </c>
      <c r="B1" s="35"/>
      <c r="C1" s="35"/>
      <c r="D1" s="35"/>
      <c r="E1" s="36"/>
      <c r="F1" s="37" t="s">
        <v>312</v>
      </c>
      <c r="G1" s="35"/>
      <c r="H1" s="35"/>
      <c r="I1" s="35"/>
      <c r="J1" s="35"/>
      <c r="K1" s="35"/>
      <c r="L1" s="35"/>
      <c r="M1" s="35"/>
      <c r="N1" s="35"/>
      <c r="O1" s="35"/>
      <c r="P1" s="36"/>
      <c r="Q1" s="37" t="s">
        <v>313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</row>
    <row r="2" spans="1:36" ht="29.25">
      <c r="A2" s="60" t="s">
        <v>177</v>
      </c>
      <c r="B2" s="60" t="s">
        <v>314</v>
      </c>
      <c r="C2" s="60" t="s">
        <v>179</v>
      </c>
      <c r="D2" s="60" t="s">
        <v>180</v>
      </c>
      <c r="E2" s="58" t="s">
        <v>181</v>
      </c>
      <c r="F2" s="38" t="s">
        <v>315</v>
      </c>
      <c r="G2" s="39" t="s">
        <v>333</v>
      </c>
      <c r="H2" s="39" t="s">
        <v>316</v>
      </c>
      <c r="I2" s="39" t="s">
        <v>331</v>
      </c>
      <c r="J2" s="39" t="s">
        <v>317</v>
      </c>
      <c r="K2" s="39" t="s">
        <v>332</v>
      </c>
      <c r="L2" s="39" t="s">
        <v>80</v>
      </c>
      <c r="M2" s="39" t="s">
        <v>188</v>
      </c>
      <c r="N2" s="39" t="s">
        <v>90</v>
      </c>
      <c r="O2" s="39" t="s">
        <v>189</v>
      </c>
      <c r="P2" s="58" t="s">
        <v>318</v>
      </c>
      <c r="Q2" s="40" t="s">
        <v>151</v>
      </c>
      <c r="R2" s="40" t="s">
        <v>198</v>
      </c>
      <c r="S2" s="40" t="s">
        <v>156</v>
      </c>
      <c r="T2" s="40" t="s">
        <v>319</v>
      </c>
      <c r="U2" s="40" t="s">
        <v>159</v>
      </c>
      <c r="V2" s="40" t="s">
        <v>320</v>
      </c>
      <c r="W2" s="41" t="s">
        <v>163</v>
      </c>
      <c r="X2" s="41" t="s">
        <v>321</v>
      </c>
      <c r="Y2" s="40" t="s">
        <v>168</v>
      </c>
      <c r="Z2" s="40" t="s">
        <v>322</v>
      </c>
      <c r="AA2" s="40"/>
      <c r="AB2" s="40"/>
      <c r="AC2" s="40"/>
      <c r="AD2" s="40"/>
      <c r="AE2" s="40"/>
      <c r="AF2" s="40"/>
      <c r="AG2" s="40"/>
      <c r="AH2" s="40"/>
      <c r="AI2" s="40"/>
      <c r="AJ2" s="40"/>
    </row>
    <row r="3" spans="1:36" ht="27" thickBot="1">
      <c r="A3" s="61"/>
      <c r="B3" s="61"/>
      <c r="C3" s="61"/>
      <c r="D3" s="61"/>
      <c r="E3" s="59"/>
      <c r="F3" s="42" t="s">
        <v>323</v>
      </c>
      <c r="G3" s="43" t="s">
        <v>323</v>
      </c>
      <c r="H3" s="43" t="s">
        <v>324</v>
      </c>
      <c r="I3" s="43" t="s">
        <v>324</v>
      </c>
      <c r="J3" s="43" t="s">
        <v>325</v>
      </c>
      <c r="K3" s="43" t="s">
        <v>325</v>
      </c>
      <c r="L3" s="43" t="s">
        <v>205</v>
      </c>
      <c r="M3" s="43" t="s">
        <v>205</v>
      </c>
      <c r="N3" s="43" t="s">
        <v>205</v>
      </c>
      <c r="O3" s="43" t="s">
        <v>205</v>
      </c>
      <c r="P3" s="59"/>
      <c r="Q3" s="44" t="s">
        <v>326</v>
      </c>
      <c r="R3" s="45"/>
      <c r="S3" s="45" t="s">
        <v>326</v>
      </c>
      <c r="T3" s="45"/>
      <c r="U3" s="45" t="s">
        <v>326</v>
      </c>
      <c r="V3" s="45"/>
      <c r="W3" s="46" t="s">
        <v>327</v>
      </c>
      <c r="X3" s="46"/>
      <c r="Y3" s="45" t="s">
        <v>326</v>
      </c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</row>
    <row r="4" spans="1:36">
      <c r="D4" s="34"/>
      <c r="F4" s="2"/>
    </row>
    <row r="5" spans="1:36">
      <c r="D5" s="34"/>
      <c r="F5" s="2"/>
    </row>
    <row r="6" spans="1:36">
      <c r="D6" s="34"/>
      <c r="F6" s="2"/>
    </row>
    <row r="7" spans="1:36">
      <c r="D7" s="34"/>
    </row>
    <row r="8" spans="1:36">
      <c r="D8" s="34"/>
      <c r="F8" s="2"/>
    </row>
    <row r="9" spans="1:36">
      <c r="D9" s="34"/>
      <c r="F9" s="2"/>
    </row>
    <row r="10" spans="1:36">
      <c r="D10" s="34"/>
      <c r="F10" s="2"/>
    </row>
    <row r="11" spans="1:36">
      <c r="D11" s="34"/>
      <c r="F11" s="2"/>
    </row>
    <row r="12" spans="1:36">
      <c r="D12" s="34"/>
      <c r="F12" s="2"/>
    </row>
    <row r="13" spans="1:36">
      <c r="D13" s="34"/>
      <c r="F13" s="2"/>
    </row>
    <row r="14" spans="1:36">
      <c r="D14" s="34"/>
      <c r="F14" s="2"/>
    </row>
    <row r="15" spans="1:36">
      <c r="D15" s="34"/>
    </row>
    <row r="16" spans="1:36">
      <c r="D16" s="34"/>
      <c r="F16" s="2"/>
    </row>
    <row r="17" spans="4:6">
      <c r="D17" s="34"/>
      <c r="F17" s="2"/>
    </row>
    <row r="18" spans="4:6">
      <c r="D18" s="34"/>
      <c r="F18" s="2"/>
    </row>
    <row r="19" spans="4:6">
      <c r="D19" s="34"/>
      <c r="F19" s="2"/>
    </row>
    <row r="20" spans="4:6">
      <c r="D20" s="34"/>
      <c r="F20" s="2"/>
    </row>
    <row r="21" spans="4:6">
      <c r="D21" s="34"/>
      <c r="F21" s="2"/>
    </row>
    <row r="22" spans="4:6">
      <c r="D22" s="34"/>
      <c r="F22" s="2"/>
    </row>
    <row r="23" spans="4:6">
      <c r="D23" s="34"/>
      <c r="F23" s="2"/>
    </row>
    <row r="24" spans="4:6">
      <c r="D24" s="34"/>
      <c r="F24" s="2"/>
    </row>
    <row r="25" spans="4:6">
      <c r="D25" s="34"/>
      <c r="F25" s="2"/>
    </row>
    <row r="26" spans="4:6">
      <c r="D26" s="34"/>
      <c r="F26" s="2"/>
    </row>
    <row r="27" spans="4:6">
      <c r="D27" s="34"/>
      <c r="F27" s="2"/>
    </row>
    <row r="28" spans="4:6">
      <c r="D28" s="34"/>
      <c r="F28" s="2"/>
    </row>
    <row r="29" spans="4:6">
      <c r="D29" s="34"/>
      <c r="F29" s="2"/>
    </row>
    <row r="30" spans="4:6">
      <c r="D30" s="34"/>
      <c r="F30" s="2"/>
    </row>
    <row r="31" spans="4:6">
      <c r="D31" s="34"/>
      <c r="F31" s="2"/>
    </row>
    <row r="32" spans="4:6">
      <c r="D32" s="34"/>
      <c r="F32" s="2"/>
    </row>
    <row r="33" spans="4:6">
      <c r="D33" s="34"/>
      <c r="F33" s="2"/>
    </row>
    <row r="34" spans="4:6">
      <c r="D34" s="34"/>
      <c r="F34" s="2"/>
    </row>
    <row r="35" spans="4:6">
      <c r="D35" s="34"/>
      <c r="F35" s="2"/>
    </row>
    <row r="36" spans="4:6">
      <c r="D36" s="34"/>
      <c r="F36" s="2"/>
    </row>
    <row r="37" spans="4:6">
      <c r="D37" s="34"/>
      <c r="F37" s="2"/>
    </row>
    <row r="38" spans="4:6">
      <c r="D38" s="34"/>
      <c r="F38" s="2"/>
    </row>
    <row r="39" spans="4:6">
      <c r="D39" s="34"/>
      <c r="F39" s="2"/>
    </row>
    <row r="40" spans="4:6">
      <c r="D40" s="34"/>
      <c r="F40" s="2"/>
    </row>
    <row r="41" spans="4:6">
      <c r="D41" s="34"/>
      <c r="F41" s="2"/>
    </row>
    <row r="42" spans="4:6">
      <c r="D42" s="34"/>
      <c r="F42" s="2"/>
    </row>
    <row r="43" spans="4:6">
      <c r="D43" s="34"/>
      <c r="F43" s="2"/>
    </row>
    <row r="44" spans="4:6">
      <c r="D44" s="34"/>
      <c r="F44" s="2"/>
    </row>
    <row r="45" spans="4:6">
      <c r="D45" s="34"/>
      <c r="F45" s="2"/>
    </row>
    <row r="46" spans="4:6">
      <c r="D46" s="34"/>
      <c r="F46" s="2"/>
    </row>
    <row r="47" spans="4:6">
      <c r="D47" s="34"/>
      <c r="F47" s="2"/>
    </row>
    <row r="48" spans="4:6">
      <c r="D48" s="34"/>
      <c r="F48" s="2"/>
    </row>
    <row r="49" spans="4:6">
      <c r="D49" s="34"/>
      <c r="F49" s="2"/>
    </row>
    <row r="50" spans="4:6">
      <c r="D50" s="34"/>
      <c r="F50" s="2"/>
    </row>
    <row r="51" spans="4:6">
      <c r="D51" s="34"/>
      <c r="F51" s="2"/>
    </row>
    <row r="52" spans="4:6">
      <c r="D52" s="34"/>
      <c r="F52" s="2"/>
    </row>
    <row r="53" spans="4:6">
      <c r="D53" s="34"/>
      <c r="F53" s="2"/>
    </row>
    <row r="54" spans="4:6">
      <c r="D54" s="34"/>
      <c r="F54" s="2"/>
    </row>
    <row r="55" spans="4:6">
      <c r="D55" s="34"/>
      <c r="F55" s="2"/>
    </row>
    <row r="56" spans="4:6">
      <c r="D56" s="34"/>
      <c r="F56" s="2"/>
    </row>
    <row r="57" spans="4:6">
      <c r="D57" s="34"/>
      <c r="F57" s="2"/>
    </row>
    <row r="58" spans="4:6">
      <c r="D58" s="34"/>
      <c r="F58" s="2"/>
    </row>
    <row r="59" spans="4:6">
      <c r="D59" s="34"/>
      <c r="F59" s="2"/>
    </row>
    <row r="60" spans="4:6">
      <c r="D60" s="34"/>
      <c r="F60" s="2"/>
    </row>
    <row r="61" spans="4:6">
      <c r="D61" s="34"/>
      <c r="F61" s="2"/>
    </row>
    <row r="62" spans="4:6">
      <c r="D62" s="34"/>
      <c r="F62" s="2"/>
    </row>
    <row r="63" spans="4:6">
      <c r="D63" s="34"/>
      <c r="F63" s="2"/>
    </row>
    <row r="64" spans="4:6">
      <c r="D64" s="34"/>
      <c r="F64" s="2"/>
    </row>
    <row r="65" spans="4:6">
      <c r="D65" s="34"/>
      <c r="F65" s="2"/>
    </row>
    <row r="66" spans="4:6">
      <c r="D66" s="34"/>
      <c r="F66" s="2"/>
    </row>
    <row r="67" spans="4:6">
      <c r="D67" s="34"/>
      <c r="F67" s="2"/>
    </row>
    <row r="68" spans="4:6">
      <c r="D68" s="34"/>
      <c r="F68" s="2"/>
    </row>
    <row r="69" spans="4:6">
      <c r="D69" s="34"/>
      <c r="F69" s="2"/>
    </row>
    <row r="70" spans="4:6">
      <c r="D70" s="34"/>
    </row>
    <row r="71" spans="4:6">
      <c r="D71" s="34"/>
      <c r="F71" s="2"/>
    </row>
    <row r="72" spans="4:6">
      <c r="D72" s="34"/>
      <c r="F72" s="2"/>
    </row>
    <row r="73" spans="4:6">
      <c r="D73" s="34"/>
    </row>
    <row r="74" spans="4:6">
      <c r="D74" s="34"/>
      <c r="F74" s="2"/>
    </row>
    <row r="75" spans="4:6">
      <c r="D75" s="34"/>
      <c r="F75" s="2"/>
    </row>
    <row r="76" spans="4:6">
      <c r="D76" s="34"/>
    </row>
    <row r="77" spans="4:6">
      <c r="D77" s="34"/>
      <c r="F77" s="2"/>
    </row>
    <row r="78" spans="4:6">
      <c r="D78" s="34"/>
      <c r="F78" s="2"/>
    </row>
    <row r="79" spans="4:6">
      <c r="D79" s="34"/>
      <c r="F79" s="2"/>
    </row>
    <row r="80" spans="4:6">
      <c r="D80" s="34"/>
      <c r="F80" s="2"/>
    </row>
    <row r="81" spans="4:15">
      <c r="D81" s="34"/>
      <c r="F81" s="2"/>
    </row>
    <row r="82" spans="4:15">
      <c r="D82" s="34"/>
      <c r="F82" s="2"/>
    </row>
    <row r="83" spans="4:15">
      <c r="D83" s="34"/>
      <c r="F83" s="2"/>
    </row>
    <row r="84" spans="4:15">
      <c r="D84" s="34"/>
      <c r="F84" s="2"/>
    </row>
    <row r="85" spans="4:15">
      <c r="D85" s="34"/>
      <c r="F85" s="2"/>
    </row>
    <row r="86" spans="4:15">
      <c r="D86" s="34"/>
      <c r="F86" s="2"/>
      <c r="J86" s="16"/>
      <c r="K86" s="16"/>
      <c r="L86" s="16"/>
      <c r="M86" s="16"/>
      <c r="N86" s="16"/>
      <c r="O86" s="16"/>
    </row>
    <row r="87" spans="4:15">
      <c r="D87" s="34"/>
      <c r="F87" s="2"/>
      <c r="J87" s="16"/>
      <c r="K87" s="16"/>
      <c r="L87" s="16"/>
      <c r="M87" s="16"/>
      <c r="N87" s="16"/>
      <c r="O87" s="16"/>
    </row>
    <row r="88" spans="4:15">
      <c r="D88" s="34"/>
      <c r="F88" s="2"/>
      <c r="J88" s="16"/>
      <c r="K88" s="16"/>
      <c r="L88" s="16"/>
      <c r="M88" s="16"/>
      <c r="N88" s="16"/>
      <c r="O88" s="16"/>
    </row>
    <row r="89" spans="4:15">
      <c r="D89" s="34"/>
      <c r="F89" s="2"/>
      <c r="J89" s="16"/>
      <c r="K89" s="16"/>
      <c r="L89" s="16"/>
      <c r="M89" s="16"/>
      <c r="N89" s="16"/>
      <c r="O89" s="16"/>
    </row>
    <row r="90" spans="4:15">
      <c r="D90" s="34"/>
      <c r="F90" s="2"/>
    </row>
    <row r="91" spans="4:15">
      <c r="D91" s="34"/>
      <c r="F91" s="2"/>
    </row>
    <row r="92" spans="4:15">
      <c r="D92" s="34"/>
      <c r="F92" s="2"/>
    </row>
    <row r="93" spans="4:15">
      <c r="D93" s="34"/>
      <c r="F93" s="2"/>
    </row>
    <row r="94" spans="4:15">
      <c r="D94" s="34"/>
      <c r="F94" s="2"/>
    </row>
    <row r="95" spans="4:15">
      <c r="D95" s="34"/>
      <c r="F95" s="2"/>
    </row>
    <row r="96" spans="4:15">
      <c r="D96" s="34"/>
      <c r="F96" s="2"/>
    </row>
    <row r="97" spans="4:6">
      <c r="D97" s="34"/>
      <c r="F97" s="2"/>
    </row>
    <row r="98" spans="4:6">
      <c r="D98" s="34"/>
      <c r="F98" s="2"/>
    </row>
    <row r="99" spans="4:6">
      <c r="D99" s="34"/>
      <c r="F99" s="2"/>
    </row>
    <row r="100" spans="4:6">
      <c r="D100" s="34"/>
      <c r="F100" s="2"/>
    </row>
    <row r="101" spans="4:6">
      <c r="D101" s="34"/>
      <c r="F101" s="2"/>
    </row>
    <row r="102" spans="4:6">
      <c r="D102" s="34"/>
      <c r="F102" s="2"/>
    </row>
    <row r="103" spans="4:6">
      <c r="D103" s="34"/>
      <c r="F103" s="2"/>
    </row>
    <row r="104" spans="4:6">
      <c r="D104" s="34"/>
      <c r="F104" s="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13154E7C-A1B2-419F-B913-2634A37C3867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1A272A98-A351-464F-9808-AA17F475FDA0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2018-11-02T23:43:09Z</dcterms:modified>
</cp:coreProperties>
</file>