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8_{DB2F517A-2AFE-4144-AB63-395E134E4BF6}" xr6:coauthVersionLast="45" xr6:coauthVersionMax="45" xr10:uidLastSave="{00000000-0000-0000-0000-000000000000}"/>
  <bookViews>
    <workbookView xWindow="28692" yWindow="-108" windowWidth="25416" windowHeight="15372" firstSheet="1" activeTab="4" xr2:uid="{70B0DDF8-EEF4-422F-A291-FA7B2B31B8DD}"/>
  </bookViews>
  <sheets>
    <sheet name="SuppInfo" sheetId="11" r:id="rId1"/>
    <sheet name="Database" sheetId="2" r:id="rId2"/>
    <sheet name="Input_Gases" sheetId="3" r:id="rId3"/>
    <sheet name="Input_Tracers" sheetId="4" r:id="rId4"/>
    <sheet name="Degassed_Graphs" sheetId="12"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J13" i="12" l="1"/>
  <c r="CJ12" i="12"/>
  <c r="CJ11" i="12"/>
  <c r="CJ10" i="12"/>
  <c r="CJ9" i="12"/>
  <c r="CJ8" i="12"/>
  <c r="CJ7" i="12"/>
  <c r="CJ6" i="12"/>
  <c r="CJ5" i="12"/>
  <c r="CJ4" i="12"/>
  <c r="Z174" i="12"/>
  <c r="Z173" i="12"/>
  <c r="Z172" i="12"/>
  <c r="Z171" i="12"/>
  <c r="Z170" i="12"/>
  <c r="Z169" i="12"/>
  <c r="Z168" i="12"/>
  <c r="Z167" i="12"/>
  <c r="Z166" i="12"/>
  <c r="Z165" i="12"/>
  <c r="Z164" i="12"/>
  <c r="Z163" i="12"/>
  <c r="Z162" i="12"/>
  <c r="Z161" i="12"/>
  <c r="Z160" i="12"/>
  <c r="Z159" i="12"/>
  <c r="Z158" i="12"/>
  <c r="Z157" i="12"/>
  <c r="Z156" i="12"/>
  <c r="Z155" i="12"/>
  <c r="Z154" i="12"/>
  <c r="Z153" i="12"/>
  <c r="Z152" i="12"/>
  <c r="Z151" i="12"/>
  <c r="Z150" i="12"/>
  <c r="Z149" i="12"/>
  <c r="Z148" i="12"/>
  <c r="Z147" i="12"/>
  <c r="Z146" i="12"/>
  <c r="Z145" i="12"/>
  <c r="Z144" i="12"/>
  <c r="Z143" i="12"/>
  <c r="Z142" i="12"/>
  <c r="Z141" i="12"/>
  <c r="Z140" i="12"/>
  <c r="Z139" i="12"/>
  <c r="Z138" i="12"/>
  <c r="Z137" i="12"/>
  <c r="Z136" i="12"/>
  <c r="Z135" i="12"/>
  <c r="Z134" i="12"/>
  <c r="Z133" i="12"/>
  <c r="Z132" i="12"/>
  <c r="Z131" i="12"/>
  <c r="Z130" i="12"/>
  <c r="Z129" i="12"/>
  <c r="Z128" i="12"/>
  <c r="Z127" i="12"/>
  <c r="Z126" i="12"/>
  <c r="Z125" i="12"/>
  <c r="Z124" i="12"/>
  <c r="Z123" i="12"/>
  <c r="Z122" i="12"/>
  <c r="Z121" i="12"/>
  <c r="Z120" i="12"/>
  <c r="Z119" i="12"/>
  <c r="Z118" i="12"/>
  <c r="Z117" i="12"/>
  <c r="Z116" i="12"/>
  <c r="Z115" i="12"/>
  <c r="Z114" i="12"/>
  <c r="Z113" i="12"/>
  <c r="Z112" i="12"/>
  <c r="Z111" i="12"/>
  <c r="Z110" i="12"/>
  <c r="Z109" i="12"/>
  <c r="Z108" i="12"/>
  <c r="G174" i="12"/>
  <c r="F174" i="12"/>
  <c r="D174" i="12"/>
  <c r="C174" i="12"/>
  <c r="B174" i="12"/>
  <c r="G173" i="12"/>
  <c r="F173" i="12"/>
  <c r="D173" i="12"/>
  <c r="C173" i="12"/>
  <c r="B173" i="12"/>
  <c r="G172" i="12"/>
  <c r="F172" i="12"/>
  <c r="D172" i="12"/>
  <c r="C172" i="12"/>
  <c r="B172" i="12"/>
  <c r="G171" i="12"/>
  <c r="F171" i="12"/>
  <c r="D171" i="12"/>
  <c r="C171" i="12"/>
  <c r="B171" i="12"/>
  <c r="G170" i="12"/>
  <c r="F170" i="12"/>
  <c r="D170" i="12"/>
  <c r="C170" i="12"/>
  <c r="B170" i="12"/>
  <c r="G169" i="12"/>
  <c r="F169" i="12"/>
  <c r="D169" i="12"/>
  <c r="C169" i="12"/>
  <c r="B169" i="12"/>
  <c r="G168" i="12"/>
  <c r="F168" i="12"/>
  <c r="D168" i="12"/>
  <c r="C168" i="12"/>
  <c r="B168" i="12"/>
  <c r="H167" i="12"/>
  <c r="G167" i="12"/>
  <c r="D167" i="12"/>
  <c r="C167" i="12"/>
  <c r="B167" i="12"/>
  <c r="H166" i="12"/>
  <c r="G166" i="12"/>
  <c r="D166" i="12"/>
  <c r="C166" i="12"/>
  <c r="B166" i="12"/>
  <c r="H165" i="12"/>
  <c r="G165" i="12"/>
  <c r="D165" i="12"/>
  <c r="C165" i="12"/>
  <c r="B165" i="12"/>
  <c r="H164" i="12"/>
  <c r="G164" i="12"/>
  <c r="D164" i="12"/>
  <c r="C164" i="12"/>
  <c r="B164" i="12"/>
  <c r="H163" i="12"/>
  <c r="G163" i="12"/>
  <c r="D163" i="12"/>
  <c r="C163" i="12"/>
  <c r="B163" i="12"/>
  <c r="H162" i="12"/>
  <c r="G162" i="12"/>
  <c r="D162" i="12"/>
  <c r="C162" i="12"/>
  <c r="B162" i="12"/>
  <c r="H161" i="12"/>
  <c r="G161" i="12"/>
  <c r="D161" i="12"/>
  <c r="C161" i="12"/>
  <c r="B161" i="12"/>
  <c r="H160" i="12"/>
  <c r="G160" i="12"/>
  <c r="D160" i="12"/>
  <c r="C160" i="12"/>
  <c r="B160" i="12"/>
  <c r="H159" i="12"/>
  <c r="G159" i="12"/>
  <c r="D159" i="12"/>
  <c r="C159" i="12"/>
  <c r="B159" i="12"/>
  <c r="H158" i="12"/>
  <c r="G158" i="12"/>
  <c r="D158" i="12"/>
  <c r="C158" i="12"/>
  <c r="B158" i="12"/>
  <c r="H157" i="12"/>
  <c r="G157" i="12"/>
  <c r="D157" i="12"/>
  <c r="C157" i="12"/>
  <c r="B157" i="12"/>
  <c r="H156" i="12"/>
  <c r="G156" i="12"/>
  <c r="D156" i="12"/>
  <c r="C156" i="12"/>
  <c r="B156" i="12"/>
  <c r="H155" i="12"/>
  <c r="G155" i="12"/>
  <c r="D155" i="12"/>
  <c r="C155" i="12"/>
  <c r="B155" i="12"/>
  <c r="H154" i="12"/>
  <c r="G154" i="12"/>
  <c r="D154" i="12"/>
  <c r="C154" i="12"/>
  <c r="B154" i="12"/>
  <c r="H153" i="12"/>
  <c r="G153" i="12"/>
  <c r="D153" i="12"/>
  <c r="C153" i="12"/>
  <c r="B153" i="12"/>
  <c r="H152" i="12"/>
  <c r="G152" i="12"/>
  <c r="D152" i="12"/>
  <c r="C152" i="12"/>
  <c r="B152" i="12"/>
  <c r="E151" i="12"/>
  <c r="D151" i="12"/>
  <c r="E150" i="12"/>
  <c r="D150" i="12"/>
  <c r="E149" i="12"/>
  <c r="D149" i="12"/>
  <c r="E148" i="12"/>
  <c r="D148" i="12"/>
  <c r="E147" i="12"/>
  <c r="D147" i="12"/>
  <c r="E146" i="12"/>
  <c r="D146" i="12"/>
  <c r="E145" i="12"/>
  <c r="D145" i="12"/>
  <c r="H144" i="12"/>
  <c r="H143" i="12"/>
  <c r="H142" i="12"/>
  <c r="H141" i="12"/>
  <c r="H140" i="12"/>
  <c r="H139" i="12"/>
  <c r="H138" i="12"/>
  <c r="C151" i="12"/>
  <c r="B151" i="12"/>
  <c r="C150" i="12"/>
  <c r="B150" i="12"/>
  <c r="C149" i="12"/>
  <c r="B149" i="12"/>
  <c r="C148" i="12"/>
  <c r="B148" i="12"/>
  <c r="C147" i="12"/>
  <c r="B147" i="12"/>
  <c r="C146" i="12"/>
  <c r="B146" i="12"/>
  <c r="C145" i="12"/>
  <c r="B145" i="12"/>
  <c r="D144" i="12"/>
  <c r="C144" i="12"/>
  <c r="B144" i="12"/>
  <c r="D143" i="12"/>
  <c r="C143" i="12"/>
  <c r="B143" i="12"/>
  <c r="D142" i="12"/>
  <c r="C142" i="12"/>
  <c r="B142" i="12"/>
  <c r="D141" i="12"/>
  <c r="C141" i="12"/>
  <c r="B141" i="12"/>
  <c r="D140" i="12"/>
  <c r="C140" i="12"/>
  <c r="B140" i="12"/>
  <c r="D139" i="12"/>
  <c r="C139" i="12"/>
  <c r="B139" i="12"/>
  <c r="D138" i="12"/>
  <c r="C138" i="12"/>
  <c r="B138" i="12"/>
  <c r="C137" i="12"/>
  <c r="B137" i="12"/>
  <c r="C136" i="12"/>
  <c r="B136" i="12"/>
  <c r="C135" i="12"/>
  <c r="B135" i="12"/>
  <c r="C134" i="12"/>
  <c r="B134" i="12"/>
  <c r="C133" i="12"/>
  <c r="B133" i="12"/>
  <c r="C132" i="12"/>
  <c r="B132" i="12"/>
  <c r="C131" i="12"/>
  <c r="B131" i="12"/>
  <c r="C130" i="12"/>
  <c r="B130" i="12"/>
  <c r="C129" i="12"/>
  <c r="B129" i="12"/>
  <c r="C128" i="12"/>
  <c r="B128" i="12"/>
  <c r="C127" i="12"/>
  <c r="B127" i="12"/>
  <c r="C126" i="12"/>
  <c r="B126" i="12"/>
  <c r="C125" i="12"/>
  <c r="B125" i="12"/>
  <c r="C124" i="12"/>
  <c r="B124" i="12"/>
  <c r="C123" i="12"/>
  <c r="B123" i="12"/>
  <c r="C122" i="12"/>
  <c r="B122" i="12"/>
  <c r="C121" i="12"/>
  <c r="B121" i="12"/>
  <c r="C120" i="12"/>
  <c r="B120" i="12"/>
  <c r="C119" i="12"/>
  <c r="B119" i="12"/>
  <c r="C118" i="12"/>
  <c r="B118" i="12"/>
  <c r="C117" i="12"/>
  <c r="B117" i="12"/>
  <c r="C116" i="12"/>
  <c r="B116" i="12"/>
  <c r="C115" i="12"/>
  <c r="B115" i="12"/>
  <c r="C114" i="12"/>
  <c r="B114" i="12"/>
  <c r="C113" i="12"/>
  <c r="B113" i="12"/>
  <c r="C112" i="12"/>
  <c r="B112" i="12"/>
  <c r="C111" i="12"/>
  <c r="B111" i="12"/>
  <c r="C110" i="12"/>
  <c r="B110" i="12"/>
  <c r="C109" i="12"/>
  <c r="B109" i="12"/>
  <c r="C108" i="12"/>
  <c r="B108" i="12"/>
  <c r="N27" i="12"/>
  <c r="N26" i="12"/>
  <c r="N25" i="12"/>
  <c r="N24" i="12"/>
  <c r="N23" i="12"/>
  <c r="N22" i="12"/>
  <c r="N21" i="12"/>
  <c r="N20" i="12"/>
  <c r="N19" i="12"/>
  <c r="N18" i="12"/>
  <c r="N17" i="12"/>
  <c r="N16" i="12"/>
  <c r="N15" i="12"/>
  <c r="N14" i="12"/>
  <c r="N13" i="12"/>
  <c r="N12" i="12"/>
  <c r="N11" i="12"/>
  <c r="Z104" i="12"/>
  <c r="Z103" i="12"/>
  <c r="Z102" i="12"/>
  <c r="Z101" i="12"/>
  <c r="Z100" i="12"/>
  <c r="Z99" i="12"/>
  <c r="Z98" i="12"/>
  <c r="Z97" i="12"/>
  <c r="Z96" i="12"/>
  <c r="Z95" i="12"/>
  <c r="Z94" i="12"/>
  <c r="Z93" i="12"/>
  <c r="Z92" i="12"/>
  <c r="Z91" i="12"/>
  <c r="Z90" i="12"/>
  <c r="Z89" i="12"/>
  <c r="Z88" i="12"/>
  <c r="Z87" i="12"/>
  <c r="Z86" i="12"/>
  <c r="Z85" i="12"/>
  <c r="Z84" i="12"/>
  <c r="Z83" i="12"/>
  <c r="Z82" i="12"/>
  <c r="Z81" i="12"/>
  <c r="Z80" i="12"/>
  <c r="Z79" i="12"/>
  <c r="Z78" i="12"/>
  <c r="Z77" i="12"/>
  <c r="Z76" i="12"/>
  <c r="Z75" i="12"/>
  <c r="Z74" i="12"/>
  <c r="Z73" i="12"/>
  <c r="Z72" i="12"/>
  <c r="Z71" i="12"/>
  <c r="Z70" i="12"/>
  <c r="Z69" i="12"/>
  <c r="Z68" i="12"/>
  <c r="Z67" i="12"/>
  <c r="Z66" i="12"/>
  <c r="Z65" i="12"/>
  <c r="Z64" i="12"/>
  <c r="Z63" i="12"/>
  <c r="Z62" i="12"/>
  <c r="Z61" i="12"/>
  <c r="Z60" i="12"/>
  <c r="Z59" i="12"/>
  <c r="Z58" i="12"/>
  <c r="Z57" i="12"/>
  <c r="Z56" i="12"/>
  <c r="Z55" i="12"/>
  <c r="Z54" i="12"/>
  <c r="Z53" i="12"/>
  <c r="Z52" i="12"/>
  <c r="Z51" i="12"/>
  <c r="Z50" i="12"/>
  <c r="Z49" i="12"/>
  <c r="Z48" i="12"/>
  <c r="Z47" i="12"/>
  <c r="Z46" i="12"/>
  <c r="Z45" i="12"/>
  <c r="Z44" i="12"/>
  <c r="Z43" i="12"/>
  <c r="Z42" i="12"/>
  <c r="Z41" i="12"/>
  <c r="Z40" i="12"/>
  <c r="Z39" i="12"/>
  <c r="Z38" i="12"/>
  <c r="G104" i="12"/>
  <c r="F104" i="12"/>
  <c r="D104" i="12"/>
  <c r="C104" i="12"/>
  <c r="B104" i="12"/>
  <c r="G103" i="12"/>
  <c r="F103" i="12"/>
  <c r="D103" i="12"/>
  <c r="C103" i="12"/>
  <c r="B103" i="12"/>
  <c r="G102" i="12"/>
  <c r="F102" i="12"/>
  <c r="D102" i="12"/>
  <c r="C102" i="12"/>
  <c r="B102" i="12"/>
  <c r="G101" i="12"/>
  <c r="F101" i="12"/>
  <c r="D101" i="12"/>
  <c r="C101" i="12"/>
  <c r="B101" i="12"/>
  <c r="G100" i="12"/>
  <c r="F100" i="12"/>
  <c r="D100" i="12"/>
  <c r="C100" i="12"/>
  <c r="B100" i="12"/>
  <c r="G99" i="12"/>
  <c r="F99" i="12"/>
  <c r="D99" i="12"/>
  <c r="C99" i="12"/>
  <c r="B99" i="12"/>
  <c r="G98" i="12"/>
  <c r="F98" i="12"/>
  <c r="D98" i="12"/>
  <c r="C98" i="12"/>
  <c r="B98" i="12"/>
  <c r="H97" i="12"/>
  <c r="G97" i="12"/>
  <c r="D97" i="12"/>
  <c r="C97" i="12"/>
  <c r="B97" i="12"/>
  <c r="H96" i="12"/>
  <c r="G96" i="12"/>
  <c r="D96" i="12"/>
  <c r="C96" i="12"/>
  <c r="B96" i="12"/>
  <c r="H95" i="12"/>
  <c r="G95" i="12"/>
  <c r="D95" i="12"/>
  <c r="C95" i="12"/>
  <c r="B95" i="12"/>
  <c r="H94" i="12"/>
  <c r="G94" i="12"/>
  <c r="D94" i="12"/>
  <c r="C94" i="12"/>
  <c r="B94" i="12"/>
  <c r="H93" i="12"/>
  <c r="G93" i="12"/>
  <c r="D93" i="12"/>
  <c r="C93" i="12"/>
  <c r="B93" i="12"/>
  <c r="H92" i="12"/>
  <c r="G92" i="12"/>
  <c r="D92" i="12"/>
  <c r="C92" i="12"/>
  <c r="B92" i="12"/>
  <c r="H91" i="12"/>
  <c r="G91" i="12"/>
  <c r="D91" i="12"/>
  <c r="C91" i="12"/>
  <c r="B91" i="12"/>
  <c r="H90" i="12"/>
  <c r="G90" i="12"/>
  <c r="D90" i="12"/>
  <c r="C90" i="12"/>
  <c r="B90" i="12"/>
  <c r="H89" i="12"/>
  <c r="G89" i="12"/>
  <c r="D89" i="12"/>
  <c r="C89" i="12"/>
  <c r="B89" i="12"/>
  <c r="H88" i="12"/>
  <c r="G88" i="12"/>
  <c r="D88" i="12"/>
  <c r="C88" i="12"/>
  <c r="B88" i="12"/>
  <c r="H87" i="12"/>
  <c r="G87" i="12"/>
  <c r="D87" i="12"/>
  <c r="C87" i="12"/>
  <c r="B87" i="12"/>
  <c r="H86" i="12"/>
  <c r="G86" i="12"/>
  <c r="D86" i="12"/>
  <c r="C86" i="12"/>
  <c r="B86" i="12"/>
  <c r="H85" i="12"/>
  <c r="G85" i="12"/>
  <c r="D85" i="12"/>
  <c r="C85" i="12"/>
  <c r="B85" i="12"/>
  <c r="H84" i="12"/>
  <c r="G84" i="12"/>
  <c r="D84" i="12"/>
  <c r="C84" i="12"/>
  <c r="B84" i="12"/>
  <c r="H83" i="12"/>
  <c r="G83" i="12"/>
  <c r="D83" i="12"/>
  <c r="C83" i="12"/>
  <c r="B83" i="12"/>
  <c r="H82" i="12"/>
  <c r="G82" i="12"/>
  <c r="D82" i="12"/>
  <c r="C82" i="12"/>
  <c r="B82" i="12"/>
  <c r="E81" i="12"/>
  <c r="D81" i="12"/>
  <c r="E80" i="12"/>
  <c r="D80" i="12"/>
  <c r="E79" i="12"/>
  <c r="D79" i="12"/>
  <c r="E78" i="12"/>
  <c r="D78" i="12"/>
  <c r="E77" i="12"/>
  <c r="D77" i="12"/>
  <c r="E76" i="12"/>
  <c r="D76" i="12"/>
  <c r="E75" i="12"/>
  <c r="D75" i="12"/>
  <c r="H74" i="12"/>
  <c r="H73" i="12"/>
  <c r="H72" i="12"/>
  <c r="H71" i="12"/>
  <c r="H70" i="12"/>
  <c r="H69" i="12"/>
  <c r="H68" i="12"/>
  <c r="C81" i="12"/>
  <c r="B81" i="12"/>
  <c r="C80" i="12"/>
  <c r="B80" i="12"/>
  <c r="C79" i="12"/>
  <c r="B79" i="12"/>
  <c r="C78" i="12"/>
  <c r="B78" i="12"/>
  <c r="C77" i="12"/>
  <c r="B77" i="12"/>
  <c r="C76" i="12"/>
  <c r="B76" i="12"/>
  <c r="C75" i="12"/>
  <c r="B75" i="12"/>
  <c r="D74" i="12"/>
  <c r="C74" i="12"/>
  <c r="B74" i="12"/>
  <c r="D73" i="12"/>
  <c r="C73" i="12"/>
  <c r="B73" i="12"/>
  <c r="D72" i="12"/>
  <c r="C72" i="12"/>
  <c r="B72" i="12"/>
  <c r="D71" i="12"/>
  <c r="C71" i="12"/>
  <c r="B71" i="12"/>
  <c r="D70" i="12"/>
  <c r="C70" i="12"/>
  <c r="B70" i="12"/>
  <c r="D69" i="12"/>
  <c r="C69" i="12"/>
  <c r="B69" i="12"/>
  <c r="D68" i="12"/>
  <c r="C68" i="12"/>
  <c r="B68" i="12"/>
  <c r="C67" i="12"/>
  <c r="B67" i="12"/>
  <c r="C66" i="12"/>
  <c r="B66" i="12"/>
  <c r="C65" i="12"/>
  <c r="B65" i="12"/>
  <c r="C64" i="12"/>
  <c r="B64" i="12"/>
  <c r="C63" i="12"/>
  <c r="B63" i="12"/>
  <c r="C62" i="12"/>
  <c r="B62" i="12"/>
  <c r="C61" i="12"/>
  <c r="B61" i="12"/>
  <c r="C60" i="12"/>
  <c r="B60" i="12"/>
  <c r="C59" i="12"/>
  <c r="B59" i="12"/>
  <c r="C58" i="12"/>
  <c r="B58" i="12"/>
  <c r="C57" i="12"/>
  <c r="B57" i="12"/>
  <c r="C56" i="12"/>
  <c r="B56" i="12"/>
  <c r="C55" i="12"/>
  <c r="B55" i="12"/>
  <c r="C54" i="12"/>
  <c r="B54" i="12"/>
  <c r="C53" i="12"/>
  <c r="B53" i="12"/>
  <c r="C52" i="12"/>
  <c r="B52" i="12"/>
  <c r="C51" i="12"/>
  <c r="B51" i="12"/>
  <c r="C50" i="12"/>
  <c r="B50" i="12"/>
  <c r="C49" i="12"/>
  <c r="B49" i="12"/>
  <c r="C48" i="12"/>
  <c r="B48" i="12"/>
  <c r="C47" i="12"/>
  <c r="B47" i="12"/>
  <c r="C46" i="12"/>
  <c r="B46" i="12"/>
  <c r="C45" i="12"/>
  <c r="B45" i="12"/>
  <c r="C44" i="12"/>
  <c r="B44" i="12"/>
  <c r="C43" i="12"/>
  <c r="B43" i="12"/>
  <c r="C42" i="12"/>
  <c r="B42" i="12"/>
  <c r="C41" i="12"/>
  <c r="B41" i="12"/>
  <c r="C40" i="12"/>
  <c r="B40" i="12"/>
  <c r="C39" i="12"/>
  <c r="B39" i="12"/>
  <c r="C38" i="12"/>
  <c r="B38" i="12"/>
  <c r="C27" i="12"/>
  <c r="C26" i="12"/>
  <c r="C25" i="12"/>
  <c r="C24" i="12"/>
  <c r="C23" i="12"/>
  <c r="C22" i="12"/>
  <c r="C21" i="12"/>
  <c r="C20" i="12"/>
  <c r="C19" i="12"/>
  <c r="C18" i="12"/>
  <c r="C17" i="12"/>
  <c r="C16" i="12"/>
  <c r="C15" i="12"/>
  <c r="C14" i="12"/>
  <c r="C13" i="12"/>
  <c r="C12" i="12"/>
  <c r="C11" i="12"/>
  <c r="BA13" i="12"/>
  <c r="BE12" i="12"/>
  <c r="BJ11" i="12"/>
  <c r="BA9" i="12"/>
  <c r="BE8" i="12"/>
  <c r="BJ7" i="12"/>
  <c r="BA5" i="12"/>
  <c r="BE4" i="12"/>
  <c r="T174" i="12"/>
  <c r="M173" i="12"/>
  <c r="R172" i="12"/>
  <c r="K171" i="12"/>
  <c r="P170" i="12"/>
  <c r="N168" i="12"/>
  <c r="S167" i="12"/>
  <c r="L166" i="12"/>
  <c r="Q165" i="12"/>
  <c r="J164" i="12"/>
  <c r="O163" i="12"/>
  <c r="T162" i="12"/>
  <c r="M161" i="12"/>
  <c r="R160" i="12"/>
  <c r="K159" i="12"/>
  <c r="P158" i="12"/>
  <c r="N156" i="12"/>
  <c r="S155" i="12"/>
  <c r="L154" i="12"/>
  <c r="Q153" i="12"/>
  <c r="J152" i="12"/>
  <c r="O151" i="12"/>
  <c r="T150" i="12"/>
  <c r="M149" i="12"/>
  <c r="R148" i="12"/>
  <c r="K147" i="12"/>
  <c r="P146" i="12"/>
  <c r="N144" i="12"/>
  <c r="S143" i="12"/>
  <c r="L142" i="12"/>
  <c r="Q141" i="12"/>
  <c r="J140" i="12"/>
  <c r="O139" i="12"/>
  <c r="T138" i="12"/>
  <c r="M137" i="12"/>
  <c r="R136" i="12"/>
  <c r="K135" i="12"/>
  <c r="P134" i="12"/>
  <c r="N132" i="12"/>
  <c r="S131" i="12"/>
  <c r="L130" i="12"/>
  <c r="Q129" i="12"/>
  <c r="J128" i="12"/>
  <c r="O127" i="12"/>
  <c r="T126" i="12"/>
  <c r="M125" i="12"/>
  <c r="R124" i="12"/>
  <c r="K123" i="12"/>
  <c r="P122" i="12"/>
  <c r="N120" i="12"/>
  <c r="S119" i="12"/>
  <c r="L118" i="12"/>
  <c r="Q117" i="12"/>
  <c r="J116" i="12"/>
  <c r="O115" i="12"/>
  <c r="T114" i="12"/>
  <c r="M113" i="12"/>
  <c r="R112" i="12"/>
  <c r="K111" i="12"/>
  <c r="P110" i="12"/>
  <c r="N108" i="12"/>
  <c r="AY13" i="12"/>
  <c r="BD12" i="12"/>
  <c r="BH11" i="12"/>
  <c r="AY9" i="12"/>
  <c r="BD8" i="12"/>
  <c r="BH7" i="12"/>
  <c r="AY5" i="12"/>
  <c r="BD4" i="12"/>
  <c r="S174" i="12"/>
  <c r="L173" i="12"/>
  <c r="Q172" i="12"/>
  <c r="J171" i="12"/>
  <c r="O170" i="12"/>
  <c r="T169" i="12"/>
  <c r="M168" i="12"/>
  <c r="R167" i="12"/>
  <c r="K166" i="12"/>
  <c r="P165" i="12"/>
  <c r="N163" i="12"/>
  <c r="S162" i="12"/>
  <c r="L161" i="12"/>
  <c r="Q160" i="12"/>
  <c r="J159" i="12"/>
  <c r="O158" i="12"/>
  <c r="T157" i="12"/>
  <c r="M156" i="12"/>
  <c r="R155" i="12"/>
  <c r="K154" i="12"/>
  <c r="P153" i="12"/>
  <c r="N151" i="12"/>
  <c r="S150" i="12"/>
  <c r="L149" i="12"/>
  <c r="Q148" i="12"/>
  <c r="J147" i="12"/>
  <c r="O146" i="12"/>
  <c r="T145" i="12"/>
  <c r="M144" i="12"/>
  <c r="R143" i="12"/>
  <c r="K142" i="12"/>
  <c r="AX13" i="12"/>
  <c r="BB12" i="12"/>
  <c r="BG11" i="12"/>
  <c r="BK10" i="12"/>
  <c r="AX9" i="12"/>
  <c r="BB8" i="12"/>
  <c r="BG7" i="12"/>
  <c r="BK6" i="12"/>
  <c r="AX5" i="12"/>
  <c r="BB4" i="12"/>
  <c r="R174" i="12"/>
  <c r="K173" i="12"/>
  <c r="P172" i="12"/>
  <c r="N170" i="12"/>
  <c r="S169" i="12"/>
  <c r="L168" i="12"/>
  <c r="Q167" i="12"/>
  <c r="J166" i="12"/>
  <c r="O165" i="12"/>
  <c r="T164" i="12"/>
  <c r="M163" i="12"/>
  <c r="R162" i="12"/>
  <c r="K161" i="12"/>
  <c r="P160" i="12"/>
  <c r="N158" i="12"/>
  <c r="S157" i="12"/>
  <c r="L156" i="12"/>
  <c r="Q155" i="12"/>
  <c r="J154" i="12"/>
  <c r="O153" i="12"/>
  <c r="T152" i="12"/>
  <c r="M151" i="12"/>
  <c r="R150" i="12"/>
  <c r="K149" i="12"/>
  <c r="P148" i="12"/>
  <c r="N146" i="12"/>
  <c r="S145" i="12"/>
  <c r="BA12" i="12"/>
  <c r="BE11" i="12"/>
  <c r="BJ10" i="12"/>
  <c r="BA8" i="12"/>
  <c r="BE7" i="12"/>
  <c r="BJ6" i="12"/>
  <c r="BA4" i="12"/>
  <c r="Q174" i="12"/>
  <c r="J173" i="12"/>
  <c r="O172" i="12"/>
  <c r="T171" i="12"/>
  <c r="M170" i="12"/>
  <c r="R169" i="12"/>
  <c r="K168" i="12"/>
  <c r="P167" i="12"/>
  <c r="N165" i="12"/>
  <c r="S164" i="12"/>
  <c r="L163" i="12"/>
  <c r="Q162" i="12"/>
  <c r="J161" i="12"/>
  <c r="O160" i="12"/>
  <c r="T159" i="12"/>
  <c r="M158" i="12"/>
  <c r="R157" i="12"/>
  <c r="K156" i="12"/>
  <c r="P155" i="12"/>
  <c r="N153" i="12"/>
  <c r="S152" i="12"/>
  <c r="L151" i="12"/>
  <c r="Q150" i="12"/>
  <c r="J149" i="12"/>
  <c r="O148" i="12"/>
  <c r="AY12" i="12"/>
  <c r="BD11" i="12"/>
  <c r="BH10" i="12"/>
  <c r="AY8" i="12"/>
  <c r="BD7" i="12"/>
  <c r="BH6" i="12"/>
  <c r="AY4" i="12"/>
  <c r="P174" i="12"/>
  <c r="N172" i="12"/>
  <c r="S171" i="12"/>
  <c r="L170" i="12"/>
  <c r="Q169" i="12"/>
  <c r="J168" i="12"/>
  <c r="O167" i="12"/>
  <c r="T166" i="12"/>
  <c r="M165" i="12"/>
  <c r="R164" i="12"/>
  <c r="K163" i="12"/>
  <c r="P162" i="12"/>
  <c r="N160" i="12"/>
  <c r="S159" i="12"/>
  <c r="L158" i="12"/>
  <c r="Q157" i="12"/>
  <c r="J156" i="12"/>
  <c r="O155" i="12"/>
  <c r="T154" i="12"/>
  <c r="M153" i="12"/>
  <c r="R152" i="12"/>
  <c r="BK13" i="12"/>
  <c r="AX12" i="12"/>
  <c r="BB11" i="12"/>
  <c r="BG10" i="12"/>
  <c r="BK9" i="12"/>
  <c r="AX8" i="12"/>
  <c r="BB7" i="12"/>
  <c r="BG6" i="12"/>
  <c r="BK5" i="12"/>
  <c r="AX4" i="12"/>
  <c r="O174" i="12"/>
  <c r="T173" i="12"/>
  <c r="M172" i="12"/>
  <c r="R171" i="12"/>
  <c r="K170" i="12"/>
  <c r="P169" i="12"/>
  <c r="N167" i="12"/>
  <c r="S166" i="12"/>
  <c r="L165" i="12"/>
  <c r="Q164" i="12"/>
  <c r="J163" i="12"/>
  <c r="O162" i="12"/>
  <c r="T161" i="12"/>
  <c r="M160" i="12"/>
  <c r="R159" i="12"/>
  <c r="K158" i="12"/>
  <c r="P157" i="12"/>
  <c r="N155" i="12"/>
  <c r="S154" i="12"/>
  <c r="L153" i="12"/>
  <c r="Q152" i="12"/>
  <c r="J151" i="12"/>
  <c r="O150" i="12"/>
  <c r="T149" i="12"/>
  <c r="M148" i="12"/>
  <c r="R147" i="12"/>
  <c r="K146" i="12"/>
  <c r="P145" i="12"/>
  <c r="N143" i="12"/>
  <c r="S142" i="12"/>
  <c r="L141" i="12"/>
  <c r="Q140" i="12"/>
  <c r="J139" i="12"/>
  <c r="O138" i="12"/>
  <c r="T137" i="12"/>
  <c r="M136" i="12"/>
  <c r="R135" i="12"/>
  <c r="K134" i="12"/>
  <c r="P133" i="12"/>
  <c r="N131" i="12"/>
  <c r="S130" i="12"/>
  <c r="L129" i="12"/>
  <c r="Q128" i="12"/>
  <c r="J127" i="12"/>
  <c r="O126" i="12"/>
  <c r="T125" i="12"/>
  <c r="M124" i="12"/>
  <c r="R123" i="12"/>
  <c r="K122" i="12"/>
  <c r="P121" i="12"/>
  <c r="N119" i="12"/>
  <c r="S118" i="12"/>
  <c r="L117" i="12"/>
  <c r="Q116" i="12"/>
  <c r="J115" i="12"/>
  <c r="O114" i="12"/>
  <c r="T113" i="12"/>
  <c r="M112" i="12"/>
  <c r="R111" i="12"/>
  <c r="K110" i="12"/>
  <c r="P109" i="12"/>
  <c r="J104" i="12"/>
  <c r="O103" i="12"/>
  <c r="T102" i="12"/>
  <c r="M101" i="12"/>
  <c r="R100" i="12"/>
  <c r="BJ13" i="12"/>
  <c r="BA11" i="12"/>
  <c r="BE10" i="12"/>
  <c r="BJ9" i="12"/>
  <c r="BA7" i="12"/>
  <c r="BE6" i="12"/>
  <c r="BJ5" i="12"/>
  <c r="N174" i="12"/>
  <c r="S173" i="12"/>
  <c r="L172" i="12"/>
  <c r="Q171" i="12"/>
  <c r="J170" i="12"/>
  <c r="O169" i="12"/>
  <c r="T168" i="12"/>
  <c r="M167" i="12"/>
  <c r="R166" i="12"/>
  <c r="K165" i="12"/>
  <c r="P164" i="12"/>
  <c r="N162" i="12"/>
  <c r="S161" i="12"/>
  <c r="L160" i="12"/>
  <c r="Q159" i="12"/>
  <c r="J158" i="12"/>
  <c r="O157" i="12"/>
  <c r="T156" i="12"/>
  <c r="M155" i="12"/>
  <c r="R154" i="12"/>
  <c r="K153" i="12"/>
  <c r="P152" i="12"/>
  <c r="N150" i="12"/>
  <c r="S149" i="12"/>
  <c r="L148" i="12"/>
  <c r="Q147" i="12"/>
  <c r="J146" i="12"/>
  <c r="O145" i="12"/>
  <c r="T144" i="12"/>
  <c r="M143" i="12"/>
  <c r="R142" i="12"/>
  <c r="K141" i="12"/>
  <c r="P140" i="12"/>
  <c r="N138" i="12"/>
  <c r="S137" i="12"/>
  <c r="L136" i="12"/>
  <c r="Q135" i="12"/>
  <c r="J134" i="12"/>
  <c r="O133" i="12"/>
  <c r="T132" i="12"/>
  <c r="M131" i="12"/>
  <c r="R130" i="12"/>
  <c r="K129" i="12"/>
  <c r="P128" i="12"/>
  <c r="N126" i="12"/>
  <c r="S125" i="12"/>
  <c r="L124" i="12"/>
  <c r="Q123" i="12"/>
  <c r="J122" i="12"/>
  <c r="O121" i="12"/>
  <c r="T120" i="12"/>
  <c r="M119" i="12"/>
  <c r="R118" i="12"/>
  <c r="K117" i="12"/>
  <c r="P116" i="12"/>
  <c r="N114" i="12"/>
  <c r="S113" i="12"/>
  <c r="L112" i="12"/>
  <c r="Q111" i="12"/>
  <c r="J110" i="12"/>
  <c r="O109" i="12"/>
  <c r="T108" i="12"/>
  <c r="N103" i="12"/>
  <c r="BH13" i="12"/>
  <c r="AY11" i="12"/>
  <c r="BD10" i="12"/>
  <c r="BH9" i="12"/>
  <c r="AY7" i="12"/>
  <c r="BD6" i="12"/>
  <c r="BH5" i="12"/>
  <c r="M174" i="12"/>
  <c r="R173" i="12"/>
  <c r="K172" i="12"/>
  <c r="P171" i="12"/>
  <c r="N169" i="12"/>
  <c r="S168" i="12"/>
  <c r="L167" i="12"/>
  <c r="Q166" i="12"/>
  <c r="J165" i="12"/>
  <c r="O164" i="12"/>
  <c r="T163" i="12"/>
  <c r="M162" i="12"/>
  <c r="R161" i="12"/>
  <c r="K160" i="12"/>
  <c r="P159" i="12"/>
  <c r="N157" i="12"/>
  <c r="S156" i="12"/>
  <c r="L155" i="12"/>
  <c r="Q154" i="12"/>
  <c r="J153" i="12"/>
  <c r="O152" i="12"/>
  <c r="T151" i="12"/>
  <c r="M150" i="12"/>
  <c r="R149" i="12"/>
  <c r="K148" i="12"/>
  <c r="P147" i="12"/>
  <c r="N145" i="12"/>
  <c r="S144" i="12"/>
  <c r="L143" i="12"/>
  <c r="Q142" i="12"/>
  <c r="J141" i="12"/>
  <c r="O140" i="12"/>
  <c r="T139" i="12"/>
  <c r="M138" i="12"/>
  <c r="R137" i="12"/>
  <c r="K136" i="12"/>
  <c r="P135" i="12"/>
  <c r="N133" i="12"/>
  <c r="S132" i="12"/>
  <c r="L131" i="12"/>
  <c r="Q130" i="12"/>
  <c r="J129" i="12"/>
  <c r="O128" i="12"/>
  <c r="T127" i="12"/>
  <c r="M126" i="12"/>
  <c r="R125" i="12"/>
  <c r="K124" i="12"/>
  <c r="P123" i="12"/>
  <c r="N121" i="12"/>
  <c r="S120" i="12"/>
  <c r="L119" i="12"/>
  <c r="Q118" i="12"/>
  <c r="J117" i="12"/>
  <c r="O116" i="12"/>
  <c r="T115" i="12"/>
  <c r="M114" i="12"/>
  <c r="R113" i="12"/>
  <c r="K112" i="12"/>
  <c r="P111" i="12"/>
  <c r="N109" i="12"/>
  <c r="S108" i="12"/>
  <c r="BG13" i="12"/>
  <c r="BK12" i="12"/>
  <c r="AX11" i="12"/>
  <c r="BB10" i="12"/>
  <c r="BG9" i="12"/>
  <c r="BK8" i="12"/>
  <c r="AX7" i="12"/>
  <c r="BB6" i="12"/>
  <c r="BG5" i="12"/>
  <c r="BK4" i="12"/>
  <c r="L174" i="12"/>
  <c r="Q173" i="12"/>
  <c r="J172" i="12"/>
  <c r="O171" i="12"/>
  <c r="T170" i="12"/>
  <c r="M169" i="12"/>
  <c r="R168" i="12"/>
  <c r="K167" i="12"/>
  <c r="P166" i="12"/>
  <c r="N164" i="12"/>
  <c r="S163" i="12"/>
  <c r="L162" i="12"/>
  <c r="Q161" i="12"/>
  <c r="J160" i="12"/>
  <c r="O159" i="12"/>
  <c r="T158" i="12"/>
  <c r="M157" i="12"/>
  <c r="R156" i="12"/>
  <c r="K155" i="12"/>
  <c r="P154" i="12"/>
  <c r="N152" i="12"/>
  <c r="S151" i="12"/>
  <c r="L150" i="12"/>
  <c r="Q149" i="12"/>
  <c r="J148" i="12"/>
  <c r="O147" i="12"/>
  <c r="T146" i="12"/>
  <c r="M145" i="12"/>
  <c r="R144" i="12"/>
  <c r="K143" i="12"/>
  <c r="BE13" i="12"/>
  <c r="BJ12" i="12"/>
  <c r="BA10" i="12"/>
  <c r="BE9" i="12"/>
  <c r="BJ8" i="12"/>
  <c r="BA6" i="12"/>
  <c r="BE5" i="12"/>
  <c r="BJ4" i="12"/>
  <c r="K174" i="12"/>
  <c r="P173" i="12"/>
  <c r="N171" i="12"/>
  <c r="S170" i="12"/>
  <c r="L169" i="12"/>
  <c r="Q168" i="12"/>
  <c r="J167" i="12"/>
  <c r="O166" i="12"/>
  <c r="T165" i="12"/>
  <c r="M164" i="12"/>
  <c r="R163" i="12"/>
  <c r="K162" i="12"/>
  <c r="P161" i="12"/>
  <c r="N159" i="12"/>
  <c r="S158" i="12"/>
  <c r="L157" i="12"/>
  <c r="Q156" i="12"/>
  <c r="J155" i="12"/>
  <c r="O154" i="12"/>
  <c r="T153" i="12"/>
  <c r="M152" i="12"/>
  <c r="R151" i="12"/>
  <c r="K150" i="12"/>
  <c r="P149" i="12"/>
  <c r="N147" i="12"/>
  <c r="S146" i="12"/>
  <c r="L145" i="12"/>
  <c r="BD13" i="12"/>
  <c r="BH12" i="12"/>
  <c r="AY10" i="12"/>
  <c r="BD9" i="12"/>
  <c r="BH8" i="12"/>
  <c r="AY6" i="12"/>
  <c r="BD5" i="12"/>
  <c r="BH4" i="12"/>
  <c r="J174" i="12"/>
  <c r="O173" i="12"/>
  <c r="T172" i="12"/>
  <c r="M171" i="12"/>
  <c r="R170" i="12"/>
  <c r="K169" i="12"/>
  <c r="P168" i="12"/>
  <c r="N166" i="12"/>
  <c r="S165" i="12"/>
  <c r="L164" i="12"/>
  <c r="Q163" i="12"/>
  <c r="J162" i="12"/>
  <c r="O161" i="12"/>
  <c r="T160" i="12"/>
  <c r="M159" i="12"/>
  <c r="R158" i="12"/>
  <c r="K157" i="12"/>
  <c r="P156" i="12"/>
  <c r="N154" i="12"/>
  <c r="S153" i="12"/>
  <c r="L152" i="12"/>
  <c r="Q151" i="12"/>
  <c r="J150" i="12"/>
  <c r="O149" i="12"/>
  <c r="T148" i="12"/>
  <c r="M147" i="12"/>
  <c r="R146" i="12"/>
  <c r="K145" i="12"/>
  <c r="P144" i="12"/>
  <c r="N142" i="12"/>
  <c r="S141" i="12"/>
  <c r="L140" i="12"/>
  <c r="Q139" i="12"/>
  <c r="J138" i="12"/>
  <c r="O137" i="12"/>
  <c r="T136" i="12"/>
  <c r="M135" i="12"/>
  <c r="R134" i="12"/>
  <c r="K133" i="12"/>
  <c r="P132" i="12"/>
  <c r="N130" i="12"/>
  <c r="S129" i="12"/>
  <c r="L128" i="12"/>
  <c r="Q127" i="12"/>
  <c r="J126" i="12"/>
  <c r="O125" i="12"/>
  <c r="T124" i="12"/>
  <c r="M123" i="12"/>
  <c r="R122" i="12"/>
  <c r="K121" i="12"/>
  <c r="P120" i="12"/>
  <c r="N118" i="12"/>
  <c r="S117" i="12"/>
  <c r="L116" i="12"/>
  <c r="Q115" i="12"/>
  <c r="J114" i="12"/>
  <c r="O113" i="12"/>
  <c r="T112" i="12"/>
  <c r="M111" i="12"/>
  <c r="R110" i="12"/>
  <c r="K109" i="12"/>
  <c r="P108" i="12"/>
  <c r="Q104" i="12"/>
  <c r="J103" i="12"/>
  <c r="O102" i="12"/>
  <c r="T101" i="12"/>
  <c r="BB13" i="12"/>
  <c r="BG12" i="12"/>
  <c r="BK11" i="12"/>
  <c r="AX10" i="12"/>
  <c r="BB9" i="12"/>
  <c r="BG8" i="12"/>
  <c r="BK7" i="12"/>
  <c r="AX6" i="12"/>
  <c r="BB5" i="12"/>
  <c r="BG4" i="12"/>
  <c r="N173" i="12"/>
  <c r="S172" i="12"/>
  <c r="L171" i="12"/>
  <c r="Q170" i="12"/>
  <c r="J169" i="12"/>
  <c r="O168" i="12"/>
  <c r="T167" i="12"/>
  <c r="M166" i="12"/>
  <c r="R165" i="12"/>
  <c r="K164" i="12"/>
  <c r="P163" i="12"/>
  <c r="N161" i="12"/>
  <c r="S160" i="12"/>
  <c r="L159" i="12"/>
  <c r="Q158" i="12"/>
  <c r="J157" i="12"/>
  <c r="O156" i="12"/>
  <c r="T155" i="12"/>
  <c r="M154" i="12"/>
  <c r="R153" i="12"/>
  <c r="K152" i="12"/>
  <c r="P151" i="12"/>
  <c r="N149" i="12"/>
  <c r="S148" i="12"/>
  <c r="L147" i="12"/>
  <c r="Q146" i="12"/>
  <c r="J145" i="12"/>
  <c r="O144" i="12"/>
  <c r="T143" i="12"/>
  <c r="M142" i="12"/>
  <c r="R141" i="12"/>
  <c r="K140" i="12"/>
  <c r="P139" i="12"/>
  <c r="N137" i="12"/>
  <c r="S136" i="12"/>
  <c r="L135" i="12"/>
  <c r="Q134" i="12"/>
  <c r="J133" i="12"/>
  <c r="O132" i="12"/>
  <c r="T131" i="12"/>
  <c r="M130" i="12"/>
  <c r="R129" i="12"/>
  <c r="K128" i="12"/>
  <c r="P127" i="12"/>
  <c r="N125" i="12"/>
  <c r="S124" i="12"/>
  <c r="L123" i="12"/>
  <c r="Q122" i="12"/>
  <c r="J121" i="12"/>
  <c r="O120" i="12"/>
  <c r="T119" i="12"/>
  <c r="M118" i="12"/>
  <c r="R117" i="12"/>
  <c r="K116" i="12"/>
  <c r="P115" i="12"/>
  <c r="N113" i="12"/>
  <c r="S112" i="12"/>
  <c r="L111" i="12"/>
  <c r="Q110" i="12"/>
  <c r="J109" i="12"/>
  <c r="M146" i="12"/>
  <c r="J144" i="12"/>
  <c r="O142" i="12"/>
  <c r="N139" i="12"/>
  <c r="K138" i="12"/>
  <c r="O135" i="12"/>
  <c r="Q131" i="12"/>
  <c r="K130" i="12"/>
  <c r="N127" i="12"/>
  <c r="K126" i="12"/>
  <c r="O123" i="12"/>
  <c r="Q119" i="12"/>
  <c r="K118" i="12"/>
  <c r="N115" i="12"/>
  <c r="K114" i="12"/>
  <c r="O111" i="12"/>
  <c r="P104" i="12"/>
  <c r="S103" i="12"/>
  <c r="L100" i="12"/>
  <c r="P99" i="12"/>
  <c r="N97" i="12"/>
  <c r="S96" i="12"/>
  <c r="L95" i="12"/>
  <c r="Q94" i="12"/>
  <c r="J93" i="12"/>
  <c r="O92" i="12"/>
  <c r="T91" i="12"/>
  <c r="M90" i="12"/>
  <c r="R89" i="12"/>
  <c r="K88" i="12"/>
  <c r="P87" i="12"/>
  <c r="N85" i="12"/>
  <c r="S84" i="12"/>
  <c r="L83" i="12"/>
  <c r="Q82" i="12"/>
  <c r="J81" i="12"/>
  <c r="O80" i="12"/>
  <c r="T79" i="12"/>
  <c r="M78" i="12"/>
  <c r="R77" i="12"/>
  <c r="K76" i="12"/>
  <c r="P75" i="12"/>
  <c r="N73" i="12"/>
  <c r="S72" i="12"/>
  <c r="L71" i="12"/>
  <c r="Q70" i="12"/>
  <c r="J69" i="12"/>
  <c r="O68" i="12"/>
  <c r="T67" i="12"/>
  <c r="M66" i="12"/>
  <c r="R65" i="12"/>
  <c r="K64" i="12"/>
  <c r="P63" i="12"/>
  <c r="N61" i="12"/>
  <c r="S60" i="12"/>
  <c r="L59" i="12"/>
  <c r="Q58" i="12"/>
  <c r="J57" i="12"/>
  <c r="O56" i="12"/>
  <c r="T55" i="12"/>
  <c r="M54" i="12"/>
  <c r="R53" i="12"/>
  <c r="K52" i="12"/>
  <c r="P51" i="12"/>
  <c r="N49" i="12"/>
  <c r="S48" i="12"/>
  <c r="L47" i="12"/>
  <c r="Q46" i="12"/>
  <c r="J45" i="12"/>
  <c r="O44" i="12"/>
  <c r="T43" i="12"/>
  <c r="P150" i="12"/>
  <c r="L146" i="12"/>
  <c r="J142" i="12"/>
  <c r="T140" i="12"/>
  <c r="M139" i="12"/>
  <c r="N135" i="12"/>
  <c r="P131" i="12"/>
  <c r="J130" i="12"/>
  <c r="T128" i="12"/>
  <c r="M127" i="12"/>
  <c r="N123" i="12"/>
  <c r="P119" i="12"/>
  <c r="J118" i="12"/>
  <c r="T116" i="12"/>
  <c r="M115" i="12"/>
  <c r="N111" i="12"/>
  <c r="O104" i="12"/>
  <c r="R103" i="12"/>
  <c r="S102" i="12"/>
  <c r="K100" i="12"/>
  <c r="O99" i="12"/>
  <c r="T98" i="12"/>
  <c r="M97" i="12"/>
  <c r="R96" i="12"/>
  <c r="K95" i="12"/>
  <c r="P94" i="12"/>
  <c r="N92" i="12"/>
  <c r="S91" i="12"/>
  <c r="L90" i="12"/>
  <c r="Q89" i="12"/>
  <c r="J88" i="12"/>
  <c r="O87" i="12"/>
  <c r="T86" i="12"/>
  <c r="M85" i="12"/>
  <c r="R84" i="12"/>
  <c r="K83" i="12"/>
  <c r="P82" i="12"/>
  <c r="N80" i="12"/>
  <c r="S79" i="12"/>
  <c r="L78" i="12"/>
  <c r="Q77" i="12"/>
  <c r="J76" i="12"/>
  <c r="O75" i="12"/>
  <c r="T74" i="12"/>
  <c r="M73" i="12"/>
  <c r="R72" i="12"/>
  <c r="K71" i="12"/>
  <c r="P70" i="12"/>
  <c r="N68" i="12"/>
  <c r="S67" i="12"/>
  <c r="L66" i="12"/>
  <c r="Q65" i="12"/>
  <c r="S140" i="12"/>
  <c r="L139" i="12"/>
  <c r="Q136" i="12"/>
  <c r="J135" i="12"/>
  <c r="R132" i="12"/>
  <c r="O131" i="12"/>
  <c r="S128" i="12"/>
  <c r="L127" i="12"/>
  <c r="Q124" i="12"/>
  <c r="J123" i="12"/>
  <c r="R120" i="12"/>
  <c r="O119" i="12"/>
  <c r="S116" i="12"/>
  <c r="L115" i="12"/>
  <c r="Q112" i="12"/>
  <c r="J111" i="12"/>
  <c r="R108" i="12"/>
  <c r="N104" i="12"/>
  <c r="Q103" i="12"/>
  <c r="R102" i="12"/>
  <c r="J100" i="12"/>
  <c r="N99" i="12"/>
  <c r="S98" i="12"/>
  <c r="L97" i="12"/>
  <c r="Q96" i="12"/>
  <c r="J95" i="12"/>
  <c r="O94" i="12"/>
  <c r="T93" i="12"/>
  <c r="M92" i="12"/>
  <c r="R91" i="12"/>
  <c r="K90" i="12"/>
  <c r="P89" i="12"/>
  <c r="N87" i="12"/>
  <c r="S86" i="12"/>
  <c r="L85" i="12"/>
  <c r="Q84" i="12"/>
  <c r="J83" i="12"/>
  <c r="O82" i="12"/>
  <c r="T81" i="12"/>
  <c r="M80" i="12"/>
  <c r="R79" i="12"/>
  <c r="K78" i="12"/>
  <c r="P77" i="12"/>
  <c r="N75" i="12"/>
  <c r="S74" i="12"/>
  <c r="L73" i="12"/>
  <c r="Q72" i="12"/>
  <c r="J71" i="12"/>
  <c r="O70" i="12"/>
  <c r="T69" i="12"/>
  <c r="M68" i="12"/>
  <c r="R67" i="12"/>
  <c r="K66" i="12"/>
  <c r="P65" i="12"/>
  <c r="N63" i="12"/>
  <c r="S62" i="12"/>
  <c r="L61" i="12"/>
  <c r="Q60" i="12"/>
  <c r="J59" i="12"/>
  <c r="O58" i="12"/>
  <c r="T57" i="12"/>
  <c r="M56" i="12"/>
  <c r="R55" i="12"/>
  <c r="K54" i="12"/>
  <c r="P53" i="12"/>
  <c r="N51" i="12"/>
  <c r="S50" i="12"/>
  <c r="L49" i="12"/>
  <c r="R145" i="12"/>
  <c r="Q143" i="12"/>
  <c r="R140" i="12"/>
  <c r="K139" i="12"/>
  <c r="P136" i="12"/>
  <c r="T133" i="12"/>
  <c r="Q132" i="12"/>
  <c r="K131" i="12"/>
  <c r="R128" i="12"/>
  <c r="K127" i="12"/>
  <c r="P124" i="12"/>
  <c r="T121" i="12"/>
  <c r="Q120" i="12"/>
  <c r="K119" i="12"/>
  <c r="R116" i="12"/>
  <c r="K115" i="12"/>
  <c r="P112" i="12"/>
  <c r="T109" i="12"/>
  <c r="Q108" i="12"/>
  <c r="M104" i="12"/>
  <c r="P103" i="12"/>
  <c r="Q102" i="12"/>
  <c r="S101" i="12"/>
  <c r="M99" i="12"/>
  <c r="R98" i="12"/>
  <c r="K97" i="12"/>
  <c r="P96" i="12"/>
  <c r="N94" i="12"/>
  <c r="S93" i="12"/>
  <c r="L92" i="12"/>
  <c r="Q91" i="12"/>
  <c r="J90" i="12"/>
  <c r="O89" i="12"/>
  <c r="T88" i="12"/>
  <c r="M87" i="12"/>
  <c r="R86" i="12"/>
  <c r="K85" i="12"/>
  <c r="P84" i="12"/>
  <c r="N82" i="12"/>
  <c r="S81" i="12"/>
  <c r="L80" i="12"/>
  <c r="Q79" i="12"/>
  <c r="J78" i="12"/>
  <c r="O77" i="12"/>
  <c r="T76" i="12"/>
  <c r="M75" i="12"/>
  <c r="R74" i="12"/>
  <c r="K73" i="12"/>
  <c r="P72" i="12"/>
  <c r="N70" i="12"/>
  <c r="S69" i="12"/>
  <c r="L68" i="12"/>
  <c r="Q67" i="12"/>
  <c r="J66" i="12"/>
  <c r="Q145" i="12"/>
  <c r="P143" i="12"/>
  <c r="N140" i="12"/>
  <c r="O136" i="12"/>
  <c r="S133" i="12"/>
  <c r="M132" i="12"/>
  <c r="J131" i="12"/>
  <c r="N128" i="12"/>
  <c r="O124" i="12"/>
  <c r="S121" i="12"/>
  <c r="M120" i="12"/>
  <c r="J119" i="12"/>
  <c r="N116" i="12"/>
  <c r="O112" i="12"/>
  <c r="S109" i="12"/>
  <c r="O108" i="12"/>
  <c r="L104" i="12"/>
  <c r="M103" i="12"/>
  <c r="P102" i="12"/>
  <c r="R101" i="12"/>
  <c r="L99" i="12"/>
  <c r="Q98" i="12"/>
  <c r="J97" i="12"/>
  <c r="O96" i="12"/>
  <c r="T95" i="12"/>
  <c r="M94" i="12"/>
  <c r="R93" i="12"/>
  <c r="K92" i="12"/>
  <c r="P91" i="12"/>
  <c r="N89" i="12"/>
  <c r="S88" i="12"/>
  <c r="L87" i="12"/>
  <c r="Q86" i="12"/>
  <c r="J85" i="12"/>
  <c r="O84" i="12"/>
  <c r="T83" i="12"/>
  <c r="M82" i="12"/>
  <c r="R81" i="12"/>
  <c r="K80" i="12"/>
  <c r="P79" i="12"/>
  <c r="N77" i="12"/>
  <c r="S76" i="12"/>
  <c r="L75" i="12"/>
  <c r="Q74" i="12"/>
  <c r="J73" i="12"/>
  <c r="O72" i="12"/>
  <c r="T71" i="12"/>
  <c r="M70" i="12"/>
  <c r="R69" i="12"/>
  <c r="K68" i="12"/>
  <c r="P67" i="12"/>
  <c r="N65" i="12"/>
  <c r="S64" i="12"/>
  <c r="L63" i="12"/>
  <c r="Q62" i="12"/>
  <c r="J61" i="12"/>
  <c r="O60" i="12"/>
  <c r="T59" i="12"/>
  <c r="M58" i="12"/>
  <c r="R57" i="12"/>
  <c r="K56" i="12"/>
  <c r="P55" i="12"/>
  <c r="N53" i="12"/>
  <c r="S52" i="12"/>
  <c r="L51" i="12"/>
  <c r="Q50" i="12"/>
  <c r="J49" i="12"/>
  <c r="N148" i="12"/>
  <c r="O143" i="12"/>
  <c r="T141" i="12"/>
  <c r="M140" i="12"/>
  <c r="N136" i="12"/>
  <c r="R133" i="12"/>
  <c r="L132" i="12"/>
  <c r="T129" i="12"/>
  <c r="M128" i="12"/>
  <c r="N124" i="12"/>
  <c r="R121" i="12"/>
  <c r="L120" i="12"/>
  <c r="T117" i="12"/>
  <c r="M116" i="12"/>
  <c r="N112" i="12"/>
  <c r="R109" i="12"/>
  <c r="M108" i="12"/>
  <c r="K104" i="12"/>
  <c r="L103" i="12"/>
  <c r="N102" i="12"/>
  <c r="Q101" i="12"/>
  <c r="T100" i="12"/>
  <c r="K99" i="12"/>
  <c r="P98" i="12"/>
  <c r="N96" i="12"/>
  <c r="S95" i="12"/>
  <c r="L94" i="12"/>
  <c r="Q93" i="12"/>
  <c r="J92" i="12"/>
  <c r="O91" i="12"/>
  <c r="T90" i="12"/>
  <c r="M89" i="12"/>
  <c r="R88" i="12"/>
  <c r="K87" i="12"/>
  <c r="P86" i="12"/>
  <c r="N84" i="12"/>
  <c r="S83" i="12"/>
  <c r="L82" i="12"/>
  <c r="Q81" i="12"/>
  <c r="J80" i="12"/>
  <c r="O79" i="12"/>
  <c r="T78" i="12"/>
  <c r="M77" i="12"/>
  <c r="R76" i="12"/>
  <c r="K75" i="12"/>
  <c r="P74" i="12"/>
  <c r="N72" i="12"/>
  <c r="S71" i="12"/>
  <c r="L70" i="12"/>
  <c r="Q69" i="12"/>
  <c r="J68" i="12"/>
  <c r="O67" i="12"/>
  <c r="T66" i="12"/>
  <c r="J143" i="12"/>
  <c r="P141" i="12"/>
  <c r="Q137" i="12"/>
  <c r="J136" i="12"/>
  <c r="T134" i="12"/>
  <c r="Q133" i="12"/>
  <c r="K132" i="12"/>
  <c r="P129" i="12"/>
  <c r="Q125" i="12"/>
  <c r="J124" i="12"/>
  <c r="T122" i="12"/>
  <c r="Q121" i="12"/>
  <c r="K120" i="12"/>
  <c r="P117" i="12"/>
  <c r="Q113" i="12"/>
  <c r="J112" i="12"/>
  <c r="T110" i="12"/>
  <c r="Q109" i="12"/>
  <c r="L108" i="12"/>
  <c r="K103" i="12"/>
  <c r="M102" i="12"/>
  <c r="P101" i="12"/>
  <c r="S100" i="12"/>
  <c r="J99" i="12"/>
  <c r="O98" i="12"/>
  <c r="T97" i="12"/>
  <c r="M96" i="12"/>
  <c r="R95" i="12"/>
  <c r="K94" i="12"/>
  <c r="P93" i="12"/>
  <c r="N91" i="12"/>
  <c r="S90" i="12"/>
  <c r="L89" i="12"/>
  <c r="Q88" i="12"/>
  <c r="J87" i="12"/>
  <c r="O86" i="12"/>
  <c r="T85" i="12"/>
  <c r="M84" i="12"/>
  <c r="R83" i="12"/>
  <c r="K82" i="12"/>
  <c r="P81" i="12"/>
  <c r="N79" i="12"/>
  <c r="S78" i="12"/>
  <c r="L77" i="12"/>
  <c r="Q76" i="12"/>
  <c r="J75" i="12"/>
  <c r="O74" i="12"/>
  <c r="T73" i="12"/>
  <c r="M72" i="12"/>
  <c r="R71" i="12"/>
  <c r="K70" i="12"/>
  <c r="P69" i="12"/>
  <c r="N67" i="12"/>
  <c r="S66" i="12"/>
  <c r="L65" i="12"/>
  <c r="Q64" i="12"/>
  <c r="J63" i="12"/>
  <c r="O62" i="12"/>
  <c r="T61" i="12"/>
  <c r="M60" i="12"/>
  <c r="R59" i="12"/>
  <c r="K58" i="12"/>
  <c r="P57" i="12"/>
  <c r="N55" i="12"/>
  <c r="S54" i="12"/>
  <c r="L53" i="12"/>
  <c r="Q52" i="12"/>
  <c r="J51" i="12"/>
  <c r="O50" i="12"/>
  <c r="T49" i="12"/>
  <c r="M48" i="12"/>
  <c r="R47" i="12"/>
  <c r="K46" i="12"/>
  <c r="P45" i="12"/>
  <c r="N43" i="12"/>
  <c r="S42" i="12"/>
  <c r="T147" i="12"/>
  <c r="O141" i="12"/>
  <c r="S138" i="12"/>
  <c r="P137" i="12"/>
  <c r="S134" i="12"/>
  <c r="M133" i="12"/>
  <c r="J132" i="12"/>
  <c r="O129" i="12"/>
  <c r="S126" i="12"/>
  <c r="P125" i="12"/>
  <c r="S122" i="12"/>
  <c r="M121" i="12"/>
  <c r="J120" i="12"/>
  <c r="O117" i="12"/>
  <c r="S114" i="12"/>
  <c r="P113" i="12"/>
  <c r="S110" i="12"/>
  <c r="M109" i="12"/>
  <c r="K108" i="12"/>
  <c r="L102" i="12"/>
  <c r="O101" i="12"/>
  <c r="Q100" i="12"/>
  <c r="N98" i="12"/>
  <c r="S97" i="12"/>
  <c r="L96" i="12"/>
  <c r="Q95" i="12"/>
  <c r="J94" i="12"/>
  <c r="O93" i="12"/>
  <c r="T92" i="12"/>
  <c r="M91" i="12"/>
  <c r="R90" i="12"/>
  <c r="K89" i="12"/>
  <c r="P88" i="12"/>
  <c r="N86" i="12"/>
  <c r="S85" i="12"/>
  <c r="L84" i="12"/>
  <c r="Q83" i="12"/>
  <c r="J82" i="12"/>
  <c r="O81" i="12"/>
  <c r="T80" i="12"/>
  <c r="M79" i="12"/>
  <c r="R78" i="12"/>
  <c r="K77" i="12"/>
  <c r="P76" i="12"/>
  <c r="N74" i="12"/>
  <c r="S73" i="12"/>
  <c r="L72" i="12"/>
  <c r="Q71" i="12"/>
  <c r="J70" i="12"/>
  <c r="O69" i="12"/>
  <c r="T68" i="12"/>
  <c r="M67" i="12"/>
  <c r="R66" i="12"/>
  <c r="K65" i="12"/>
  <c r="P64" i="12"/>
  <c r="N62" i="12"/>
  <c r="S61" i="12"/>
  <c r="L60" i="12"/>
  <c r="Q59" i="12"/>
  <c r="J58" i="12"/>
  <c r="O57" i="12"/>
  <c r="T56" i="12"/>
  <c r="M55" i="12"/>
  <c r="R54" i="12"/>
  <c r="K53" i="12"/>
  <c r="P52" i="12"/>
  <c r="N50" i="12"/>
  <c r="S49" i="12"/>
  <c r="L48" i="12"/>
  <c r="Q47" i="12"/>
  <c r="S147" i="12"/>
  <c r="N141" i="12"/>
  <c r="R138" i="12"/>
  <c r="L137" i="12"/>
  <c r="O134" i="12"/>
  <c r="L133" i="12"/>
  <c r="N129" i="12"/>
  <c r="R126" i="12"/>
  <c r="L125" i="12"/>
  <c r="O122" i="12"/>
  <c r="L121" i="12"/>
  <c r="N117" i="12"/>
  <c r="R114" i="12"/>
  <c r="L113" i="12"/>
  <c r="O110" i="12"/>
  <c r="L109" i="12"/>
  <c r="J108" i="12"/>
  <c r="K102" i="12"/>
  <c r="N101" i="12"/>
  <c r="P100" i="12"/>
  <c r="T99" i="12"/>
  <c r="M98" i="12"/>
  <c r="R97" i="12"/>
  <c r="K96" i="12"/>
  <c r="P95" i="12"/>
  <c r="N93" i="12"/>
  <c r="S92" i="12"/>
  <c r="L91" i="12"/>
  <c r="Q90" i="12"/>
  <c r="J89" i="12"/>
  <c r="O88" i="12"/>
  <c r="T87" i="12"/>
  <c r="M86" i="12"/>
  <c r="R85" i="12"/>
  <c r="K84" i="12"/>
  <c r="P83" i="12"/>
  <c r="N81" i="12"/>
  <c r="S80" i="12"/>
  <c r="L79" i="12"/>
  <c r="Q78" i="12"/>
  <c r="J77" i="12"/>
  <c r="O76" i="12"/>
  <c r="T75" i="12"/>
  <c r="M74" i="12"/>
  <c r="R73" i="12"/>
  <c r="K72" i="12"/>
  <c r="P71" i="12"/>
  <c r="N69" i="12"/>
  <c r="S68" i="12"/>
  <c r="L67" i="12"/>
  <c r="Q66" i="12"/>
  <c r="J65" i="12"/>
  <c r="O64" i="12"/>
  <c r="T63" i="12"/>
  <c r="M62" i="12"/>
  <c r="R61" i="12"/>
  <c r="K60" i="12"/>
  <c r="P59" i="12"/>
  <c r="N57" i="12"/>
  <c r="S56" i="12"/>
  <c r="L55" i="12"/>
  <c r="Q54" i="12"/>
  <c r="J53" i="12"/>
  <c r="O52" i="12"/>
  <c r="T51" i="12"/>
  <c r="M50" i="12"/>
  <c r="R49" i="12"/>
  <c r="K48" i="12"/>
  <c r="P47" i="12"/>
  <c r="N45" i="12"/>
  <c r="S44" i="12"/>
  <c r="L43" i="12"/>
  <c r="L144" i="12"/>
  <c r="T142" i="12"/>
  <c r="S139" i="12"/>
  <c r="P138" i="12"/>
  <c r="J137" i="12"/>
  <c r="T135" i="12"/>
  <c r="M134" i="12"/>
  <c r="P130" i="12"/>
  <c r="S127" i="12"/>
  <c r="P126" i="12"/>
  <c r="J125" i="12"/>
  <c r="T123" i="12"/>
  <c r="M122" i="12"/>
  <c r="P118" i="12"/>
  <c r="S115" i="12"/>
  <c r="P114" i="12"/>
  <c r="J113" i="12"/>
  <c r="T111" i="12"/>
  <c r="M110" i="12"/>
  <c r="S104" i="12"/>
  <c r="K101" i="12"/>
  <c r="N100" i="12"/>
  <c r="R99" i="12"/>
  <c r="K98" i="12"/>
  <c r="P97" i="12"/>
  <c r="N95" i="12"/>
  <c r="S94" i="12"/>
  <c r="L93" i="12"/>
  <c r="Q92" i="12"/>
  <c r="J91" i="12"/>
  <c r="O90" i="12"/>
  <c r="T89" i="12"/>
  <c r="M88" i="12"/>
  <c r="R87" i="12"/>
  <c r="K86" i="12"/>
  <c r="P85" i="12"/>
  <c r="N83" i="12"/>
  <c r="S82" i="12"/>
  <c r="L81" i="12"/>
  <c r="Q80" i="12"/>
  <c r="J79" i="12"/>
  <c r="O78" i="12"/>
  <c r="T77" i="12"/>
  <c r="M76" i="12"/>
  <c r="R75" i="12"/>
  <c r="K74" i="12"/>
  <c r="P73" i="12"/>
  <c r="N71" i="12"/>
  <c r="S70" i="12"/>
  <c r="L69" i="12"/>
  <c r="Q68" i="12"/>
  <c r="J67" i="12"/>
  <c r="O66" i="12"/>
  <c r="T65" i="12"/>
  <c r="M64" i="12"/>
  <c r="R63" i="12"/>
  <c r="K62" i="12"/>
  <c r="P61" i="12"/>
  <c r="N59" i="12"/>
  <c r="S58" i="12"/>
  <c r="L57" i="12"/>
  <c r="Q56" i="12"/>
  <c r="J55" i="12"/>
  <c r="O54" i="12"/>
  <c r="T53" i="12"/>
  <c r="M52" i="12"/>
  <c r="R51" i="12"/>
  <c r="K50" i="12"/>
  <c r="P49" i="12"/>
  <c r="K151" i="12"/>
  <c r="K144" i="12"/>
  <c r="P142" i="12"/>
  <c r="R139" i="12"/>
  <c r="L138" i="12"/>
  <c r="S135" i="12"/>
  <c r="L134" i="12"/>
  <c r="R131" i="12"/>
  <c r="O130" i="12"/>
  <c r="R127" i="12"/>
  <c r="L126" i="12"/>
  <c r="S123" i="12"/>
  <c r="L122" i="12"/>
  <c r="R119" i="12"/>
  <c r="O118" i="12"/>
  <c r="R115" i="12"/>
  <c r="L114" i="12"/>
  <c r="S111" i="12"/>
  <c r="L110" i="12"/>
  <c r="R104" i="12"/>
  <c r="T103" i="12"/>
  <c r="J101" i="12"/>
  <c r="M100" i="12"/>
  <c r="Q99" i="12"/>
  <c r="J98" i="12"/>
  <c r="O97" i="12"/>
  <c r="T96" i="12"/>
  <c r="M95" i="12"/>
  <c r="R94" i="12"/>
  <c r="K93" i="12"/>
  <c r="P92" i="12"/>
  <c r="N90" i="12"/>
  <c r="S89" i="12"/>
  <c r="L88" i="12"/>
  <c r="Q87" i="12"/>
  <c r="J86" i="12"/>
  <c r="O85" i="12"/>
  <c r="T84" i="12"/>
  <c r="M83" i="12"/>
  <c r="R82" i="12"/>
  <c r="K81" i="12"/>
  <c r="P80" i="12"/>
  <c r="N78" i="12"/>
  <c r="S77" i="12"/>
  <c r="L76" i="12"/>
  <c r="Q75" i="12"/>
  <c r="J74" i="12"/>
  <c r="O73" i="12"/>
  <c r="T72" i="12"/>
  <c r="M71" i="12"/>
  <c r="R70" i="12"/>
  <c r="K69" i="12"/>
  <c r="P68" i="12"/>
  <c r="N66" i="12"/>
  <c r="S65" i="12"/>
  <c r="L64" i="12"/>
  <c r="Q63" i="12"/>
  <c r="J62" i="12"/>
  <c r="O61" i="12"/>
  <c r="T60" i="12"/>
  <c r="M59" i="12"/>
  <c r="R58" i="12"/>
  <c r="K57" i="12"/>
  <c r="P56" i="12"/>
  <c r="N54" i="12"/>
  <c r="S53" i="12"/>
  <c r="L52" i="12"/>
  <c r="Q51" i="12"/>
  <c r="J50" i="12"/>
  <c r="O49" i="12"/>
  <c r="T118" i="12"/>
  <c r="L74" i="12"/>
  <c r="M69" i="12"/>
  <c r="M65" i="12"/>
  <c r="M63" i="12"/>
  <c r="Q61" i="12"/>
  <c r="S59" i="12"/>
  <c r="S57" i="12"/>
  <c r="S55" i="12"/>
  <c r="Q48" i="12"/>
  <c r="O47" i="12"/>
  <c r="O46" i="12"/>
  <c r="R45" i="12"/>
  <c r="R44" i="12"/>
  <c r="L39" i="12"/>
  <c r="K125" i="12"/>
  <c r="S99" i="12"/>
  <c r="T94" i="12"/>
  <c r="J84" i="12"/>
  <c r="K79" i="12"/>
  <c r="K63" i="12"/>
  <c r="M61" i="12"/>
  <c r="O59" i="12"/>
  <c r="Q57" i="12"/>
  <c r="Q55" i="12"/>
  <c r="P48" i="12"/>
  <c r="N47" i="12"/>
  <c r="N46" i="12"/>
  <c r="Q45" i="12"/>
  <c r="Q44" i="12"/>
  <c r="S43" i="12"/>
  <c r="M41" i="12"/>
  <c r="R40" i="12"/>
  <c r="K39" i="12"/>
  <c r="P38" i="12"/>
  <c r="O83" i="12"/>
  <c r="T64" i="12"/>
  <c r="K55" i="12"/>
  <c r="K47" i="12"/>
  <c r="L46" i="12"/>
  <c r="N44" i="12"/>
  <c r="P40" i="12"/>
  <c r="M117" i="12"/>
  <c r="N110" i="12"/>
  <c r="T104" i="12"/>
  <c r="Q73" i="12"/>
  <c r="R68" i="12"/>
  <c r="K61" i="12"/>
  <c r="K59" i="12"/>
  <c r="M57" i="12"/>
  <c r="O55" i="12"/>
  <c r="Q53" i="12"/>
  <c r="S51" i="12"/>
  <c r="O48" i="12"/>
  <c r="M47" i="12"/>
  <c r="M46" i="12"/>
  <c r="O45" i="12"/>
  <c r="P44" i="12"/>
  <c r="R43" i="12"/>
  <c r="T42" i="12"/>
  <c r="L41" i="12"/>
  <c r="Q40" i="12"/>
  <c r="J39" i="12"/>
  <c r="O38" i="12"/>
  <c r="Q138" i="12"/>
  <c r="N88" i="12"/>
  <c r="P78" i="12"/>
  <c r="O53" i="12"/>
  <c r="O51" i="12"/>
  <c r="N48" i="12"/>
  <c r="M45" i="12"/>
  <c r="Q43" i="12"/>
  <c r="K41" i="12"/>
  <c r="N38" i="12"/>
  <c r="R42" i="12"/>
  <c r="T40" i="12"/>
  <c r="T130" i="12"/>
  <c r="L98" i="12"/>
  <c r="M93" i="12"/>
  <c r="R64" i="12"/>
  <c r="T62" i="12"/>
  <c r="M53" i="12"/>
  <c r="M51" i="12"/>
  <c r="Q49" i="12"/>
  <c r="J48" i="12"/>
  <c r="J47" i="12"/>
  <c r="J46" i="12"/>
  <c r="L45" i="12"/>
  <c r="M44" i="12"/>
  <c r="P43" i="12"/>
  <c r="Q42" i="12"/>
  <c r="J41" i="12"/>
  <c r="O40" i="12"/>
  <c r="T39" i="12"/>
  <c r="M38" i="12"/>
  <c r="R39" i="12"/>
  <c r="M39" i="12"/>
  <c r="Q144" i="12"/>
  <c r="K137" i="12"/>
  <c r="S87" i="12"/>
  <c r="T82" i="12"/>
  <c r="J72" i="12"/>
  <c r="K67" i="12"/>
  <c r="N64" i="12"/>
  <c r="R62" i="12"/>
  <c r="R60" i="12"/>
  <c r="T58" i="12"/>
  <c r="K51" i="12"/>
  <c r="M49" i="12"/>
  <c r="K45" i="12"/>
  <c r="L44" i="12"/>
  <c r="O43" i="12"/>
  <c r="P42" i="12"/>
  <c r="N40" i="12"/>
  <c r="S39" i="12"/>
  <c r="L38" i="12"/>
  <c r="T41" i="12"/>
  <c r="K38" i="12"/>
  <c r="R50" i="12"/>
  <c r="L42" i="12"/>
  <c r="T38" i="12"/>
  <c r="P46" i="12"/>
  <c r="S40" i="12"/>
  <c r="M129" i="12"/>
  <c r="N122" i="12"/>
  <c r="Q97" i="12"/>
  <c r="R92" i="12"/>
  <c r="J64" i="12"/>
  <c r="P62" i="12"/>
  <c r="P60" i="12"/>
  <c r="P58" i="12"/>
  <c r="R56" i="12"/>
  <c r="K49" i="12"/>
  <c r="K44" i="12"/>
  <c r="M43" i="12"/>
  <c r="O42" i="12"/>
  <c r="M40" i="12"/>
  <c r="T70" i="12"/>
  <c r="Q41" i="12"/>
  <c r="S47" i="12"/>
  <c r="Q114" i="12"/>
  <c r="J102" i="12"/>
  <c r="N76" i="12"/>
  <c r="O71" i="12"/>
  <c r="P66" i="12"/>
  <c r="L62" i="12"/>
  <c r="N60" i="12"/>
  <c r="N58" i="12"/>
  <c r="N56" i="12"/>
  <c r="T54" i="12"/>
  <c r="T52" i="12"/>
  <c r="J44" i="12"/>
  <c r="K43" i="12"/>
  <c r="N42" i="12"/>
  <c r="S41" i="12"/>
  <c r="L40" i="12"/>
  <c r="Q39" i="12"/>
  <c r="J38" i="12"/>
  <c r="S46" i="12"/>
  <c r="T44" i="12"/>
  <c r="L86" i="12"/>
  <c r="M81" i="12"/>
  <c r="J60" i="12"/>
  <c r="L58" i="12"/>
  <c r="L56" i="12"/>
  <c r="P54" i="12"/>
  <c r="R52" i="12"/>
  <c r="T50" i="12"/>
  <c r="T46" i="12"/>
  <c r="J43" i="12"/>
  <c r="M42" i="12"/>
  <c r="R41" i="12"/>
  <c r="K40" i="12"/>
  <c r="P39" i="12"/>
  <c r="K113" i="12"/>
  <c r="L101" i="12"/>
  <c r="J96" i="12"/>
  <c r="K91" i="12"/>
  <c r="S75" i="12"/>
  <c r="J56" i="12"/>
  <c r="L54" i="12"/>
  <c r="N52" i="12"/>
  <c r="J40" i="12"/>
  <c r="O39" i="12"/>
  <c r="O41" i="12"/>
  <c r="Q38" i="12"/>
  <c r="M141" i="12"/>
  <c r="N134" i="12"/>
  <c r="Q85" i="12"/>
  <c r="R80" i="12"/>
  <c r="S63" i="12"/>
  <c r="J54" i="12"/>
  <c r="J52" i="12"/>
  <c r="P50" i="12"/>
  <c r="T48" i="12"/>
  <c r="T47" i="12"/>
  <c r="R46" i="12"/>
  <c r="T45" i="12"/>
  <c r="K42" i="12"/>
  <c r="P41" i="12"/>
  <c r="N39" i="12"/>
  <c r="S38" i="12"/>
  <c r="Q126" i="12"/>
  <c r="O100" i="12"/>
  <c r="O95" i="12"/>
  <c r="P90" i="12"/>
  <c r="O65" i="12"/>
  <c r="O63" i="12"/>
  <c r="L50" i="12"/>
  <c r="R48" i="12"/>
  <c r="S45" i="12"/>
  <c r="J42" i="12"/>
  <c r="R38" i="12"/>
  <c r="N41" i="12"/>
  <c r="W41" i="12" l="1"/>
  <c r="U50" i="12"/>
  <c r="Y63" i="12"/>
  <c r="Y65" i="12"/>
  <c r="Y95" i="12"/>
  <c r="Y100" i="12"/>
  <c r="W39" i="12"/>
  <c r="W134" i="12"/>
  <c r="X141" i="12"/>
  <c r="V141" i="12"/>
  <c r="Y41" i="12"/>
  <c r="Y39" i="12"/>
  <c r="W52" i="12"/>
  <c r="U54" i="12"/>
  <c r="U101" i="12"/>
  <c r="V42" i="12"/>
  <c r="X42" i="12"/>
  <c r="U56" i="12"/>
  <c r="U58" i="12"/>
  <c r="V81" i="12"/>
  <c r="X81" i="12"/>
  <c r="U86" i="12"/>
  <c r="U40" i="12"/>
  <c r="W42" i="12"/>
  <c r="W56" i="12"/>
  <c r="W58" i="12"/>
  <c r="W60" i="12"/>
  <c r="U62" i="12"/>
  <c r="Y71" i="12"/>
  <c r="W76" i="12"/>
  <c r="X40" i="12"/>
  <c r="V40" i="12"/>
  <c r="Y42" i="12"/>
  <c r="X43" i="12"/>
  <c r="V43" i="12"/>
  <c r="W122" i="12"/>
  <c r="X129" i="12"/>
  <c r="V129" i="12"/>
  <c r="U42" i="12"/>
  <c r="U38" i="12"/>
  <c r="W40" i="12"/>
  <c r="Y43" i="12"/>
  <c r="U44" i="12"/>
  <c r="X49" i="12"/>
  <c r="V49" i="12"/>
  <c r="W64" i="12"/>
  <c r="X39" i="12"/>
  <c r="V39" i="12"/>
  <c r="X38" i="12"/>
  <c r="V38" i="12"/>
  <c r="Y40" i="12"/>
  <c r="X44" i="12"/>
  <c r="V44" i="12"/>
  <c r="U45" i="12"/>
  <c r="X51" i="12"/>
  <c r="V51" i="12"/>
  <c r="X53" i="12"/>
  <c r="V53" i="12"/>
  <c r="V93" i="12"/>
  <c r="X93" i="12"/>
  <c r="U98" i="12"/>
  <c r="W38" i="12"/>
  <c r="V45" i="12"/>
  <c r="X45" i="12"/>
  <c r="W48" i="12"/>
  <c r="Y51" i="12"/>
  <c r="Y53" i="12"/>
  <c r="W88" i="12"/>
  <c r="Y38" i="12"/>
  <c r="U41" i="12"/>
  <c r="Y45" i="12"/>
  <c r="V46" i="12"/>
  <c r="X46" i="12"/>
  <c r="X47" i="12"/>
  <c r="V47" i="12"/>
  <c r="Y48" i="12"/>
  <c r="Y55" i="12"/>
  <c r="V57" i="12"/>
  <c r="X57" i="12"/>
  <c r="W110" i="12"/>
  <c r="X117" i="12"/>
  <c r="V117" i="12"/>
  <c r="W44" i="12"/>
  <c r="U46" i="12"/>
  <c r="Y83" i="12"/>
  <c r="X41" i="12"/>
  <c r="V41" i="12"/>
  <c r="W46" i="12"/>
  <c r="W47" i="12"/>
  <c r="Y59" i="12"/>
  <c r="X61" i="12"/>
  <c r="V61" i="12"/>
  <c r="U39" i="12"/>
  <c r="Y46" i="12"/>
  <c r="Y47" i="12"/>
  <c r="X63" i="12"/>
  <c r="V63" i="12"/>
  <c r="X65" i="12"/>
  <c r="V65" i="12"/>
  <c r="V69" i="12"/>
  <c r="X69" i="12"/>
  <c r="U74" i="12"/>
  <c r="Y49" i="12"/>
  <c r="U52" i="12"/>
  <c r="W54" i="12"/>
  <c r="X59" i="12"/>
  <c r="V59" i="12"/>
  <c r="Y61" i="12"/>
  <c r="U64" i="12"/>
  <c r="W66" i="12"/>
  <c r="X71" i="12"/>
  <c r="V71" i="12"/>
  <c r="Y73" i="12"/>
  <c r="U76" i="12"/>
  <c r="W78" i="12"/>
  <c r="X83" i="12"/>
  <c r="V83" i="12"/>
  <c r="Y85" i="12"/>
  <c r="U88" i="12"/>
  <c r="W90" i="12"/>
  <c r="X95" i="12"/>
  <c r="V95" i="12"/>
  <c r="Y97" i="12"/>
  <c r="X100" i="12"/>
  <c r="V100" i="12"/>
  <c r="U110" i="12"/>
  <c r="U114" i="12"/>
  <c r="Y118" i="12"/>
  <c r="U122" i="12"/>
  <c r="U126" i="12"/>
  <c r="Y130" i="12"/>
  <c r="U134" i="12"/>
  <c r="U138" i="12"/>
  <c r="X52" i="12"/>
  <c r="V52" i="12"/>
  <c r="Y54" i="12"/>
  <c r="U57" i="12"/>
  <c r="W59" i="12"/>
  <c r="X64" i="12"/>
  <c r="V64" i="12"/>
  <c r="Y66" i="12"/>
  <c r="U69" i="12"/>
  <c r="W71" i="12"/>
  <c r="V76" i="12"/>
  <c r="X76" i="12"/>
  <c r="Y78" i="12"/>
  <c r="U81" i="12"/>
  <c r="W83" i="12"/>
  <c r="V88" i="12"/>
  <c r="X88" i="12"/>
  <c r="Y90" i="12"/>
  <c r="U93" i="12"/>
  <c r="W95" i="12"/>
  <c r="W100" i="12"/>
  <c r="V110" i="12"/>
  <c r="X110" i="12"/>
  <c r="V122" i="12"/>
  <c r="X122" i="12"/>
  <c r="V134" i="12"/>
  <c r="X134" i="12"/>
  <c r="U144" i="12"/>
  <c r="U43" i="12"/>
  <c r="W45" i="12"/>
  <c r="V50" i="12"/>
  <c r="X50" i="12"/>
  <c r="Y52" i="12"/>
  <c r="U55" i="12"/>
  <c r="W57" i="12"/>
  <c r="V62" i="12"/>
  <c r="X62" i="12"/>
  <c r="Y64" i="12"/>
  <c r="U67" i="12"/>
  <c r="W69" i="12"/>
  <c r="V74" i="12"/>
  <c r="X74" i="12"/>
  <c r="Y76" i="12"/>
  <c r="U79" i="12"/>
  <c r="W81" i="12"/>
  <c r="V86" i="12"/>
  <c r="X86" i="12"/>
  <c r="Y88" i="12"/>
  <c r="U91" i="12"/>
  <c r="W93" i="12"/>
  <c r="V98" i="12"/>
  <c r="X98" i="12"/>
  <c r="W101" i="12"/>
  <c r="U109" i="12"/>
  <c r="Y110" i="12"/>
  <c r="U113" i="12"/>
  <c r="W117" i="12"/>
  <c r="U121" i="12"/>
  <c r="Y122" i="12"/>
  <c r="U125" i="12"/>
  <c r="W129" i="12"/>
  <c r="U133" i="12"/>
  <c r="Y134" i="12"/>
  <c r="U137" i="12"/>
  <c r="W141" i="12"/>
  <c r="U48" i="12"/>
  <c r="W50" i="12"/>
  <c r="X55" i="12"/>
  <c r="V55" i="12"/>
  <c r="Y57" i="12"/>
  <c r="U60" i="12"/>
  <c r="W62" i="12"/>
  <c r="X67" i="12"/>
  <c r="V67" i="12"/>
  <c r="Y69" i="12"/>
  <c r="U72" i="12"/>
  <c r="W74" i="12"/>
  <c r="X79" i="12"/>
  <c r="V79" i="12"/>
  <c r="Y81" i="12"/>
  <c r="U84" i="12"/>
  <c r="W86" i="12"/>
  <c r="X91" i="12"/>
  <c r="V91" i="12"/>
  <c r="Y93" i="12"/>
  <c r="U96" i="12"/>
  <c r="W98" i="12"/>
  <c r="Y101" i="12"/>
  <c r="U102" i="12"/>
  <c r="V109" i="12"/>
  <c r="X109" i="12"/>
  <c r="Y117" i="12"/>
  <c r="V121" i="12"/>
  <c r="X121" i="12"/>
  <c r="Y129" i="12"/>
  <c r="V133" i="12"/>
  <c r="X133" i="12"/>
  <c r="Y141" i="12"/>
  <c r="W43" i="12"/>
  <c r="X48" i="12"/>
  <c r="V48" i="12"/>
  <c r="Y50" i="12"/>
  <c r="U53" i="12"/>
  <c r="W55" i="12"/>
  <c r="X60" i="12"/>
  <c r="V60" i="12"/>
  <c r="Y62" i="12"/>
  <c r="U65" i="12"/>
  <c r="W67" i="12"/>
  <c r="X72" i="12"/>
  <c r="V72" i="12"/>
  <c r="Y74" i="12"/>
  <c r="U77" i="12"/>
  <c r="W79" i="12"/>
  <c r="X84" i="12"/>
  <c r="V84" i="12"/>
  <c r="Y86" i="12"/>
  <c r="U89" i="12"/>
  <c r="W91" i="12"/>
  <c r="X96" i="12"/>
  <c r="V96" i="12"/>
  <c r="Y98" i="12"/>
  <c r="V102" i="12"/>
  <c r="X102" i="12"/>
  <c r="U108" i="12"/>
  <c r="Y67" i="12"/>
  <c r="U70" i="12"/>
  <c r="W72" i="12"/>
  <c r="X77" i="12"/>
  <c r="V77" i="12"/>
  <c r="Y79" i="12"/>
  <c r="U82" i="12"/>
  <c r="W84" i="12"/>
  <c r="X89" i="12"/>
  <c r="V89" i="12"/>
  <c r="Y91" i="12"/>
  <c r="U94" i="12"/>
  <c r="W96" i="12"/>
  <c r="W102" i="12"/>
  <c r="U103" i="12"/>
  <c r="V108" i="12"/>
  <c r="X108" i="12"/>
  <c r="W112" i="12"/>
  <c r="V116" i="12"/>
  <c r="X116" i="12"/>
  <c r="U120" i="12"/>
  <c r="W124" i="12"/>
  <c r="V128" i="12"/>
  <c r="X128" i="12"/>
  <c r="U132" i="12"/>
  <c r="W136" i="12"/>
  <c r="V140" i="12"/>
  <c r="X140" i="12"/>
  <c r="Y143" i="12"/>
  <c r="W148" i="12"/>
  <c r="U51" i="12"/>
  <c r="W53" i="12"/>
  <c r="V58" i="12"/>
  <c r="X58" i="12"/>
  <c r="Y60" i="12"/>
  <c r="U63" i="12"/>
  <c r="W65" i="12"/>
  <c r="X70" i="12"/>
  <c r="V70" i="12"/>
  <c r="Y72" i="12"/>
  <c r="U75" i="12"/>
  <c r="W77" i="12"/>
  <c r="X82" i="12"/>
  <c r="V82" i="12"/>
  <c r="Y84" i="12"/>
  <c r="U87" i="12"/>
  <c r="W89" i="12"/>
  <c r="X94" i="12"/>
  <c r="V94" i="12"/>
  <c r="Y96" i="12"/>
  <c r="U99" i="12"/>
  <c r="V103" i="12"/>
  <c r="X103" i="12"/>
  <c r="U104" i="12"/>
  <c r="Y108" i="12"/>
  <c r="Y112" i="12"/>
  <c r="W116" i="12"/>
  <c r="V120" i="12"/>
  <c r="X120" i="12"/>
  <c r="Y124" i="12"/>
  <c r="W128" i="12"/>
  <c r="V132" i="12"/>
  <c r="X132" i="12"/>
  <c r="Y136" i="12"/>
  <c r="W140" i="12"/>
  <c r="U68" i="12"/>
  <c r="W70" i="12"/>
  <c r="X75" i="12"/>
  <c r="V75" i="12"/>
  <c r="Y77" i="12"/>
  <c r="U80" i="12"/>
  <c r="W82" i="12"/>
  <c r="X87" i="12"/>
  <c r="V87" i="12"/>
  <c r="Y89" i="12"/>
  <c r="U92" i="12"/>
  <c r="W94" i="12"/>
  <c r="X99" i="12"/>
  <c r="V99" i="12"/>
  <c r="V104" i="12"/>
  <c r="X104" i="12"/>
  <c r="U49" i="12"/>
  <c r="W51" i="12"/>
  <c r="X56" i="12"/>
  <c r="V56" i="12"/>
  <c r="Y58" i="12"/>
  <c r="U61" i="12"/>
  <c r="W63" i="12"/>
  <c r="X68" i="12"/>
  <c r="V68" i="12"/>
  <c r="Y70" i="12"/>
  <c r="U73" i="12"/>
  <c r="W75" i="12"/>
  <c r="X80" i="12"/>
  <c r="V80" i="12"/>
  <c r="Y82" i="12"/>
  <c r="U85" i="12"/>
  <c r="W87" i="12"/>
  <c r="X92" i="12"/>
  <c r="V92" i="12"/>
  <c r="Y94" i="12"/>
  <c r="U97" i="12"/>
  <c r="W99" i="12"/>
  <c r="W104" i="12"/>
  <c r="U115" i="12"/>
  <c r="Y119" i="12"/>
  <c r="U127" i="12"/>
  <c r="Y131" i="12"/>
  <c r="U139" i="12"/>
  <c r="U66" i="12"/>
  <c r="W68" i="12"/>
  <c r="X73" i="12"/>
  <c r="V73" i="12"/>
  <c r="Y75" i="12"/>
  <c r="U78" i="12"/>
  <c r="W80" i="12"/>
  <c r="X85" i="12"/>
  <c r="V85" i="12"/>
  <c r="Y87" i="12"/>
  <c r="U90" i="12"/>
  <c r="W92" i="12"/>
  <c r="X97" i="12"/>
  <c r="V97" i="12"/>
  <c r="Y99" i="12"/>
  <c r="Y104" i="12"/>
  <c r="W111" i="12"/>
  <c r="V115" i="12"/>
  <c r="X115" i="12"/>
  <c r="W123" i="12"/>
  <c r="V127" i="12"/>
  <c r="X127" i="12"/>
  <c r="W135" i="12"/>
  <c r="V139" i="12"/>
  <c r="X139" i="12"/>
  <c r="U146" i="12"/>
  <c r="Y44" i="12"/>
  <c r="U47" i="12"/>
  <c r="W49" i="12"/>
  <c r="X54" i="12"/>
  <c r="V54" i="12"/>
  <c r="Y56" i="12"/>
  <c r="U59" i="12"/>
  <c r="W61" i="12"/>
  <c r="X66" i="12"/>
  <c r="V66" i="12"/>
  <c r="Y68" i="12"/>
  <c r="U71" i="12"/>
  <c r="W73" i="12"/>
  <c r="X78" i="12"/>
  <c r="V78" i="12"/>
  <c r="Y80" i="12"/>
  <c r="U83" i="12"/>
  <c r="W85" i="12"/>
  <c r="X90" i="12"/>
  <c r="V90" i="12"/>
  <c r="Y92" i="12"/>
  <c r="U95" i="12"/>
  <c r="W97" i="12"/>
  <c r="U100" i="12"/>
  <c r="Y111" i="12"/>
  <c r="W115" i="12"/>
  <c r="Y123" i="12"/>
  <c r="W127" i="12"/>
  <c r="Y135" i="12"/>
  <c r="W139" i="12"/>
  <c r="Y142" i="12"/>
  <c r="V146" i="12"/>
  <c r="X146" i="12"/>
  <c r="U111" i="12"/>
  <c r="W113" i="12"/>
  <c r="X118" i="12"/>
  <c r="V118" i="12"/>
  <c r="Y120" i="12"/>
  <c r="U123" i="12"/>
  <c r="W125" i="12"/>
  <c r="X130" i="12"/>
  <c r="V130" i="12"/>
  <c r="Y132" i="12"/>
  <c r="U135" i="12"/>
  <c r="W137" i="12"/>
  <c r="X142" i="12"/>
  <c r="V142" i="12"/>
  <c r="Y144" i="12"/>
  <c r="U147" i="12"/>
  <c r="W149" i="12"/>
  <c r="X154" i="12"/>
  <c r="V154" i="12"/>
  <c r="Y156" i="12"/>
  <c r="U159" i="12"/>
  <c r="W161" i="12"/>
  <c r="X166" i="12"/>
  <c r="V166" i="12"/>
  <c r="Y168" i="12"/>
  <c r="U171" i="12"/>
  <c r="W173" i="12"/>
  <c r="CH4" i="12"/>
  <c r="CF4" i="12"/>
  <c r="CH8" i="12"/>
  <c r="CF8" i="12"/>
  <c r="CH12" i="12"/>
  <c r="CF12" i="12"/>
  <c r="Y102" i="12"/>
  <c r="X111" i="12"/>
  <c r="V111" i="12"/>
  <c r="Y113" i="12"/>
  <c r="U116" i="12"/>
  <c r="W118" i="12"/>
  <c r="X123" i="12"/>
  <c r="V123" i="12"/>
  <c r="Y125" i="12"/>
  <c r="U128" i="12"/>
  <c r="W130" i="12"/>
  <c r="X135" i="12"/>
  <c r="V135" i="12"/>
  <c r="Y137" i="12"/>
  <c r="U140" i="12"/>
  <c r="W142" i="12"/>
  <c r="V147" i="12"/>
  <c r="X147" i="12"/>
  <c r="Y149" i="12"/>
  <c r="U152" i="12"/>
  <c r="W154" i="12"/>
  <c r="V159" i="12"/>
  <c r="X159" i="12"/>
  <c r="Y161" i="12"/>
  <c r="U164" i="12"/>
  <c r="W166" i="12"/>
  <c r="V171" i="12"/>
  <c r="X171" i="12"/>
  <c r="Y173" i="12"/>
  <c r="CE5" i="12"/>
  <c r="CE9" i="12"/>
  <c r="CE13" i="12"/>
  <c r="U145" i="12"/>
  <c r="W147" i="12"/>
  <c r="V152" i="12"/>
  <c r="X152" i="12"/>
  <c r="Y154" i="12"/>
  <c r="U157" i="12"/>
  <c r="W159" i="12"/>
  <c r="V164" i="12"/>
  <c r="X164" i="12"/>
  <c r="Y166" i="12"/>
  <c r="U169" i="12"/>
  <c r="W171" i="12"/>
  <c r="CG4" i="12"/>
  <c r="CG8" i="12"/>
  <c r="CG12" i="12"/>
  <c r="X145" i="12"/>
  <c r="V145" i="12"/>
  <c r="Y147" i="12"/>
  <c r="U150" i="12"/>
  <c r="W152" i="12"/>
  <c r="X157" i="12"/>
  <c r="V157" i="12"/>
  <c r="Y159" i="12"/>
  <c r="U162" i="12"/>
  <c r="W164" i="12"/>
  <c r="X169" i="12"/>
  <c r="V169" i="12"/>
  <c r="Y171" i="12"/>
  <c r="U174" i="12"/>
  <c r="CH5" i="12"/>
  <c r="CF5" i="12"/>
  <c r="CH9" i="12"/>
  <c r="CF9" i="12"/>
  <c r="CH13" i="12"/>
  <c r="CF13" i="12"/>
  <c r="W109" i="12"/>
  <c r="V114" i="12"/>
  <c r="X114" i="12"/>
  <c r="Y116" i="12"/>
  <c r="U119" i="12"/>
  <c r="W121" i="12"/>
  <c r="V126" i="12"/>
  <c r="X126" i="12"/>
  <c r="Y128" i="12"/>
  <c r="U131" i="12"/>
  <c r="W133" i="12"/>
  <c r="V138" i="12"/>
  <c r="X138" i="12"/>
  <c r="Y140" i="12"/>
  <c r="U143" i="12"/>
  <c r="W145" i="12"/>
  <c r="X150" i="12"/>
  <c r="V150" i="12"/>
  <c r="Y152" i="12"/>
  <c r="U155" i="12"/>
  <c r="W157" i="12"/>
  <c r="X162" i="12"/>
  <c r="V162" i="12"/>
  <c r="Y164" i="12"/>
  <c r="U167" i="12"/>
  <c r="W169" i="12"/>
  <c r="X174" i="12"/>
  <c r="V174" i="12"/>
  <c r="CE6" i="12"/>
  <c r="CE10" i="12"/>
  <c r="W103" i="12"/>
  <c r="Y109" i="12"/>
  <c r="U112" i="12"/>
  <c r="W114" i="12"/>
  <c r="X119" i="12"/>
  <c r="V119" i="12"/>
  <c r="Y121" i="12"/>
  <c r="U124" i="12"/>
  <c r="W126" i="12"/>
  <c r="X131" i="12"/>
  <c r="V131" i="12"/>
  <c r="Y133" i="12"/>
  <c r="U136" i="12"/>
  <c r="W138" i="12"/>
  <c r="X143" i="12"/>
  <c r="V143" i="12"/>
  <c r="Y145" i="12"/>
  <c r="U148" i="12"/>
  <c r="W150" i="12"/>
  <c r="X155" i="12"/>
  <c r="V155" i="12"/>
  <c r="Y157" i="12"/>
  <c r="U160" i="12"/>
  <c r="W162" i="12"/>
  <c r="X167" i="12"/>
  <c r="V167" i="12"/>
  <c r="Y169" i="12"/>
  <c r="U172" i="12"/>
  <c r="W174" i="12"/>
  <c r="CG5" i="12"/>
  <c r="CG9" i="12"/>
  <c r="CG13" i="12"/>
  <c r="V101" i="12"/>
  <c r="X101" i="12"/>
  <c r="Y103" i="12"/>
  <c r="X112" i="12"/>
  <c r="V112" i="12"/>
  <c r="Y114" i="12"/>
  <c r="U117" i="12"/>
  <c r="W119" i="12"/>
  <c r="X124" i="12"/>
  <c r="V124" i="12"/>
  <c r="Y126" i="12"/>
  <c r="U129" i="12"/>
  <c r="W131" i="12"/>
  <c r="X136" i="12"/>
  <c r="V136" i="12"/>
  <c r="Y138" i="12"/>
  <c r="U141" i="12"/>
  <c r="W143" i="12"/>
  <c r="X148" i="12"/>
  <c r="V148" i="12"/>
  <c r="Y150" i="12"/>
  <c r="U153" i="12"/>
  <c r="W155" i="12"/>
  <c r="X160" i="12"/>
  <c r="V160" i="12"/>
  <c r="Y162" i="12"/>
  <c r="U165" i="12"/>
  <c r="W167" i="12"/>
  <c r="X172" i="12"/>
  <c r="V172" i="12"/>
  <c r="Y174" i="12"/>
  <c r="CF6" i="12"/>
  <c r="CH6" i="12"/>
  <c r="CF10" i="12"/>
  <c r="CH10" i="12"/>
  <c r="X153" i="12"/>
  <c r="V153" i="12"/>
  <c r="Y155" i="12"/>
  <c r="U158" i="12"/>
  <c r="W160" i="12"/>
  <c r="X165" i="12"/>
  <c r="V165" i="12"/>
  <c r="Y167" i="12"/>
  <c r="U170" i="12"/>
  <c r="W172" i="12"/>
  <c r="CE7" i="12"/>
  <c r="CE11" i="12"/>
  <c r="Y148" i="12"/>
  <c r="U151" i="12"/>
  <c r="W153" i="12"/>
  <c r="X158" i="12"/>
  <c r="V158" i="12"/>
  <c r="Y160" i="12"/>
  <c r="U163" i="12"/>
  <c r="W165" i="12"/>
  <c r="X170" i="12"/>
  <c r="V170" i="12"/>
  <c r="Y172" i="12"/>
  <c r="CG6" i="12"/>
  <c r="CG10" i="12"/>
  <c r="W146" i="12"/>
  <c r="X151" i="12"/>
  <c r="V151" i="12"/>
  <c r="Y153" i="12"/>
  <c r="U156" i="12"/>
  <c r="W158" i="12"/>
  <c r="X163" i="12"/>
  <c r="V163" i="12"/>
  <c r="Y165" i="12"/>
  <c r="U168" i="12"/>
  <c r="W170" i="12"/>
  <c r="CH7" i="12"/>
  <c r="CF7" i="12"/>
  <c r="CH11" i="12"/>
  <c r="CF11" i="12"/>
  <c r="X144" i="12"/>
  <c r="V144" i="12"/>
  <c r="Y146" i="12"/>
  <c r="U149" i="12"/>
  <c r="W151" i="12"/>
  <c r="X156" i="12"/>
  <c r="V156" i="12"/>
  <c r="Y158" i="12"/>
  <c r="U161" i="12"/>
  <c r="W163" i="12"/>
  <c r="X168" i="12"/>
  <c r="V168" i="12"/>
  <c r="Y170" i="12"/>
  <c r="U173" i="12"/>
  <c r="CE4" i="12"/>
  <c r="CE8" i="12"/>
  <c r="CE12" i="12"/>
  <c r="W108" i="12"/>
  <c r="X113" i="12"/>
  <c r="V113" i="12"/>
  <c r="Y115" i="12"/>
  <c r="U118" i="12"/>
  <c r="W120" i="12"/>
  <c r="X125" i="12"/>
  <c r="V125" i="12"/>
  <c r="Y127" i="12"/>
  <c r="U130" i="12"/>
  <c r="W132" i="12"/>
  <c r="X137" i="12"/>
  <c r="V137" i="12"/>
  <c r="Y139" i="12"/>
  <c r="U142" i="12"/>
  <c r="W144" i="12"/>
  <c r="X149" i="12"/>
  <c r="V149" i="12"/>
  <c r="Y151" i="12"/>
  <c r="U154" i="12"/>
  <c r="W156" i="12"/>
  <c r="X161" i="12"/>
  <c r="V161" i="12"/>
  <c r="Y163" i="12"/>
  <c r="U166" i="12"/>
  <c r="W168" i="12"/>
  <c r="X173" i="12"/>
  <c r="V173" i="12"/>
  <c r="CG7" i="12"/>
  <c r="CG11" i="12"/>
  <c r="D64" i="2"/>
  <c r="C64" i="2"/>
  <c r="C49" i="2"/>
  <c r="C50" i="2"/>
  <c r="C51" i="2"/>
  <c r="C52" i="2"/>
  <c r="C53" i="2"/>
  <c r="C54" i="2"/>
  <c r="C55" i="2"/>
  <c r="C56" i="2"/>
  <c r="C57" i="2"/>
  <c r="C58" i="2"/>
  <c r="C59" i="2"/>
  <c r="C60" i="2"/>
  <c r="C61" i="2"/>
  <c r="C62" i="2"/>
  <c r="C63" i="2"/>
  <c r="C48" i="2"/>
  <c r="C47" i="2"/>
  <c r="C54" i="11" a="1"/>
  <c r="C54" i="11"/>
  <c r="L54" i="11" a="1"/>
  <c r="L54" i="11"/>
  <c r="C58" i="11" a="1"/>
  <c r="C58" i="11"/>
  <c r="P58" i="11" a="1"/>
  <c r="P58" i="11"/>
  <c r="M54" i="11" a="1"/>
  <c r="M54" i="11"/>
  <c r="C57" i="11" a="1"/>
  <c r="C57" i="11"/>
  <c r="N57" i="11" a="1"/>
  <c r="N57" i="11"/>
  <c r="M57" i="11" a="1"/>
  <c r="M57" i="11"/>
  <c r="L57" i="11" a="1"/>
  <c r="L57" i="11"/>
  <c r="C56" i="11" a="1"/>
  <c r="C56" i="11"/>
  <c r="N56" i="11" a="1"/>
  <c r="N56" i="11"/>
  <c r="M56" i="11" a="1"/>
  <c r="M56" i="11"/>
  <c r="L56" i="11" a="1"/>
  <c r="L56" i="11"/>
  <c r="C55" i="11" a="1"/>
  <c r="C55" i="11"/>
  <c r="N55" i="11" a="1"/>
  <c r="N55" i="11"/>
  <c r="M55" i="11" a="1"/>
  <c r="M55" i="11"/>
  <c r="L55" i="11" a="1"/>
  <c r="L55" i="11"/>
  <c r="N54" i="11" a="1"/>
  <c r="N54" i="11"/>
  <c r="B44" i="11"/>
  <c r="B43" i="11"/>
  <c r="B48" i="11"/>
  <c r="B49" i="11"/>
  <c r="B45" i="11"/>
  <c r="Y44" i="2"/>
  <c r="T35" i="2"/>
  <c r="W41" i="2"/>
  <c r="W40" i="2"/>
  <c r="W39" i="2"/>
  <c r="W38" i="2"/>
  <c r="W37" i="2"/>
  <c r="W36" i="2"/>
  <c r="T3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0" shapeId="0" xr:uid="{E604C59A-B106-475E-ACF5-1F5480AD4A1E}">
      <text>
        <r>
          <rPr>
            <b/>
            <sz val="9"/>
            <color indexed="81"/>
            <rFont val="Tahoma"/>
            <family val="2"/>
          </rPr>
          <t>Jurgens, Bryant:</t>
        </r>
        <r>
          <rPr>
            <sz val="9"/>
            <color indexed="81"/>
            <rFont val="Tahoma"/>
            <family val="2"/>
          </rPr>
          <t xml:space="preserve">
Molar volumes are computed from gas density and molar mass.
</t>
        </r>
      </text>
    </comment>
    <comment ref="W2" authorId="0" shapeId="0" xr:uid="{030391BB-98D9-4197-9ABF-9B7C73A195E9}">
      <text>
        <r>
          <rPr>
            <b/>
            <sz val="9"/>
            <color indexed="81"/>
            <rFont val="Tahoma"/>
            <family val="2"/>
          </rPr>
          <t>Jurgens, Bryant:</t>
        </r>
        <r>
          <rPr>
            <sz val="9"/>
            <color indexed="81"/>
            <rFont val="Tahoma"/>
            <family val="2"/>
          </rPr>
          <t xml:space="preserve">
For transient gas tracer such as SF6, CFCs, or Halon-1301, these values change and are dependent on the year the water equilibrated with the atmosphere.
</t>
        </r>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<sst xmlns="http://schemas.openxmlformats.org/spreadsheetml/2006/main" count="1551" uniqueCount="423">
  <si>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</si>
  <si>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</si>
  <si>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</si>
  <si>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</si>
  <si>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</si>
  <si>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</si>
  <si>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</si>
  <si>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</si>
  <si>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</si>
  <si>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</si>
  <si>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</si>
  <si>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</si>
  <si>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</si>
  <si>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</si>
  <si>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</si>
  <si>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</si>
  <si>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</si>
  <si>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</si>
  <si>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</si>
  <si>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</si>
  <si>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</si>
  <si>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</si>
  <si>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</si>
  <si>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</si>
  <si>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</si>
  <si>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</si>
  <si>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</si>
  <si>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</si>
  <si>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</si>
  <si>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</si>
  <si>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</si>
  <si>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</si>
  <si>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</si>
  <si>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</si>
  <si>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</si>
  <si>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</si>
  <si>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</si>
  <si>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</si>
  <si>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</si>
  <si>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</si>
  <si>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</si>
  <si>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</si>
  <si>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</si>
  <si>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</si>
  <si>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</si>
  <si>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</si>
  <si>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</si>
  <si>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</si>
  <si>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</si>
  <si>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</si>
  <si>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</si>
  <si>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</si>
  <si>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</si>
  <si>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</si>
  <si>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</si>
  <si>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</si>
  <si>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</si>
  <si>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</si>
  <si>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</si>
  <si>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</si>
  <si>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</si>
  <si>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</si>
  <si>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</si>
  <si>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</si>
  <si>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</si>
  <si>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</si>
  <si>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</si>
  <si>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</si>
  <si>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</si>
  <si>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</si>
  <si>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</si>
  <si>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</si>
  <si>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</si>
  <si>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</si>
  <si>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</si>
  <si>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</si>
  <si>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</si>
  <si>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</si>
  <si>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</si>
  <si>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</si>
  <si>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</si>
  <si>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</si>
  <si>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</si>
  <si>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</si>
  <si>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</si>
  <si>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</si>
  <si>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</si>
  <si>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</si>
  <si>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</si>
  <si>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</si>
  <si>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</si>
  <si>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</si>
  <si>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</si>
  <si>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</si>
  <si>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</si>
  <si>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</si>
  <si>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</si>
  <si>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</si>
  <si>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</si>
  <si>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</si>
  <si>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</si>
  <si>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</si>
  <si>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</si>
  <si>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</si>
  <si>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</si>
  <si>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</si>
  <si>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</si>
  <si>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</si>
  <si>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</si>
  <si>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</si>
  <si>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</si>
  <si>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</si>
  <si>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</si>
  <si>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</si>
  <si>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</si>
  <si>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</si>
  <si>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</si>
  <si>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</si>
  <si>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</si>
  <si>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</si>
  <si>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</si>
  <si>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</si>
  <si>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</si>
  <si>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</si>
  <si>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</si>
  <si>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</si>
  <si>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</si>
  <si>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</si>
  <si>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</si>
  <si>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</si>
  <si>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</si>
  <si>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</si>
  <si>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</si>
  <si>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</si>
  <si>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</si>
  <si>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</si>
  <si>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</si>
  <si>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</si>
  <si>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</si>
  <si>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</si>
  <si>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</si>
  <si>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</si>
  <si>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</si>
  <si>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</si>
  <si>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</si>
  <si>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</si>
  <si>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</si>
  <si>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</si>
  <si>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</si>
  <si>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</si>
  <si>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</si>
  <si>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</si>
  <si>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</si>
  <si>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</si>
  <si>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</si>
  <si>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</si>
  <si>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</si>
  <si>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</si>
  <si>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</si>
  <si>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</si>
  <si>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</si>
  <si>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</si>
  <si>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</si>
  <si>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</si>
  <si>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</si>
  <si>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</si>
  <si>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</si>
  <si>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</si>
  <si>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</si>
  <si>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</si>
  <si>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</si>
  <si>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</si>
  <si>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</si>
  <si>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</si>
  <si>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</si>
  <si>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</si>
  <si>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</si>
  <si>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</si>
  <si>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</si>
  <si>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</si>
  <si>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</si>
  <si>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</si>
  <si>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</si>
  <si>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</si>
  <si>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</si>
  <si>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</si>
  <si>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</si>
  <si>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</si>
  <si>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</si>
  <si>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</si>
  <si>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</si>
  <si>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</si>
  <si>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</si>
  <si>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</si>
  <si>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</si>
  <si>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</si>
  <si>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</si>
  <si>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</si>
  <si>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</si>
  <si>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</si>
  <si>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</si>
  <si>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</si>
  <si>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</si>
  <si>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</si>
  <si>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</si>
  <si>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</si>
  <si>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</si>
  <si>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</si>
  <si>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</si>
  <si>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</si>
  <si>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</si>
  <si>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</si>
  <si>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</si>
  <si>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</si>
  <si>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</si>
  <si>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</si>
  <si>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</si>
  <si>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</si>
  <si>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</si>
  <si>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</si>
  <si>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</si>
  <si>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</si>
  <si>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</si>
  <si>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</si>
  <si>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</si>
  <si>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</si>
  <si>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</si>
  <si>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</si>
  <si>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</si>
  <si>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</si>
  <si>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</si>
  <si>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</si>
  <si>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</si>
  <si>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</si>
  <si>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</si>
  <si>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</si>
  <si>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</si>
  <si>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</si>
  <si>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</si>
  <si>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</si>
  <si>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</si>
  <si>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</si>
  <si>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</si>
  <si>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</si>
  <si>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</si>
  <si>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</si>
  <si>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</si>
  <si>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</si>
  <si>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</si>
  <si>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</si>
  <si>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</si>
  <si>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</si>
  <si>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</si>
  <si>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</si>
  <si>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</si>
  <si>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</si>
  <si>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</si>
  <si>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</si>
  <si>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</si>
  <si>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</si>
  <si>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</si>
  <si>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</si>
  <si>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</si>
  <si>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</si>
  <si>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</si>
  <si>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</si>
  <si>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</si>
  <si>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</si>
  <si>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</si>
  <si>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</si>
  <si>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</si>
  <si>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</si>
  <si>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</si>
  <si>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</si>
  <si>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</si>
  <si>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</si>
  <si>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</si>
  <si>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</si>
  <si>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</si>
  <si>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</si>
  <si>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</si>
  <si>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</si>
  <si>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</si>
  <si>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</si>
  <si>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</si>
  <si>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</si>
  <si>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</si>
  <si>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</si>
  <si>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</si>
  <si>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</si>
  <si>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</si>
  <si>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</si>
  <si>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</si>
  <si>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</si>
  <si>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</si>
  <si>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</si>
  <si>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</si>
  <si>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</si>
  <si>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</si>
  <si>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</si>
  <si>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</si>
  <si>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</si>
  <si>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</si>
  <si>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</si>
  <si>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</si>
  <si>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</si>
  <si>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</si>
  <si>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</si>
  <si>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</si>
  <si>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</si>
  <si>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</si>
  <si>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</si>
  <si>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</si>
  <si>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</si>
  <si>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</si>
  <si>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</si>
  <si>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</si>
  <si>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</si>
  <si>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</si>
  <si>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</si>
  <si>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</si>
  <si>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</si>
  <si>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</si>
  <si>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</si>
  <si>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</si>
  <si>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</si>
  <si>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</si>
  <si>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</si>
  <si>
    <t>Aeschbach-Hertig 2008</t>
  </si>
  <si>
    <t>Degasssed</t>
  </si>
  <si>
    <t>GWMCO3</t>
  </si>
  <si>
    <t>GWMCO6</t>
  </si>
  <si>
    <t>Gas units</t>
  </si>
  <si>
    <t>mmol/L</t>
  </si>
  <si>
    <t>mmol/kg</t>
  </si>
  <si>
    <t>Set units for Graph 1</t>
  </si>
  <si>
    <t>He units</t>
  </si>
  <si>
    <t>Ne units</t>
  </si>
  <si>
    <t>Ar units</t>
  </si>
  <si>
    <t>Kr units</t>
  </si>
  <si>
    <t>Xe units</t>
  </si>
  <si>
    <t>N2 units</t>
  </si>
  <si>
    <t>O2 units</t>
  </si>
  <si>
    <t>CO2 units</t>
  </si>
  <si>
    <t>CH4 units</t>
  </si>
  <si>
    <t>H2 units</t>
  </si>
  <si>
    <t>N2O units</t>
  </si>
  <si>
    <t>Ar/Ne</t>
  </si>
  <si>
    <t>Kr/Xe</t>
  </si>
  <si>
    <t>Xe/Ne</t>
  </si>
  <si>
    <t>Kr/Ar</t>
  </si>
  <si>
    <t>N2/Ar</t>
  </si>
  <si>
    <t>20Ne/22Ne</t>
  </si>
  <si>
    <t>Graph 1 Control Variables</t>
  </si>
  <si>
    <t>All Models</t>
  </si>
  <si>
    <t>CE Model</t>
  </si>
  <si>
    <t>Excess N2 Model</t>
  </si>
  <si>
    <t>Salinity, per mil</t>
  </si>
  <si>
    <t>Elevation, masl</t>
  </si>
  <si>
    <t>Temperature, deg. C</t>
  </si>
  <si>
    <t>Excess N2, mg/L</t>
  </si>
  <si>
    <t>Init. excess air (UA), cm3/kg</t>
  </si>
  <si>
    <t>Init. entrapped air (CE), cm3/kg</t>
  </si>
  <si>
    <t>Model line, point on graph</t>
  </si>
  <si>
    <t>Excess air, cm3/kg</t>
  </si>
  <si>
    <t>Entrapped air, cm3/kg</t>
  </si>
  <si>
    <t>Excess N2 gas, mg/L</t>
  </si>
  <si>
    <t>Gas model</t>
  </si>
  <si>
    <t>Graph 1 model scenarios</t>
  </si>
  <si>
    <t>Model output for various scenarios listed in first column</t>
  </si>
  <si>
    <t>Excess air boundary line 1</t>
  </si>
  <si>
    <t>Excess air boundary line 2</t>
  </si>
  <si>
    <t>Temperature boundary line 1</t>
  </si>
  <si>
    <t>Temperature boundary line 2</t>
  </si>
  <si>
    <t>UA model, green line</t>
  </si>
  <si>
    <t>UA + excess N2</t>
  </si>
  <si>
    <t>CE model, red line</t>
  </si>
  <si>
    <t>CE + excess N2</t>
  </si>
  <si>
    <t>Set units for Graph 2</t>
  </si>
  <si>
    <t>Graph 2 Control Variables</t>
  </si>
  <si>
    <t>Graph 2 model scenarios</t>
  </si>
  <si>
    <t>Graph to plot</t>
  </si>
  <si>
    <t>Noble Gas Model</t>
  </si>
  <si>
    <t>Gas Modeling Results</t>
  </si>
  <si>
    <t>Model Parameters</t>
  </si>
  <si>
    <t>Chi-Square</t>
  </si>
  <si>
    <t>Probability</t>
  </si>
  <si>
    <t>Salinity Err, 1-Sigma</t>
  </si>
  <si>
    <t>Elevation, meters</t>
  </si>
  <si>
    <t>Elevation Err, 1-Sigma</t>
  </si>
  <si>
    <t>Temperature, degrees Celsius</t>
  </si>
  <si>
    <t>Temperature Err, 1-Sigma</t>
  </si>
  <si>
    <t>Excess Air / Entrapped Air, cm3/kg</t>
  </si>
  <si>
    <t>Excess Air / Entrapped Air Err, 1-Sigma</t>
  </si>
  <si>
    <t>Fractionation, dimensionless</t>
  </si>
  <si>
    <t>Fractionation Err, 1-Sigma</t>
  </si>
  <si>
    <t>Excess Nitrogen, mg/L as N</t>
  </si>
  <si>
    <t>Excess Nitrogen Err, 1-Sigma</t>
  </si>
  <si>
    <t>He Err</t>
  </si>
  <si>
    <t>Original He Units</t>
  </si>
  <si>
    <t>Ne Err</t>
  </si>
  <si>
    <t>Original Ne Units</t>
  </si>
  <si>
    <t>Ar Err</t>
  </si>
  <si>
    <t>Original Ar Units</t>
  </si>
  <si>
    <t>Kr Err</t>
  </si>
  <si>
    <t>Original Kr Units</t>
  </si>
  <si>
    <t>Xe Err</t>
  </si>
  <si>
    <t>Original Xe Units</t>
  </si>
  <si>
    <t>N2 Err</t>
  </si>
  <si>
    <t>Original N2 Units</t>
  </si>
  <si>
    <t>O2 Err</t>
  </si>
  <si>
    <t>Original O2 Units</t>
  </si>
  <si>
    <t>CO2 Err</t>
  </si>
  <si>
    <t>Original CO2 Units</t>
  </si>
  <si>
    <t>CH4 Err</t>
  </si>
  <si>
    <t>Original CH4 Units</t>
  </si>
  <si>
    <t>H2 Err</t>
  </si>
  <si>
    <t>Original H2 Units</t>
  </si>
  <si>
    <t>N2O Err</t>
  </si>
  <si>
    <t>Original N2O Units</t>
  </si>
  <si>
    <t>Sample Data</t>
  </si>
  <si>
    <t>Graph 1</t>
  </si>
  <si>
    <t>Graph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</si>
</sst>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E+00"/>
    <numFmt numFmtId="166" formatCode="mm/dd/yyyy"/>
    <numFmt numFmtId="167" formatCode="0.0%"/>
  </numFmts>
  <fonts count="40">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
      <b/>
      <sz val="10"/>
      <color theme="1"/>
      <name val="Times New Roman"/>
      <family val="2"/>
    </font>
    <font>
      <b/>
      <sz val="10"/>
      <color theme="1"/>
      <name val="Times"/>
    </font>
    <font>
      <b/>
      <i/>
      <sz val="10"/>
      <color theme="1"/>
      <name val="Times"/>
    </font>
    <font>
      <i/>
      <sz val="10"/>
      <color theme="1"/>
      <name val="Times New Roman"/>
      <family val="2"/>
    </font>
    <font>
      <b/>
      <i/>
      <sz val="12"/>
      <color theme="1"/>
      <name val="Times"/>
    </font>
    <font>
      <i/>
      <sz val="12"/>
      <color theme="1"/>
      <name val="Times New Roman"/>
      <family val="2"/>
    </font>
    <font>
      <b/>
      <i/>
      <sz val="12"/>
      <color theme="1"/>
      <name val="Times New Roman"/>
      <family val="2"/>
    </font>
    <font>
      <b/>
      <i/>
      <sz val="10"/>
      <color theme="1"/>
      <name val="Times New Roman"/>
      <family val="2"/>
    </font>
  </fonts>
  <fills count="6">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0" tint="-0.14996795556505021"/>
        <bgColor indexed="64"/>
      </patternFill>
    </fill>
    <fill>
      <patternFill patternType="solid">
        <fgColor theme="3" tint="0.79995117038483843"/>
        <bgColor indexed="64"/>
      </patternFill>
    </fill>
  </fills>
  <borders count="12">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s>
  <cellStyleXfs count="15">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cellStyleXfs>
  <cellXfs count="143">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1" fontId="14" fillId="0" borderId="0" xfId="1" applyNumberFormat="1" applyFont="1"/>
    <xf numFmtId="1" fontId="2" fillId="0" borderId="0" xfId="1" applyNumberFormat="1"/>
    <xf numFmtId="0" fontId="14" fillId="0" borderId="0" xfId="1" applyFont="1"/>
    <xf numFmtId="2" fontId="0" fillId="0" borderId="0" xfId="0" applyNumberForma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14" fontId="14" fillId="0" borderId="0" xfId="1" applyNumberFormat="1" applyFont="1" applyAlignment="1">
      <alignment horizontal="left"/>
    </xf>
    <xf numFmtId="0" fontId="2" fillId="0" borderId="0" xfId="1" applyAlignment="1">
      <alignment horizontal="left"/>
    </xf>
    <xf numFmtId="49" fontId="2" fillId="0" borderId="0" xfId="1" applyNumberFormat="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xf numFmtId="0" fontId="1" fillId="0" borderId="0" xfId="13"/>
    <xf numFmtId="11" fontId="14" fillId="0" borderId="0" xfId="13" applyNumberFormat="1" applyFont="1"/>
    <xf numFmtId="0" fontId="14" fillId="0" borderId="0" xfId="5" applyNumberFormat="1" applyFont="1" applyFill="1"/>
    <xf numFmtId="9" fontId="18" fillId="0" borderId="0" xfId="5" applyFont="1" applyFill="1"/>
    <xf numFmtId="2" fontId="18" fillId="0" borderId="0" xfId="5" applyNumberFormat="1" applyFont="1" applyFill="1"/>
    <xf numFmtId="0" fontId="30" fillId="4" borderId="0" xfId="0" applyFont="1" applyFill="1"/>
    <xf numFmtId="0" fontId="33" fillId="4" borderId="0" xfId="0" applyFont="1" applyFill="1"/>
    <xf numFmtId="0" fontId="34" fillId="4" borderId="11" xfId="0" applyFont="1" applyFill="1" applyBorder="1" applyAlignment="1"/>
    <xf numFmtId="0" fontId="35" fillId="0" borderId="11" xfId="0" applyFont="1" applyBorder="1" applyAlignment="1"/>
    <xf numFmtId="0" fontId="30" fillId="0" borderId="0" xfId="0" applyFont="1" applyFill="1" applyAlignment="1">
      <alignment horizontal="center"/>
    </xf>
    <xf numFmtId="0" fontId="36" fillId="4" borderId="0" xfId="0" applyFont="1" applyFill="1" applyAlignment="1">
      <alignment horizontal="center"/>
    </xf>
    <xf numFmtId="0" fontId="37" fillId="0" borderId="0" xfId="0" applyFont="1" applyAlignment="1">
      <alignment horizontal="center"/>
    </xf>
    <xf numFmtId="0" fontId="34" fillId="4" borderId="0" xfId="0" applyFont="1" applyFill="1" applyAlignment="1">
      <alignment horizontal="center"/>
    </xf>
    <xf numFmtId="0" fontId="30" fillId="0" borderId="0" xfId="0" applyFont="1" applyFill="1"/>
    <xf numFmtId="0" fontId="34" fillId="4" borderId="0" xfId="0" applyFont="1" applyFill="1" applyAlignment="1">
      <alignment horizontal="center"/>
    </xf>
    <xf numFmtId="0" fontId="0" fillId="0" borderId="0" xfId="0" applyAlignment="1">
      <alignment horizontal="center"/>
    </xf>
    <xf numFmtId="0" fontId="33" fillId="4" borderId="11" xfId="0" applyFont="1" applyFill="1" applyBorder="1" applyAlignment="1">
      <alignment horizontal="center" wrapText="1"/>
    </xf>
    <xf numFmtId="0" fontId="38" fillId="0" borderId="0" xfId="0" applyFont="1" applyAlignment="1">
      <alignment horizontal="center"/>
    </xf>
    <xf numFmtId="0" fontId="39" fillId="0" borderId="0" xfId="0" applyFont="1" applyAlignment="1">
      <alignment horizontal="center"/>
    </xf>
    <xf numFmtId="0" fontId="30" fillId="5" borderId="0" xfId="0" applyFont="1" applyFill="1"/>
    <xf numFmtId="166" fontId="30" fillId="4" borderId="0" xfId="0" applyNumberFormat="1" applyFont="1" applyFill="1"/>
    <xf numFmtId="167" fontId="30" fillId="4" borderId="0" xfId="0" applyNumberFormat="1" applyFont="1" applyFill="1"/>
    <xf numFmtId="0" fontId="34" fillId="4" borderId="0" xfId="0" applyFont="1" applyFill="1" applyAlignment="1">
      <alignment horizontal="center" wrapText="1"/>
    </xf>
    <xf numFmtId="166" fontId="34" fillId="4" borderId="0" xfId="0" applyNumberFormat="1" applyFont="1" applyFill="1" applyAlignment="1">
      <alignment horizontal="center" wrapText="1"/>
    </xf>
    <xf numFmtId="167" fontId="34" fillId="4" borderId="0" xfId="0" applyNumberFormat="1" applyFont="1" applyFill="1" applyAlignment="1">
      <alignment horizontal="center" wrapText="1"/>
    </xf>
    <xf numFmtId="0" fontId="32" fillId="0" borderId="11" xfId="0" applyFont="1" applyBorder="1" applyAlignment="1">
      <alignment horizontal="center" wrapText="1"/>
    </xf>
    <xf numFmtId="166" fontId="32" fillId="0" borderId="11" xfId="0" applyNumberFormat="1" applyFont="1" applyBorder="1" applyAlignment="1">
      <alignment horizontal="center" wrapText="1"/>
    </xf>
    <xf numFmtId="167" fontId="32" fillId="0" borderId="11" xfId="0" applyNumberFormat="1" applyFont="1" applyBorder="1" applyAlignment="1">
      <alignment horizontal="center" wrapText="1"/>
    </xf>
    <xf numFmtId="0" fontId="14" fillId="5" borderId="0" xfId="6" applyFont="1" applyFill="1"/>
    <xf numFmtId="14" fontId="14" fillId="5" borderId="0" xfId="6" applyNumberFormat="1" applyFont="1" applyFill="1"/>
    <xf numFmtId="0" fontId="1" fillId="5" borderId="0" xfId="13" applyFill="1"/>
    <xf numFmtId="167" fontId="30" fillId="5" borderId="0" xfId="0" applyNumberFormat="1" applyFont="1" applyFill="1"/>
  </cellXfs>
  <cellStyles count="15">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Excess air boundary line 1</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BDC-4D97-A335-7E8AEB53099A}"/>
                </c:ext>
              </c:extLst>
            </c:dLbl>
            <c:dLbl>
              <c:idx val="1"/>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BDC-4D97-A335-7E8AEB53099A}"/>
                </c:ext>
              </c:extLst>
            </c:dLbl>
            <c:dLbl>
              <c:idx val="2"/>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BDC-4D97-A335-7E8AEB53099A}"/>
                </c:ext>
              </c:extLst>
            </c:dLbl>
            <c:dLbl>
              <c:idx val="3"/>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BDC-4D97-A335-7E8AEB53099A}"/>
                </c:ext>
              </c:extLst>
            </c:dLbl>
            <c:dLbl>
              <c:idx val="4"/>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BDC-4D97-A335-7E8AEB53099A}"/>
                </c:ext>
              </c:extLst>
            </c:dLbl>
            <c:dLbl>
              <c:idx val="5"/>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BDC-4D97-A335-7E8AEB53099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Degassed_Graphs!$W$38:$W$43</c:f>
              <c:numCache>
                <c:formatCode>General</c:formatCode>
                <c:ptCount val="6"/>
                <c:pt idx="0">
                  <c:v>8.5341835694298318E-2</c:v>
                </c:pt>
                <c:pt idx="1">
                  <c:v>7.3935045575762706E-2</c:v>
                </c:pt>
                <c:pt idx="2">
                  <c:v>6.5357972896831776E-2</c:v>
                </c:pt>
                <c:pt idx="3">
                  <c:v>5.867384647203281E-2</c:v>
                </c:pt>
                <c:pt idx="4">
                  <c:v>5.3318289504000728E-2</c:v>
                </c:pt>
                <c:pt idx="5">
                  <c:v>4.8931000269412092E-2</c:v>
                </c:pt>
              </c:numCache>
            </c:numRef>
          </c:xVal>
          <c:yVal>
            <c:numRef>
              <c:f>Degassed_Graphs!$L$38:$L$43</c:f>
              <c:numCache>
                <c:formatCode>General</c:formatCode>
                <c:ptCount val="6"/>
                <c:pt idx="0">
                  <c:v>4.8733421027253145E-4</c:v>
                </c:pt>
                <c:pt idx="1">
                  <c:v>5.0601421027253143E-4</c:v>
                </c:pt>
                <c:pt idx="2">
                  <c:v>5.246942102725314E-4</c:v>
                </c:pt>
                <c:pt idx="3">
                  <c:v>5.4337421027253149E-4</c:v>
                </c:pt>
                <c:pt idx="4">
                  <c:v>5.6205421027253147E-4</c:v>
                </c:pt>
                <c:pt idx="5">
                  <c:v>5.8073421027253144E-4</c:v>
                </c:pt>
              </c:numCache>
            </c:numRef>
          </c:yVal>
          <c:smooth val="0"/>
          <c:extLst>
            <c:ext xmlns:c16="http://schemas.microsoft.com/office/drawing/2014/chart" uri="{C3380CC4-5D6E-409C-BE32-E72D297353CC}">
              <c16:uniqueId val="{00000000-DBDC-4D97-A335-7E8AEB53099A}"/>
            </c:ext>
          </c:extLst>
        </c:ser>
        <c:ser>
          <c:idx val="1"/>
          <c:order val="1"/>
          <c:tx>
            <c:v>Excess air boundary line 2</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BDC-4D97-A335-7E8AEB53099A}"/>
                </c:ext>
              </c:extLst>
            </c:dLbl>
            <c:dLbl>
              <c:idx val="1"/>
              <c:tx>
                <c:rich>
                  <a:bodyPr/>
                  <a:lstStyle/>
                  <a:p>
                    <a:r>
                      <a:rPr lang="en-US"/>
                      <a:t>2</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BDC-4D97-A335-7E8AEB53099A}"/>
                </c:ext>
              </c:extLst>
            </c:dLbl>
            <c:dLbl>
              <c:idx val="2"/>
              <c:tx>
                <c:rich>
                  <a:bodyPr/>
                  <a:lstStyle/>
                  <a:p>
                    <a:r>
                      <a:rPr lang="en-US"/>
                      <a:t>4</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BDC-4D97-A335-7E8AEB53099A}"/>
                </c:ext>
              </c:extLst>
            </c:dLbl>
            <c:dLbl>
              <c:idx val="3"/>
              <c:tx>
                <c:rich>
                  <a:bodyPr/>
                  <a:lstStyle/>
                  <a:p>
                    <a:r>
                      <a:rPr lang="en-US"/>
                      <a:t>6</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BDC-4D97-A335-7E8AEB53099A}"/>
                </c:ext>
              </c:extLst>
            </c:dLbl>
            <c:dLbl>
              <c:idx val="4"/>
              <c:tx>
                <c:rich>
                  <a:bodyPr/>
                  <a:lstStyle/>
                  <a:p>
                    <a:r>
                      <a:rPr lang="en-US"/>
                      <a:t>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BDC-4D97-A335-7E8AEB53099A}"/>
                </c:ext>
              </c:extLst>
            </c:dLbl>
            <c:dLbl>
              <c:idx val="5"/>
              <c:tx>
                <c:rich>
                  <a:bodyPr/>
                  <a:lstStyle/>
                  <a:p>
                    <a:r>
                      <a:rPr lang="en-US"/>
                      <a:t>10</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DBDC-4D97-A335-7E8AEB53099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Degassed_Graphs!$W$44:$W$49</c:f>
              <c:numCache>
                <c:formatCode>General</c:formatCode>
                <c:ptCount val="6"/>
                <c:pt idx="0">
                  <c:v>3.4491139540131117E-2</c:v>
                </c:pt>
                <c:pt idx="1">
                  <c:v>2.8958517186073552E-2</c:v>
                </c:pt>
                <c:pt idx="2">
                  <c:v>2.5163204780504281E-2</c:v>
                </c:pt>
                <c:pt idx="3">
                  <c:v>2.239794210745703E-2</c:v>
                </c:pt>
                <c:pt idx="4">
                  <c:v>2.0293499666585255E-2</c:v>
                </c:pt>
                <c:pt idx="5">
                  <c:v>1.8638283690234417E-2</c:v>
                </c:pt>
              </c:numCache>
            </c:numRef>
          </c:xVal>
          <c:yVal>
            <c:numRef>
              <c:f>Degassed_Graphs!$L$44:$L$49</c:f>
              <c:numCache>
                <c:formatCode>General</c:formatCode>
                <c:ptCount val="6"/>
                <c:pt idx="0">
                  <c:v>2.1727559466486548E-4</c:v>
                </c:pt>
                <c:pt idx="1">
                  <c:v>2.3595559466486549E-4</c:v>
                </c:pt>
                <c:pt idx="2">
                  <c:v>2.5463559466486549E-4</c:v>
                </c:pt>
                <c:pt idx="3">
                  <c:v>2.7331559466486547E-4</c:v>
                </c:pt>
                <c:pt idx="4">
                  <c:v>2.919955946648655E-4</c:v>
                </c:pt>
                <c:pt idx="5">
                  <c:v>3.1067559466486548E-4</c:v>
                </c:pt>
              </c:numCache>
            </c:numRef>
          </c:yVal>
          <c:smooth val="0"/>
          <c:extLst>
            <c:ext xmlns:c16="http://schemas.microsoft.com/office/drawing/2014/chart" uri="{C3380CC4-5D6E-409C-BE32-E72D297353CC}">
              <c16:uniqueId val="{00000007-DBDC-4D97-A335-7E8AEB53099A}"/>
            </c:ext>
          </c:extLst>
        </c:ser>
        <c:ser>
          <c:idx val="2"/>
          <c:order val="2"/>
          <c:tx>
            <c:v>Temperature boundary line 1</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DBDC-4D97-A335-7E8AEB53099A}"/>
                </c:ext>
              </c:extLst>
            </c:dLbl>
            <c:dLbl>
              <c:idx val="1"/>
              <c:tx>
                <c:rich>
                  <a:bodyPr/>
                  <a:lstStyle/>
                  <a:p>
                    <a:r>
                      <a:rPr lang="en-US"/>
                      <a:t>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DBDC-4D97-A335-7E8AEB53099A}"/>
                </c:ext>
              </c:extLst>
            </c:dLbl>
            <c:dLbl>
              <c:idx val="2"/>
              <c:tx>
                <c:rich>
                  <a:bodyPr/>
                  <a:lstStyle/>
                  <a:p>
                    <a:r>
                      <a:rPr lang="en-US"/>
                      <a:t>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DBDC-4D97-A335-7E8AEB53099A}"/>
                </c:ext>
              </c:extLst>
            </c:dLbl>
            <c:dLbl>
              <c:idx val="3"/>
              <c:tx>
                <c:rich>
                  <a:bodyPr/>
                  <a:lstStyle/>
                  <a:p>
                    <a:r>
                      <a:rPr lang="en-US"/>
                      <a:t>15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DBDC-4D97-A335-7E8AEB53099A}"/>
                </c:ext>
              </c:extLst>
            </c:dLbl>
            <c:dLbl>
              <c:idx val="4"/>
              <c:tx>
                <c:rich>
                  <a:bodyPr/>
                  <a:lstStyle/>
                  <a:p>
                    <a:r>
                      <a:rPr lang="en-US"/>
                      <a:t>20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DBDC-4D97-A335-7E8AEB53099A}"/>
                </c:ext>
              </c:extLst>
            </c:dLbl>
            <c:dLbl>
              <c:idx val="5"/>
              <c:tx>
                <c:rich>
                  <a:bodyPr/>
                  <a:lstStyle/>
                  <a:p>
                    <a:r>
                      <a:rPr lang="en-US"/>
                      <a:t>25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DBDC-4D97-A335-7E8AEB53099A}"/>
                </c:ext>
              </c:extLst>
            </c:dLbl>
            <c:dLbl>
              <c:idx val="6"/>
              <c:tx>
                <c:rich>
                  <a:bodyPr/>
                  <a:lstStyle/>
                  <a:p>
                    <a:r>
                      <a:rPr lang="en-US"/>
                      <a:t>30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DBDC-4D97-A335-7E8AEB53099A}"/>
                </c:ext>
              </c:extLst>
            </c:dLbl>
            <c:dLbl>
              <c:idx val="7"/>
              <c:tx>
                <c:rich>
                  <a:bodyPr/>
                  <a:lstStyle/>
                  <a:p>
                    <a:r>
                      <a:rPr lang="en-US"/>
                      <a:t>35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DBDC-4D97-A335-7E8AEB53099A}"/>
                </c:ext>
              </c:extLst>
            </c:dLbl>
            <c:dLbl>
              <c:idx val="8"/>
              <c:tx>
                <c:rich>
                  <a:bodyPr/>
                  <a:lstStyle/>
                  <a:p>
                    <a:r>
                      <a:rPr lang="en-US"/>
                      <a:t>40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DBDC-4D97-A335-7E8AEB53099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Degassed_Graphs!$W$50:$W$58</c:f>
              <c:numCache>
                <c:formatCode>General</c:formatCode>
                <c:ptCount val="9"/>
                <c:pt idx="0">
                  <c:v>8.5341835694298318E-2</c:v>
                </c:pt>
                <c:pt idx="1">
                  <c:v>7.4276316530055189E-2</c:v>
                </c:pt>
                <c:pt idx="2">
                  <c:v>6.5154955080205509E-2</c:v>
                </c:pt>
                <c:pt idx="3">
                  <c:v>5.7597344829330946E-2</c:v>
                </c:pt>
                <c:pt idx="4">
                  <c:v>5.1300209773899041E-2</c:v>
                </c:pt>
                <c:pt idx="5">
                  <c:v>4.6020383199739348E-2</c:v>
                </c:pt>
                <c:pt idx="6">
                  <c:v>4.1561363308491708E-2</c:v>
                </c:pt>
                <c:pt idx="7">
                  <c:v>3.7762640077117701E-2</c:v>
                </c:pt>
                <c:pt idx="8">
                  <c:v>3.4491139540131117E-2</c:v>
                </c:pt>
              </c:numCache>
            </c:numRef>
          </c:xVal>
          <c:yVal>
            <c:numRef>
              <c:f>Degassed_Graphs!$L$50:$L$58</c:f>
              <c:numCache>
                <c:formatCode>General</c:formatCode>
                <c:ptCount val="9"/>
                <c:pt idx="0">
                  <c:v>4.8733421027253145E-4</c:v>
                </c:pt>
                <c:pt idx="1">
                  <c:v>4.2681931689627609E-4</c:v>
                </c:pt>
                <c:pt idx="2">
                  <c:v>3.7816672172583815E-4</c:v>
                </c:pt>
                <c:pt idx="3">
                  <c:v>3.3848059252795508E-4</c:v>
                </c:pt>
                <c:pt idx="4">
                  <c:v>3.0565933040989319E-4</c:v>
                </c:pt>
                <c:pt idx="5">
                  <c:v>2.7815381973873724E-4</c:v>
                </c:pt>
                <c:pt idx="6">
                  <c:v>2.5480569211253047E-4</c:v>
                </c:pt>
                <c:pt idx="7">
                  <c:v>2.3473728740215643E-4</c:v>
                </c:pt>
                <c:pt idx="8">
                  <c:v>2.1727559466486548E-4</c:v>
                </c:pt>
              </c:numCache>
            </c:numRef>
          </c:yVal>
          <c:smooth val="0"/>
          <c:extLst>
            <c:ext xmlns:c16="http://schemas.microsoft.com/office/drawing/2014/chart" uri="{C3380CC4-5D6E-409C-BE32-E72D297353CC}">
              <c16:uniqueId val="{0000000E-DBDC-4D97-A335-7E8AEB53099A}"/>
            </c:ext>
          </c:extLst>
        </c:ser>
        <c:ser>
          <c:idx val="3"/>
          <c:order val="3"/>
          <c:tx>
            <c:v>Temperature boundary line 2</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DBDC-4D97-A335-7E8AEB53099A}"/>
                </c:ext>
              </c:extLst>
            </c:dLbl>
            <c:dLbl>
              <c:idx val="1"/>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DBDC-4D97-A335-7E8AEB53099A}"/>
                </c:ext>
              </c:extLst>
            </c:dLbl>
            <c:dLbl>
              <c:idx val="2"/>
              <c:tx>
                <c:rich>
                  <a:bodyPr/>
                  <a:lstStyle/>
                  <a:p>
                    <a:r>
                      <a:rPr lang="en-US"/>
                      <a:t>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DBDC-4D97-A335-7E8AEB53099A}"/>
                </c:ext>
              </c:extLst>
            </c:dLbl>
            <c:dLbl>
              <c:idx val="3"/>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DBDC-4D97-A335-7E8AEB53099A}"/>
                </c:ext>
              </c:extLst>
            </c:dLbl>
            <c:dLbl>
              <c:idx val="4"/>
              <c:tx>
                <c:rich>
                  <a:bodyPr/>
                  <a:lstStyle/>
                  <a:p>
                    <a:r>
                      <a:rPr lang="en-US"/>
                      <a:t>20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DBDC-4D97-A335-7E8AEB53099A}"/>
                </c:ext>
              </c:extLst>
            </c:dLbl>
            <c:dLbl>
              <c:idx val="5"/>
              <c:tx>
                <c:rich>
                  <a:bodyPr/>
                  <a:lstStyle/>
                  <a:p>
                    <a:r>
                      <a:rPr lang="en-US"/>
                      <a:t>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DBDC-4D97-A335-7E8AEB53099A}"/>
                </c:ext>
              </c:extLst>
            </c:dLbl>
            <c:dLbl>
              <c:idx val="6"/>
              <c:tx>
                <c:rich>
                  <a:bodyPr/>
                  <a:lstStyle/>
                  <a:p>
                    <a:r>
                      <a:rPr lang="en-US"/>
                      <a:t>30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DBDC-4D97-A335-7E8AEB53099A}"/>
                </c:ext>
              </c:extLst>
            </c:dLbl>
            <c:dLbl>
              <c:idx val="7"/>
              <c:tx>
                <c:rich>
                  <a:bodyPr/>
                  <a:lstStyle/>
                  <a:p>
                    <a:r>
                      <a:rPr lang="en-US"/>
                      <a:t>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DBDC-4D97-A335-7E8AEB53099A}"/>
                </c:ext>
              </c:extLst>
            </c:dLbl>
            <c:dLbl>
              <c:idx val="8"/>
              <c:tx>
                <c:rich>
                  <a:bodyPr/>
                  <a:lstStyle/>
                  <a:p>
                    <a:r>
                      <a:rPr lang="en-US"/>
                      <a:t>40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DBDC-4D97-A335-7E8AEB53099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Degassed_Graphs!$W$59:$W$67</c:f>
              <c:numCache>
                <c:formatCode>General</c:formatCode>
                <c:ptCount val="9"/>
                <c:pt idx="0">
                  <c:v>4.8931000269412092E-2</c:v>
                </c:pt>
                <c:pt idx="1">
                  <c:v>4.1878326973979002E-2</c:v>
                </c:pt>
                <c:pt idx="2">
                  <c:v>3.6248309855720764E-2</c:v>
                </c:pt>
                <c:pt idx="3">
                  <c:v>3.1715686908753614E-2</c:v>
                </c:pt>
                <c:pt idx="4">
                  <c:v>2.8033925730063861E-2</c:v>
                </c:pt>
                <c:pt idx="5">
                  <c:v>2.5014891782425747E-2</c:v>
                </c:pt>
                <c:pt idx="6">
                  <c:v>2.2513768397342204E-2</c:v>
                </c:pt>
                <c:pt idx="7">
                  <c:v>2.0417865699823203E-2</c:v>
                </c:pt>
                <c:pt idx="8">
                  <c:v>1.8638283690234417E-2</c:v>
                </c:pt>
              </c:numCache>
            </c:numRef>
          </c:xVal>
          <c:yVal>
            <c:numRef>
              <c:f>Degassed_Graphs!$L$59:$L$67</c:f>
              <c:numCache>
                <c:formatCode>General</c:formatCode>
                <c:ptCount val="9"/>
                <c:pt idx="0">
                  <c:v>5.8073421027253144E-4</c:v>
                </c:pt>
                <c:pt idx="1">
                  <c:v>5.2021931689627608E-4</c:v>
                </c:pt>
                <c:pt idx="2">
                  <c:v>4.7156672172583814E-4</c:v>
                </c:pt>
                <c:pt idx="3">
                  <c:v>4.3188059252795508E-4</c:v>
                </c:pt>
                <c:pt idx="4">
                  <c:v>3.9905933040989319E-4</c:v>
                </c:pt>
                <c:pt idx="5">
                  <c:v>3.7155381973873723E-4</c:v>
                </c:pt>
                <c:pt idx="6">
                  <c:v>3.4820569211253046E-4</c:v>
                </c:pt>
                <c:pt idx="7">
                  <c:v>3.2813728740215643E-4</c:v>
                </c:pt>
                <c:pt idx="8">
                  <c:v>3.1067559466486548E-4</c:v>
                </c:pt>
              </c:numCache>
            </c:numRef>
          </c:yVal>
          <c:smooth val="0"/>
          <c:extLst>
            <c:ext xmlns:c16="http://schemas.microsoft.com/office/drawing/2014/chart" uri="{C3380CC4-5D6E-409C-BE32-E72D297353CC}">
              <c16:uniqueId val="{00000018-DBDC-4D97-A335-7E8AEB53099A}"/>
            </c:ext>
          </c:extLst>
        </c:ser>
        <c:ser>
          <c:idx val="4"/>
          <c:order val="4"/>
          <c:tx>
            <c:v>UA model, green line</c:v>
          </c:tx>
          <c:spPr>
            <a:ln w="0">
              <a:solidFill>
                <a:srgbClr val="008000"/>
              </a:solidFill>
            </a:ln>
          </c:spPr>
          <c:marker>
            <c:symbol val="plus"/>
            <c:size val="7"/>
            <c:spPr>
              <a:ln w="0">
                <a:solidFill>
                  <a:srgbClr val="008000"/>
                </a:solidFill>
              </a:ln>
            </c:spPr>
          </c:marker>
          <c:xVal>
            <c:numRef>
              <c:f>Degassed_Graphs!$W$68:$W$74</c:f>
              <c:numCache>
                <c:formatCode>General</c:formatCode>
                <c:ptCount val="7"/>
                <c:pt idx="0">
                  <c:v>6.6843186739130686E-2</c:v>
                </c:pt>
                <c:pt idx="1">
                  <c:v>6.1667268725100574E-2</c:v>
                </c:pt>
                <c:pt idx="2">
                  <c:v>5.7288277153983255E-2</c:v>
                </c:pt>
                <c:pt idx="3">
                  <c:v>5.3535316352720713E-2</c:v>
                </c:pt>
                <c:pt idx="4">
                  <c:v>5.0283094139797715E-2</c:v>
                </c:pt>
                <c:pt idx="5">
                  <c:v>4.7437661554770687E-2</c:v>
                </c:pt>
                <c:pt idx="6">
                  <c:v>3.727739689043949E-2</c:v>
                </c:pt>
              </c:numCache>
            </c:numRef>
          </c:xVal>
          <c:yVal>
            <c:numRef>
              <c:f>Degassed_Graphs!$L$68:$L$74</c:f>
              <c:numCache>
                <c:formatCode>General</c:formatCode>
                <c:ptCount val="7"/>
                <c:pt idx="0">
                  <c:v>3.8710057276987686E-4</c:v>
                </c:pt>
                <c:pt idx="1">
                  <c:v>3.9644057276987685E-4</c:v>
                </c:pt>
                <c:pt idx="2">
                  <c:v>4.0578057276987684E-4</c:v>
                </c:pt>
                <c:pt idx="3">
                  <c:v>4.1512057276987688E-4</c:v>
                </c:pt>
                <c:pt idx="4">
                  <c:v>4.2446057276987687E-4</c:v>
                </c:pt>
                <c:pt idx="5">
                  <c:v>4.3380057276987686E-4</c:v>
                </c:pt>
                <c:pt idx="6">
                  <c:v>4.8050057276987685E-4</c:v>
                </c:pt>
              </c:numCache>
            </c:numRef>
          </c:yVal>
          <c:smooth val="0"/>
          <c:extLst>
            <c:ext xmlns:c16="http://schemas.microsoft.com/office/drawing/2014/chart" uri="{C3380CC4-5D6E-409C-BE32-E72D297353CC}">
              <c16:uniqueId val="{00000022-DBDC-4D97-A335-7E8AEB53099A}"/>
            </c:ext>
          </c:extLst>
        </c:ser>
        <c:ser>
          <c:idx val="5"/>
          <c:order val="5"/>
          <c:tx>
            <c:v>CE model, red line</c:v>
          </c:tx>
          <c:spPr>
            <a:ln w="19050" cap="rnd" cmpd="sng" algn="ctr">
              <a:solidFill>
                <a:srgbClr val="FF0000"/>
              </a:solidFill>
              <a:prstDash val="dot"/>
              <a:round/>
              <a:headEnd type="none" w="med" len="med"/>
              <a:tailEnd type="none" w="med" len="med"/>
            </a:ln>
          </c:spPr>
          <c:marker>
            <c:symbol val="none"/>
          </c:marker>
          <c:xVal>
            <c:numRef>
              <c:f>Degassed_Graphs!$W$82:$W$97</c:f>
              <c:numCache>
                <c:formatCode>General</c:formatCode>
                <c:ptCount val="16"/>
                <c:pt idx="0">
                  <c:v>6.6843186739130686E-2</c:v>
                </c:pt>
                <c:pt idx="1">
                  <c:v>8.2582981779098202E-2</c:v>
                </c:pt>
                <c:pt idx="2">
                  <c:v>8.7170140841545368E-2</c:v>
                </c:pt>
                <c:pt idx="3">
                  <c:v>9.0519122337695476E-2</c:v>
                </c:pt>
                <c:pt idx="4">
                  <c:v>9.3000880669874372E-2</c:v>
                </c:pt>
                <c:pt idx="5">
                  <c:v>9.6804409797184743E-2</c:v>
                </c:pt>
                <c:pt idx="6">
                  <c:v>9.8614683176320758E-2</c:v>
                </c:pt>
                <c:pt idx="7">
                  <c:v>9.9359683322811809E-2</c:v>
                </c:pt>
                <c:pt idx="8">
                  <c:v>9.9498611914304466E-2</c:v>
                </c:pt>
                <c:pt idx="9">
                  <c:v>9.9279907802012193E-2</c:v>
                </c:pt>
                <c:pt idx="10">
                  <c:v>9.8846720040904876E-2</c:v>
                </c:pt>
                <c:pt idx="11">
                  <c:v>9.8285387565217305E-2</c:v>
                </c:pt>
                <c:pt idx="12">
                  <c:v>9.7649753699699554E-2</c:v>
                </c:pt>
                <c:pt idx="13">
                  <c:v>9.4218860702798016E-2</c:v>
                </c:pt>
                <c:pt idx="14">
                  <c:v>9.1122547789517339E-2</c:v>
                </c:pt>
                <c:pt idx="15">
                  <c:v>8.3157241634193052E-2</c:v>
                </c:pt>
              </c:numCache>
            </c:numRef>
          </c:xVal>
          <c:yVal>
            <c:numRef>
              <c:f>Degassed_Graphs!$L$82:$L$97</c:f>
              <c:numCache>
                <c:formatCode>General</c:formatCode>
                <c:ptCount val="16"/>
                <c:pt idx="0">
                  <c:v>3.8710057276987686E-4</c:v>
                </c:pt>
                <c:pt idx="1">
                  <c:v>3.5578521297128038E-4</c:v>
                </c:pt>
                <c:pt idx="2">
                  <c:v>3.4364312013374538E-4</c:v>
                </c:pt>
                <c:pt idx="3">
                  <c:v>3.3319196591831109E-4</c:v>
                </c:pt>
                <c:pt idx="4">
                  <c:v>3.2410151820854951E-4</c:v>
                </c:pt>
                <c:pt idx="5">
                  <c:v>3.0582866553930673E-4</c:v>
                </c:pt>
                <c:pt idx="6">
                  <c:v>2.920429514378525E-4</c:v>
                </c:pt>
                <c:pt idx="7">
                  <c:v>2.8127230543991246E-4</c:v>
                </c:pt>
                <c:pt idx="8">
                  <c:v>2.7262509527962422E-4</c:v>
                </c:pt>
                <c:pt idx="9">
                  <c:v>2.6552971331522554E-4</c:v>
                </c:pt>
                <c:pt idx="10">
                  <c:v>2.5960282000609845E-4</c:v>
                </c:pt>
                <c:pt idx="11">
                  <c:v>2.5457772937972732E-4</c:v>
                </c:pt>
                <c:pt idx="12">
                  <c:v>2.5026317279471091E-4</c:v>
                </c:pt>
                <c:pt idx="13">
                  <c:v>2.3545141200413244E-4</c:v>
                </c:pt>
                <c:pt idx="14">
                  <c:v>2.2677427099302046E-4</c:v>
                </c:pt>
                <c:pt idx="15">
                  <c:v>2.1172190878343119E-4</c:v>
                </c:pt>
              </c:numCache>
            </c:numRef>
          </c:yVal>
          <c:smooth val="0"/>
          <c:extLst>
            <c:ext xmlns:c16="http://schemas.microsoft.com/office/drawing/2014/chart" uri="{C3380CC4-5D6E-409C-BE32-E72D297353CC}">
              <c16:uniqueId val="{00000023-DBDC-4D97-A335-7E8AEB53099A}"/>
            </c:ext>
          </c:extLst>
        </c:ser>
        <c:ser>
          <c:idx val="6"/>
          <c:order val="6"/>
          <c:tx>
            <c:v>GWMCO3</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Degassed_Graphs!$CG$4</c:f>
              <c:numCache>
                <c:formatCode>General</c:formatCode>
                <c:ptCount val="1"/>
                <c:pt idx="0">
                  <c:v>7.4999999999999997E-2</c:v>
                </c:pt>
              </c:numCache>
            </c:numRef>
          </c:xVal>
          <c:yVal>
            <c:numRef>
              <c:f>Degassed_Graphs!$BD$4</c:f>
              <c:numCache>
                <c:formatCode>General</c:formatCode>
                <c:ptCount val="1"/>
                <c:pt idx="0">
                  <c:v>3.6200000000000002E-4</c:v>
                </c:pt>
              </c:numCache>
            </c:numRef>
          </c:yVal>
          <c:smooth val="0"/>
          <c:extLst>
            <c:ext xmlns:c16="http://schemas.microsoft.com/office/drawing/2014/chart" uri="{C3380CC4-5D6E-409C-BE32-E72D297353CC}">
              <c16:uniqueId val="{00000024-DBDC-4D97-A335-7E8AEB53099A}"/>
            </c:ext>
          </c:extLst>
        </c:ser>
        <c:ser>
          <c:idx val="7"/>
          <c:order val="7"/>
          <c:tx>
            <c:v>GWMCO3</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Degassed_Graphs!$CG$5</c:f>
              <c:numCache>
                <c:formatCode>General</c:formatCode>
                <c:ptCount val="1"/>
                <c:pt idx="0">
                  <c:v>9.8477929984779305E-2</c:v>
                </c:pt>
              </c:numCache>
            </c:numRef>
          </c:xVal>
          <c:yVal>
            <c:numRef>
              <c:f>Degassed_Graphs!$BD$5</c:f>
              <c:numCache>
                <c:formatCode>General</c:formatCode>
                <c:ptCount val="1"/>
                <c:pt idx="0">
                  <c:v>3.166E-4</c:v>
                </c:pt>
              </c:numCache>
            </c:numRef>
          </c:yVal>
          <c:smooth val="0"/>
          <c:extLst>
            <c:ext xmlns:c16="http://schemas.microsoft.com/office/drawing/2014/chart" uri="{C3380CC4-5D6E-409C-BE32-E72D297353CC}">
              <c16:uniqueId val="{00000025-DBDC-4D97-A335-7E8AEB53099A}"/>
            </c:ext>
          </c:extLst>
        </c:ser>
        <c:ser>
          <c:idx val="8"/>
          <c:order val="8"/>
          <c:tx>
            <c:v>GWMCO3</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Degassed_Graphs!$CG$6</c:f>
              <c:numCache>
                <c:formatCode>General</c:formatCode>
                <c:ptCount val="1"/>
                <c:pt idx="0">
                  <c:v>9.938508839354343E-2</c:v>
                </c:pt>
              </c:numCache>
            </c:numRef>
          </c:xVal>
          <c:yVal>
            <c:numRef>
              <c:f>Degassed_Graphs!$BD$6</c:f>
              <c:numCache>
                <c:formatCode>General</c:formatCode>
                <c:ptCount val="1"/>
                <c:pt idx="0">
                  <c:v>3.1129999999999998E-4</c:v>
                </c:pt>
              </c:numCache>
            </c:numRef>
          </c:yVal>
          <c:smooth val="0"/>
          <c:extLst>
            <c:ext xmlns:c16="http://schemas.microsoft.com/office/drawing/2014/chart" uri="{C3380CC4-5D6E-409C-BE32-E72D297353CC}">
              <c16:uniqueId val="{00000026-DBDC-4D97-A335-7E8AEB53099A}"/>
            </c:ext>
          </c:extLst>
        </c:ser>
        <c:ser>
          <c:idx val="9"/>
          <c:order val="9"/>
          <c:tx>
            <c:v>GWMCO6</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Degassed_Graphs!$CG$7</c:f>
              <c:numCache>
                <c:formatCode>General</c:formatCode>
                <c:ptCount val="1"/>
                <c:pt idx="0">
                  <c:v>8.6919831223628688E-2</c:v>
                </c:pt>
              </c:numCache>
            </c:numRef>
          </c:xVal>
          <c:yVal>
            <c:numRef>
              <c:f>Degassed_Graphs!$BD$7</c:f>
              <c:numCache>
                <c:formatCode>General</c:formatCode>
                <c:ptCount val="1"/>
                <c:pt idx="0">
                  <c:v>3.2029999999999998E-4</c:v>
                </c:pt>
              </c:numCache>
            </c:numRef>
          </c:yVal>
          <c:smooth val="0"/>
          <c:extLst>
            <c:ext xmlns:c16="http://schemas.microsoft.com/office/drawing/2014/chart" uri="{C3380CC4-5D6E-409C-BE32-E72D297353CC}">
              <c16:uniqueId val="{00000027-DBDC-4D97-A335-7E8AEB53099A}"/>
            </c:ext>
          </c:extLst>
        </c:ser>
        <c:ser>
          <c:idx val="10"/>
          <c:order val="10"/>
          <c:tx>
            <c:v>GWMCO6</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Degassed_Graphs!$CG$8</c:f>
              <c:numCache>
                <c:formatCode>General</c:formatCode>
                <c:ptCount val="1"/>
                <c:pt idx="0">
                  <c:v>9.8393574297188757E-2</c:v>
                </c:pt>
              </c:numCache>
            </c:numRef>
          </c:xVal>
          <c:yVal>
            <c:numRef>
              <c:f>Degassed_Graphs!$BD$8</c:f>
              <c:numCache>
                <c:formatCode>General</c:formatCode>
                <c:ptCount val="1"/>
                <c:pt idx="0">
                  <c:v>3.0610000000000001E-4</c:v>
                </c:pt>
              </c:numCache>
            </c:numRef>
          </c:yVal>
          <c:smooth val="0"/>
          <c:extLst>
            <c:ext xmlns:c16="http://schemas.microsoft.com/office/drawing/2014/chart" uri="{C3380CC4-5D6E-409C-BE32-E72D297353CC}">
              <c16:uniqueId val="{00000028-DBDC-4D97-A335-7E8AEB53099A}"/>
            </c:ext>
          </c:extLst>
        </c:ser>
        <c:dLbls>
          <c:showLegendKey val="0"/>
          <c:showVal val="0"/>
          <c:showCatName val="0"/>
          <c:showSerName val="0"/>
          <c:showPercent val="0"/>
          <c:showBubbleSize val="0"/>
        </c:dLbls>
        <c:axId val="879748335"/>
        <c:axId val="629880111"/>
      </c:scatterChart>
      <c:valAx>
        <c:axId val="879748335"/>
        <c:scaling>
          <c:orientation val="minMax"/>
        </c:scaling>
        <c:delete val="0"/>
        <c:axPos val="b"/>
        <c:title>
          <c:tx>
            <c:strRef>
              <c:f>Degassed_Graphs!$C$24</c:f>
              <c:strCache>
                <c:ptCount val="1"/>
                <c:pt idx="0">
                  <c:v>Xe to Ne ratio</c:v>
                </c:pt>
              </c:strCache>
            </c:strRef>
          </c:tx>
          <c:overlay val="0"/>
        </c:title>
        <c:numFmt formatCode="General" sourceLinked="1"/>
        <c:majorTickMark val="none"/>
        <c:minorTickMark val="none"/>
        <c:tickLblPos val="nextTo"/>
        <c:crossAx val="629880111"/>
        <c:crosses val="autoZero"/>
        <c:crossBetween val="midCat"/>
      </c:valAx>
      <c:valAx>
        <c:axId val="629880111"/>
        <c:scaling>
          <c:orientation val="minMax"/>
        </c:scaling>
        <c:delete val="0"/>
        <c:axPos val="l"/>
        <c:title>
          <c:tx>
            <c:strRef>
              <c:f>Degassed_Graphs!$C$13</c:f>
              <c:strCache>
                <c:ptCount val="1"/>
                <c:pt idx="0">
                  <c:v>Ar, cm3/g</c:v>
                </c:pt>
              </c:strCache>
            </c:strRef>
          </c:tx>
          <c:overlay val="0"/>
        </c:title>
        <c:numFmt formatCode="General" sourceLinked="1"/>
        <c:majorTickMark val="none"/>
        <c:minorTickMark val="none"/>
        <c:tickLblPos val="nextTo"/>
        <c:crossAx val="879748335"/>
        <c:crosses val="autoZero"/>
        <c:crossBetween val="midCat"/>
      </c:valAx>
    </c:plotArea>
    <c:legend>
      <c:legendPos val="b"/>
      <c:overlay val="1"/>
      <c:spPr>
        <a:effectLst>
          <a:outerShdw blurRad="50800" dist="38100" dir="2700000" algn="tl">
            <a:prstClr val="black">
              <a:alpha val="40000"/>
            </a:prstClr>
          </a:outerShdw>
        </a:effectLst>
      </c:spPr>
      <c:txPr>
        <a:bodyPr/>
        <a:lstStyle/>
        <a:p>
          <a:pPr>
            <a:defRPr sz="8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Excess air boundary line 1</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AAF-47FA-9E34-D5ADB392FAC1}"/>
                </c:ext>
              </c:extLst>
            </c:dLbl>
            <c:dLbl>
              <c:idx val="1"/>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AAF-47FA-9E34-D5ADB392FAC1}"/>
                </c:ext>
              </c:extLst>
            </c:dLbl>
            <c:dLbl>
              <c:idx val="2"/>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AAF-47FA-9E34-D5ADB392FAC1}"/>
                </c:ext>
              </c:extLst>
            </c:dLbl>
            <c:dLbl>
              <c:idx val="3"/>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AAF-47FA-9E34-D5ADB392FAC1}"/>
                </c:ext>
              </c:extLst>
            </c:dLbl>
            <c:dLbl>
              <c:idx val="4"/>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AAF-47FA-9E34-D5ADB392FAC1}"/>
                </c:ext>
              </c:extLst>
            </c:dLbl>
            <c:dLbl>
              <c:idx val="5"/>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AAF-47FA-9E34-D5ADB392FAC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Degassed_Graphs!$W$108:$W$113</c:f>
              <c:numCache>
                <c:formatCode>General</c:formatCode>
                <c:ptCount val="6"/>
                <c:pt idx="0">
                  <c:v>8.5341835694298318E-2</c:v>
                </c:pt>
                <c:pt idx="1">
                  <c:v>7.3935045575762706E-2</c:v>
                </c:pt>
                <c:pt idx="2">
                  <c:v>6.5357972896831776E-2</c:v>
                </c:pt>
                <c:pt idx="3">
                  <c:v>5.867384647203281E-2</c:v>
                </c:pt>
                <c:pt idx="4">
                  <c:v>5.3318289504000728E-2</c:v>
                </c:pt>
                <c:pt idx="5">
                  <c:v>4.8931000269412092E-2</c:v>
                </c:pt>
              </c:numCache>
            </c:numRef>
          </c:xVal>
          <c:yVal>
            <c:numRef>
              <c:f>Degassed_Graphs!$M$108:$M$113</c:f>
              <c:numCache>
                <c:formatCode>General</c:formatCode>
                <c:ptCount val="6"/>
                <c:pt idx="0">
                  <c:v>1.2144620723174379E-7</c:v>
                </c:pt>
                <c:pt idx="1">
                  <c:v>1.2372620723174378E-7</c:v>
                </c:pt>
                <c:pt idx="2">
                  <c:v>1.260062072317438E-7</c:v>
                </c:pt>
                <c:pt idx="3">
                  <c:v>1.2828620723174379E-7</c:v>
                </c:pt>
                <c:pt idx="4">
                  <c:v>1.3056620723174378E-7</c:v>
                </c:pt>
                <c:pt idx="5">
                  <c:v>1.328462072317438E-7</c:v>
                </c:pt>
              </c:numCache>
            </c:numRef>
          </c:yVal>
          <c:smooth val="0"/>
          <c:extLst>
            <c:ext xmlns:c16="http://schemas.microsoft.com/office/drawing/2014/chart" uri="{C3380CC4-5D6E-409C-BE32-E72D297353CC}">
              <c16:uniqueId val="{00000000-FAAF-47FA-9E34-D5ADB392FAC1}"/>
            </c:ext>
          </c:extLst>
        </c:ser>
        <c:ser>
          <c:idx val="1"/>
          <c:order val="1"/>
          <c:tx>
            <c:v>Excess air boundary line 2</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AAF-47FA-9E34-D5ADB392FAC1}"/>
                </c:ext>
              </c:extLst>
            </c:dLbl>
            <c:dLbl>
              <c:idx val="1"/>
              <c:tx>
                <c:rich>
                  <a:bodyPr/>
                  <a:lstStyle/>
                  <a:p>
                    <a:r>
                      <a:rPr lang="en-US"/>
                      <a:t>2</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AAF-47FA-9E34-D5ADB392FAC1}"/>
                </c:ext>
              </c:extLst>
            </c:dLbl>
            <c:dLbl>
              <c:idx val="2"/>
              <c:tx>
                <c:rich>
                  <a:bodyPr/>
                  <a:lstStyle/>
                  <a:p>
                    <a:r>
                      <a:rPr lang="en-US"/>
                      <a:t>4</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AAF-47FA-9E34-D5ADB392FAC1}"/>
                </c:ext>
              </c:extLst>
            </c:dLbl>
            <c:dLbl>
              <c:idx val="3"/>
              <c:tx>
                <c:rich>
                  <a:bodyPr/>
                  <a:lstStyle/>
                  <a:p>
                    <a:r>
                      <a:rPr lang="en-US"/>
                      <a:t>6</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AAF-47FA-9E34-D5ADB392FAC1}"/>
                </c:ext>
              </c:extLst>
            </c:dLbl>
            <c:dLbl>
              <c:idx val="4"/>
              <c:tx>
                <c:rich>
                  <a:bodyPr/>
                  <a:lstStyle/>
                  <a:p>
                    <a:r>
                      <a:rPr lang="en-US"/>
                      <a:t>8</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AAF-47FA-9E34-D5ADB392FAC1}"/>
                </c:ext>
              </c:extLst>
            </c:dLbl>
            <c:dLbl>
              <c:idx val="5"/>
              <c:tx>
                <c:rich>
                  <a:bodyPr/>
                  <a:lstStyle/>
                  <a:p>
                    <a:r>
                      <a:rPr lang="en-US"/>
                      <a:t>10</a:t>
                    </a:r>
                  </a:p>
                </c:rich>
              </c:tx>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AAF-47FA-9E34-D5ADB392FAC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Degassed_Graphs!$W$114:$W$119</c:f>
              <c:numCache>
                <c:formatCode>General</c:formatCode>
                <c:ptCount val="6"/>
                <c:pt idx="0">
                  <c:v>3.4491139540131117E-2</c:v>
                </c:pt>
                <c:pt idx="1">
                  <c:v>2.8958517186073552E-2</c:v>
                </c:pt>
                <c:pt idx="2">
                  <c:v>2.5163204780504281E-2</c:v>
                </c:pt>
                <c:pt idx="3">
                  <c:v>2.239794210745703E-2</c:v>
                </c:pt>
                <c:pt idx="4">
                  <c:v>2.0293499666585255E-2</c:v>
                </c:pt>
                <c:pt idx="5">
                  <c:v>1.8638283690234417E-2</c:v>
                </c:pt>
              </c:numCache>
            </c:numRef>
          </c:xVal>
          <c:yVal>
            <c:numRef>
              <c:f>Degassed_Graphs!$M$114:$M$119</c:f>
              <c:numCache>
                <c:formatCode>General</c:formatCode>
                <c:ptCount val="6"/>
                <c:pt idx="0">
                  <c:v>4.4206395020568768E-8</c:v>
                </c:pt>
                <c:pt idx="1">
                  <c:v>4.6486395020568766E-8</c:v>
                </c:pt>
                <c:pt idx="2">
                  <c:v>4.8766395020568771E-8</c:v>
                </c:pt>
                <c:pt idx="3">
                  <c:v>5.1046395020568769E-8</c:v>
                </c:pt>
                <c:pt idx="4">
                  <c:v>5.3326395020568766E-8</c:v>
                </c:pt>
                <c:pt idx="5">
                  <c:v>5.5606395020568771E-8</c:v>
                </c:pt>
              </c:numCache>
            </c:numRef>
          </c:yVal>
          <c:smooth val="0"/>
          <c:extLst>
            <c:ext xmlns:c16="http://schemas.microsoft.com/office/drawing/2014/chart" uri="{C3380CC4-5D6E-409C-BE32-E72D297353CC}">
              <c16:uniqueId val="{00000007-FAAF-47FA-9E34-D5ADB392FAC1}"/>
            </c:ext>
          </c:extLst>
        </c:ser>
        <c:ser>
          <c:idx val="2"/>
          <c:order val="2"/>
          <c:tx>
            <c:v>Temperature boundary line 1</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AAF-47FA-9E34-D5ADB392FAC1}"/>
                </c:ext>
              </c:extLst>
            </c:dLbl>
            <c:dLbl>
              <c:idx val="1"/>
              <c:tx>
                <c:rich>
                  <a:bodyPr/>
                  <a:lstStyle/>
                  <a:p>
                    <a:r>
                      <a:rPr lang="en-US"/>
                      <a:t>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AAF-47FA-9E34-D5ADB392FAC1}"/>
                </c:ext>
              </c:extLst>
            </c:dLbl>
            <c:dLbl>
              <c:idx val="2"/>
              <c:tx>
                <c:rich>
                  <a:bodyPr/>
                  <a:lstStyle/>
                  <a:p>
                    <a:r>
                      <a:rPr lang="en-US"/>
                      <a:t>10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AAF-47FA-9E34-D5ADB392FAC1}"/>
                </c:ext>
              </c:extLst>
            </c:dLbl>
            <c:dLbl>
              <c:idx val="3"/>
              <c:tx>
                <c:rich>
                  <a:bodyPr/>
                  <a:lstStyle/>
                  <a:p>
                    <a:r>
                      <a:rPr lang="en-US"/>
                      <a:t>15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AAF-47FA-9E34-D5ADB392FAC1}"/>
                </c:ext>
              </c:extLst>
            </c:dLbl>
            <c:dLbl>
              <c:idx val="4"/>
              <c:tx>
                <c:rich>
                  <a:bodyPr/>
                  <a:lstStyle/>
                  <a:p>
                    <a:r>
                      <a:rPr lang="en-US"/>
                      <a:t>20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AAF-47FA-9E34-D5ADB392FAC1}"/>
                </c:ext>
              </c:extLst>
            </c:dLbl>
            <c:dLbl>
              <c:idx val="5"/>
              <c:tx>
                <c:rich>
                  <a:bodyPr/>
                  <a:lstStyle/>
                  <a:p>
                    <a:r>
                      <a:rPr lang="en-US"/>
                      <a:t>25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FAAF-47FA-9E34-D5ADB392FAC1}"/>
                </c:ext>
              </c:extLst>
            </c:dLbl>
            <c:dLbl>
              <c:idx val="6"/>
              <c:tx>
                <c:rich>
                  <a:bodyPr/>
                  <a:lstStyle/>
                  <a:p>
                    <a:r>
                      <a:rPr lang="en-US"/>
                      <a:t>30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FAAF-47FA-9E34-D5ADB392FAC1}"/>
                </c:ext>
              </c:extLst>
            </c:dLbl>
            <c:dLbl>
              <c:idx val="7"/>
              <c:tx>
                <c:rich>
                  <a:bodyPr/>
                  <a:lstStyle/>
                  <a:p>
                    <a:r>
                      <a:rPr lang="en-US"/>
                      <a:t>35</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FAAF-47FA-9E34-D5ADB392FAC1}"/>
                </c:ext>
              </c:extLst>
            </c:dLbl>
            <c:dLbl>
              <c:idx val="8"/>
              <c:tx>
                <c:rich>
                  <a:bodyPr/>
                  <a:lstStyle/>
                  <a:p>
                    <a:r>
                      <a:rPr lang="en-US"/>
                      <a:t>40</a:t>
                    </a:r>
                  </a:p>
                </c:rich>
              </c:tx>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FAAF-47FA-9E34-D5ADB392FAC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Degassed_Graphs!$W$120:$W$128</c:f>
              <c:numCache>
                <c:formatCode>General</c:formatCode>
                <c:ptCount val="9"/>
                <c:pt idx="0">
                  <c:v>8.5341835694298318E-2</c:v>
                </c:pt>
                <c:pt idx="1">
                  <c:v>7.4276316530055189E-2</c:v>
                </c:pt>
                <c:pt idx="2">
                  <c:v>6.5154955080205509E-2</c:v>
                </c:pt>
                <c:pt idx="3">
                  <c:v>5.7597344829330946E-2</c:v>
                </c:pt>
                <c:pt idx="4">
                  <c:v>5.1300209773899041E-2</c:v>
                </c:pt>
                <c:pt idx="5">
                  <c:v>4.6020383199739348E-2</c:v>
                </c:pt>
                <c:pt idx="6">
                  <c:v>4.1561363308491708E-2</c:v>
                </c:pt>
                <c:pt idx="7">
                  <c:v>3.7762640077117701E-2</c:v>
                </c:pt>
                <c:pt idx="8">
                  <c:v>3.4491139540131117E-2</c:v>
                </c:pt>
              </c:numCache>
            </c:numRef>
          </c:xVal>
          <c:yVal>
            <c:numRef>
              <c:f>Degassed_Graphs!$M$120:$M$128</c:f>
              <c:numCache>
                <c:formatCode>General</c:formatCode>
                <c:ptCount val="9"/>
                <c:pt idx="0">
                  <c:v>1.2144620723174379E-7</c:v>
                </c:pt>
                <c:pt idx="1">
                  <c:v>1.0343243579446915E-7</c:v>
                </c:pt>
                <c:pt idx="2">
                  <c:v>8.9120714132768023E-8</c:v>
                </c:pt>
                <c:pt idx="3">
                  <c:v>7.7608133833010802E-8</c:v>
                </c:pt>
                <c:pt idx="4">
                  <c:v>6.8239502837068307E-8</c:v>
                </c:pt>
                <c:pt idx="5">
                  <c:v>6.0532720134254914E-8</c:v>
                </c:pt>
                <c:pt idx="6">
                  <c:v>5.4128393065246574E-8</c:v>
                </c:pt>
                <c:pt idx="7">
                  <c:v>4.8755303333734789E-8</c:v>
                </c:pt>
                <c:pt idx="8">
                  <c:v>4.4206395020568768E-8</c:v>
                </c:pt>
              </c:numCache>
            </c:numRef>
          </c:yVal>
          <c:smooth val="0"/>
          <c:extLst>
            <c:ext xmlns:c16="http://schemas.microsoft.com/office/drawing/2014/chart" uri="{C3380CC4-5D6E-409C-BE32-E72D297353CC}">
              <c16:uniqueId val="{0000000E-FAAF-47FA-9E34-D5ADB392FAC1}"/>
            </c:ext>
          </c:extLst>
        </c:ser>
        <c:ser>
          <c:idx val="3"/>
          <c:order val="3"/>
          <c:tx>
            <c:v>Temperature boundary line 2</c:v>
          </c:tx>
          <c:spPr>
            <a:ln w="0">
              <a:solidFill>
                <a:srgbClr val="080808"/>
              </a:solidFill>
            </a:ln>
          </c:spPr>
          <c:marker>
            <c:symbol val="plus"/>
            <c:size val="7"/>
            <c:spPr>
              <a:ln w="0">
                <a:solidFill>
                  <a:srgbClr val="080808"/>
                </a:solidFill>
              </a:ln>
            </c:spPr>
          </c:marker>
          <c:dLbls>
            <c:dLbl>
              <c:idx val="0"/>
              <c:tx>
                <c:rich>
                  <a:bodyPr/>
                  <a:lstStyle/>
                  <a:p>
                    <a:r>
                      <a:rPr lang="en-US"/>
                      <a:t>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FAAF-47FA-9E34-D5ADB392FAC1}"/>
                </c:ext>
              </c:extLst>
            </c:dLbl>
            <c:dLbl>
              <c:idx val="1"/>
              <c:tx>
                <c:rich>
                  <a:bodyPr/>
                  <a:lstStyle/>
                  <a:p>
                    <a:r>
                      <a:rPr lang="en-US"/>
                      <a:t>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FAAF-47FA-9E34-D5ADB392FAC1}"/>
                </c:ext>
              </c:extLst>
            </c:dLbl>
            <c:dLbl>
              <c:idx val="2"/>
              <c:tx>
                <c:rich>
                  <a:bodyPr/>
                  <a:lstStyle/>
                  <a:p>
                    <a:r>
                      <a:rPr lang="en-US"/>
                      <a:t>10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FAAF-47FA-9E34-D5ADB392FAC1}"/>
                </c:ext>
              </c:extLst>
            </c:dLbl>
            <c:dLbl>
              <c:idx val="3"/>
              <c:tx>
                <c:rich>
                  <a:bodyPr/>
                  <a:lstStyle/>
                  <a:p>
                    <a:r>
                      <a:rPr lang="en-US"/>
                      <a:t>15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FAAF-47FA-9E34-D5ADB392FAC1}"/>
                </c:ext>
              </c:extLst>
            </c:dLbl>
            <c:dLbl>
              <c:idx val="4"/>
              <c:tx>
                <c:rich>
                  <a:bodyPr/>
                  <a:lstStyle/>
                  <a:p>
                    <a:r>
                      <a:rPr lang="en-US"/>
                      <a:t>20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FAAF-47FA-9E34-D5ADB392FAC1}"/>
                </c:ext>
              </c:extLst>
            </c:dLbl>
            <c:dLbl>
              <c:idx val="5"/>
              <c:tx>
                <c:rich>
                  <a:bodyPr/>
                  <a:lstStyle/>
                  <a:p>
                    <a:r>
                      <a:rPr lang="en-US"/>
                      <a:t>25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FAAF-47FA-9E34-D5ADB392FAC1}"/>
                </c:ext>
              </c:extLst>
            </c:dLbl>
            <c:dLbl>
              <c:idx val="6"/>
              <c:tx>
                <c:rich>
                  <a:bodyPr/>
                  <a:lstStyle/>
                  <a:p>
                    <a:r>
                      <a:rPr lang="en-US"/>
                      <a:t>30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FAAF-47FA-9E34-D5ADB392FAC1}"/>
                </c:ext>
              </c:extLst>
            </c:dLbl>
            <c:dLbl>
              <c:idx val="7"/>
              <c:tx>
                <c:rich>
                  <a:bodyPr/>
                  <a:lstStyle/>
                  <a:p>
                    <a:r>
                      <a:rPr lang="en-US"/>
                      <a:t>35</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FAAF-47FA-9E34-D5ADB392FAC1}"/>
                </c:ext>
              </c:extLst>
            </c:dLbl>
            <c:dLbl>
              <c:idx val="8"/>
              <c:tx>
                <c:rich>
                  <a:bodyPr/>
                  <a:lstStyle/>
                  <a:p>
                    <a:r>
                      <a:rPr lang="en-US"/>
                      <a:t>40</a:t>
                    </a:r>
                  </a:p>
                </c:rich>
              </c:tx>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FAAF-47FA-9E34-D5ADB392FAC1}"/>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Degassed_Graphs!$W$129:$W$137</c:f>
              <c:numCache>
                <c:formatCode>General</c:formatCode>
                <c:ptCount val="9"/>
                <c:pt idx="0">
                  <c:v>4.8931000269412092E-2</c:v>
                </c:pt>
                <c:pt idx="1">
                  <c:v>4.1878326973979002E-2</c:v>
                </c:pt>
                <c:pt idx="2">
                  <c:v>3.6248309855720764E-2</c:v>
                </c:pt>
                <c:pt idx="3">
                  <c:v>3.1715686908753614E-2</c:v>
                </c:pt>
                <c:pt idx="4">
                  <c:v>2.8033925730063861E-2</c:v>
                </c:pt>
                <c:pt idx="5">
                  <c:v>2.5014891782425747E-2</c:v>
                </c:pt>
                <c:pt idx="6">
                  <c:v>2.2513768397342204E-2</c:v>
                </c:pt>
                <c:pt idx="7">
                  <c:v>2.0417865699823203E-2</c:v>
                </c:pt>
                <c:pt idx="8">
                  <c:v>1.8638283690234417E-2</c:v>
                </c:pt>
              </c:numCache>
            </c:numRef>
          </c:xVal>
          <c:yVal>
            <c:numRef>
              <c:f>Degassed_Graphs!$M$129:$M$137</c:f>
              <c:numCache>
                <c:formatCode>General</c:formatCode>
                <c:ptCount val="9"/>
                <c:pt idx="0">
                  <c:v>1.328462072317438E-7</c:v>
                </c:pt>
                <c:pt idx="1">
                  <c:v>1.1483243579446915E-7</c:v>
                </c:pt>
                <c:pt idx="2">
                  <c:v>1.0052071413276802E-7</c:v>
                </c:pt>
                <c:pt idx="3">
                  <c:v>8.9008133833010798E-8</c:v>
                </c:pt>
                <c:pt idx="4">
                  <c:v>7.9639502837068303E-8</c:v>
                </c:pt>
                <c:pt idx="5">
                  <c:v>7.193272013425491E-8</c:v>
                </c:pt>
                <c:pt idx="6">
                  <c:v>6.5528393065246576E-8</c:v>
                </c:pt>
                <c:pt idx="7">
                  <c:v>6.0155303333734792E-8</c:v>
                </c:pt>
                <c:pt idx="8">
                  <c:v>5.5606395020568771E-8</c:v>
                </c:pt>
              </c:numCache>
            </c:numRef>
          </c:yVal>
          <c:smooth val="0"/>
          <c:extLst>
            <c:ext xmlns:c16="http://schemas.microsoft.com/office/drawing/2014/chart" uri="{C3380CC4-5D6E-409C-BE32-E72D297353CC}">
              <c16:uniqueId val="{00000018-FAAF-47FA-9E34-D5ADB392FAC1}"/>
            </c:ext>
          </c:extLst>
        </c:ser>
        <c:ser>
          <c:idx val="4"/>
          <c:order val="4"/>
          <c:tx>
            <c:v>UA model, green line</c:v>
          </c:tx>
          <c:spPr>
            <a:ln w="0">
              <a:solidFill>
                <a:srgbClr val="008000"/>
              </a:solidFill>
            </a:ln>
          </c:spPr>
          <c:marker>
            <c:symbol val="plus"/>
            <c:size val="7"/>
            <c:spPr>
              <a:ln w="0">
                <a:solidFill>
                  <a:srgbClr val="008000"/>
                </a:solidFill>
              </a:ln>
            </c:spPr>
          </c:marker>
          <c:xVal>
            <c:numRef>
              <c:f>Degassed_Graphs!$W$138:$W$144</c:f>
              <c:numCache>
                <c:formatCode>General</c:formatCode>
                <c:ptCount val="7"/>
                <c:pt idx="0">
                  <c:v>6.6843186739130686E-2</c:v>
                </c:pt>
                <c:pt idx="1">
                  <c:v>6.1667268725100574E-2</c:v>
                </c:pt>
                <c:pt idx="2">
                  <c:v>5.7288277153983255E-2</c:v>
                </c:pt>
                <c:pt idx="3">
                  <c:v>5.3535316352720713E-2</c:v>
                </c:pt>
                <c:pt idx="4">
                  <c:v>5.0283094139797715E-2</c:v>
                </c:pt>
                <c:pt idx="5">
                  <c:v>4.7437661554770687E-2</c:v>
                </c:pt>
                <c:pt idx="6">
                  <c:v>3.727739689043949E-2</c:v>
                </c:pt>
              </c:numCache>
            </c:numRef>
          </c:xVal>
          <c:yVal>
            <c:numRef>
              <c:f>Degassed_Graphs!$M$138:$M$144</c:f>
              <c:numCache>
                <c:formatCode>General</c:formatCode>
                <c:ptCount val="7"/>
                <c:pt idx="0">
                  <c:v>9.1734378529226385E-8</c:v>
                </c:pt>
                <c:pt idx="1">
                  <c:v>9.287437852922638E-8</c:v>
                </c:pt>
                <c:pt idx="2">
                  <c:v>9.4014378529226389E-8</c:v>
                </c:pt>
                <c:pt idx="3">
                  <c:v>9.5154378529226385E-8</c:v>
                </c:pt>
                <c:pt idx="4">
                  <c:v>9.6294378529226381E-8</c:v>
                </c:pt>
                <c:pt idx="5">
                  <c:v>9.7434378529226389E-8</c:v>
                </c:pt>
                <c:pt idx="6">
                  <c:v>1.0313437852922638E-7</c:v>
                </c:pt>
              </c:numCache>
            </c:numRef>
          </c:yVal>
          <c:smooth val="0"/>
          <c:extLst>
            <c:ext xmlns:c16="http://schemas.microsoft.com/office/drawing/2014/chart" uri="{C3380CC4-5D6E-409C-BE32-E72D297353CC}">
              <c16:uniqueId val="{00000022-FAAF-47FA-9E34-D5ADB392FAC1}"/>
            </c:ext>
          </c:extLst>
        </c:ser>
        <c:ser>
          <c:idx val="5"/>
          <c:order val="5"/>
          <c:tx>
            <c:v>CE model, red line</c:v>
          </c:tx>
          <c:spPr>
            <a:ln w="19050" cap="rnd" cmpd="sng" algn="ctr">
              <a:solidFill>
                <a:srgbClr val="FF0000"/>
              </a:solidFill>
              <a:prstDash val="dot"/>
              <a:round/>
              <a:headEnd type="none" w="med" len="med"/>
              <a:tailEnd type="none" w="med" len="med"/>
            </a:ln>
          </c:spPr>
          <c:marker>
            <c:symbol val="none"/>
          </c:marker>
          <c:xVal>
            <c:numRef>
              <c:f>Degassed_Graphs!$W$152:$W$167</c:f>
              <c:numCache>
                <c:formatCode>General</c:formatCode>
                <c:ptCount val="16"/>
                <c:pt idx="0">
                  <c:v>6.6843186739130686E-2</c:v>
                </c:pt>
                <c:pt idx="1">
                  <c:v>8.2582981779098202E-2</c:v>
                </c:pt>
                <c:pt idx="2">
                  <c:v>8.7170140841545368E-2</c:v>
                </c:pt>
                <c:pt idx="3">
                  <c:v>9.0519122337695476E-2</c:v>
                </c:pt>
                <c:pt idx="4">
                  <c:v>9.3000880669874372E-2</c:v>
                </c:pt>
                <c:pt idx="5">
                  <c:v>9.6804409797184743E-2</c:v>
                </c:pt>
                <c:pt idx="6">
                  <c:v>9.8614683176320758E-2</c:v>
                </c:pt>
                <c:pt idx="7">
                  <c:v>9.9359683322811809E-2</c:v>
                </c:pt>
                <c:pt idx="8">
                  <c:v>9.9498611914304466E-2</c:v>
                </c:pt>
                <c:pt idx="9">
                  <c:v>9.9279907802012193E-2</c:v>
                </c:pt>
                <c:pt idx="10">
                  <c:v>9.8846720040904876E-2</c:v>
                </c:pt>
                <c:pt idx="11">
                  <c:v>9.8285387565217305E-2</c:v>
                </c:pt>
                <c:pt idx="12">
                  <c:v>9.7649753699699554E-2</c:v>
                </c:pt>
                <c:pt idx="13">
                  <c:v>9.4218860702798016E-2</c:v>
                </c:pt>
                <c:pt idx="14">
                  <c:v>9.1122547789517339E-2</c:v>
                </c:pt>
                <c:pt idx="15">
                  <c:v>8.3157241634193052E-2</c:v>
                </c:pt>
              </c:numCache>
            </c:numRef>
          </c:xVal>
          <c:yVal>
            <c:numRef>
              <c:f>Degassed_Graphs!$M$152:$M$167</c:f>
              <c:numCache>
                <c:formatCode>General</c:formatCode>
                <c:ptCount val="16"/>
                <c:pt idx="0">
                  <c:v>9.1734378529226385E-8</c:v>
                </c:pt>
                <c:pt idx="1">
                  <c:v>8.7586727508085531E-8</c:v>
                </c:pt>
                <c:pt idx="2">
                  <c:v>8.5782029733033052E-8</c:v>
                </c:pt>
                <c:pt idx="3">
                  <c:v>8.4126992669217114E-8</c:v>
                </c:pt>
                <c:pt idx="4">
                  <c:v>8.2603740823218099E-8</c:v>
                </c:pt>
                <c:pt idx="5">
                  <c:v>7.9278225640952729E-8</c:v>
                </c:pt>
                <c:pt idx="6">
                  <c:v>7.6504806350245311E-8</c:v>
                </c:pt>
                <c:pt idx="7">
                  <c:v>7.4156533958684046E-8</c:v>
                </c:pt>
                <c:pt idx="8">
                  <c:v>7.2142609575460179E-8</c:v>
                </c:pt>
                <c:pt idx="9">
                  <c:v>7.0396371916793879E-8</c:v>
                </c:pt>
                <c:pt idx="10">
                  <c:v>6.8867776337968965E-8</c:v>
                </c:pt>
                <c:pt idx="11">
                  <c:v>6.7518521025446782E-8</c:v>
                </c:pt>
                <c:pt idx="12">
                  <c:v>6.6318793571833865E-8</c:v>
                </c:pt>
                <c:pt idx="13">
                  <c:v>6.1881835408850636E-8</c:v>
                </c:pt>
                <c:pt idx="14">
                  <c:v>5.9026856740555529E-8</c:v>
                </c:pt>
                <c:pt idx="15">
                  <c:v>5.3549011452531937E-8</c:v>
                </c:pt>
              </c:numCache>
            </c:numRef>
          </c:yVal>
          <c:smooth val="0"/>
          <c:extLst>
            <c:ext xmlns:c16="http://schemas.microsoft.com/office/drawing/2014/chart" uri="{C3380CC4-5D6E-409C-BE32-E72D297353CC}">
              <c16:uniqueId val="{00000023-FAAF-47FA-9E34-D5ADB392FAC1}"/>
            </c:ext>
          </c:extLst>
        </c:ser>
        <c:ser>
          <c:idx val="6"/>
          <c:order val="6"/>
          <c:tx>
            <c:v>GWMCO3</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Degassed_Graphs!$CG$9</c:f>
              <c:numCache>
                <c:formatCode>General</c:formatCode>
                <c:ptCount val="1"/>
                <c:pt idx="0">
                  <c:v>7.4999999999999997E-2</c:v>
                </c:pt>
              </c:numCache>
            </c:numRef>
          </c:xVal>
          <c:yVal>
            <c:numRef>
              <c:f>Degassed_Graphs!$BG$9</c:f>
              <c:numCache>
                <c:formatCode>General</c:formatCode>
                <c:ptCount val="1"/>
                <c:pt idx="0">
                  <c:v>8.6299999999999999E-8</c:v>
                </c:pt>
              </c:numCache>
            </c:numRef>
          </c:yVal>
          <c:smooth val="0"/>
          <c:extLst>
            <c:ext xmlns:c16="http://schemas.microsoft.com/office/drawing/2014/chart" uri="{C3380CC4-5D6E-409C-BE32-E72D297353CC}">
              <c16:uniqueId val="{00000024-FAAF-47FA-9E34-D5ADB392FAC1}"/>
            </c:ext>
          </c:extLst>
        </c:ser>
        <c:ser>
          <c:idx val="7"/>
          <c:order val="7"/>
          <c:tx>
            <c:v>GWMCO3</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Degassed_Graphs!$CG$10</c:f>
              <c:numCache>
                <c:formatCode>General</c:formatCode>
                <c:ptCount val="1"/>
                <c:pt idx="0">
                  <c:v>9.8477929984779305E-2</c:v>
                </c:pt>
              </c:numCache>
            </c:numRef>
          </c:xVal>
          <c:yVal>
            <c:numRef>
              <c:f>Degassed_Graphs!$BG$10</c:f>
              <c:numCache>
                <c:formatCode>General</c:formatCode>
                <c:ptCount val="1"/>
                <c:pt idx="0">
                  <c:v>8.0280000000000002E-8</c:v>
                </c:pt>
              </c:numCache>
            </c:numRef>
          </c:yVal>
          <c:smooth val="0"/>
          <c:extLst>
            <c:ext xmlns:c16="http://schemas.microsoft.com/office/drawing/2014/chart" uri="{C3380CC4-5D6E-409C-BE32-E72D297353CC}">
              <c16:uniqueId val="{00000025-FAAF-47FA-9E34-D5ADB392FAC1}"/>
            </c:ext>
          </c:extLst>
        </c:ser>
        <c:ser>
          <c:idx val="8"/>
          <c:order val="8"/>
          <c:tx>
            <c:v>GWMCO3</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Degassed_Graphs!$CG$11</c:f>
              <c:numCache>
                <c:formatCode>General</c:formatCode>
                <c:ptCount val="1"/>
                <c:pt idx="0">
                  <c:v>9.938508839354343E-2</c:v>
                </c:pt>
              </c:numCache>
            </c:numRef>
          </c:xVal>
          <c:yVal>
            <c:numRef>
              <c:f>Degassed_Graphs!$BG$11</c:f>
              <c:numCache>
                <c:formatCode>General</c:formatCode>
                <c:ptCount val="1"/>
                <c:pt idx="0">
                  <c:v>7.8230000000000006E-8</c:v>
                </c:pt>
              </c:numCache>
            </c:numRef>
          </c:yVal>
          <c:smooth val="0"/>
          <c:extLst>
            <c:ext xmlns:c16="http://schemas.microsoft.com/office/drawing/2014/chart" uri="{C3380CC4-5D6E-409C-BE32-E72D297353CC}">
              <c16:uniqueId val="{00000026-FAAF-47FA-9E34-D5ADB392FAC1}"/>
            </c:ext>
          </c:extLst>
        </c:ser>
        <c:ser>
          <c:idx val="9"/>
          <c:order val="9"/>
          <c:tx>
            <c:v>GWMCO6</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Degassed_Graphs!$CG$12</c:f>
              <c:numCache>
                <c:formatCode>General</c:formatCode>
                <c:ptCount val="1"/>
                <c:pt idx="0">
                  <c:v>8.6919831223628688E-2</c:v>
                </c:pt>
              </c:numCache>
            </c:numRef>
          </c:xVal>
          <c:yVal>
            <c:numRef>
              <c:f>Degassed_Graphs!$BG$12</c:f>
              <c:numCache>
                <c:formatCode>General</c:formatCode>
                <c:ptCount val="1"/>
                <c:pt idx="0">
                  <c:v>8.2539999999999997E-8</c:v>
                </c:pt>
              </c:numCache>
            </c:numRef>
          </c:yVal>
          <c:smooth val="0"/>
          <c:extLst>
            <c:ext xmlns:c16="http://schemas.microsoft.com/office/drawing/2014/chart" uri="{C3380CC4-5D6E-409C-BE32-E72D297353CC}">
              <c16:uniqueId val="{00000027-FAAF-47FA-9E34-D5ADB392FAC1}"/>
            </c:ext>
          </c:extLst>
        </c:ser>
        <c:ser>
          <c:idx val="10"/>
          <c:order val="10"/>
          <c:tx>
            <c:v>GWMCO6</c:v>
          </c:tx>
          <c:spPr>
            <a:ln w="19050" cap="rnd" cmpd="sng" algn="ctr">
              <a:noFill/>
              <a:prstDash val="solid"/>
              <a:round/>
            </a:ln>
            <a:effectLst/>
            <a:extLst>
              <a:ext uri="{91240B29-F687-4F45-9708-019B960494DF}">
                <a14:hiddenLine xmlns:a14="http://schemas.microsoft.com/office/drawing/2010/main" w="19050" cap="rnd" cmpd="sng" algn="ctr">
                  <a:solidFill>
                    <a:srgbClr val="080808">
                      <a:lumMod val="100000"/>
                    </a:srgbClr>
                  </a:solidFill>
                  <a:prstDash val="solid"/>
                  <a:round/>
                </a14:hiddenLine>
              </a:ext>
            </a:extLst>
          </c:spPr>
          <c:marker>
            <c:symbol val="circle"/>
            <c:size val="6"/>
            <c:spPr>
              <a:solidFill>
                <a:srgbClr val="3399FF"/>
              </a:solidFill>
              <a:ln w="3175">
                <a:solidFill>
                  <a:srgbClr val="080808"/>
                </a:solidFill>
                <a:prstDash val="solid"/>
              </a:ln>
              <a:effectLst/>
              <a:extLst>
                <a:ext uri="{91240B29-F687-4F45-9708-019B960494DF}">
                  <a14:hiddenLine xmlns:a14="http://schemas.microsoft.com/office/drawing/2010/main" w="6350" cap="flat" cmpd="sng" algn="ctr">
                    <a:solidFill>
                      <a:srgbClr val="080808">
                        <a:lumMod val="100000"/>
                      </a:srgbClr>
                    </a:solidFill>
                    <a:prstDash val="solid"/>
                    <a:round/>
                  </a14:hiddenLine>
                </a:ext>
              </a:extLst>
            </c:spPr>
          </c:marker>
          <c:xVal>
            <c:numRef>
              <c:f>Degassed_Graphs!$CG$13</c:f>
              <c:numCache>
                <c:formatCode>General</c:formatCode>
                <c:ptCount val="1"/>
                <c:pt idx="0">
                  <c:v>9.8393574297188757E-2</c:v>
                </c:pt>
              </c:numCache>
            </c:numRef>
          </c:xVal>
          <c:yVal>
            <c:numRef>
              <c:f>Degassed_Graphs!$BG$13</c:f>
              <c:numCache>
                <c:formatCode>General</c:formatCode>
                <c:ptCount val="1"/>
                <c:pt idx="0">
                  <c:v>8.1499999999999995E-8</c:v>
                </c:pt>
              </c:numCache>
            </c:numRef>
          </c:yVal>
          <c:smooth val="0"/>
          <c:extLst>
            <c:ext xmlns:c16="http://schemas.microsoft.com/office/drawing/2014/chart" uri="{C3380CC4-5D6E-409C-BE32-E72D297353CC}">
              <c16:uniqueId val="{00000028-FAAF-47FA-9E34-D5ADB392FAC1}"/>
            </c:ext>
          </c:extLst>
        </c:ser>
        <c:dLbls>
          <c:showLegendKey val="0"/>
          <c:showVal val="0"/>
          <c:showCatName val="0"/>
          <c:showSerName val="0"/>
          <c:showPercent val="0"/>
          <c:showBubbleSize val="0"/>
        </c:dLbls>
        <c:axId val="878505231"/>
        <c:axId val="629878031"/>
      </c:scatterChart>
      <c:valAx>
        <c:axId val="878505231"/>
        <c:scaling>
          <c:orientation val="minMax"/>
        </c:scaling>
        <c:delete val="0"/>
        <c:axPos val="b"/>
        <c:title>
          <c:tx>
            <c:strRef>
              <c:f>Degassed_Graphs!$N$24</c:f>
              <c:strCache>
                <c:ptCount val="1"/>
                <c:pt idx="0">
                  <c:v>Xe to Ne ratio</c:v>
                </c:pt>
              </c:strCache>
            </c:strRef>
          </c:tx>
          <c:overlay val="0"/>
        </c:title>
        <c:numFmt formatCode="General" sourceLinked="1"/>
        <c:majorTickMark val="none"/>
        <c:minorTickMark val="none"/>
        <c:tickLblPos val="nextTo"/>
        <c:crossAx val="629878031"/>
        <c:crosses val="autoZero"/>
        <c:crossBetween val="midCat"/>
      </c:valAx>
      <c:valAx>
        <c:axId val="629878031"/>
        <c:scaling>
          <c:orientation val="minMax"/>
        </c:scaling>
        <c:delete val="0"/>
        <c:axPos val="l"/>
        <c:title>
          <c:tx>
            <c:strRef>
              <c:f>Degassed_Graphs!$N$14</c:f>
              <c:strCache>
                <c:ptCount val="1"/>
                <c:pt idx="0">
                  <c:v>Kr, cm3/g</c:v>
                </c:pt>
              </c:strCache>
            </c:strRef>
          </c:tx>
          <c:overlay val="0"/>
        </c:title>
        <c:numFmt formatCode="General" sourceLinked="1"/>
        <c:majorTickMark val="none"/>
        <c:minorTickMark val="none"/>
        <c:tickLblPos val="nextTo"/>
        <c:crossAx val="878505231"/>
        <c:crosses val="autoZero"/>
        <c:crossBetween val="midCat"/>
      </c:valAx>
    </c:plotArea>
    <c:legend>
      <c:legendPos val="b"/>
      <c:overlay val="1"/>
      <c:spPr>
        <a:effectLst>
          <a:outerShdw blurRad="50800" dist="38100" dir="2700000" algn="tl">
            <a:prstClr val="black">
              <a:alpha val="40000"/>
            </a:prstClr>
          </a:outerShdw>
        </a:effectLst>
      </c:spPr>
      <c:txPr>
        <a:bodyPr/>
        <a:lstStyle/>
        <a:p>
          <a:pPr>
            <a:defRPr sz="8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0</xdr:colOff>
      <xdr:row>5</xdr:row>
      <xdr:rowOff>0</xdr:rowOff>
    </xdr:from>
    <xdr:to>
      <xdr:col>11</xdr:col>
      <xdr:colOff>0</xdr:colOff>
      <xdr:row>33</xdr:row>
      <xdr:rowOff>0</xdr:rowOff>
    </xdr:to>
    <xdr:graphicFrame macro="">
      <xdr:nvGraphicFramePr>
        <xdr:cNvPr id="2" name="Chart 1">
          <a:extLst>
            <a:ext uri="{FF2B5EF4-FFF2-40B4-BE49-F238E27FC236}">
              <a16:creationId xmlns:a16="http://schemas.microsoft.com/office/drawing/2014/main" id="{09B5EC14-B278-40EE-8C4B-92628F53AD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xdr:row>
      <xdr:rowOff>0</xdr:rowOff>
    </xdr:from>
    <xdr:to>
      <xdr:col>22</xdr:col>
      <xdr:colOff>0</xdr:colOff>
      <xdr:row>33</xdr:row>
      <xdr:rowOff>0</xdr:rowOff>
    </xdr:to>
    <xdr:graphicFrame macro="">
      <xdr:nvGraphicFramePr>
        <xdr:cNvPr id="3" name="Chart 2">
          <a:extLst>
            <a:ext uri="{FF2B5EF4-FFF2-40B4-BE49-F238E27FC236}">
              <a16:creationId xmlns:a16="http://schemas.microsoft.com/office/drawing/2014/main" id="{59560FD4-6AAA-4384-9EFC-561884D9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topLeftCell="A25" workbookViewId="0">
      <selection activeCell="F42" sqref="F42"/>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0" t="s">
        <v>0</v>
      </c>
      <c r="B1" s="96" t="s">
        <v>8</v>
      </c>
      <c r="C1" s="96"/>
      <c r="D1" s="96"/>
      <c r="E1" s="96"/>
      <c r="F1" s="96"/>
      <c r="G1" s="96"/>
      <c r="H1" s="96"/>
      <c r="I1" s="96"/>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98" t="s">
        <v>8</v>
      </c>
      <c r="D6" s="98"/>
      <c r="E6" s="98"/>
      <c r="F6" s="98"/>
      <c r="G6" s="98"/>
      <c r="H6" s="98"/>
    </row>
    <row r="7" spans="1:12" s="2" customFormat="1" ht="14.4">
      <c r="A7" s="3" t="s">
        <v>9</v>
      </c>
      <c r="B7" s="6" t="s">
        <v>10</v>
      </c>
      <c r="C7" s="61" t="s">
        <v>11</v>
      </c>
      <c r="D7" s="61"/>
      <c r="E7" s="61"/>
      <c r="F7" s="61"/>
      <c r="G7" s="61"/>
    </row>
    <row r="8" spans="1:12" s="2" customFormat="1" ht="14.4">
      <c r="A8" s="3" t="s">
        <v>12</v>
      </c>
      <c r="B8" s="6" t="s">
        <v>13</v>
      </c>
      <c r="C8" s="61" t="s">
        <v>14</v>
      </c>
      <c r="D8" s="61"/>
      <c r="E8" s="61"/>
      <c r="F8" s="61"/>
      <c r="G8" s="61"/>
    </row>
    <row r="9" spans="1:12" s="2" customFormat="1" ht="14.4">
      <c r="A9" s="3" t="s">
        <v>15</v>
      </c>
      <c r="B9" s="6" t="s">
        <v>16</v>
      </c>
      <c r="C9" s="61" t="s">
        <v>17</v>
      </c>
      <c r="D9" s="61"/>
      <c r="E9" s="61"/>
      <c r="F9" s="61"/>
      <c r="G9" s="61"/>
      <c r="I9" s="7"/>
    </row>
    <row r="10" spans="1:12" s="2" customFormat="1" ht="14.4">
      <c r="J10" s="7"/>
    </row>
    <row r="11" spans="1:12" s="2" customFormat="1" ht="15.6">
      <c r="A11" s="1" t="s">
        <v>18</v>
      </c>
    </row>
    <row r="12" spans="1:12" s="2" customFormat="1" ht="14.4">
      <c r="A12" s="4" t="s">
        <v>19</v>
      </c>
      <c r="B12" s="97" t="s">
        <v>8</v>
      </c>
      <c r="C12" s="97"/>
      <c r="D12" s="97"/>
      <c r="E12" s="97"/>
      <c r="F12" s="97"/>
      <c r="G12" s="97"/>
      <c r="H12" s="97"/>
      <c r="I12" s="97"/>
      <c r="J12" s="97"/>
      <c r="K12" s="97"/>
      <c r="L12" s="97"/>
    </row>
    <row r="13" spans="1:12" s="2" customFormat="1" ht="14.4">
      <c r="A13" s="38" t="s">
        <v>259</v>
      </c>
      <c r="B13" s="48" t="s">
        <v>243</v>
      </c>
      <c r="C13" s="49"/>
      <c r="D13" s="49"/>
      <c r="E13" s="49"/>
      <c r="F13" s="49"/>
      <c r="G13" s="49"/>
      <c r="H13" s="49"/>
      <c r="I13" s="49"/>
      <c r="J13" s="49"/>
      <c r="K13" s="49"/>
      <c r="L13" s="49"/>
    </row>
    <row r="14" spans="1:12" s="2" customFormat="1" ht="14.4">
      <c r="A14" s="2" t="s">
        <v>20</v>
      </c>
      <c r="B14" s="48" t="s">
        <v>223</v>
      </c>
      <c r="C14" s="47"/>
      <c r="D14" s="47"/>
      <c r="E14" s="47"/>
      <c r="F14" s="47"/>
      <c r="G14" s="47"/>
      <c r="H14" s="47"/>
      <c r="I14" s="47"/>
    </row>
    <row r="15" spans="1:12" s="2" customFormat="1" ht="14.4">
      <c r="A15" s="2" t="s">
        <v>21</v>
      </c>
      <c r="B15" s="47" t="s">
        <v>22</v>
      </c>
      <c r="C15" s="47"/>
      <c r="D15" s="47"/>
      <c r="E15" s="47"/>
      <c r="F15" s="47"/>
      <c r="G15" s="47"/>
      <c r="H15" s="47"/>
      <c r="I15" s="47"/>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96" t="s">
        <v>27</v>
      </c>
      <c r="D23" s="96"/>
      <c r="E23" s="96"/>
      <c r="F23" s="96"/>
      <c r="G23" s="96"/>
      <c r="H23" s="96"/>
      <c r="I23" s="96"/>
      <c r="J23" s="96"/>
      <c r="K23" s="96"/>
      <c r="L23" s="96"/>
      <c r="M23" s="96"/>
    </row>
    <row r="24" spans="1:30" s="2" customFormat="1" ht="16.8">
      <c r="A24" s="2" t="s">
        <v>28</v>
      </c>
      <c r="B24" s="6">
        <v>1</v>
      </c>
      <c r="C24" s="95" t="s">
        <v>29</v>
      </c>
      <c r="D24" s="95"/>
      <c r="E24" s="95"/>
      <c r="F24" s="95"/>
      <c r="G24" s="95"/>
      <c r="H24" s="95"/>
      <c r="I24" s="95"/>
      <c r="J24" s="95"/>
      <c r="K24" s="95"/>
      <c r="L24" s="95"/>
      <c r="M24" s="95"/>
    </row>
    <row r="25" spans="1:30" s="2" customFormat="1" ht="16.8">
      <c r="A25" s="2" t="s">
        <v>30</v>
      </c>
      <c r="B25" s="6">
        <v>2</v>
      </c>
      <c r="C25" s="95" t="s">
        <v>31</v>
      </c>
      <c r="D25" s="95"/>
      <c r="E25" s="95"/>
      <c r="F25" s="95"/>
      <c r="G25" s="95"/>
      <c r="H25" s="95"/>
      <c r="I25" s="95"/>
      <c r="J25" s="95"/>
      <c r="K25" s="95"/>
      <c r="L25" s="95"/>
      <c r="M25" s="95"/>
    </row>
    <row r="26" spans="1:30" s="2" customFormat="1" ht="15.6">
      <c r="A26" s="2" t="s">
        <v>32</v>
      </c>
      <c r="B26" s="6">
        <v>3</v>
      </c>
      <c r="C26" s="95" t="s">
        <v>33</v>
      </c>
      <c r="D26" s="95"/>
      <c r="E26" s="95"/>
      <c r="F26" s="95"/>
      <c r="G26" s="95"/>
      <c r="H26" s="95"/>
      <c r="I26" s="95"/>
      <c r="J26" s="95"/>
      <c r="K26" s="95"/>
      <c r="L26" s="95"/>
      <c r="M26" s="95"/>
    </row>
    <row r="27" spans="1:30" s="2" customFormat="1" ht="16.8">
      <c r="A27" s="2" t="s">
        <v>34</v>
      </c>
      <c r="B27" s="6">
        <v>4</v>
      </c>
      <c r="C27" s="95" t="s">
        <v>35</v>
      </c>
      <c r="D27" s="95"/>
      <c r="E27" s="95"/>
      <c r="F27" s="95"/>
      <c r="G27" s="95"/>
      <c r="H27" s="95"/>
      <c r="I27" s="95"/>
      <c r="J27" s="95"/>
      <c r="K27" s="95"/>
      <c r="L27" s="95"/>
      <c r="M27" s="95"/>
    </row>
    <row r="28" spans="1:30" s="2" customFormat="1" ht="16.8">
      <c r="A28" s="2" t="s">
        <v>36</v>
      </c>
      <c r="B28" s="6">
        <v>5</v>
      </c>
      <c r="C28" s="95" t="s">
        <v>37</v>
      </c>
      <c r="D28" s="95"/>
      <c r="E28" s="95"/>
      <c r="F28" s="95"/>
      <c r="G28" s="95"/>
      <c r="H28" s="95"/>
      <c r="I28" s="95"/>
      <c r="J28" s="95"/>
      <c r="K28" s="95"/>
      <c r="L28" s="95"/>
      <c r="M28" s="95"/>
    </row>
    <row r="29" spans="1:30" s="2" customFormat="1" ht="16.8">
      <c r="A29" s="2" t="s">
        <v>194</v>
      </c>
      <c r="B29" s="6">
        <v>6</v>
      </c>
      <c r="C29" s="95" t="s">
        <v>195</v>
      </c>
      <c r="D29" s="95"/>
      <c r="E29" s="95"/>
      <c r="F29" s="95"/>
      <c r="G29" s="95"/>
      <c r="H29" s="95"/>
      <c r="I29" s="95"/>
      <c r="J29" s="95"/>
      <c r="K29" s="95"/>
      <c r="L29" s="95"/>
      <c r="M29" s="95"/>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5" t="s">
        <v>246</v>
      </c>
      <c r="B41" s="55"/>
    </row>
    <row r="42" spans="1:4" ht="14.4">
      <c r="A42" s="56" t="s">
        <v>247</v>
      </c>
      <c r="B42" s="57">
        <v>-200</v>
      </c>
      <c r="C42" s="38" t="s">
        <v>253</v>
      </c>
    </row>
    <row r="43" spans="1:4" ht="14.4">
      <c r="A43" s="38" t="s">
        <v>250</v>
      </c>
      <c r="B43" s="2">
        <f>C34*C35/C36/C37</f>
        <v>-5.2567440508738619</v>
      </c>
    </row>
    <row r="44" spans="1:4" ht="14.4">
      <c r="A44" s="50" t="s">
        <v>254</v>
      </c>
      <c r="B44" s="58">
        <f>C38/(C38+C37*(B42-C39))</f>
        <v>0.99550872344100882</v>
      </c>
      <c r="C44" s="38"/>
    </row>
    <row r="45" spans="1:4" ht="14.4">
      <c r="A45" s="51" t="s">
        <v>248</v>
      </c>
      <c r="B45" s="2">
        <f>B44^B43</f>
        <v>1.0239448512780687</v>
      </c>
      <c r="C45" s="38" t="s">
        <v>249</v>
      </c>
    </row>
    <row r="47" spans="1:4" ht="14.4">
      <c r="A47" s="52" t="s">
        <v>251</v>
      </c>
      <c r="B47" s="54">
        <v>0.99</v>
      </c>
      <c r="C47" t="s">
        <v>252</v>
      </c>
    </row>
    <row r="48" spans="1:4">
      <c r="A48" s="53" t="s">
        <v>254</v>
      </c>
      <c r="B48" s="53">
        <f>10^(LOG(B47)/B43)</f>
        <v>1.0019137225379218</v>
      </c>
    </row>
    <row r="49" spans="1:17">
      <c r="A49" s="59" t="s">
        <v>248</v>
      </c>
      <c r="B49">
        <f>(C38-B48*C38)/(B48*C37)</f>
        <v>84.674748226258089</v>
      </c>
      <c r="C49" t="s">
        <v>247</v>
      </c>
    </row>
    <row r="51" spans="1:17" ht="15.6">
      <c r="A51" s="1" t="s">
        <v>260</v>
      </c>
      <c r="B51" s="70"/>
      <c r="C51" s="70"/>
      <c r="D51" s="70"/>
      <c r="E51" s="70"/>
      <c r="F51" s="70"/>
      <c r="G51" s="70"/>
      <c r="H51" s="70"/>
      <c r="J51" s="70"/>
      <c r="K51" s="94" t="s">
        <v>280</v>
      </c>
      <c r="L51" s="94"/>
      <c r="M51" s="94"/>
      <c r="N51" s="94" t="s">
        <v>276</v>
      </c>
      <c r="O51" s="94"/>
    </row>
    <row r="52" spans="1:17">
      <c r="A52" s="71" t="s">
        <v>275</v>
      </c>
      <c r="B52" s="71" t="s">
        <v>285</v>
      </c>
      <c r="C52" s="70" t="s">
        <v>261</v>
      </c>
      <c r="D52" s="70" t="s">
        <v>262</v>
      </c>
      <c r="E52" s="70" t="s">
        <v>264</v>
      </c>
      <c r="F52" s="70" t="s">
        <v>265</v>
      </c>
      <c r="G52" s="70" t="s">
        <v>147</v>
      </c>
      <c r="H52" s="70" t="s">
        <v>266</v>
      </c>
      <c r="I52" s="70" t="s">
        <v>289</v>
      </c>
      <c r="J52" s="70" t="s">
        <v>274</v>
      </c>
      <c r="K52" s="70" t="s">
        <v>287</v>
      </c>
      <c r="L52" s="70" t="s">
        <v>273</v>
      </c>
      <c r="M52" s="70" t="s">
        <v>271</v>
      </c>
      <c r="N52" s="70" t="s">
        <v>265</v>
      </c>
      <c r="O52" s="70" t="s">
        <v>277</v>
      </c>
      <c r="P52" s="70" t="s">
        <v>278</v>
      </c>
    </row>
    <row r="53" spans="1:17">
      <c r="A53" s="72" t="s">
        <v>268</v>
      </c>
      <c r="B53" s="91" t="s">
        <v>286</v>
      </c>
      <c r="C53" s="73" t="s">
        <v>263</v>
      </c>
      <c r="D53" s="73" t="s">
        <v>242</v>
      </c>
      <c r="E53" s="73" t="s">
        <v>269</v>
      </c>
      <c r="F53" s="73" t="s">
        <v>201</v>
      </c>
      <c r="G53" s="73" t="s">
        <v>270</v>
      </c>
      <c r="H53" s="73" t="s">
        <v>267</v>
      </c>
      <c r="I53" s="92" t="s">
        <v>288</v>
      </c>
      <c r="J53" s="73" t="s">
        <v>268</v>
      </c>
      <c r="K53" s="73" t="s">
        <v>268</v>
      </c>
      <c r="L53" s="73" t="s">
        <v>272</v>
      </c>
      <c r="M53" s="73" t="s">
        <v>272</v>
      </c>
      <c r="N53" s="73" t="s">
        <v>272</v>
      </c>
      <c r="O53" s="73" t="s">
        <v>272</v>
      </c>
      <c r="P53" s="73" t="s">
        <v>284</v>
      </c>
    </row>
    <row r="54" spans="1:17" ht="14.4">
      <c r="A54" t="s">
        <v>81</v>
      </c>
      <c r="B54">
        <v>200</v>
      </c>
      <c r="C54" cm="1">
        <f t="array" ref="C54">SalinityFromSC(B54)</f>
        <v>0.1115208</v>
      </c>
      <c r="D54">
        <v>2500</v>
      </c>
      <c r="E54">
        <v>5</v>
      </c>
      <c r="F54">
        <v>20</v>
      </c>
      <c r="G54">
        <v>0.5</v>
      </c>
      <c r="H54">
        <v>0</v>
      </c>
      <c r="I54" t="s">
        <v>198</v>
      </c>
      <c r="J54" t="s">
        <v>16</v>
      </c>
      <c r="K54" s="2" t="s">
        <v>83</v>
      </c>
      <c r="L54" s="2"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s="2"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s="2" cm="1">
        <f t="array" ref="L56">GasModel(J56,K56,E56,F56,C56,D56,G56,H56,I56)</f>
        <v>10.804100958996939</v>
      </c>
      <c r="M56" cm="1">
        <f t="array" ref="M56">GasSolubility(K56,E56,C56,D56,I56)</f>
        <v>10.773378537539616</v>
      </c>
      <c r="N56" cm="1">
        <f t="array" ref="N56">GasModelExcessAir(J56,K56,E56,F56,C56,D56,G56,I56)</f>
        <v>3.0722421457322593E-2</v>
      </c>
    </row>
    <row r="57" spans="1:17" ht="14.4">
      <c r="A57" t="s">
        <v>97</v>
      </c>
      <c r="B57">
        <v>300</v>
      </c>
      <c r="C57" cm="1">
        <f t="array" ref="C57">SalinityFromSC(B57)</f>
        <v>0.16734180000000001</v>
      </c>
      <c r="D57">
        <v>50</v>
      </c>
      <c r="E57">
        <v>20</v>
      </c>
      <c r="F57">
        <v>3</v>
      </c>
      <c r="G57">
        <v>0</v>
      </c>
      <c r="H57">
        <v>0</v>
      </c>
      <c r="I57" t="s">
        <v>165</v>
      </c>
      <c r="J57" t="s">
        <v>10</v>
      </c>
      <c r="K57" t="s">
        <v>181</v>
      </c>
      <c r="L57" s="2" cm="1">
        <f t="array" ref="L57">GasModel(J57,K57,E57,F57,C57,D57,G57,H57,I57)</f>
        <v>17.703644335637556</v>
      </c>
      <c r="M57" cm="1">
        <f t="array" ref="M57">GasSolubility(K57,E57,C57,D57,I57)</f>
        <v>14.778032620081682</v>
      </c>
      <c r="N57" cm="1">
        <f t="array" ref="N57">GasModelExcessAir(J57,K57,E57,F57,C57,D57,G57,I57)</f>
        <v>2.9256117155558732</v>
      </c>
    </row>
    <row r="58" spans="1:17" ht="14.4">
      <c r="A58" t="s">
        <v>122</v>
      </c>
      <c r="B58">
        <v>50000</v>
      </c>
      <c r="C58" cm="1">
        <f t="array" ref="C58">SalinityFromSC(B58)</f>
        <v>32.909999999999997</v>
      </c>
      <c r="D58">
        <v>0</v>
      </c>
      <c r="E58">
        <v>3</v>
      </c>
      <c r="F58">
        <v>0.1</v>
      </c>
      <c r="G58">
        <v>0</v>
      </c>
      <c r="H58">
        <v>0</v>
      </c>
      <c r="I58" t="s">
        <v>179</v>
      </c>
      <c r="J58" t="s">
        <v>10</v>
      </c>
      <c r="K58" t="s">
        <v>123</v>
      </c>
      <c r="L58" s="2"/>
      <c r="O58">
        <v>3.5382249080808936</v>
      </c>
      <c r="P58" s="69"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zoomScaleNormal="100" workbookViewId="0">
      <pane xSplit="8124" ySplit="2064" topLeftCell="L3" activePane="bottomLeft"/>
      <selection activeCell="C8" sqref="C8"/>
      <selection pane="topRight" activeCell="W2" sqref="W2"/>
      <selection pane="bottomLeft" activeCell="B10" sqref="B10"/>
      <selection pane="bottomRight" activeCell="Q13" sqref="Q13"/>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2" t="s">
        <v>39</v>
      </c>
      <c r="E1" s="99" t="s">
        <v>221</v>
      </c>
      <c r="F1" s="99"/>
      <c r="G1" s="99"/>
      <c r="H1" s="99"/>
      <c r="I1" s="99"/>
      <c r="J1" s="99"/>
      <c r="K1" s="99"/>
      <c r="L1" s="99"/>
      <c r="M1" s="99"/>
      <c r="N1" s="99"/>
      <c r="O1" s="99"/>
      <c r="Y1" s="99" t="s">
        <v>189</v>
      </c>
      <c r="Z1" s="99"/>
      <c r="AA1" s="99"/>
      <c r="AB1" s="63"/>
      <c r="AC1" s="99" t="s">
        <v>40</v>
      </c>
      <c r="AD1" s="99"/>
      <c r="AE1" s="99"/>
      <c r="AF1" s="99"/>
      <c r="AG1" s="99"/>
      <c r="AH1" s="99"/>
    </row>
    <row r="2" spans="1:38" s="16" customFormat="1" ht="74.400000000000006">
      <c r="A2" s="64" t="s">
        <v>41</v>
      </c>
      <c r="B2" s="64" t="s">
        <v>42</v>
      </c>
      <c r="C2" s="64" t="s">
        <v>43</v>
      </c>
      <c r="D2" s="64" t="s">
        <v>290</v>
      </c>
      <c r="E2" s="64" t="s">
        <v>44</v>
      </c>
      <c r="F2" s="64" t="s">
        <v>45</v>
      </c>
      <c r="G2" s="64" t="s">
        <v>46</v>
      </c>
      <c r="H2" s="64" t="s">
        <v>47</v>
      </c>
      <c r="I2" s="64" t="s">
        <v>48</v>
      </c>
      <c r="J2" s="64" t="s">
        <v>49</v>
      </c>
      <c r="K2" s="64" t="s">
        <v>50</v>
      </c>
      <c r="L2" s="64" t="s">
        <v>51</v>
      </c>
      <c r="M2" s="64" t="s">
        <v>52</v>
      </c>
      <c r="N2" s="64" t="s">
        <v>53</v>
      </c>
      <c r="O2" s="64" t="s">
        <v>54</v>
      </c>
      <c r="P2" s="64" t="s">
        <v>291</v>
      </c>
      <c r="Q2" s="64" t="s">
        <v>200</v>
      </c>
      <c r="R2" s="64" t="s">
        <v>257</v>
      </c>
      <c r="S2" s="64" t="s">
        <v>327</v>
      </c>
      <c r="T2" s="64" t="s">
        <v>185</v>
      </c>
      <c r="U2" s="64" t="s">
        <v>186</v>
      </c>
      <c r="V2" s="64" t="s">
        <v>187</v>
      </c>
      <c r="W2" s="64" t="s">
        <v>199</v>
      </c>
      <c r="X2" s="64" t="s">
        <v>55</v>
      </c>
      <c r="Y2" s="64" t="s">
        <v>196</v>
      </c>
      <c r="Z2" s="64" t="s">
        <v>188</v>
      </c>
      <c r="AA2" s="64" t="s">
        <v>190</v>
      </c>
      <c r="AB2" s="65" t="s">
        <v>56</v>
      </c>
      <c r="AC2" s="65" t="s">
        <v>57</v>
      </c>
      <c r="AD2" s="65" t="s">
        <v>58</v>
      </c>
      <c r="AE2" s="65" t="s">
        <v>59</v>
      </c>
      <c r="AF2" s="65" t="s">
        <v>60</v>
      </c>
      <c r="AG2" s="65" t="s">
        <v>61</v>
      </c>
      <c r="AH2" s="65" t="s">
        <v>281</v>
      </c>
      <c r="AI2" s="65" t="s">
        <v>224</v>
      </c>
    </row>
    <row r="3" spans="1:38">
      <c r="A3" s="37" t="s">
        <v>62</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67</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67</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62</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67</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67</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67</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62</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67</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67</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67</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62</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67</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67</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62</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67</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90">
        <v>4.7328118195360994E-2</v>
      </c>
      <c r="AE26" s="90">
        <v>-9.279999850397191</v>
      </c>
      <c r="AF26" s="90">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90">
        <v>4.7328118195360994E-2</v>
      </c>
      <c r="AE27" s="90">
        <v>-9.279999850397191</v>
      </c>
      <c r="AF27" s="90">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C47" s="2" t="str">
        <f>"'"&amp;D47&amp;"'"</f>
        <v>'He_Weiss'</v>
      </c>
      <c r="D47" s="2" t="s">
        <v>65</v>
      </c>
      <c r="T47" s="9"/>
      <c r="U47" s="15"/>
    </row>
    <row r="48" spans="1:35">
      <c r="A48" s="6"/>
      <c r="C48" s="2" t="str">
        <f>C47&amp;", "&amp;"'"&amp;D48&amp;"'"</f>
        <v>'He_Weiss', 'Ne_Weiss'</v>
      </c>
      <c r="D48" s="2" t="s">
        <v>74</v>
      </c>
      <c r="T48" s="9"/>
    </row>
    <row r="49" spans="1:20">
      <c r="A49" s="6"/>
      <c r="C49" s="2" t="str">
        <f t="shared" ref="C49:C63" si="0">C48&amp;", "&amp;"'"&amp;D49&amp;"'"</f>
        <v>'He_Weiss', 'Ne_Weiss', 'Ar_Weiss'</v>
      </c>
      <c r="D49" s="2" t="s">
        <v>83</v>
      </c>
      <c r="T49" s="9"/>
    </row>
    <row r="50" spans="1:20">
      <c r="A50" s="6"/>
      <c r="C50" s="2" t="str">
        <f t="shared" si="0"/>
        <v>'He_Weiss', 'Ne_Weiss', 'Ar_Weiss', 'Kr_Weiss'</v>
      </c>
      <c r="D50" s="2" t="s">
        <v>90</v>
      </c>
      <c r="T50" s="9"/>
    </row>
    <row r="51" spans="1:20">
      <c r="A51" s="6"/>
      <c r="C51" s="2" t="str">
        <f t="shared" si="0"/>
        <v>'He_Weiss', 'Ne_Weiss', 'Ar_Weiss', 'Kr_Weiss', 'Xe_Clvr'</v>
      </c>
      <c r="D51" s="2" t="s">
        <v>95</v>
      </c>
      <c r="T51" s="9"/>
    </row>
    <row r="52" spans="1:20">
      <c r="A52" s="6"/>
      <c r="C52" s="2" t="str">
        <f t="shared" si="0"/>
        <v>'He_Weiss', 'Ne_Weiss', 'Ar_Weiss', 'Kr_Weiss', 'Xe_Clvr', 'N2_Weiss'</v>
      </c>
      <c r="D52" s="2" t="s">
        <v>181</v>
      </c>
      <c r="T52" s="9"/>
    </row>
    <row r="53" spans="1:20">
      <c r="A53" s="6"/>
      <c r="C53" s="2" t="str">
        <f t="shared" si="0"/>
        <v>'He_Weiss', 'Ne_Weiss', 'Ar_Weiss', 'Kr_Weiss', 'Xe_Clvr', 'N2_Weiss', 'O2_B&amp;K'</v>
      </c>
      <c r="D53" s="2" t="s">
        <v>104</v>
      </c>
    </row>
    <row r="54" spans="1:20">
      <c r="A54" s="6"/>
      <c r="C54" s="2" t="str">
        <f t="shared" si="0"/>
        <v>'He_Weiss', 'Ne_Weiss', 'Ar_Weiss', 'Kr_Weiss', 'Xe_Clvr', 'N2_Weiss', 'O2_B&amp;K', 'CO2_Weiss_F'</v>
      </c>
      <c r="D54" s="2" t="s">
        <v>283</v>
      </c>
    </row>
    <row r="55" spans="1:20">
      <c r="A55" s="6"/>
      <c r="C55" s="2" t="str">
        <f t="shared" si="0"/>
        <v>'He_Weiss', 'Ne_Weiss', 'Ar_Weiss', 'Kr_Weiss', 'Xe_Clvr', 'N2_Weiss', 'O2_B&amp;K', 'CO2_Weiss_F', 'CH4_Wies'</v>
      </c>
      <c r="D55" s="2" t="s">
        <v>111</v>
      </c>
    </row>
    <row r="56" spans="1:20">
      <c r="A56" s="6"/>
      <c r="C56" s="2" t="str">
        <f t="shared" si="0"/>
        <v>'He_Weiss', 'Ne_Weiss', 'Ar_Weiss', 'Kr_Weiss', 'Xe_Clvr', 'N2_Weiss', 'O2_B&amp;K', 'CO2_Weiss_F', 'CH4_Wies', 'CO_Wies'</v>
      </c>
      <c r="D56" s="2" t="s">
        <v>116</v>
      </c>
    </row>
    <row r="57" spans="1:20">
      <c r="A57" s="6"/>
      <c r="C57" s="2" t="str">
        <f t="shared" si="0"/>
        <v>'He_Weiss', 'Ne_Weiss', 'Ar_Weiss', 'Kr_Weiss', 'Xe_Clvr', 'N2_Weiss', 'O2_B&amp;K', 'CO2_Weiss_F', 'CH4_Wies', 'CO_Wies', 'H2_Wies'</v>
      </c>
      <c r="D57" s="2" t="s">
        <v>119</v>
      </c>
    </row>
    <row r="58" spans="1:20">
      <c r="A58" s="6"/>
      <c r="C58" s="2" t="str">
        <f t="shared" si="0"/>
        <v>'He_Weiss', 'Ne_Weiss', 'Ar_Weiss', 'Kr_Weiss', 'Xe_Clvr', 'N2_Weiss', 'O2_B&amp;K', 'CO2_Weiss_F', 'CH4_Wies', 'CO_Wies', 'H2_Wies', 'N2O_Weiss_F'</v>
      </c>
      <c r="D58" s="2" t="s">
        <v>282</v>
      </c>
    </row>
    <row r="59" spans="1:20">
      <c r="A59" s="6"/>
      <c r="C59" s="2" t="str">
        <f t="shared" si="0"/>
        <v>'He_Weiss', 'Ne_Weiss', 'Ar_Weiss', 'Kr_Weiss', 'Xe_Clvr', 'N2_Weiss', 'O2_B&amp;K', 'CO2_Weiss_F', 'CH4_Wies', 'CO_Wies', 'H2_Wies', 'N2O_Weiss_F', 'CFC11_Warner'</v>
      </c>
      <c r="D59" s="2" t="s">
        <v>123</v>
      </c>
    </row>
    <row r="60" spans="1:20">
      <c r="A60" s="6"/>
      <c r="C60" s="2" t="str">
        <f t="shared" si="0"/>
        <v>'He_Weiss', 'Ne_Weiss', 'Ar_Weiss', 'Kr_Weiss', 'Xe_Clvr', 'N2_Weiss', 'O2_B&amp;K', 'CO2_Weiss_F', 'CH4_Wies', 'CO_Wies', 'H2_Wies', 'N2O_Weiss_F', 'CFC11_Warner', 'CFC12_Warner'</v>
      </c>
      <c r="D60" s="2" t="s">
        <v>127</v>
      </c>
    </row>
    <row r="61" spans="1:20">
      <c r="A61" s="6"/>
      <c r="C61" s="2" t="str">
        <f t="shared" si="0"/>
        <v>'He_Weiss', 'Ne_Weiss', 'Ar_Weiss', 'Kr_Weiss', 'Xe_Clvr', 'N2_Weiss', 'O2_B&amp;K', 'CO2_Weiss_F', 'CH4_Wies', 'CO_Wies', 'H2_Wies', 'N2O_Weiss_F', 'CFC11_Warner', 'CFC12_Warner', 'CFC113_Bu'</v>
      </c>
      <c r="D61" s="2" t="s">
        <v>130</v>
      </c>
    </row>
    <row r="62" spans="1:20">
      <c r="A62" s="6"/>
      <c r="C62" s="2" t="str">
        <f t="shared" si="0"/>
        <v>'He_Weiss', 'Ne_Weiss', 'Ar_Weiss', 'Kr_Weiss', 'Xe_Clvr', 'N2_Weiss', 'O2_B&amp;K', 'CO2_Weiss_F', 'CH4_Wies', 'CO_Wies', 'H2_Wies', 'N2O_Weiss_F', 'CFC11_Warner', 'CFC12_Warner', 'CFC113_Bu', 'SF6_Bull'</v>
      </c>
      <c r="D62" s="2" t="s">
        <v>133</v>
      </c>
    </row>
    <row r="63" spans="1:20">
      <c r="A63" s="6"/>
      <c r="C63" s="2" t="str">
        <f t="shared" si="0"/>
        <v>'He_Weiss', 'Ne_Weiss', 'Ar_Weiss', 'Kr_Weiss', 'Xe_Clvr', 'N2_Weiss', 'O2_B&amp;K', 'CO2_Weiss_F', 'CH4_Wies', 'CO_Wies', 'H2_Wies', 'N2O_Weiss_F', 'CFC11_Warner', 'CFC12_Warner', 'CFC113_Bu', 'SF6_Bull', 'H1301_B'</v>
      </c>
      <c r="D63" s="2" t="s">
        <v>138</v>
      </c>
    </row>
    <row r="64" spans="1:20">
      <c r="A64" s="6"/>
      <c r="C64" s="2">
        <f>COUNT(C47:C63)</f>
        <v>0</v>
      </c>
      <c r="D64" s="2">
        <f>COUNT(D47:D63)</f>
        <v>0</v>
      </c>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workbookViewId="0">
      <pane ySplit="3" topLeftCell="A4" activePane="bottomLeft" state="frozen"/>
      <selection pane="bottomLeft" activeCell="A4" sqref="A4:XFD8"/>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00" t="s">
        <v>141</v>
      </c>
      <c r="B1" s="100"/>
      <c r="C1" s="100"/>
      <c r="D1" s="100"/>
      <c r="E1" s="100" t="s">
        <v>205</v>
      </c>
      <c r="F1" s="100"/>
      <c r="G1" s="100"/>
      <c r="H1" s="100"/>
      <c r="I1" s="100"/>
      <c r="J1" s="100"/>
      <c r="K1" s="100"/>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01" t="s">
        <v>142</v>
      </c>
      <c r="B2" s="101" t="s">
        <v>143</v>
      </c>
      <c r="C2" s="101" t="s">
        <v>144</v>
      </c>
      <c r="D2" s="103" t="s">
        <v>145</v>
      </c>
      <c r="E2" s="101" t="s">
        <v>146</v>
      </c>
      <c r="F2" s="101" t="s">
        <v>219</v>
      </c>
      <c r="G2" s="101" t="s">
        <v>191</v>
      </c>
      <c r="H2" s="101" t="s">
        <v>192</v>
      </c>
      <c r="I2" s="101" t="s">
        <v>217</v>
      </c>
      <c r="J2" s="101" t="s">
        <v>147</v>
      </c>
      <c r="K2" s="101"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02"/>
      <c r="B3" s="102"/>
      <c r="C3" s="102"/>
      <c r="D3" s="104"/>
      <c r="E3" s="102"/>
      <c r="F3" s="102" t="s">
        <v>159</v>
      </c>
      <c r="G3" s="102" t="s">
        <v>160</v>
      </c>
      <c r="H3" s="102" t="s">
        <v>161</v>
      </c>
      <c r="I3" s="102" t="s">
        <v>162</v>
      </c>
      <c r="J3" s="102" t="s">
        <v>163</v>
      </c>
      <c r="K3" s="102"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s="111" customFormat="1" ht="15.6">
      <c r="A4" s="79" t="s">
        <v>328</v>
      </c>
      <c r="B4" s="79" t="s">
        <v>329</v>
      </c>
      <c r="C4" s="79" t="s">
        <v>330</v>
      </c>
      <c r="D4" s="80"/>
      <c r="F4" s="79">
        <v>1.07</v>
      </c>
      <c r="G4" s="79">
        <v>88</v>
      </c>
      <c r="H4" s="82">
        <v>5</v>
      </c>
      <c r="I4" s="81">
        <v>3</v>
      </c>
      <c r="J4" s="81">
        <v>1.5</v>
      </c>
      <c r="K4" s="81">
        <v>0</v>
      </c>
      <c r="L4" s="83">
        <v>4.4280000000000003E-8</v>
      </c>
      <c r="M4" s="83">
        <v>4.4280000000000001E-10</v>
      </c>
      <c r="N4" s="112">
        <v>1.7319999999999999E-7</v>
      </c>
      <c r="O4" s="85">
        <v>1.5588E-9</v>
      </c>
      <c r="P4" s="112">
        <v>3.6200000000000002E-4</v>
      </c>
      <c r="Q4" s="85">
        <v>2.8960000000000003E-6</v>
      </c>
      <c r="R4" s="112">
        <v>8.6300000000000012E-8</v>
      </c>
      <c r="S4" s="85">
        <v>8.6300000000000023E-10</v>
      </c>
      <c r="T4" s="112">
        <v>1.2989999999999999E-8</v>
      </c>
      <c r="U4" s="85">
        <v>2.4681E-10</v>
      </c>
      <c r="V4" s="83"/>
      <c r="W4" s="81"/>
      <c r="X4" s="81"/>
      <c r="Y4" s="81"/>
      <c r="Z4" s="81"/>
      <c r="AA4" s="113"/>
      <c r="AB4" s="81"/>
      <c r="AC4" s="113"/>
      <c r="AD4" s="113"/>
      <c r="AE4" s="81"/>
      <c r="AF4" s="81"/>
      <c r="AG4" s="81"/>
      <c r="AH4" s="87"/>
      <c r="AI4" s="114"/>
      <c r="AJ4" s="115"/>
    </row>
    <row r="5" spans="1:63" s="111" customFormat="1" ht="15.6">
      <c r="A5" s="79" t="s">
        <v>328</v>
      </c>
      <c r="B5" s="79" t="s">
        <v>329</v>
      </c>
      <c r="C5" s="79" t="s">
        <v>330</v>
      </c>
      <c r="D5" s="80"/>
      <c r="F5" s="79">
        <v>1.43</v>
      </c>
      <c r="G5" s="79">
        <v>88</v>
      </c>
      <c r="H5" s="82">
        <v>5</v>
      </c>
      <c r="I5" s="81">
        <v>3</v>
      </c>
      <c r="J5" s="81">
        <v>1.5</v>
      </c>
      <c r="K5" s="81">
        <v>0</v>
      </c>
      <c r="L5" s="83">
        <v>4.5069999999999999E-8</v>
      </c>
      <c r="M5" s="83">
        <v>4.507E-10</v>
      </c>
      <c r="N5" s="83">
        <v>1.314E-7</v>
      </c>
      <c r="O5" s="83">
        <v>1.1826E-9</v>
      </c>
      <c r="P5" s="83">
        <v>3.166E-4</v>
      </c>
      <c r="Q5" s="83">
        <v>2.5328000000000001E-6</v>
      </c>
      <c r="R5" s="83">
        <v>8.0280000000000002E-8</v>
      </c>
      <c r="S5" s="83">
        <v>8.0280000000000006E-10</v>
      </c>
      <c r="T5" s="83">
        <v>1.294E-8</v>
      </c>
      <c r="U5" s="83">
        <v>2.4586000000000002E-10</v>
      </c>
      <c r="V5" s="81"/>
      <c r="W5" s="81"/>
      <c r="X5" s="81"/>
      <c r="Y5" s="81"/>
      <c r="Z5" s="81"/>
      <c r="AA5" s="113"/>
      <c r="AB5" s="81"/>
      <c r="AC5" s="113"/>
      <c r="AD5" s="113"/>
      <c r="AE5" s="81"/>
      <c r="AF5" s="81"/>
      <c r="AG5" s="81"/>
      <c r="AH5" s="87"/>
      <c r="AI5" s="114"/>
      <c r="AJ5" s="115"/>
    </row>
    <row r="6" spans="1:63" s="111" customFormat="1" ht="15.6">
      <c r="A6" s="79" t="s">
        <v>328</v>
      </c>
      <c r="B6" s="79" t="s">
        <v>329</v>
      </c>
      <c r="C6" s="79" t="s">
        <v>330</v>
      </c>
      <c r="D6" s="80"/>
      <c r="F6" s="79">
        <v>1.45</v>
      </c>
      <c r="G6" s="79">
        <v>88</v>
      </c>
      <c r="H6" s="82">
        <v>5</v>
      </c>
      <c r="I6" s="81">
        <v>3</v>
      </c>
      <c r="J6" s="81">
        <v>1.5</v>
      </c>
      <c r="K6" s="81">
        <v>0</v>
      </c>
      <c r="L6" s="83">
        <v>4.4500000000000001E-8</v>
      </c>
      <c r="M6" s="83">
        <v>4.4500000000000007E-10</v>
      </c>
      <c r="N6" s="83">
        <v>1.3009999999999998E-7</v>
      </c>
      <c r="O6" s="83">
        <v>1.1709E-9</v>
      </c>
      <c r="P6" s="83">
        <v>3.1130000000000003E-4</v>
      </c>
      <c r="Q6" s="83">
        <v>2.4903999999999999E-6</v>
      </c>
      <c r="R6" s="83">
        <v>7.8230000000000006E-8</v>
      </c>
      <c r="S6" s="83">
        <v>7.8230000000000008E-10</v>
      </c>
      <c r="T6" s="83">
        <v>1.2929999999999999E-8</v>
      </c>
      <c r="U6" s="83">
        <v>2.4566999999999999E-10</v>
      </c>
      <c r="V6" s="81"/>
      <c r="W6" s="81"/>
      <c r="X6" s="81"/>
      <c r="Y6" s="81"/>
      <c r="Z6" s="81"/>
      <c r="AA6" s="113"/>
      <c r="AB6" s="81"/>
      <c r="AC6" s="113"/>
      <c r="AD6" s="113"/>
      <c r="AE6" s="81"/>
      <c r="AF6" s="81"/>
      <c r="AG6" s="81"/>
      <c r="AH6" s="87"/>
      <c r="AI6" s="114"/>
      <c r="AJ6" s="115"/>
    </row>
    <row r="7" spans="1:63" s="111" customFormat="1" ht="15.6">
      <c r="A7" s="79" t="s">
        <v>328</v>
      </c>
      <c r="B7" s="79" t="s">
        <v>329</v>
      </c>
      <c r="C7" s="79" t="s">
        <v>331</v>
      </c>
      <c r="D7" s="80"/>
      <c r="F7" s="79">
        <v>1.1000000000000001</v>
      </c>
      <c r="G7" s="79">
        <v>88</v>
      </c>
      <c r="H7" s="82">
        <v>5</v>
      </c>
      <c r="I7" s="81">
        <v>3</v>
      </c>
      <c r="J7" s="81">
        <v>1.5</v>
      </c>
      <c r="K7" s="81">
        <v>0</v>
      </c>
      <c r="L7" s="83">
        <v>3.9740000000000004E-8</v>
      </c>
      <c r="M7" s="83">
        <v>3.9740000000000004E-10</v>
      </c>
      <c r="N7" s="83">
        <v>1.4219999999999999E-7</v>
      </c>
      <c r="O7" s="83">
        <v>1.2798000000000001E-9</v>
      </c>
      <c r="P7" s="83">
        <v>3.2029999999999998E-4</v>
      </c>
      <c r="Q7" s="83">
        <v>2.5624000000000002E-6</v>
      </c>
      <c r="R7" s="83">
        <v>8.2539999999999997E-8</v>
      </c>
      <c r="S7" s="83">
        <v>8.2540000000000007E-10</v>
      </c>
      <c r="T7" s="83">
        <v>1.236E-8</v>
      </c>
      <c r="U7" s="83">
        <v>2.3483999999999999E-10</v>
      </c>
      <c r="V7" s="81"/>
      <c r="W7" s="81"/>
      <c r="X7" s="81"/>
      <c r="Y7" s="81"/>
      <c r="Z7" s="81"/>
      <c r="AA7" s="113"/>
      <c r="AB7" s="81"/>
      <c r="AC7" s="113"/>
      <c r="AD7" s="113"/>
      <c r="AE7" s="81"/>
      <c r="AF7" s="81"/>
      <c r="AG7" s="81"/>
      <c r="AH7" s="87"/>
      <c r="AI7" s="114"/>
      <c r="AJ7" s="115"/>
    </row>
    <row r="8" spans="1:63" s="111" customFormat="1" ht="15.6">
      <c r="A8" s="79" t="s">
        <v>328</v>
      </c>
      <c r="B8" s="79" t="s">
        <v>329</v>
      </c>
      <c r="C8" s="79" t="s">
        <v>331</v>
      </c>
      <c r="D8" s="80"/>
      <c r="F8" s="79">
        <v>1.46</v>
      </c>
      <c r="G8" s="79">
        <v>88</v>
      </c>
      <c r="H8" s="82">
        <v>5</v>
      </c>
      <c r="I8" s="81">
        <v>3</v>
      </c>
      <c r="J8" s="81">
        <v>1.5</v>
      </c>
      <c r="K8" s="81">
        <v>0</v>
      </c>
      <c r="L8" s="83">
        <v>4.0400000000000004E-8</v>
      </c>
      <c r="M8" s="83">
        <v>4.04E-10</v>
      </c>
      <c r="N8" s="83">
        <v>1.2450000000000001E-7</v>
      </c>
      <c r="O8" s="83">
        <v>1.1205E-9</v>
      </c>
      <c r="P8" s="83">
        <v>3.0610000000000001E-4</v>
      </c>
      <c r="Q8" s="83">
        <v>2.4488000000000002E-6</v>
      </c>
      <c r="R8" s="83">
        <v>8.1500000000000008E-8</v>
      </c>
      <c r="S8" s="83">
        <v>8.1500000000000008E-10</v>
      </c>
      <c r="T8" s="83">
        <v>1.2250000000000001E-8</v>
      </c>
      <c r="U8" s="83">
        <v>2.3275E-10</v>
      </c>
      <c r="V8" s="81"/>
      <c r="W8" s="81"/>
      <c r="X8" s="81"/>
      <c r="Y8" s="81"/>
      <c r="Z8" s="81"/>
      <c r="AA8" s="113"/>
      <c r="AB8" s="81"/>
      <c r="AC8" s="113"/>
      <c r="AD8" s="113"/>
      <c r="AE8" s="81"/>
      <c r="AF8" s="81"/>
      <c r="AG8" s="81"/>
      <c r="AH8" s="87"/>
      <c r="AI8" s="114"/>
      <c r="AJ8" s="115"/>
    </row>
    <row r="9" spans="1:63">
      <c r="A9" s="40"/>
      <c r="B9" s="40"/>
      <c r="C9" s="43"/>
      <c r="D9" s="74"/>
      <c r="F9" s="42"/>
      <c r="G9" s="40"/>
      <c r="H9" s="44"/>
      <c r="I9" s="40"/>
      <c r="J9" s="40"/>
      <c r="K9" s="40"/>
      <c r="L9" s="40"/>
      <c r="M9" s="40"/>
      <c r="N9" s="40"/>
      <c r="O9" s="40"/>
      <c r="P9" s="40"/>
      <c r="Q9" s="40"/>
      <c r="R9" s="40"/>
      <c r="S9" s="40"/>
      <c r="T9" s="40"/>
      <c r="U9" s="40"/>
    </row>
    <row r="10" spans="1:63">
      <c r="A10" s="40"/>
      <c r="B10" s="40"/>
      <c r="C10" s="43"/>
      <c r="D10" s="74"/>
      <c r="F10" s="42"/>
      <c r="G10" s="40"/>
      <c r="H10" s="44"/>
      <c r="I10" s="40"/>
      <c r="J10" s="40"/>
      <c r="K10" s="40"/>
      <c r="L10" s="40"/>
      <c r="M10" s="40"/>
      <c r="N10" s="40"/>
      <c r="O10" s="40"/>
      <c r="P10" s="40"/>
      <c r="Q10" s="40"/>
      <c r="R10" s="40"/>
      <c r="S10" s="40"/>
      <c r="T10" s="40"/>
      <c r="U10" s="40"/>
    </row>
    <row r="11" spans="1:63">
      <c r="A11" s="40"/>
      <c r="B11" s="40"/>
      <c r="C11" s="43"/>
      <c r="D11" s="74"/>
      <c r="F11" s="42"/>
      <c r="G11" s="40"/>
      <c r="H11" s="44"/>
      <c r="I11" s="40"/>
      <c r="J11" s="40"/>
      <c r="K11" s="40"/>
      <c r="L11" s="40"/>
      <c r="M11" s="40"/>
      <c r="N11" s="40"/>
      <c r="O11" s="40"/>
      <c r="P11" s="40"/>
      <c r="Q11" s="40"/>
      <c r="R11" s="40"/>
      <c r="S11" s="40"/>
      <c r="T11" s="40"/>
      <c r="U11" s="40"/>
    </row>
    <row r="12" spans="1:63">
      <c r="A12" s="40"/>
      <c r="B12" s="40"/>
      <c r="C12" s="43"/>
      <c r="D12" s="74"/>
      <c r="F12" s="42"/>
      <c r="G12" s="40"/>
      <c r="H12" s="44"/>
      <c r="I12" s="40"/>
      <c r="J12" s="40"/>
      <c r="K12" s="40"/>
      <c r="L12" s="40"/>
      <c r="M12" s="40"/>
      <c r="N12" s="40"/>
      <c r="O12" s="40"/>
      <c r="P12" s="40"/>
      <c r="Q12" s="40"/>
      <c r="R12" s="40"/>
      <c r="S12" s="40"/>
      <c r="T12" s="40"/>
      <c r="U12" s="40"/>
    </row>
    <row r="13" spans="1:63">
      <c r="A13" s="40"/>
      <c r="B13" s="40"/>
      <c r="C13" s="43"/>
      <c r="D13" s="74"/>
      <c r="F13" s="42"/>
      <c r="G13" s="40"/>
      <c r="H13" s="44"/>
      <c r="I13" s="40"/>
      <c r="J13" s="40"/>
      <c r="K13" s="40"/>
      <c r="L13" s="40"/>
      <c r="M13" s="40"/>
      <c r="N13" s="40"/>
      <c r="O13" s="40"/>
      <c r="P13" s="40"/>
      <c r="Q13" s="40"/>
      <c r="R13" s="40"/>
      <c r="S13" s="40"/>
      <c r="T13" s="40"/>
      <c r="U13" s="40"/>
    </row>
    <row r="14" spans="1:63">
      <c r="A14" s="40"/>
      <c r="B14" s="40"/>
      <c r="C14" s="43"/>
      <c r="D14" s="74"/>
      <c r="F14" s="42"/>
      <c r="G14" s="40"/>
      <c r="H14" s="44"/>
      <c r="I14" s="40"/>
      <c r="J14" s="40"/>
      <c r="K14" s="40"/>
      <c r="L14" s="40"/>
      <c r="M14" s="40"/>
      <c r="N14" s="40"/>
      <c r="O14" s="40"/>
      <c r="P14" s="40"/>
      <c r="Q14" s="40"/>
      <c r="R14" s="40"/>
      <c r="S14" s="40"/>
      <c r="T14" s="40"/>
      <c r="U14" s="40"/>
    </row>
    <row r="15" spans="1:63">
      <c r="A15" s="40"/>
      <c r="B15" s="40"/>
      <c r="C15" s="43"/>
      <c r="D15" s="74"/>
      <c r="F15" s="42"/>
      <c r="G15" s="40"/>
      <c r="H15" s="44"/>
      <c r="I15" s="40"/>
      <c r="J15" s="40"/>
      <c r="K15" s="40"/>
      <c r="L15" s="40"/>
      <c r="M15" s="40"/>
      <c r="N15" s="40"/>
      <c r="O15" s="40"/>
      <c r="P15" s="40"/>
      <c r="Q15" s="40"/>
      <c r="R15" s="40"/>
      <c r="S15" s="40"/>
      <c r="T15" s="40"/>
      <c r="U15" s="40"/>
    </row>
    <row r="16" spans="1:63">
      <c r="A16" s="40"/>
      <c r="B16" s="40"/>
      <c r="C16" s="43"/>
      <c r="D16" s="74"/>
      <c r="F16" s="42"/>
      <c r="G16" s="40"/>
      <c r="H16" s="44"/>
      <c r="I16" s="40"/>
      <c r="J16" s="40"/>
      <c r="K16" s="40"/>
      <c r="L16" s="40"/>
      <c r="M16" s="40"/>
      <c r="N16" s="40"/>
      <c r="O16" s="40"/>
      <c r="P16" s="40"/>
      <c r="Q16" s="40"/>
      <c r="R16" s="40"/>
      <c r="S16" s="40"/>
      <c r="T16" s="40"/>
      <c r="U16" s="40"/>
    </row>
    <row r="17" spans="1:21">
      <c r="A17" s="40"/>
      <c r="B17" s="40"/>
      <c r="C17" s="43"/>
      <c r="D17" s="74"/>
      <c r="F17" s="42"/>
      <c r="G17" s="40"/>
      <c r="H17" s="44"/>
      <c r="I17" s="40"/>
      <c r="J17" s="40"/>
      <c r="K17" s="40"/>
      <c r="L17" s="40"/>
      <c r="M17" s="40"/>
      <c r="N17" s="40"/>
      <c r="O17" s="40"/>
      <c r="P17" s="40"/>
      <c r="Q17" s="40"/>
      <c r="R17" s="40"/>
      <c r="S17" s="40"/>
      <c r="T17" s="40"/>
      <c r="U17" s="40"/>
    </row>
    <row r="18" spans="1:21">
      <c r="A18" s="40"/>
      <c r="B18" s="40"/>
      <c r="C18" s="43"/>
      <c r="D18" s="74"/>
      <c r="F18" s="42"/>
      <c r="G18" s="40"/>
      <c r="H18" s="44"/>
      <c r="I18" s="40"/>
      <c r="J18" s="40"/>
      <c r="K18" s="40"/>
      <c r="L18" s="40"/>
      <c r="M18" s="40"/>
      <c r="N18" s="40"/>
      <c r="O18" s="40"/>
      <c r="P18" s="40"/>
      <c r="Q18" s="40"/>
      <c r="R18" s="40"/>
      <c r="S18" s="40"/>
      <c r="T18" s="40"/>
      <c r="U18" s="40"/>
    </row>
    <row r="19" spans="1:21">
      <c r="A19" s="40"/>
      <c r="B19" s="40"/>
      <c r="C19" s="43"/>
      <c r="D19" s="74"/>
      <c r="F19" s="42"/>
      <c r="G19" s="40"/>
      <c r="H19" s="44"/>
      <c r="I19" s="40"/>
      <c r="J19" s="40"/>
      <c r="K19" s="40"/>
      <c r="L19" s="40"/>
      <c r="M19" s="40"/>
      <c r="N19" s="40"/>
      <c r="O19" s="40"/>
      <c r="P19" s="40"/>
      <c r="Q19" s="40"/>
      <c r="R19" s="40"/>
      <c r="S19" s="40"/>
      <c r="T19" s="40"/>
      <c r="U19" s="40"/>
    </row>
    <row r="20" spans="1:21">
      <c r="A20" s="40"/>
      <c r="B20" s="40"/>
      <c r="C20" s="43"/>
      <c r="D20" s="74"/>
      <c r="F20" s="42"/>
      <c r="G20" s="40"/>
      <c r="H20" s="44"/>
      <c r="I20" s="40"/>
      <c r="J20" s="40"/>
      <c r="K20" s="40"/>
      <c r="L20" s="40"/>
      <c r="M20" s="40"/>
      <c r="N20" s="40"/>
      <c r="O20" s="40"/>
      <c r="P20" s="40"/>
      <c r="Q20" s="40"/>
      <c r="R20" s="40"/>
      <c r="S20" s="40"/>
      <c r="T20" s="40"/>
      <c r="U20" s="40"/>
    </row>
    <row r="21" spans="1:21">
      <c r="A21" s="40"/>
      <c r="B21" s="40"/>
      <c r="C21" s="43"/>
      <c r="D21" s="74"/>
      <c r="F21" s="42"/>
      <c r="G21" s="40"/>
      <c r="H21" s="44"/>
      <c r="I21" s="40"/>
      <c r="J21" s="40"/>
      <c r="K21" s="40"/>
      <c r="L21" s="40"/>
      <c r="M21" s="40"/>
      <c r="N21" s="40"/>
      <c r="O21" s="40"/>
      <c r="P21" s="40"/>
      <c r="Q21" s="40"/>
      <c r="R21" s="40"/>
      <c r="S21" s="40"/>
      <c r="T21" s="40"/>
      <c r="U21" s="40"/>
    </row>
    <row r="22" spans="1:21">
      <c r="A22" s="40"/>
      <c r="B22" s="40"/>
      <c r="C22" s="43"/>
      <c r="D22" s="74"/>
      <c r="F22" s="42"/>
      <c r="G22" s="40"/>
      <c r="H22" s="44"/>
      <c r="I22" s="40"/>
      <c r="J22" s="40"/>
      <c r="K22" s="40"/>
      <c r="L22" s="40"/>
      <c r="M22" s="40"/>
      <c r="N22" s="40"/>
      <c r="O22" s="40"/>
      <c r="P22" s="40"/>
      <c r="Q22" s="40"/>
      <c r="R22" s="40"/>
      <c r="S22" s="40"/>
      <c r="T22" s="40"/>
      <c r="U22" s="40"/>
    </row>
    <row r="23" spans="1:21">
      <c r="A23" s="40"/>
      <c r="B23" s="40"/>
      <c r="C23" s="43"/>
      <c r="D23" s="74"/>
      <c r="F23" s="42"/>
      <c r="G23" s="40"/>
      <c r="H23" s="44"/>
      <c r="I23" s="40"/>
      <c r="J23" s="40"/>
      <c r="K23" s="40"/>
      <c r="L23" s="40"/>
      <c r="M23" s="40"/>
      <c r="N23" s="40"/>
      <c r="O23" s="40"/>
      <c r="P23" s="40"/>
      <c r="Q23" s="40"/>
      <c r="R23" s="40"/>
      <c r="S23" s="40"/>
      <c r="T23" s="40"/>
      <c r="U23" s="40"/>
    </row>
    <row r="24" spans="1:21">
      <c r="A24" s="40"/>
      <c r="B24" s="40"/>
      <c r="C24" s="43"/>
      <c r="D24" s="74"/>
      <c r="F24" s="42"/>
      <c r="G24" s="40"/>
      <c r="H24" s="44"/>
      <c r="I24" s="40"/>
      <c r="J24" s="40"/>
      <c r="K24" s="40"/>
      <c r="L24" s="40"/>
      <c r="M24" s="40"/>
      <c r="N24" s="40"/>
      <c r="O24" s="40"/>
      <c r="P24" s="40"/>
      <c r="Q24" s="40"/>
      <c r="R24" s="40"/>
      <c r="S24" s="40"/>
      <c r="T24" s="40"/>
      <c r="U24" s="40"/>
    </row>
    <row r="25" spans="1:21">
      <c r="A25" s="40"/>
      <c r="B25" s="40"/>
      <c r="C25" s="43"/>
      <c r="D25" s="74"/>
      <c r="F25" s="42"/>
      <c r="G25" s="40"/>
      <c r="H25" s="44"/>
      <c r="I25" s="40"/>
      <c r="J25" s="40"/>
      <c r="K25" s="40"/>
      <c r="L25" s="40"/>
      <c r="M25" s="40"/>
      <c r="N25" s="40"/>
      <c r="O25" s="40"/>
      <c r="P25" s="40"/>
      <c r="Q25" s="40"/>
      <c r="R25" s="40"/>
      <c r="S25" s="40"/>
      <c r="T25" s="40"/>
      <c r="U25" s="40"/>
    </row>
    <row r="26" spans="1:21">
      <c r="A26" s="40"/>
      <c r="B26" s="40"/>
      <c r="C26" s="43"/>
      <c r="D26" s="74"/>
      <c r="F26" s="42"/>
      <c r="G26" s="40"/>
      <c r="H26" s="44"/>
      <c r="I26" s="40"/>
      <c r="J26" s="40"/>
      <c r="K26" s="40"/>
      <c r="L26" s="40"/>
      <c r="M26" s="40"/>
      <c r="N26" s="40"/>
      <c r="O26" s="40"/>
      <c r="P26" s="40"/>
      <c r="Q26" s="40"/>
      <c r="R26" s="40"/>
      <c r="S26" s="40"/>
      <c r="T26" s="40"/>
      <c r="U26" s="40"/>
    </row>
    <row r="27" spans="1:21">
      <c r="A27" s="40"/>
      <c r="B27" s="40"/>
      <c r="C27" s="43"/>
      <c r="D27" s="74"/>
      <c r="F27" s="42"/>
      <c r="G27" s="40"/>
      <c r="H27" s="44"/>
      <c r="I27" s="40"/>
      <c r="J27" s="40"/>
      <c r="K27" s="40"/>
      <c r="L27" s="40"/>
      <c r="M27" s="40"/>
      <c r="N27" s="40"/>
      <c r="O27" s="40"/>
      <c r="P27" s="40"/>
      <c r="Q27" s="40"/>
      <c r="R27" s="40"/>
      <c r="S27" s="40"/>
      <c r="T27" s="40"/>
      <c r="U27" s="40"/>
    </row>
    <row r="28" spans="1:21">
      <c r="A28" s="40"/>
      <c r="B28" s="40"/>
      <c r="C28" s="43"/>
      <c r="D28" s="74"/>
      <c r="F28" s="42"/>
      <c r="G28" s="40"/>
      <c r="H28" s="44"/>
      <c r="I28" s="40"/>
      <c r="J28" s="40"/>
      <c r="K28" s="40"/>
      <c r="L28" s="40"/>
      <c r="M28" s="40"/>
      <c r="N28" s="40"/>
      <c r="O28" s="40"/>
      <c r="P28" s="40"/>
      <c r="Q28" s="40"/>
      <c r="R28" s="40"/>
      <c r="S28" s="40"/>
      <c r="T28" s="40"/>
      <c r="U28" s="40"/>
    </row>
    <row r="29" spans="1:21">
      <c r="A29" s="40"/>
      <c r="B29" s="40"/>
      <c r="C29" s="43"/>
      <c r="D29" s="74"/>
      <c r="F29" s="42"/>
      <c r="G29" s="40"/>
      <c r="H29" s="44"/>
      <c r="I29" s="40"/>
      <c r="J29" s="40"/>
      <c r="K29" s="40"/>
      <c r="L29" s="40"/>
      <c r="M29" s="40"/>
      <c r="N29" s="40"/>
      <c r="O29" s="40"/>
      <c r="P29" s="40"/>
      <c r="Q29" s="40"/>
      <c r="R29" s="40"/>
      <c r="S29" s="40"/>
      <c r="T29" s="40"/>
      <c r="U29" s="40"/>
    </row>
    <row r="30" spans="1:21">
      <c r="A30" s="40"/>
      <c r="B30" s="40"/>
      <c r="C30" s="43"/>
      <c r="D30" s="74"/>
      <c r="F30" s="42"/>
      <c r="G30" s="40"/>
      <c r="H30" s="44"/>
      <c r="I30" s="40"/>
      <c r="J30" s="40"/>
      <c r="K30" s="40"/>
      <c r="L30" s="40"/>
      <c r="M30" s="40"/>
      <c r="N30" s="40"/>
      <c r="O30" s="40"/>
      <c r="P30" s="40"/>
      <c r="Q30" s="40"/>
      <c r="R30" s="40"/>
      <c r="S30" s="40"/>
      <c r="T30" s="40"/>
      <c r="U30" s="40"/>
    </row>
    <row r="31" spans="1:21">
      <c r="A31" s="40"/>
      <c r="B31" s="40"/>
      <c r="C31" s="43"/>
      <c r="D31" s="74"/>
      <c r="F31" s="42"/>
      <c r="G31" s="40"/>
      <c r="H31" s="44"/>
      <c r="I31" s="40"/>
      <c r="J31" s="40"/>
      <c r="K31" s="40"/>
      <c r="L31" s="40"/>
      <c r="M31" s="40"/>
      <c r="N31" s="40"/>
      <c r="O31" s="40"/>
      <c r="P31" s="40"/>
      <c r="Q31" s="40"/>
      <c r="R31" s="40"/>
      <c r="S31" s="40"/>
      <c r="T31" s="40"/>
      <c r="U31" s="40"/>
    </row>
    <row r="32" spans="1:21">
      <c r="A32" s="40"/>
      <c r="B32" s="40"/>
      <c r="C32" s="43"/>
      <c r="D32" s="74"/>
      <c r="F32" s="42"/>
      <c r="G32" s="40"/>
      <c r="H32" s="44"/>
      <c r="I32" s="40"/>
      <c r="J32" s="40"/>
      <c r="K32" s="40"/>
      <c r="L32" s="40"/>
      <c r="M32" s="40"/>
      <c r="N32" s="40"/>
      <c r="O32" s="40"/>
      <c r="P32" s="40"/>
      <c r="Q32" s="40"/>
      <c r="R32" s="40"/>
      <c r="S32" s="40"/>
      <c r="T32" s="40"/>
      <c r="U32" s="40"/>
    </row>
    <row r="33" spans="1:21">
      <c r="A33" s="40"/>
      <c r="B33" s="40"/>
      <c r="C33" s="43"/>
      <c r="D33" s="74"/>
      <c r="F33" s="42"/>
      <c r="G33" s="40"/>
      <c r="H33" s="44"/>
      <c r="I33" s="40"/>
      <c r="J33" s="40"/>
      <c r="K33" s="40"/>
      <c r="L33" s="40"/>
      <c r="M33" s="40"/>
      <c r="N33" s="40"/>
      <c r="O33" s="40"/>
      <c r="P33" s="40"/>
      <c r="Q33" s="40"/>
      <c r="R33" s="40"/>
      <c r="S33" s="40"/>
      <c r="T33" s="40"/>
      <c r="U33" s="40"/>
    </row>
    <row r="34" spans="1:21">
      <c r="A34" s="40"/>
      <c r="B34" s="40"/>
      <c r="C34" s="43"/>
      <c r="D34" s="74"/>
      <c r="F34" s="42"/>
      <c r="G34" s="40"/>
      <c r="H34" s="44"/>
      <c r="I34" s="40"/>
      <c r="J34" s="40"/>
      <c r="K34" s="40"/>
      <c r="L34" s="40"/>
      <c r="M34" s="40"/>
      <c r="N34" s="40"/>
      <c r="O34" s="40"/>
      <c r="P34" s="40"/>
      <c r="Q34" s="40"/>
      <c r="R34" s="40"/>
      <c r="S34" s="40"/>
      <c r="T34" s="40"/>
      <c r="U34" s="40"/>
    </row>
    <row r="35" spans="1:21">
      <c r="A35" s="40"/>
      <c r="B35" s="40"/>
      <c r="C35" s="43"/>
      <c r="D35" s="74"/>
      <c r="F35" s="42"/>
      <c r="G35" s="40"/>
      <c r="H35" s="44"/>
      <c r="I35" s="40"/>
      <c r="J35" s="40"/>
      <c r="K35" s="40"/>
      <c r="L35" s="40"/>
      <c r="M35" s="40"/>
      <c r="N35" s="40"/>
      <c r="O35" s="40"/>
      <c r="P35" s="40"/>
      <c r="Q35" s="40"/>
      <c r="R35" s="40"/>
      <c r="S35" s="40"/>
      <c r="T35" s="40"/>
      <c r="U35" s="40"/>
    </row>
    <row r="36" spans="1:21">
      <c r="A36" s="40"/>
      <c r="B36" s="40"/>
      <c r="C36" s="43"/>
      <c r="D36" s="74"/>
      <c r="F36" s="42"/>
      <c r="G36" s="40"/>
      <c r="H36" s="44"/>
      <c r="I36" s="40"/>
      <c r="J36" s="40"/>
      <c r="K36" s="40"/>
      <c r="L36" s="40"/>
      <c r="M36" s="40"/>
      <c r="N36" s="40"/>
      <c r="O36" s="40"/>
      <c r="P36" s="40"/>
      <c r="Q36" s="40"/>
      <c r="R36" s="40"/>
      <c r="S36" s="40"/>
      <c r="T36" s="40"/>
      <c r="U36" s="40"/>
    </row>
    <row r="37" spans="1:21">
      <c r="A37" s="40"/>
      <c r="B37" s="40"/>
      <c r="C37" s="43"/>
      <c r="D37" s="74"/>
      <c r="F37" s="42"/>
      <c r="G37" s="40"/>
      <c r="H37" s="44"/>
      <c r="I37" s="40"/>
      <c r="J37" s="40"/>
      <c r="K37" s="40"/>
      <c r="L37" s="40"/>
      <c r="M37" s="40"/>
      <c r="N37" s="40"/>
      <c r="O37" s="40"/>
      <c r="P37" s="40"/>
      <c r="Q37" s="40"/>
      <c r="R37" s="40"/>
      <c r="S37" s="40"/>
      <c r="T37" s="40"/>
      <c r="U37" s="40"/>
    </row>
    <row r="38" spans="1:21">
      <c r="A38" s="40"/>
      <c r="B38" s="40"/>
      <c r="C38" s="43"/>
      <c r="D38" s="74"/>
      <c r="F38" s="42"/>
      <c r="G38" s="40"/>
      <c r="H38" s="44"/>
      <c r="I38" s="40"/>
      <c r="J38" s="40"/>
      <c r="K38" s="40"/>
      <c r="L38" s="40"/>
      <c r="M38" s="40"/>
      <c r="N38" s="40"/>
      <c r="O38" s="40"/>
      <c r="P38" s="40"/>
      <c r="Q38" s="40"/>
      <c r="R38" s="40"/>
      <c r="S38" s="40"/>
      <c r="T38" s="40"/>
      <c r="U38" s="40"/>
    </row>
    <row r="39" spans="1:21">
      <c r="A39" s="40"/>
      <c r="B39" s="40"/>
      <c r="C39" s="43"/>
      <c r="D39" s="74"/>
      <c r="F39" s="42"/>
      <c r="G39" s="40"/>
      <c r="H39" s="44"/>
      <c r="I39" s="40"/>
      <c r="J39" s="40"/>
      <c r="K39" s="40"/>
      <c r="L39" s="40"/>
      <c r="M39" s="40"/>
      <c r="N39" s="40"/>
      <c r="O39" s="40"/>
      <c r="P39" s="40"/>
      <c r="Q39" s="40"/>
      <c r="R39" s="40"/>
      <c r="S39" s="40"/>
      <c r="T39" s="40"/>
      <c r="U39" s="40"/>
    </row>
    <row r="40" spans="1:21">
      <c r="A40" s="40"/>
      <c r="B40" s="40"/>
      <c r="C40" s="43"/>
      <c r="D40" s="74"/>
      <c r="F40" s="42"/>
      <c r="G40" s="40"/>
      <c r="H40" s="44"/>
      <c r="I40" s="40"/>
      <c r="J40" s="40"/>
      <c r="K40" s="40"/>
      <c r="L40" s="40"/>
      <c r="M40" s="40"/>
      <c r="N40" s="40"/>
      <c r="O40" s="40"/>
      <c r="P40" s="40"/>
      <c r="Q40" s="40"/>
      <c r="R40" s="40"/>
      <c r="S40" s="40"/>
      <c r="T40" s="40"/>
      <c r="U40" s="40"/>
    </row>
    <row r="41" spans="1:21">
      <c r="A41" s="40"/>
      <c r="B41" s="40"/>
      <c r="C41" s="43"/>
      <c r="D41" s="74"/>
      <c r="F41" s="42"/>
      <c r="G41" s="40"/>
      <c r="H41" s="44"/>
      <c r="I41" s="40"/>
      <c r="J41" s="40"/>
      <c r="K41" s="40"/>
      <c r="L41" s="40"/>
      <c r="M41" s="40"/>
      <c r="N41" s="40"/>
      <c r="O41" s="40"/>
      <c r="P41" s="40"/>
      <c r="Q41" s="40"/>
      <c r="R41" s="40"/>
      <c r="S41" s="40"/>
      <c r="T41" s="40"/>
      <c r="U41" s="40"/>
    </row>
    <row r="42" spans="1:21">
      <c r="A42" s="40"/>
      <c r="B42" s="40"/>
      <c r="C42" s="43"/>
      <c r="D42" s="74"/>
      <c r="F42" s="42"/>
      <c r="G42" s="40"/>
      <c r="H42" s="44"/>
      <c r="I42" s="40"/>
      <c r="J42" s="40"/>
      <c r="K42" s="40"/>
      <c r="L42" s="40"/>
      <c r="M42" s="40"/>
      <c r="N42" s="40"/>
      <c r="O42" s="40"/>
      <c r="P42" s="40"/>
      <c r="Q42" s="40"/>
      <c r="R42" s="40"/>
      <c r="S42" s="40"/>
      <c r="T42" s="40"/>
      <c r="U42" s="40"/>
    </row>
    <row r="43" spans="1:21">
      <c r="A43" s="40"/>
      <c r="B43" s="40"/>
      <c r="C43" s="43"/>
      <c r="D43" s="74"/>
      <c r="F43" s="42"/>
      <c r="G43" s="40"/>
      <c r="H43" s="44"/>
      <c r="I43" s="40"/>
      <c r="J43" s="40"/>
      <c r="K43" s="40"/>
      <c r="L43" s="40"/>
      <c r="M43" s="40"/>
      <c r="N43" s="40"/>
      <c r="O43" s="40"/>
      <c r="P43" s="40"/>
      <c r="Q43" s="40"/>
      <c r="R43" s="40"/>
      <c r="S43" s="40"/>
      <c r="T43" s="40"/>
      <c r="U43" s="40"/>
    </row>
    <row r="44" spans="1:21">
      <c r="A44" s="40"/>
      <c r="B44" s="40"/>
      <c r="C44" s="43"/>
      <c r="D44" s="74"/>
      <c r="F44" s="42"/>
      <c r="G44" s="40"/>
      <c r="H44" s="44"/>
      <c r="I44" s="40"/>
      <c r="J44" s="40"/>
      <c r="K44" s="40"/>
      <c r="L44" s="40"/>
      <c r="M44" s="40"/>
      <c r="N44" s="40"/>
      <c r="O44" s="40"/>
      <c r="P44" s="40"/>
      <c r="Q44" s="40"/>
      <c r="R44" s="40"/>
      <c r="S44" s="40"/>
      <c r="T44" s="40"/>
      <c r="U44" s="40"/>
    </row>
    <row r="45" spans="1:21">
      <c r="A45" s="40"/>
      <c r="B45" s="40"/>
      <c r="C45" s="43"/>
      <c r="D45" s="74"/>
      <c r="F45" s="42"/>
      <c r="G45" s="40"/>
      <c r="H45" s="44"/>
      <c r="I45" s="40"/>
      <c r="J45" s="40"/>
      <c r="K45" s="40"/>
      <c r="L45" s="40"/>
      <c r="M45" s="40"/>
      <c r="N45" s="40"/>
      <c r="O45" s="40"/>
      <c r="P45" s="40"/>
      <c r="Q45" s="40"/>
      <c r="R45" s="40"/>
      <c r="S45" s="40"/>
      <c r="T45" s="40"/>
      <c r="U45" s="40"/>
    </row>
    <row r="46" spans="1:21">
      <c r="A46" s="40"/>
      <c r="B46" s="40"/>
      <c r="C46" s="43"/>
      <c r="D46" s="74"/>
      <c r="F46" s="42"/>
      <c r="G46" s="40"/>
      <c r="H46" s="44"/>
      <c r="I46" s="40"/>
      <c r="J46" s="40"/>
      <c r="K46" s="40"/>
      <c r="L46" s="40"/>
      <c r="M46" s="40"/>
      <c r="N46" s="40"/>
      <c r="O46" s="40"/>
      <c r="P46" s="40"/>
      <c r="Q46" s="40"/>
      <c r="R46" s="40"/>
      <c r="S46" s="40"/>
      <c r="T46" s="40"/>
      <c r="U46" s="40"/>
    </row>
    <row r="47" spans="1:21">
      <c r="A47" s="40"/>
      <c r="B47" s="40"/>
      <c r="C47" s="43"/>
      <c r="D47" s="74"/>
      <c r="F47" s="42"/>
      <c r="G47" s="40"/>
      <c r="H47" s="44"/>
      <c r="I47" s="40"/>
      <c r="J47" s="40"/>
      <c r="K47" s="40"/>
      <c r="L47" s="40"/>
      <c r="M47" s="40"/>
      <c r="N47" s="40"/>
      <c r="O47" s="40"/>
      <c r="P47" s="40"/>
      <c r="Q47" s="40"/>
      <c r="R47" s="40"/>
      <c r="S47" s="40"/>
      <c r="T47" s="40"/>
      <c r="U47" s="40"/>
    </row>
    <row r="48" spans="1:21">
      <c r="A48" s="40"/>
      <c r="B48" s="40"/>
      <c r="C48" s="43"/>
      <c r="D48" s="74"/>
      <c r="F48" s="42"/>
      <c r="G48" s="40"/>
      <c r="H48" s="44"/>
      <c r="I48" s="40"/>
      <c r="J48" s="40"/>
      <c r="K48" s="40"/>
      <c r="L48" s="40"/>
      <c r="M48" s="40"/>
      <c r="N48" s="40"/>
      <c r="O48" s="40"/>
      <c r="P48" s="40"/>
      <c r="Q48" s="40"/>
      <c r="R48" s="40"/>
      <c r="S48" s="40"/>
      <c r="T48" s="40"/>
      <c r="U48" s="40"/>
    </row>
    <row r="49" spans="1:21">
      <c r="A49" s="40"/>
      <c r="B49" s="40"/>
      <c r="C49" s="43"/>
      <c r="D49" s="74"/>
      <c r="F49" s="42"/>
      <c r="G49" s="40"/>
      <c r="H49" s="44"/>
      <c r="I49" s="40"/>
      <c r="J49" s="40"/>
      <c r="K49" s="40"/>
      <c r="L49" s="40"/>
      <c r="M49" s="40"/>
      <c r="N49" s="40"/>
      <c r="O49" s="40"/>
      <c r="P49" s="40"/>
      <c r="Q49" s="40"/>
      <c r="R49" s="40"/>
      <c r="S49" s="40"/>
      <c r="T49" s="40"/>
      <c r="U49" s="40"/>
    </row>
    <row r="50" spans="1:21">
      <c r="A50" s="40"/>
      <c r="B50" s="40"/>
      <c r="C50" s="43"/>
      <c r="D50" s="74"/>
      <c r="F50" s="42"/>
      <c r="G50" s="40"/>
      <c r="H50" s="44"/>
      <c r="I50" s="40"/>
      <c r="J50" s="40"/>
      <c r="K50" s="40"/>
      <c r="L50" s="40"/>
      <c r="M50" s="40"/>
      <c r="N50" s="40"/>
      <c r="O50" s="40"/>
      <c r="P50" s="40"/>
      <c r="Q50" s="40"/>
      <c r="R50" s="40"/>
      <c r="S50" s="40"/>
      <c r="T50" s="40"/>
      <c r="U50" s="40"/>
    </row>
    <row r="51" spans="1:21">
      <c r="A51" s="40"/>
      <c r="B51" s="40"/>
      <c r="C51" s="43"/>
      <c r="D51" s="74"/>
      <c r="F51" s="42"/>
      <c r="G51" s="40"/>
      <c r="H51" s="44"/>
      <c r="I51" s="40"/>
      <c r="J51" s="40"/>
      <c r="K51" s="40"/>
      <c r="L51" s="40"/>
      <c r="M51" s="40"/>
      <c r="N51" s="40"/>
      <c r="O51" s="40"/>
      <c r="P51" s="40"/>
      <c r="Q51" s="40"/>
      <c r="R51" s="40"/>
      <c r="S51" s="40"/>
      <c r="T51" s="40"/>
      <c r="U51" s="40"/>
    </row>
    <row r="52" spans="1:21">
      <c r="A52" s="40"/>
      <c r="B52" s="40"/>
      <c r="C52" s="43"/>
      <c r="D52" s="74"/>
      <c r="F52" s="42"/>
      <c r="G52" s="40"/>
      <c r="H52" s="44"/>
      <c r="I52" s="40"/>
      <c r="J52" s="40"/>
      <c r="K52" s="40"/>
      <c r="L52" s="40"/>
      <c r="M52" s="40"/>
      <c r="N52" s="40"/>
      <c r="O52" s="40"/>
      <c r="P52" s="40"/>
      <c r="Q52" s="40"/>
      <c r="R52" s="40"/>
      <c r="S52" s="40"/>
      <c r="T52" s="40"/>
      <c r="U52" s="40"/>
    </row>
    <row r="53" spans="1:21">
      <c r="A53" s="40"/>
      <c r="B53" s="40"/>
      <c r="C53" s="43"/>
      <c r="D53" s="74"/>
      <c r="F53" s="42"/>
      <c r="G53" s="40"/>
      <c r="H53" s="44"/>
      <c r="I53" s="40"/>
      <c r="J53" s="40"/>
      <c r="K53" s="40"/>
      <c r="L53" s="40"/>
      <c r="M53" s="40"/>
      <c r="N53" s="40"/>
      <c r="O53" s="40"/>
      <c r="P53" s="40"/>
      <c r="Q53" s="40"/>
      <c r="R53" s="40"/>
      <c r="S53" s="40"/>
      <c r="T53" s="40"/>
      <c r="U53" s="40"/>
    </row>
    <row r="54" spans="1:21">
      <c r="A54" s="40"/>
      <c r="B54" s="40"/>
      <c r="C54" s="43"/>
      <c r="D54" s="74"/>
      <c r="F54" s="42"/>
      <c r="G54" s="40"/>
      <c r="H54" s="44"/>
      <c r="I54" s="40"/>
      <c r="J54" s="40"/>
      <c r="K54" s="40"/>
      <c r="L54" s="40"/>
      <c r="M54" s="40"/>
      <c r="N54" s="40"/>
      <c r="O54" s="40"/>
      <c r="P54" s="40"/>
      <c r="Q54" s="40"/>
      <c r="R54" s="40"/>
      <c r="S54" s="40"/>
      <c r="T54" s="40"/>
      <c r="U54" s="40"/>
    </row>
    <row r="55" spans="1:21">
      <c r="A55" s="40"/>
      <c r="B55" s="40"/>
      <c r="C55" s="43"/>
      <c r="D55" s="74"/>
      <c r="F55" s="42"/>
      <c r="G55" s="40"/>
      <c r="H55" s="44"/>
      <c r="I55" s="40"/>
      <c r="J55" s="40"/>
      <c r="K55" s="40"/>
      <c r="L55" s="40"/>
      <c r="M55" s="40"/>
      <c r="N55" s="40"/>
      <c r="O55" s="40"/>
      <c r="P55" s="40"/>
      <c r="Q55" s="40"/>
      <c r="R55" s="40"/>
      <c r="S55" s="40"/>
      <c r="T55" s="40"/>
      <c r="U55" s="40"/>
    </row>
    <row r="56" spans="1:21">
      <c r="A56" s="40"/>
      <c r="B56" s="40"/>
      <c r="C56" s="43"/>
      <c r="D56" s="74"/>
      <c r="F56" s="42"/>
      <c r="G56" s="40"/>
      <c r="H56" s="44"/>
      <c r="I56" s="40"/>
      <c r="J56" s="40"/>
      <c r="K56" s="40"/>
      <c r="L56" s="40"/>
      <c r="M56" s="40"/>
      <c r="N56" s="40"/>
      <c r="O56" s="40"/>
      <c r="P56" s="40"/>
      <c r="Q56" s="40"/>
      <c r="R56" s="40"/>
      <c r="S56" s="40"/>
      <c r="T56" s="40"/>
      <c r="U56" s="40"/>
    </row>
    <row r="57" spans="1:21">
      <c r="A57" s="40"/>
      <c r="B57" s="40"/>
      <c r="C57" s="43"/>
      <c r="D57" s="74"/>
      <c r="F57" s="42"/>
      <c r="G57" s="40"/>
      <c r="H57" s="44"/>
      <c r="I57" s="40"/>
      <c r="J57" s="40"/>
      <c r="K57" s="40"/>
      <c r="L57" s="40"/>
      <c r="M57" s="40"/>
      <c r="N57" s="40"/>
      <c r="O57" s="40"/>
      <c r="P57" s="40"/>
      <c r="Q57" s="40"/>
      <c r="R57" s="40"/>
      <c r="S57" s="40"/>
      <c r="T57" s="40"/>
      <c r="U57" s="40"/>
    </row>
    <row r="58" spans="1:21">
      <c r="A58" s="40"/>
      <c r="B58" s="40"/>
      <c r="C58" s="43"/>
      <c r="D58" s="74"/>
      <c r="F58" s="42"/>
      <c r="G58" s="40"/>
      <c r="H58" s="44"/>
      <c r="I58" s="40"/>
      <c r="J58" s="40"/>
      <c r="K58" s="40"/>
      <c r="L58" s="40"/>
      <c r="M58" s="40"/>
      <c r="N58" s="40"/>
      <c r="O58" s="40"/>
      <c r="P58" s="40"/>
      <c r="Q58" s="40"/>
      <c r="R58" s="40"/>
      <c r="S58" s="40"/>
      <c r="T58" s="40"/>
      <c r="U58" s="40"/>
    </row>
    <row r="59" spans="1:21">
      <c r="A59" s="40"/>
      <c r="B59" s="40"/>
      <c r="C59" s="43"/>
      <c r="D59" s="74"/>
      <c r="F59" s="42"/>
      <c r="G59" s="40"/>
      <c r="H59" s="44"/>
      <c r="I59" s="40"/>
      <c r="J59" s="40"/>
      <c r="K59" s="40"/>
      <c r="L59" s="40"/>
      <c r="M59" s="40"/>
      <c r="N59" s="40"/>
      <c r="O59" s="40"/>
      <c r="P59" s="40"/>
      <c r="Q59" s="40"/>
      <c r="R59" s="40"/>
      <c r="S59" s="40"/>
      <c r="T59" s="40"/>
      <c r="U59" s="40"/>
    </row>
    <row r="60" spans="1:21">
      <c r="A60" s="40"/>
      <c r="B60" s="40"/>
      <c r="C60" s="43"/>
      <c r="D60" s="74"/>
      <c r="F60" s="42"/>
      <c r="G60" s="40"/>
      <c r="H60" s="44"/>
      <c r="I60" s="40"/>
      <c r="J60" s="40"/>
      <c r="K60" s="40"/>
      <c r="L60" s="40"/>
      <c r="M60" s="40"/>
      <c r="N60" s="40"/>
      <c r="O60" s="40"/>
      <c r="P60" s="40"/>
      <c r="Q60" s="40"/>
      <c r="R60" s="40"/>
      <c r="S60" s="40"/>
      <c r="T60" s="40"/>
      <c r="U60" s="40"/>
    </row>
    <row r="61" spans="1:21">
      <c r="A61" s="40"/>
      <c r="B61" s="40"/>
      <c r="C61" s="43"/>
      <c r="D61" s="74"/>
      <c r="F61" s="42"/>
      <c r="G61" s="40"/>
      <c r="H61" s="44"/>
      <c r="I61" s="40"/>
      <c r="J61" s="40"/>
      <c r="K61" s="40"/>
      <c r="L61" s="40"/>
      <c r="M61" s="40"/>
      <c r="N61" s="40"/>
      <c r="O61" s="40"/>
      <c r="P61" s="40"/>
      <c r="Q61" s="40"/>
      <c r="R61" s="40"/>
      <c r="S61" s="40"/>
      <c r="T61" s="40"/>
      <c r="U61" s="40"/>
    </row>
    <row r="62" spans="1:21">
      <c r="A62" s="40"/>
      <c r="B62" s="40"/>
      <c r="C62" s="43"/>
      <c r="D62" s="74"/>
      <c r="F62" s="42"/>
      <c r="G62" s="40"/>
      <c r="H62" s="44"/>
      <c r="I62" s="40"/>
      <c r="J62" s="40"/>
      <c r="K62" s="40"/>
      <c r="L62" s="40"/>
      <c r="M62" s="40"/>
      <c r="N62" s="40"/>
      <c r="O62" s="40"/>
      <c r="P62" s="40"/>
      <c r="Q62" s="40"/>
      <c r="R62" s="40"/>
      <c r="S62" s="40"/>
      <c r="T62" s="40"/>
      <c r="U62" s="40"/>
    </row>
    <row r="63" spans="1:21">
      <c r="A63" s="40"/>
      <c r="B63" s="40"/>
      <c r="C63" s="43"/>
      <c r="D63" s="74"/>
      <c r="F63" s="42"/>
      <c r="G63" s="40"/>
      <c r="H63" s="44"/>
      <c r="I63" s="40"/>
      <c r="J63" s="40"/>
      <c r="K63" s="40"/>
      <c r="L63" s="40"/>
      <c r="M63" s="40"/>
      <c r="N63" s="40"/>
      <c r="O63" s="40"/>
      <c r="P63" s="40"/>
      <c r="Q63" s="40"/>
      <c r="R63" s="40"/>
      <c r="S63" s="40"/>
      <c r="T63" s="40"/>
      <c r="U63" s="40"/>
    </row>
    <row r="64" spans="1:21">
      <c r="A64" s="40"/>
      <c r="B64" s="40"/>
      <c r="C64" s="43"/>
      <c r="D64" s="74"/>
      <c r="F64" s="42"/>
      <c r="G64" s="40"/>
      <c r="H64" s="44"/>
      <c r="I64" s="40"/>
      <c r="J64" s="40"/>
      <c r="K64" s="40"/>
      <c r="L64" s="40"/>
      <c r="M64" s="40"/>
      <c r="N64" s="40"/>
      <c r="O64" s="40"/>
      <c r="P64" s="40"/>
      <c r="Q64" s="40"/>
      <c r="R64" s="40"/>
      <c r="S64" s="40"/>
      <c r="T64" s="40"/>
      <c r="U64" s="40"/>
    </row>
    <row r="65" spans="1:37">
      <c r="A65" s="40"/>
      <c r="B65" s="40"/>
      <c r="C65" s="43"/>
      <c r="D65" s="74"/>
      <c r="F65" s="42"/>
      <c r="G65" s="40"/>
      <c r="H65" s="44"/>
      <c r="I65" s="40"/>
      <c r="J65" s="40"/>
      <c r="K65" s="40"/>
      <c r="L65" s="40"/>
      <c r="M65" s="40"/>
      <c r="N65" s="40"/>
      <c r="O65" s="40"/>
      <c r="P65" s="40"/>
      <c r="Q65" s="40"/>
      <c r="R65" s="40"/>
      <c r="S65" s="40"/>
      <c r="T65" s="40"/>
      <c r="U65" s="40"/>
    </row>
    <row r="66" spans="1:37">
      <c r="A66" s="40"/>
      <c r="B66" s="40"/>
      <c r="C66" s="43"/>
      <c r="D66" s="74"/>
      <c r="F66" s="42"/>
      <c r="G66" s="40"/>
      <c r="H66" s="44"/>
      <c r="I66" s="40"/>
      <c r="J66" s="40"/>
      <c r="K66" s="40"/>
      <c r="L66" s="40"/>
      <c r="M66" s="40"/>
      <c r="N66" s="40"/>
      <c r="O66" s="40"/>
      <c r="P66" s="40"/>
      <c r="Q66" s="40"/>
      <c r="R66" s="40"/>
      <c r="S66" s="40"/>
      <c r="T66" s="40"/>
      <c r="U66" s="40"/>
    </row>
    <row r="67" spans="1:37">
      <c r="A67" s="40"/>
      <c r="B67" s="40"/>
      <c r="C67" s="43"/>
      <c r="D67" s="74"/>
      <c r="F67" s="42"/>
      <c r="G67" s="40"/>
      <c r="H67" s="44"/>
      <c r="I67" s="40"/>
      <c r="J67" s="40"/>
      <c r="K67" s="40"/>
      <c r="L67" s="40"/>
      <c r="M67" s="40"/>
      <c r="N67" s="40"/>
      <c r="O67" s="40"/>
      <c r="P67" s="40"/>
      <c r="Q67" s="40"/>
      <c r="R67" s="40"/>
      <c r="S67" s="40"/>
      <c r="T67" s="40"/>
      <c r="U67" s="40"/>
    </row>
    <row r="68" spans="1:37">
      <c r="A68" s="40"/>
      <c r="B68" s="40"/>
      <c r="C68" s="43"/>
      <c r="D68" s="74"/>
      <c r="F68" s="42"/>
      <c r="G68" s="40"/>
      <c r="H68" s="44"/>
      <c r="I68" s="40"/>
      <c r="J68" s="40"/>
      <c r="K68" s="40"/>
      <c r="L68" s="40"/>
      <c r="M68" s="40"/>
      <c r="N68" s="40"/>
      <c r="O68" s="40"/>
      <c r="P68" s="40"/>
      <c r="Q68" s="40"/>
      <c r="R68" s="40"/>
      <c r="S68" s="40"/>
      <c r="T68" s="40"/>
      <c r="U68" s="40"/>
    </row>
    <row r="69" spans="1:37">
      <c r="A69" s="40"/>
      <c r="B69" s="40"/>
      <c r="C69" s="43"/>
      <c r="D69" s="74"/>
      <c r="F69" s="42"/>
      <c r="G69" s="40"/>
      <c r="H69" s="44"/>
      <c r="I69" s="40"/>
      <c r="J69" s="40"/>
      <c r="K69" s="40"/>
      <c r="L69" s="40"/>
      <c r="M69" s="40"/>
      <c r="N69" s="40"/>
      <c r="O69" s="40"/>
      <c r="P69" s="40"/>
      <c r="Q69" s="40"/>
      <c r="R69" s="40"/>
      <c r="S69" s="40"/>
      <c r="T69" s="40"/>
      <c r="U69" s="40"/>
    </row>
    <row r="70" spans="1:37">
      <c r="A70" s="40"/>
      <c r="B70" s="40"/>
      <c r="C70" s="43"/>
      <c r="D70" s="74"/>
      <c r="F70" s="42"/>
      <c r="G70" s="40"/>
      <c r="H70" s="44"/>
      <c r="I70" s="40"/>
      <c r="J70" s="40"/>
      <c r="K70" s="40"/>
      <c r="L70" s="40"/>
      <c r="M70" s="40"/>
      <c r="N70" s="40"/>
      <c r="O70" s="40"/>
      <c r="P70" s="40"/>
      <c r="Q70" s="40"/>
      <c r="R70" s="40"/>
      <c r="S70" s="40"/>
      <c r="T70" s="40"/>
      <c r="U70" s="40"/>
    </row>
    <row r="71" spans="1:37">
      <c r="A71" s="40"/>
      <c r="B71" s="40"/>
      <c r="C71" s="43"/>
      <c r="D71" s="74"/>
      <c r="F71" s="42"/>
      <c r="G71" s="40"/>
      <c r="H71" s="44"/>
      <c r="I71" s="40"/>
      <c r="J71" s="40"/>
      <c r="K71" s="40"/>
      <c r="L71" s="40"/>
      <c r="M71" s="40"/>
      <c r="N71" s="40"/>
      <c r="O71" s="40"/>
      <c r="P71" s="40"/>
      <c r="Q71" s="40"/>
      <c r="R71" s="40"/>
      <c r="S71" s="40"/>
      <c r="T71" s="40"/>
      <c r="U71" s="40"/>
    </row>
    <row r="72" spans="1:37">
      <c r="A72" s="40"/>
      <c r="B72" s="40"/>
      <c r="C72" s="43"/>
      <c r="D72" s="74"/>
      <c r="F72" s="42"/>
      <c r="G72" s="40"/>
      <c r="H72" s="44"/>
      <c r="I72" s="40"/>
      <c r="J72" s="40"/>
      <c r="K72" s="40"/>
      <c r="L72" s="40"/>
      <c r="M72" s="40"/>
      <c r="N72" s="40"/>
      <c r="O72" s="40"/>
      <c r="P72" s="40"/>
      <c r="Q72" s="40"/>
      <c r="R72" s="40"/>
      <c r="S72" s="40"/>
      <c r="T72" s="40"/>
      <c r="U72" s="40"/>
    </row>
    <row r="73" spans="1:37">
      <c r="A73" s="40"/>
      <c r="B73" s="40"/>
      <c r="C73" s="43"/>
      <c r="D73" s="74"/>
      <c r="F73" s="42"/>
      <c r="G73" s="40"/>
      <c r="H73" s="44"/>
      <c r="I73" s="40"/>
      <c r="J73" s="40"/>
      <c r="K73" s="40"/>
      <c r="L73" s="40"/>
      <c r="M73" s="40"/>
      <c r="N73" s="40"/>
      <c r="O73" s="40"/>
      <c r="P73" s="40"/>
      <c r="Q73" s="40"/>
      <c r="R73" s="40"/>
      <c r="S73" s="40"/>
      <c r="T73" s="40"/>
      <c r="U73" s="40"/>
    </row>
    <row r="74" spans="1:37">
      <c r="A74" s="40"/>
      <c r="B74" s="40"/>
      <c r="C74" s="43"/>
      <c r="D74" s="74"/>
      <c r="F74" s="42"/>
      <c r="G74" s="40"/>
      <c r="H74" s="44"/>
      <c r="I74" s="40"/>
      <c r="J74" s="40"/>
      <c r="K74" s="40"/>
      <c r="L74" s="40"/>
      <c r="M74" s="40"/>
      <c r="N74" s="40"/>
      <c r="O74" s="40"/>
      <c r="P74" s="40"/>
      <c r="Q74" s="40"/>
      <c r="R74" s="40"/>
      <c r="S74" s="40"/>
      <c r="T74" s="40"/>
      <c r="U74" s="40"/>
    </row>
    <row r="75" spans="1:37">
      <c r="A75" s="40"/>
      <c r="B75" s="40"/>
      <c r="C75" s="43"/>
      <c r="D75" s="74"/>
      <c r="F75" s="42"/>
      <c r="G75" s="40"/>
      <c r="H75" s="44"/>
      <c r="I75" s="40"/>
      <c r="J75" s="40"/>
      <c r="K75" s="40"/>
      <c r="L75" s="40"/>
      <c r="M75" s="40"/>
      <c r="N75" s="40"/>
      <c r="O75" s="40"/>
      <c r="P75" s="40"/>
      <c r="Q75" s="40"/>
      <c r="R75" s="40"/>
      <c r="S75" s="40"/>
      <c r="T75" s="40"/>
      <c r="U75" s="40"/>
    </row>
    <row r="76" spans="1:37">
      <c r="A76" s="40"/>
      <c r="B76" s="40"/>
      <c r="C76" s="43"/>
      <c r="D76" s="74"/>
      <c r="F76" s="42"/>
      <c r="G76" s="40"/>
      <c r="H76" s="44"/>
      <c r="I76" s="40"/>
      <c r="J76" s="40"/>
      <c r="K76" s="40"/>
      <c r="L76" s="40"/>
      <c r="M76" s="40"/>
      <c r="N76" s="40"/>
      <c r="O76" s="40"/>
      <c r="P76" s="40"/>
      <c r="Q76" s="40"/>
      <c r="R76" s="40"/>
      <c r="S76" s="40"/>
      <c r="T76" s="40"/>
      <c r="U76" s="40"/>
    </row>
    <row r="77" spans="1:37">
      <c r="A77" s="40"/>
      <c r="B77" s="40"/>
      <c r="C77" s="43"/>
      <c r="D77" s="74"/>
      <c r="F77" s="42"/>
      <c r="G77" s="40"/>
      <c r="H77" s="44"/>
      <c r="I77" s="40"/>
      <c r="J77" s="40"/>
      <c r="K77" s="40"/>
      <c r="L77" s="40"/>
      <c r="M77" s="40"/>
      <c r="N77" s="40"/>
      <c r="O77" s="40"/>
      <c r="P77" s="40"/>
      <c r="Q77" s="40"/>
      <c r="R77" s="40"/>
      <c r="S77" s="40"/>
      <c r="T77" s="40"/>
      <c r="U77" s="40"/>
    </row>
    <row r="78" spans="1:37">
      <c r="A78" s="40"/>
      <c r="B78" s="40"/>
      <c r="C78" s="43"/>
      <c r="D78" s="74"/>
      <c r="F78" s="42"/>
      <c r="G78" s="40"/>
      <c r="H78" s="44"/>
      <c r="I78" s="40"/>
      <c r="J78" s="40"/>
      <c r="K78" s="40"/>
      <c r="L78" s="40"/>
      <c r="M78" s="40"/>
      <c r="N78" s="40"/>
      <c r="O78" s="40"/>
      <c r="P78" s="40"/>
      <c r="Q78" s="40"/>
      <c r="R78" s="40"/>
      <c r="S78" s="40"/>
      <c r="T78" s="40"/>
      <c r="U78" s="40"/>
    </row>
    <row r="79" spans="1:37" s="87" customFormat="1" ht="15.6">
      <c r="A79" s="79"/>
      <c r="B79" s="79"/>
      <c r="C79" s="79"/>
      <c r="D79" s="80"/>
      <c r="E79" s="81"/>
      <c r="F79" s="79"/>
      <c r="G79" s="79"/>
      <c r="H79" s="82"/>
      <c r="I79" s="81"/>
      <c r="J79" s="81"/>
      <c r="K79" s="81"/>
      <c r="L79" s="83"/>
      <c r="M79" s="83"/>
      <c r="N79" s="84"/>
      <c r="O79" s="85"/>
      <c r="P79" s="84"/>
      <c r="Q79" s="85"/>
      <c r="R79" s="84"/>
      <c r="S79" s="85"/>
      <c r="T79" s="84"/>
      <c r="U79" s="85"/>
      <c r="V79" s="83"/>
      <c r="W79" s="81"/>
      <c r="X79" s="81"/>
      <c r="Y79" s="81"/>
      <c r="Z79" s="81"/>
      <c r="AA79" s="86"/>
      <c r="AB79" s="81"/>
      <c r="AC79" s="86"/>
      <c r="AD79" s="86"/>
      <c r="AE79" s="81"/>
      <c r="AF79" s="81"/>
      <c r="AG79" s="81"/>
      <c r="AI79" s="88"/>
      <c r="AJ79" s="89"/>
      <c r="AK79" s="89"/>
    </row>
    <row r="80" spans="1:37" s="87" customFormat="1" ht="15.6">
      <c r="A80" s="79"/>
      <c r="B80" s="79"/>
      <c r="C80" s="79"/>
      <c r="D80" s="80"/>
      <c r="E80" s="81"/>
      <c r="F80" s="79"/>
      <c r="G80" s="79"/>
      <c r="H80" s="82"/>
      <c r="I80" s="81"/>
      <c r="J80" s="81"/>
      <c r="K80" s="81"/>
      <c r="L80" s="83"/>
      <c r="M80" s="83"/>
      <c r="N80" s="83"/>
      <c r="O80" s="83"/>
      <c r="P80" s="83"/>
      <c r="Q80" s="83"/>
      <c r="R80" s="83"/>
      <c r="S80" s="83"/>
      <c r="T80" s="83"/>
      <c r="U80" s="83"/>
      <c r="V80" s="81"/>
      <c r="W80" s="81"/>
      <c r="X80" s="81"/>
      <c r="Y80" s="81"/>
      <c r="Z80" s="81"/>
      <c r="AA80" s="86"/>
      <c r="AB80" s="81"/>
      <c r="AC80" s="86"/>
      <c r="AD80" s="86"/>
      <c r="AE80" s="81"/>
      <c r="AF80" s="81"/>
      <c r="AG80" s="81"/>
      <c r="AI80" s="88"/>
      <c r="AJ80" s="89"/>
      <c r="AK80" s="89"/>
    </row>
    <row r="81" spans="1:37" s="87" customFormat="1" ht="15.6">
      <c r="A81" s="79"/>
      <c r="B81" s="79"/>
      <c r="C81" s="79"/>
      <c r="D81" s="80"/>
      <c r="E81" s="81"/>
      <c r="F81" s="79"/>
      <c r="G81" s="79"/>
      <c r="H81" s="82"/>
      <c r="I81" s="81"/>
      <c r="J81" s="81"/>
      <c r="K81" s="81"/>
      <c r="L81" s="83"/>
      <c r="M81" s="83"/>
      <c r="N81" s="83"/>
      <c r="O81" s="83"/>
      <c r="P81" s="83"/>
      <c r="Q81" s="83"/>
      <c r="R81" s="83"/>
      <c r="S81" s="83"/>
      <c r="T81" s="83"/>
      <c r="U81" s="83"/>
      <c r="V81" s="81"/>
      <c r="W81" s="81"/>
      <c r="X81" s="81"/>
      <c r="Y81" s="81"/>
      <c r="Z81" s="81"/>
      <c r="AA81" s="86"/>
      <c r="AB81" s="81"/>
      <c r="AC81" s="86"/>
      <c r="AD81" s="86"/>
      <c r="AE81" s="81"/>
      <c r="AF81" s="81"/>
      <c r="AG81" s="81"/>
      <c r="AI81" s="88"/>
      <c r="AJ81" s="89"/>
      <c r="AK81" s="89"/>
    </row>
    <row r="82" spans="1:37" s="87" customFormat="1" ht="15.6">
      <c r="A82" s="79"/>
      <c r="B82" s="79"/>
      <c r="C82" s="79"/>
      <c r="D82" s="80"/>
      <c r="E82" s="81"/>
      <c r="F82" s="79"/>
      <c r="G82" s="79"/>
      <c r="H82" s="82"/>
      <c r="I82" s="81"/>
      <c r="J82" s="81"/>
      <c r="K82" s="81"/>
      <c r="L82" s="83"/>
      <c r="M82" s="83"/>
      <c r="N82" s="83"/>
      <c r="O82" s="83"/>
      <c r="P82" s="83"/>
      <c r="Q82" s="83"/>
      <c r="R82" s="83"/>
      <c r="S82" s="83"/>
      <c r="T82" s="83"/>
      <c r="U82" s="83"/>
      <c r="V82" s="81"/>
      <c r="W82" s="81"/>
      <c r="X82" s="81"/>
      <c r="Y82" s="81"/>
      <c r="Z82" s="81"/>
      <c r="AA82" s="86"/>
      <c r="AB82" s="81"/>
      <c r="AC82" s="86"/>
      <c r="AD82" s="86"/>
      <c r="AE82" s="81"/>
      <c r="AF82" s="81"/>
      <c r="AG82" s="81"/>
      <c r="AI82" s="88"/>
      <c r="AJ82" s="89"/>
      <c r="AK82" s="89"/>
    </row>
    <row r="83" spans="1:37" s="87" customFormat="1" ht="15.6">
      <c r="A83" s="79"/>
      <c r="B83" s="79"/>
      <c r="C83" s="79"/>
      <c r="D83" s="80"/>
      <c r="E83" s="81"/>
      <c r="F83" s="79"/>
      <c r="G83" s="79"/>
      <c r="H83" s="82"/>
      <c r="I83" s="81"/>
      <c r="J83" s="81"/>
      <c r="K83" s="81"/>
      <c r="L83" s="83"/>
      <c r="M83" s="83"/>
      <c r="N83" s="83"/>
      <c r="O83" s="83"/>
      <c r="P83" s="83"/>
      <c r="Q83" s="83"/>
      <c r="R83" s="83"/>
      <c r="S83" s="83"/>
      <c r="T83" s="83"/>
      <c r="U83" s="83"/>
      <c r="V83" s="81"/>
      <c r="W83" s="81"/>
      <c r="X83" s="81"/>
      <c r="Y83" s="81"/>
      <c r="Z83" s="81"/>
      <c r="AA83" s="86"/>
      <c r="AB83" s="81"/>
      <c r="AC83" s="86"/>
      <c r="AD83" s="86"/>
      <c r="AE83" s="81"/>
      <c r="AF83" s="81"/>
      <c r="AG83" s="81"/>
      <c r="AI83" s="88"/>
      <c r="AJ83" s="89"/>
      <c r="AK83" s="89"/>
    </row>
    <row r="84" spans="1:37" s="87" customFormat="1" ht="15.6">
      <c r="A84" s="79"/>
      <c r="B84" s="79"/>
      <c r="C84" s="79"/>
      <c r="D84" s="80"/>
      <c r="E84" s="81"/>
      <c r="F84" s="79"/>
      <c r="G84" s="79"/>
      <c r="H84" s="82"/>
      <c r="I84" s="81"/>
      <c r="J84" s="81"/>
      <c r="K84" s="81"/>
      <c r="L84" s="83"/>
      <c r="M84" s="83"/>
      <c r="N84" s="83"/>
      <c r="O84" s="83"/>
      <c r="P84" s="83"/>
      <c r="Q84" s="83"/>
      <c r="R84" s="83"/>
      <c r="S84" s="83"/>
      <c r="T84" s="83"/>
      <c r="U84" s="83"/>
      <c r="V84" s="81"/>
      <c r="W84" s="81"/>
      <c r="X84" s="81"/>
      <c r="Y84" s="81"/>
      <c r="Z84" s="93"/>
      <c r="AA84" s="83"/>
      <c r="AB84" s="81"/>
      <c r="AC84" s="86"/>
      <c r="AD84" s="86"/>
      <c r="AE84" s="81"/>
      <c r="AF84" s="81"/>
      <c r="AG84" s="81"/>
      <c r="AI84" s="88"/>
      <c r="AJ84" s="89"/>
      <c r="AK84" s="89"/>
    </row>
    <row r="85" spans="1:37" s="87" customFormat="1" ht="15.6">
      <c r="A85" s="79"/>
      <c r="B85" s="79"/>
      <c r="C85" s="79"/>
      <c r="D85" s="80"/>
      <c r="E85" s="81"/>
      <c r="F85" s="79"/>
      <c r="G85" s="79"/>
      <c r="H85" s="82"/>
      <c r="I85" s="81"/>
      <c r="J85" s="81"/>
      <c r="K85" s="81"/>
      <c r="L85" s="83"/>
      <c r="M85" s="83"/>
      <c r="N85" s="83"/>
      <c r="O85" s="83"/>
      <c r="P85" s="83"/>
      <c r="Q85" s="83"/>
      <c r="R85" s="83"/>
      <c r="S85" s="83"/>
      <c r="T85" s="83"/>
      <c r="U85" s="83"/>
      <c r="V85" s="81"/>
      <c r="W85" s="81"/>
      <c r="X85" s="81"/>
      <c r="Y85" s="81"/>
      <c r="Z85" s="93"/>
      <c r="AA85" s="83"/>
      <c r="AB85" s="81"/>
      <c r="AC85" s="86"/>
      <c r="AD85" s="86"/>
      <c r="AE85" s="81"/>
      <c r="AF85" s="81"/>
      <c r="AG85" s="81"/>
      <c r="AI85" s="88"/>
      <c r="AJ85" s="89"/>
      <c r="AK85" s="89"/>
    </row>
    <row r="86" spans="1:37" s="87" customFormat="1" ht="15.6">
      <c r="A86" s="79"/>
      <c r="B86" s="79"/>
      <c r="C86" s="79"/>
      <c r="D86" s="80"/>
      <c r="E86" s="81"/>
      <c r="F86" s="79"/>
      <c r="G86" s="79"/>
      <c r="H86" s="82"/>
      <c r="I86" s="81"/>
      <c r="J86" s="81"/>
      <c r="K86" s="81"/>
      <c r="L86" s="83"/>
      <c r="M86" s="83"/>
      <c r="N86" s="83"/>
      <c r="O86" s="83"/>
      <c r="P86" s="83"/>
      <c r="Q86" s="83"/>
      <c r="R86" s="83"/>
      <c r="S86" s="83"/>
      <c r="T86" s="83"/>
      <c r="U86" s="83"/>
      <c r="V86" s="81"/>
      <c r="W86" s="81"/>
      <c r="X86" s="81"/>
      <c r="Y86" s="81"/>
      <c r="Z86" s="93"/>
      <c r="AA86" s="83"/>
      <c r="AB86" s="81"/>
      <c r="AC86" s="86"/>
      <c r="AD86" s="86"/>
      <c r="AE86" s="81"/>
      <c r="AF86" s="81"/>
      <c r="AG86" s="81"/>
      <c r="AI86" s="88"/>
      <c r="AJ86" s="89"/>
      <c r="AK86" s="89"/>
    </row>
    <row r="87" spans="1:37" s="87" customFormat="1" ht="15.6">
      <c r="A87" s="79"/>
      <c r="B87" s="79"/>
      <c r="C87" s="79"/>
      <c r="D87" s="80"/>
      <c r="E87" s="81"/>
      <c r="F87" s="79"/>
      <c r="G87" s="79"/>
      <c r="H87" s="82"/>
      <c r="I87" s="81"/>
      <c r="J87" s="81"/>
      <c r="K87" s="81"/>
      <c r="L87" s="83"/>
      <c r="M87" s="83"/>
      <c r="N87" s="83"/>
      <c r="O87" s="83"/>
      <c r="P87" s="83"/>
      <c r="Q87" s="83"/>
      <c r="R87" s="83"/>
      <c r="S87" s="83"/>
      <c r="T87" s="83"/>
      <c r="U87" s="83"/>
      <c r="V87" s="81"/>
      <c r="W87" s="81"/>
      <c r="X87" s="81"/>
      <c r="Y87" s="81"/>
      <c r="Z87" s="93"/>
      <c r="AA87" s="83"/>
      <c r="AB87" s="81"/>
      <c r="AC87" s="86"/>
      <c r="AD87" s="86"/>
      <c r="AE87" s="81"/>
      <c r="AF87" s="81"/>
      <c r="AG87" s="81"/>
      <c r="AI87" s="88"/>
      <c r="AJ87" s="89"/>
      <c r="AK87" s="89"/>
    </row>
    <row r="88" spans="1:37" s="87" customFormat="1" ht="15.6">
      <c r="A88" s="79"/>
      <c r="B88" s="79"/>
      <c r="C88" s="79"/>
      <c r="D88" s="80"/>
      <c r="E88" s="81"/>
      <c r="F88" s="79"/>
      <c r="G88" s="79"/>
      <c r="H88" s="82"/>
      <c r="I88" s="81"/>
      <c r="J88" s="81"/>
      <c r="K88" s="81"/>
      <c r="L88" s="83"/>
      <c r="M88" s="83"/>
      <c r="N88" s="83"/>
      <c r="O88" s="83"/>
      <c r="P88" s="83"/>
      <c r="Q88" s="83"/>
      <c r="R88" s="83"/>
      <c r="S88" s="83"/>
      <c r="T88" s="83"/>
      <c r="U88" s="83"/>
      <c r="V88" s="81"/>
      <c r="W88" s="81"/>
      <c r="X88" s="81"/>
      <c r="Y88" s="81"/>
      <c r="Z88" s="93"/>
      <c r="AA88" s="83"/>
      <c r="AB88" s="81"/>
      <c r="AC88" s="86"/>
      <c r="AD88" s="86"/>
      <c r="AE88" s="81"/>
      <c r="AF88" s="81"/>
      <c r="AG88" s="81"/>
      <c r="AI88" s="88"/>
      <c r="AJ88" s="89"/>
      <c r="AK88" s="89"/>
    </row>
    <row r="89" spans="1:37">
      <c r="A89" s="79"/>
      <c r="B89" s="40"/>
      <c r="C89" s="79"/>
      <c r="D89" s="74"/>
      <c r="E89" s="81"/>
      <c r="F89" s="79"/>
      <c r="G89" s="79"/>
      <c r="H89" s="44"/>
      <c r="I89" s="40"/>
      <c r="J89" s="40"/>
      <c r="K89" s="40"/>
      <c r="L89" s="83"/>
      <c r="M89" s="83"/>
      <c r="N89" s="83"/>
      <c r="O89" s="83"/>
      <c r="P89" s="83"/>
      <c r="Q89" s="83"/>
      <c r="R89" s="83"/>
      <c r="S89" s="83"/>
      <c r="T89" s="83"/>
      <c r="U89" s="83"/>
      <c r="V89" s="81"/>
      <c r="W89" s="81"/>
      <c r="X89" s="81"/>
      <c r="Y89" s="81"/>
      <c r="Z89" s="93"/>
      <c r="AA89" s="83"/>
    </row>
    <row r="90" spans="1:37">
      <c r="A90" s="79"/>
      <c r="B90" s="40"/>
      <c r="C90" s="79"/>
      <c r="D90" s="74"/>
      <c r="E90" s="81"/>
      <c r="F90" s="79"/>
      <c r="G90" s="79"/>
      <c r="H90" s="44"/>
      <c r="I90" s="40"/>
      <c r="J90" s="40"/>
      <c r="K90" s="40"/>
      <c r="L90" s="83"/>
      <c r="M90" s="83"/>
      <c r="N90" s="83"/>
      <c r="O90" s="83"/>
      <c r="P90" s="83"/>
      <c r="Q90" s="83"/>
      <c r="R90" s="83"/>
      <c r="S90" s="83"/>
      <c r="T90" s="83"/>
      <c r="U90" s="83"/>
      <c r="V90" s="81"/>
      <c r="W90" s="81"/>
      <c r="X90" s="81"/>
      <c r="Y90" s="81"/>
      <c r="Z90" s="93"/>
      <c r="AA90" s="83"/>
    </row>
    <row r="91" spans="1:37">
      <c r="A91" s="79"/>
      <c r="B91" s="40"/>
      <c r="C91" s="79"/>
      <c r="D91" s="74"/>
      <c r="E91" s="81"/>
      <c r="F91" s="79"/>
      <c r="G91" s="79"/>
      <c r="H91" s="44"/>
      <c r="I91" s="40"/>
      <c r="J91" s="40"/>
      <c r="K91" s="40"/>
      <c r="L91" s="83"/>
      <c r="M91" s="83"/>
      <c r="N91" s="83"/>
      <c r="O91" s="83"/>
      <c r="P91" s="83"/>
      <c r="Q91" s="83"/>
      <c r="R91" s="83"/>
      <c r="S91" s="83"/>
      <c r="T91" s="83"/>
      <c r="U91" s="83"/>
      <c r="V91" s="81"/>
      <c r="W91" s="81"/>
      <c r="X91" s="81"/>
      <c r="Y91" s="81"/>
      <c r="Z91" s="93"/>
      <c r="AA91" s="83"/>
    </row>
    <row r="92" spans="1:37">
      <c r="A92" s="79"/>
      <c r="B92" s="40"/>
      <c r="C92" s="79"/>
      <c r="D92" s="74"/>
      <c r="E92" s="81"/>
      <c r="F92" s="79"/>
      <c r="G92" s="79"/>
      <c r="H92" s="44"/>
      <c r="I92" s="40"/>
      <c r="J92" s="40"/>
      <c r="K92" s="40"/>
      <c r="L92" s="83"/>
      <c r="M92" s="83"/>
      <c r="N92" s="83"/>
      <c r="O92" s="83"/>
      <c r="P92" s="83"/>
      <c r="Q92" s="83"/>
      <c r="R92" s="83"/>
      <c r="S92" s="83"/>
      <c r="T92" s="83"/>
      <c r="U92" s="83"/>
      <c r="V92" s="81"/>
      <c r="W92" s="81"/>
      <c r="X92" s="81"/>
      <c r="Y92" s="81"/>
      <c r="Z92" s="93"/>
      <c r="AA92" s="83"/>
    </row>
    <row r="93" spans="1:37">
      <c r="A93" s="40"/>
      <c r="B93" s="40"/>
      <c r="C93" s="43"/>
      <c r="D93" s="74"/>
      <c r="F93" s="42"/>
      <c r="G93" s="40"/>
      <c r="H93" s="44"/>
      <c r="I93" s="40"/>
      <c r="J93" s="40"/>
      <c r="K93" s="40"/>
      <c r="L93" s="83"/>
      <c r="M93" s="83"/>
      <c r="N93" s="83"/>
      <c r="O93" s="83"/>
      <c r="P93" s="83"/>
      <c r="Q93" s="83"/>
      <c r="R93" s="83"/>
      <c r="S93" s="83"/>
      <c r="T93" s="83"/>
      <c r="U93" s="83"/>
      <c r="V93" s="81"/>
      <c r="W93" s="81"/>
      <c r="X93" s="81"/>
      <c r="Y93" s="81"/>
      <c r="Z93" s="93"/>
      <c r="AA93" s="83"/>
    </row>
    <row r="94" spans="1:37">
      <c r="A94" s="40"/>
      <c r="B94" s="40"/>
      <c r="C94" s="43"/>
      <c r="D94" s="74"/>
      <c r="F94" s="42"/>
      <c r="G94" s="40"/>
      <c r="H94" s="44"/>
      <c r="I94" s="40"/>
      <c r="J94" s="40"/>
      <c r="K94" s="40"/>
      <c r="L94" s="2"/>
      <c r="N94" s="2"/>
      <c r="P94" s="2"/>
      <c r="R94" s="2"/>
      <c r="T94" s="2"/>
      <c r="Z94" s="2"/>
    </row>
    <row r="95" spans="1:37">
      <c r="A95" s="40"/>
      <c r="B95" s="40"/>
      <c r="C95" s="43"/>
      <c r="D95" s="74"/>
      <c r="F95" s="42"/>
      <c r="G95" s="40"/>
      <c r="H95" s="44"/>
      <c r="I95" s="40"/>
      <c r="J95" s="40"/>
      <c r="K95" s="40"/>
      <c r="L95" s="40"/>
      <c r="M95" s="40"/>
      <c r="N95" s="40"/>
      <c r="O95" s="40"/>
      <c r="P95" s="40"/>
      <c r="Q95" s="40"/>
      <c r="R95" s="40"/>
      <c r="S95" s="40"/>
      <c r="T95" s="40"/>
      <c r="U95" s="40"/>
    </row>
    <row r="96" spans="1:37">
      <c r="A96" s="40"/>
      <c r="B96" s="40"/>
      <c r="C96" s="43"/>
      <c r="D96" s="74"/>
      <c r="F96" s="42"/>
      <c r="G96" s="40"/>
      <c r="H96" s="44"/>
      <c r="I96" s="40"/>
      <c r="J96" s="40"/>
      <c r="K96" s="40"/>
      <c r="L96" s="40"/>
      <c r="M96" s="40"/>
      <c r="N96" s="40"/>
      <c r="O96" s="40"/>
      <c r="P96" s="40"/>
      <c r="Q96" s="40"/>
      <c r="R96" s="40"/>
      <c r="S96" s="40"/>
      <c r="T96" s="40"/>
      <c r="U96" s="40"/>
    </row>
    <row r="97" spans="1:21">
      <c r="A97" s="40"/>
      <c r="B97" s="40"/>
      <c r="C97" s="43"/>
      <c r="D97" s="74"/>
      <c r="F97" s="42"/>
      <c r="G97" s="40"/>
      <c r="H97" s="44"/>
      <c r="I97" s="40"/>
      <c r="J97" s="40"/>
      <c r="K97" s="40"/>
      <c r="L97" s="40"/>
      <c r="M97" s="40"/>
      <c r="N97" s="40"/>
      <c r="O97" s="40"/>
      <c r="P97" s="40"/>
      <c r="Q97" s="40"/>
      <c r="R97" s="40"/>
      <c r="S97" s="40"/>
      <c r="T97" s="40"/>
      <c r="U97" s="40"/>
    </row>
    <row r="98" spans="1:21">
      <c r="A98" s="40"/>
      <c r="B98" s="40"/>
      <c r="C98" s="43"/>
      <c r="D98" s="74"/>
      <c r="F98" s="42"/>
      <c r="G98" s="40"/>
      <c r="H98" s="44"/>
      <c r="I98" s="40"/>
      <c r="J98" s="40"/>
      <c r="K98" s="40"/>
      <c r="L98" s="40"/>
      <c r="M98" s="40"/>
      <c r="N98" s="40"/>
      <c r="O98" s="40"/>
      <c r="P98" s="40"/>
      <c r="Q98" s="40"/>
      <c r="R98" s="40"/>
      <c r="S98" s="40"/>
      <c r="T98" s="40"/>
      <c r="U98" s="40"/>
    </row>
    <row r="99" spans="1:21">
      <c r="A99" s="40"/>
      <c r="B99" s="40"/>
      <c r="C99" s="43"/>
      <c r="D99" s="74"/>
      <c r="F99" s="42"/>
      <c r="G99" s="40"/>
      <c r="H99" s="44"/>
      <c r="I99" s="40"/>
      <c r="J99" s="40"/>
      <c r="K99" s="40"/>
      <c r="L99" s="40"/>
      <c r="M99" s="40"/>
      <c r="N99" s="40"/>
      <c r="O99" s="40"/>
      <c r="P99" s="40"/>
      <c r="Q99" s="40"/>
      <c r="R99" s="40"/>
      <c r="S99" s="40"/>
      <c r="T99" s="40"/>
      <c r="U99" s="40"/>
    </row>
    <row r="100" spans="1:21">
      <c r="A100" s="40"/>
      <c r="B100" s="40"/>
      <c r="C100" s="43"/>
      <c r="D100" s="74"/>
      <c r="F100" s="42"/>
      <c r="G100" s="40"/>
      <c r="H100" s="44"/>
      <c r="I100" s="40"/>
      <c r="J100" s="40"/>
      <c r="K100" s="40"/>
      <c r="L100" s="40"/>
      <c r="M100" s="40"/>
      <c r="N100" s="40"/>
      <c r="O100" s="40"/>
      <c r="P100" s="40"/>
      <c r="Q100" s="40"/>
      <c r="R100" s="40"/>
      <c r="S100" s="40"/>
      <c r="T100" s="40"/>
      <c r="U100" s="40"/>
    </row>
    <row r="101" spans="1:21">
      <c r="A101" s="40"/>
      <c r="B101" s="40"/>
      <c r="C101" s="43"/>
      <c r="D101" s="74"/>
      <c r="F101" s="42"/>
      <c r="G101" s="40"/>
      <c r="H101" s="44"/>
      <c r="I101" s="40"/>
      <c r="J101" s="40"/>
      <c r="K101" s="40"/>
      <c r="L101" s="40"/>
      <c r="M101" s="40"/>
      <c r="N101" s="40"/>
      <c r="O101" s="40"/>
      <c r="P101" s="40"/>
      <c r="Q101" s="40"/>
      <c r="R101" s="40"/>
      <c r="S101" s="40"/>
      <c r="T101" s="40"/>
      <c r="U101" s="40"/>
    </row>
    <row r="102" spans="1:21">
      <c r="A102" s="40"/>
      <c r="B102" s="40"/>
      <c r="C102" s="43"/>
      <c r="D102" s="74"/>
      <c r="F102" s="42"/>
      <c r="G102" s="40"/>
      <c r="H102" s="44"/>
      <c r="I102" s="40"/>
      <c r="J102" s="40"/>
      <c r="K102" s="40"/>
      <c r="L102" s="40"/>
      <c r="M102" s="40"/>
      <c r="N102" s="40"/>
      <c r="O102" s="40"/>
      <c r="P102" s="40"/>
      <c r="Q102" s="40"/>
      <c r="R102" s="40"/>
      <c r="S102" s="40"/>
      <c r="T102" s="40"/>
      <c r="U102" s="40"/>
    </row>
    <row r="103" spans="1:21">
      <c r="A103" s="40"/>
      <c r="B103" s="40"/>
      <c r="C103" s="43"/>
      <c r="D103" s="74"/>
      <c r="F103" s="42"/>
      <c r="G103" s="40"/>
      <c r="H103" s="44"/>
      <c r="I103" s="40"/>
      <c r="J103" s="40"/>
      <c r="K103" s="40"/>
      <c r="L103" s="40"/>
      <c r="M103" s="40"/>
      <c r="N103" s="40"/>
      <c r="O103" s="40"/>
      <c r="P103" s="40"/>
      <c r="Q103" s="40"/>
      <c r="R103" s="40"/>
      <c r="S103" s="40"/>
      <c r="T103" s="40"/>
      <c r="U103" s="40"/>
    </row>
    <row r="104" spans="1:21">
      <c r="A104" s="40"/>
      <c r="B104" s="40"/>
      <c r="C104" s="43"/>
      <c r="D104" s="74"/>
      <c r="F104" s="42"/>
      <c r="G104" s="40"/>
      <c r="H104" s="44"/>
      <c r="I104" s="40"/>
      <c r="J104" s="40"/>
      <c r="K104" s="40"/>
      <c r="L104" s="40"/>
      <c r="M104" s="40"/>
      <c r="N104" s="40"/>
      <c r="O104" s="40"/>
      <c r="P104" s="40"/>
      <c r="Q104" s="40"/>
      <c r="R104" s="40"/>
      <c r="S104" s="40"/>
      <c r="T104" s="40"/>
      <c r="U104" s="40"/>
    </row>
    <row r="105" spans="1:21">
      <c r="A105" s="40"/>
      <c r="B105" s="40"/>
      <c r="C105" s="43"/>
      <c r="D105" s="74"/>
      <c r="F105" s="42"/>
      <c r="G105" s="40"/>
      <c r="H105" s="44"/>
      <c r="I105" s="40"/>
      <c r="J105" s="40"/>
      <c r="K105" s="40"/>
      <c r="L105" s="40"/>
      <c r="M105" s="40"/>
      <c r="N105" s="40"/>
      <c r="O105" s="40"/>
      <c r="P105" s="40"/>
      <c r="Q105" s="40"/>
      <c r="R105" s="40"/>
      <c r="S105" s="40"/>
      <c r="T105" s="40"/>
      <c r="U105" s="40"/>
    </row>
    <row r="106" spans="1:21">
      <c r="A106" s="40"/>
      <c r="B106" s="40"/>
      <c r="C106" s="43"/>
      <c r="D106" s="74"/>
      <c r="F106" s="42"/>
      <c r="G106" s="40"/>
      <c r="H106" s="44"/>
      <c r="I106" s="40"/>
      <c r="J106" s="40"/>
      <c r="K106" s="40"/>
      <c r="L106" s="40"/>
      <c r="M106" s="40"/>
      <c r="N106" s="40"/>
      <c r="O106" s="40"/>
      <c r="P106" s="40"/>
      <c r="Q106" s="40"/>
      <c r="R106" s="40"/>
      <c r="S106" s="40"/>
      <c r="T106" s="40"/>
      <c r="U106" s="40"/>
    </row>
    <row r="107" spans="1:21">
      <c r="A107" s="40"/>
      <c r="B107" s="40"/>
      <c r="C107" s="43"/>
      <c r="D107" s="74"/>
      <c r="F107" s="42"/>
      <c r="G107" s="40"/>
      <c r="H107" s="44"/>
      <c r="I107" s="40"/>
      <c r="J107" s="40"/>
      <c r="K107" s="40"/>
      <c r="L107" s="40"/>
      <c r="M107" s="40"/>
      <c r="N107" s="40"/>
      <c r="O107" s="40"/>
      <c r="P107" s="40"/>
      <c r="Q107" s="40"/>
      <c r="R107" s="40"/>
      <c r="S107" s="40"/>
      <c r="T107" s="40"/>
      <c r="U107" s="40"/>
    </row>
    <row r="108" spans="1:21">
      <c r="A108" s="40"/>
      <c r="B108" s="40"/>
      <c r="C108" s="43"/>
      <c r="D108" s="74"/>
      <c r="F108" s="42"/>
      <c r="G108" s="40"/>
      <c r="H108" s="44"/>
      <c r="I108" s="40"/>
      <c r="J108" s="40"/>
      <c r="K108" s="40"/>
      <c r="L108" s="40"/>
      <c r="M108" s="40"/>
      <c r="N108" s="40"/>
      <c r="O108" s="40"/>
      <c r="P108" s="40"/>
      <c r="Q108" s="40"/>
      <c r="R108" s="40"/>
      <c r="S108" s="40"/>
      <c r="T108" s="40"/>
      <c r="U108" s="40"/>
    </row>
    <row r="109" spans="1:21">
      <c r="A109" s="40"/>
      <c r="B109" s="40"/>
      <c r="C109" s="43"/>
      <c r="D109" s="74"/>
      <c r="F109" s="42"/>
      <c r="G109" s="40"/>
      <c r="H109" s="44"/>
      <c r="I109" s="40"/>
      <c r="J109" s="40"/>
      <c r="K109" s="40"/>
      <c r="L109" s="40"/>
      <c r="M109" s="40"/>
      <c r="N109" s="40"/>
      <c r="O109" s="40"/>
      <c r="P109" s="40"/>
      <c r="Q109" s="40"/>
      <c r="R109" s="40"/>
      <c r="S109" s="40"/>
      <c r="T109" s="40"/>
      <c r="U109" s="40"/>
    </row>
    <row r="110" spans="1:21">
      <c r="A110" s="40"/>
      <c r="B110" s="40"/>
      <c r="C110" s="43"/>
      <c r="D110" s="74"/>
      <c r="F110" s="42"/>
      <c r="G110" s="40"/>
      <c r="H110" s="44"/>
      <c r="I110" s="40"/>
      <c r="J110" s="40"/>
      <c r="K110" s="40"/>
      <c r="L110" s="40"/>
      <c r="M110" s="40"/>
      <c r="N110" s="40"/>
      <c r="O110" s="40"/>
      <c r="P110" s="40"/>
      <c r="Q110" s="40"/>
      <c r="R110" s="40"/>
      <c r="S110" s="40"/>
      <c r="T110" s="40"/>
      <c r="U110" s="40"/>
    </row>
    <row r="111" spans="1:21">
      <c r="A111" s="40"/>
      <c r="B111" s="40"/>
      <c r="C111" s="43"/>
      <c r="D111" s="74"/>
      <c r="F111" s="42"/>
      <c r="G111" s="40"/>
      <c r="H111" s="44"/>
      <c r="I111" s="40"/>
      <c r="J111" s="40"/>
      <c r="K111" s="40"/>
      <c r="L111" s="40"/>
      <c r="M111" s="40"/>
      <c r="N111" s="40"/>
      <c r="O111" s="40"/>
      <c r="P111" s="40"/>
      <c r="Q111" s="40"/>
      <c r="R111" s="40"/>
      <c r="S111" s="40"/>
      <c r="T111" s="40"/>
      <c r="U111" s="40"/>
    </row>
    <row r="112" spans="1:21">
      <c r="A112" s="40"/>
      <c r="B112" s="40"/>
      <c r="C112" s="43"/>
      <c r="D112" s="74"/>
      <c r="F112" s="42"/>
      <c r="G112" s="40"/>
      <c r="H112" s="44"/>
      <c r="I112" s="40"/>
      <c r="J112" s="40"/>
      <c r="K112" s="40"/>
      <c r="L112" s="40"/>
      <c r="M112" s="40"/>
      <c r="N112" s="40"/>
      <c r="O112" s="40"/>
      <c r="P112" s="40"/>
      <c r="Q112" s="40"/>
      <c r="R112" s="40"/>
      <c r="S112" s="40"/>
      <c r="T112" s="40"/>
      <c r="U112" s="40"/>
    </row>
    <row r="113" spans="1:21">
      <c r="A113" s="40"/>
      <c r="B113" s="40"/>
      <c r="C113" s="43"/>
      <c r="D113" s="74"/>
      <c r="F113" s="42"/>
      <c r="G113" s="40"/>
      <c r="H113" s="44"/>
      <c r="I113" s="40"/>
      <c r="J113" s="40"/>
      <c r="K113" s="40"/>
      <c r="L113" s="40"/>
      <c r="M113" s="40"/>
      <c r="N113" s="40"/>
      <c r="O113" s="40"/>
      <c r="P113" s="40"/>
      <c r="Q113" s="40"/>
      <c r="R113" s="40"/>
      <c r="S113" s="40"/>
      <c r="T113" s="40"/>
      <c r="U113" s="40"/>
    </row>
    <row r="114" spans="1:21">
      <c r="A114" s="40"/>
      <c r="B114" s="40"/>
      <c r="C114" s="43"/>
      <c r="D114" s="74"/>
      <c r="F114" s="42"/>
      <c r="G114" s="40"/>
      <c r="H114" s="44"/>
      <c r="I114" s="40"/>
      <c r="J114" s="40"/>
      <c r="K114" s="40"/>
      <c r="L114" s="40"/>
      <c r="M114" s="40"/>
      <c r="N114" s="40"/>
      <c r="O114" s="40"/>
      <c r="P114" s="40"/>
      <c r="Q114" s="40"/>
      <c r="R114" s="40"/>
      <c r="S114" s="40"/>
      <c r="T114" s="40"/>
      <c r="U114" s="40"/>
    </row>
    <row r="115" spans="1:21">
      <c r="A115" s="40"/>
      <c r="B115" s="40"/>
      <c r="C115" s="43"/>
      <c r="D115" s="74"/>
      <c r="F115" s="42"/>
      <c r="G115" s="40"/>
      <c r="H115" s="44"/>
      <c r="I115" s="40"/>
      <c r="J115" s="40"/>
      <c r="K115" s="40"/>
      <c r="L115" s="40"/>
      <c r="M115" s="40"/>
      <c r="N115" s="40"/>
      <c r="O115" s="40"/>
      <c r="P115" s="40"/>
      <c r="Q115" s="40"/>
      <c r="R115" s="40"/>
      <c r="S115" s="40"/>
      <c r="T115" s="40"/>
      <c r="U115" s="40"/>
    </row>
    <row r="116" spans="1:21">
      <c r="A116" s="40"/>
      <c r="B116" s="40"/>
      <c r="C116" s="43"/>
      <c r="D116" s="74"/>
      <c r="F116" s="42"/>
      <c r="G116" s="40"/>
      <c r="H116" s="44"/>
      <c r="I116" s="40"/>
      <c r="J116" s="40"/>
      <c r="K116" s="40"/>
      <c r="L116" s="40"/>
      <c r="M116" s="40"/>
      <c r="N116" s="40"/>
      <c r="O116" s="40"/>
      <c r="P116" s="40"/>
      <c r="Q116" s="40"/>
      <c r="R116" s="40"/>
      <c r="S116" s="40"/>
      <c r="T116" s="40"/>
      <c r="U116" s="40"/>
    </row>
    <row r="117" spans="1:21">
      <c r="A117" s="40"/>
      <c r="B117" s="40"/>
      <c r="C117" s="43"/>
      <c r="D117" s="74"/>
      <c r="F117" s="42"/>
      <c r="G117" s="40"/>
      <c r="H117" s="44"/>
      <c r="I117" s="40"/>
      <c r="J117" s="40"/>
      <c r="K117" s="40"/>
      <c r="L117" s="40"/>
      <c r="M117" s="40"/>
      <c r="N117" s="40"/>
      <c r="O117" s="40"/>
      <c r="P117" s="40"/>
      <c r="Q117" s="40"/>
      <c r="R117" s="40"/>
      <c r="S117" s="40"/>
      <c r="T117" s="40"/>
      <c r="U117" s="40"/>
    </row>
    <row r="118" spans="1:21">
      <c r="A118" s="40"/>
      <c r="B118" s="40"/>
      <c r="C118" s="43"/>
      <c r="D118" s="74"/>
      <c r="F118" s="42"/>
      <c r="G118" s="40"/>
      <c r="H118" s="44"/>
      <c r="I118" s="40"/>
      <c r="J118" s="40"/>
      <c r="K118" s="40"/>
      <c r="L118" s="40"/>
      <c r="M118" s="40"/>
      <c r="N118" s="40"/>
      <c r="O118" s="40"/>
      <c r="P118" s="40"/>
      <c r="Q118" s="40"/>
      <c r="R118" s="40"/>
      <c r="S118" s="40"/>
      <c r="T118" s="40"/>
      <c r="U118" s="40"/>
    </row>
    <row r="119" spans="1:21">
      <c r="A119" s="40"/>
      <c r="B119" s="40"/>
      <c r="C119" s="43"/>
      <c r="D119" s="74"/>
      <c r="F119" s="42"/>
      <c r="G119" s="40"/>
      <c r="H119" s="44"/>
      <c r="I119" s="40"/>
      <c r="J119" s="40"/>
      <c r="K119" s="40"/>
      <c r="L119" s="40"/>
      <c r="M119" s="40"/>
      <c r="N119" s="40"/>
      <c r="O119" s="40"/>
      <c r="P119" s="40"/>
      <c r="Q119" s="40"/>
      <c r="R119" s="40"/>
      <c r="S119" s="40"/>
      <c r="T119" s="40"/>
      <c r="U119" s="40"/>
    </row>
    <row r="120" spans="1:21">
      <c r="A120" s="40"/>
      <c r="B120" s="40"/>
      <c r="C120" s="43"/>
      <c r="D120" s="74"/>
      <c r="F120" s="42"/>
      <c r="G120" s="40"/>
      <c r="H120" s="44"/>
      <c r="I120" s="40"/>
      <c r="J120" s="40"/>
      <c r="K120" s="40"/>
      <c r="L120" s="40"/>
      <c r="M120" s="40"/>
      <c r="N120" s="40"/>
      <c r="O120" s="40"/>
      <c r="P120" s="40"/>
      <c r="Q120" s="40"/>
      <c r="R120" s="40"/>
      <c r="S120" s="40"/>
      <c r="T120" s="40"/>
      <c r="U120" s="40"/>
    </row>
    <row r="121" spans="1:21">
      <c r="A121" s="40"/>
      <c r="B121" s="40"/>
      <c r="C121" s="43"/>
      <c r="D121" s="74"/>
      <c r="F121" s="42"/>
      <c r="G121" s="40"/>
      <c r="H121" s="44"/>
      <c r="I121" s="40"/>
      <c r="J121" s="40"/>
      <c r="K121" s="40"/>
      <c r="L121" s="40"/>
      <c r="M121" s="40"/>
      <c r="N121" s="40"/>
      <c r="O121" s="40"/>
      <c r="P121" s="40"/>
      <c r="Q121" s="40"/>
      <c r="R121" s="40"/>
      <c r="S121" s="40"/>
      <c r="T121" s="40"/>
      <c r="U121" s="40"/>
    </row>
    <row r="122" spans="1:21">
      <c r="A122" s="40"/>
      <c r="B122" s="40"/>
      <c r="C122" s="43"/>
      <c r="D122" s="74"/>
      <c r="F122" s="42"/>
      <c r="G122" s="40"/>
      <c r="H122" s="44"/>
      <c r="I122" s="40"/>
      <c r="J122" s="40"/>
      <c r="K122" s="40"/>
      <c r="L122" s="40"/>
      <c r="M122" s="40"/>
      <c r="N122" s="40"/>
      <c r="O122" s="40"/>
      <c r="P122" s="40"/>
      <c r="Q122" s="40"/>
      <c r="R122" s="40"/>
      <c r="S122" s="40"/>
      <c r="T122" s="40"/>
      <c r="U122" s="40"/>
    </row>
    <row r="123" spans="1:21">
      <c r="A123" s="40"/>
      <c r="B123" s="40"/>
      <c r="C123" s="43"/>
      <c r="D123" s="74"/>
      <c r="F123" s="42"/>
      <c r="G123" s="40"/>
      <c r="H123" s="44"/>
      <c r="I123" s="40"/>
      <c r="J123" s="40"/>
      <c r="K123" s="40"/>
      <c r="L123" s="40"/>
      <c r="M123" s="40"/>
      <c r="N123" s="40"/>
      <c r="O123" s="40"/>
      <c r="P123" s="40"/>
      <c r="Q123" s="40"/>
      <c r="R123" s="40"/>
      <c r="S123" s="40"/>
      <c r="T123" s="40"/>
      <c r="U123" s="40"/>
    </row>
    <row r="124" spans="1:21">
      <c r="A124" s="40"/>
      <c r="B124" s="40"/>
      <c r="C124" s="43"/>
      <c r="D124" s="74"/>
      <c r="F124" s="42"/>
      <c r="G124" s="40"/>
      <c r="H124" s="44"/>
      <c r="I124" s="40"/>
      <c r="J124" s="40"/>
      <c r="K124" s="40"/>
      <c r="L124" s="40"/>
      <c r="M124" s="40"/>
      <c r="N124" s="40"/>
      <c r="O124" s="40"/>
      <c r="P124" s="40"/>
      <c r="Q124" s="40"/>
      <c r="R124" s="40"/>
      <c r="S124" s="40"/>
      <c r="T124" s="40"/>
      <c r="U124" s="40"/>
    </row>
    <row r="125" spans="1:21">
      <c r="A125" s="40"/>
      <c r="B125" s="40"/>
      <c r="C125" s="40"/>
      <c r="D125" s="45"/>
      <c r="F125" s="40"/>
      <c r="G125" s="40"/>
      <c r="H125" s="44"/>
      <c r="I125" s="40"/>
      <c r="J125" s="40"/>
      <c r="K125" s="40"/>
      <c r="L125" s="40"/>
      <c r="M125" s="40"/>
      <c r="N125" s="40"/>
      <c r="O125" s="40"/>
      <c r="P125" s="40"/>
      <c r="Q125" s="40"/>
      <c r="R125" s="40"/>
      <c r="S125" s="40"/>
      <c r="T125" s="40"/>
      <c r="U125" s="41"/>
    </row>
    <row r="126" spans="1:21">
      <c r="A126" s="40"/>
      <c r="B126" s="40"/>
      <c r="C126" s="40"/>
      <c r="D126" s="45"/>
      <c r="F126" s="40"/>
      <c r="G126" s="40"/>
      <c r="H126" s="44"/>
      <c r="I126" s="40"/>
      <c r="J126" s="40"/>
      <c r="K126" s="40"/>
      <c r="L126" s="40"/>
      <c r="M126" s="40"/>
      <c r="N126" s="40"/>
      <c r="O126" s="40"/>
      <c r="P126" s="40"/>
      <c r="Q126" s="40"/>
      <c r="R126" s="40"/>
      <c r="S126" s="40"/>
      <c r="T126" s="40"/>
      <c r="U126" s="40"/>
    </row>
    <row r="127" spans="1:21">
      <c r="A127" s="40"/>
      <c r="B127" s="40"/>
      <c r="C127" s="40"/>
      <c r="D127" s="45"/>
      <c r="F127" s="40"/>
      <c r="G127" s="40"/>
      <c r="H127" s="44"/>
      <c r="I127" s="40"/>
      <c r="J127" s="40"/>
      <c r="K127" s="40"/>
      <c r="L127" s="41"/>
      <c r="M127" s="41"/>
      <c r="N127" s="41"/>
      <c r="O127" s="41"/>
      <c r="P127" s="41"/>
      <c r="Q127" s="41"/>
      <c r="R127" s="41"/>
      <c r="S127" s="41"/>
      <c r="T127" s="41"/>
      <c r="U127" s="41"/>
    </row>
    <row r="128" spans="1:21">
      <c r="A128" s="40"/>
      <c r="B128" s="40"/>
      <c r="C128" s="40"/>
      <c r="D128" s="45"/>
      <c r="F128" s="40"/>
      <c r="G128" s="40"/>
      <c r="H128" s="44"/>
      <c r="I128" s="40"/>
      <c r="J128" s="40"/>
      <c r="K128" s="40"/>
      <c r="L128" s="40"/>
      <c r="M128" s="40"/>
      <c r="N128" s="40"/>
      <c r="O128" s="40"/>
      <c r="P128" s="40"/>
      <c r="Q128" s="40"/>
      <c r="R128" s="40"/>
      <c r="S128" s="40"/>
      <c r="T128" s="40"/>
      <c r="U128" s="40"/>
    </row>
    <row r="129" spans="1:21">
      <c r="A129" s="40"/>
      <c r="B129" s="40"/>
      <c r="C129" s="40"/>
      <c r="D129" s="45"/>
      <c r="F129" s="40"/>
      <c r="G129" s="40"/>
      <c r="H129" s="44"/>
      <c r="I129" s="40"/>
      <c r="J129" s="40"/>
      <c r="K129" s="40"/>
      <c r="L129" s="40"/>
      <c r="M129" s="40"/>
      <c r="N129" s="40"/>
      <c r="O129" s="40"/>
      <c r="P129" s="40"/>
      <c r="Q129" s="40"/>
      <c r="R129" s="40"/>
      <c r="S129" s="40"/>
      <c r="T129" s="40"/>
      <c r="U129" s="40"/>
    </row>
    <row r="130" spans="1:21">
      <c r="A130" s="40"/>
      <c r="B130" s="40"/>
      <c r="C130" s="40"/>
      <c r="D130" s="45"/>
      <c r="F130" s="40"/>
      <c r="G130" s="40"/>
      <c r="H130" s="44"/>
      <c r="I130" s="40"/>
      <c r="J130" s="40"/>
      <c r="K130" s="40"/>
      <c r="L130" s="40"/>
      <c r="M130" s="40"/>
      <c r="N130" s="40"/>
      <c r="O130" s="40"/>
      <c r="P130" s="40"/>
      <c r="Q130" s="40"/>
      <c r="R130" s="40"/>
      <c r="S130" s="40"/>
      <c r="T130" s="40"/>
      <c r="U130" s="40"/>
    </row>
    <row r="131" spans="1:21">
      <c r="A131" s="40"/>
      <c r="B131" s="40"/>
      <c r="C131" s="40"/>
      <c r="D131" s="45"/>
      <c r="F131" s="40"/>
      <c r="G131" s="40"/>
      <c r="H131" s="44"/>
      <c r="I131" s="40"/>
      <c r="J131" s="40"/>
      <c r="K131" s="40"/>
      <c r="L131" s="40"/>
      <c r="M131" s="40"/>
      <c r="N131" s="40"/>
      <c r="O131" s="40"/>
      <c r="P131" s="40"/>
      <c r="Q131" s="40"/>
      <c r="R131" s="40"/>
      <c r="S131" s="40"/>
      <c r="T131" s="40"/>
      <c r="U131" s="40"/>
    </row>
    <row r="132" spans="1:21">
      <c r="A132" s="40"/>
      <c r="B132" s="40"/>
      <c r="C132" s="40"/>
      <c r="D132" s="45"/>
      <c r="F132" s="40"/>
      <c r="G132" s="40"/>
      <c r="H132" s="44"/>
      <c r="I132" s="40"/>
      <c r="J132" s="40"/>
      <c r="K132" s="40"/>
      <c r="L132" s="40"/>
      <c r="M132" s="40"/>
      <c r="N132" s="40"/>
      <c r="O132" s="40"/>
      <c r="P132" s="40"/>
      <c r="Q132" s="40"/>
      <c r="R132" s="40"/>
      <c r="S132" s="40"/>
      <c r="T132" s="40"/>
      <c r="U132" s="40"/>
    </row>
    <row r="133" spans="1:21">
      <c r="A133" s="40"/>
      <c r="B133" s="40"/>
      <c r="C133" s="40"/>
      <c r="D133" s="45"/>
      <c r="F133" s="40"/>
      <c r="G133" s="40"/>
      <c r="H133" s="44"/>
      <c r="I133" s="40"/>
      <c r="J133" s="40"/>
      <c r="K133" s="40"/>
      <c r="L133" s="40"/>
      <c r="M133" s="40"/>
      <c r="N133" s="40"/>
      <c r="O133" s="40"/>
      <c r="P133" s="40"/>
      <c r="Q133" s="40"/>
      <c r="R133" s="40"/>
      <c r="S133" s="40"/>
      <c r="T133" s="40"/>
      <c r="U133" s="40"/>
    </row>
    <row r="136" spans="1:21">
      <c r="A136" s="46"/>
    </row>
    <row r="137" spans="1:21">
      <c r="A137" s="46"/>
    </row>
    <row r="138" spans="1:21">
      <c r="A138" s="46"/>
    </row>
    <row r="139" spans="1:21">
      <c r="B139" s="46"/>
    </row>
    <row r="141" spans="1:21">
      <c r="A141" s="46"/>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4">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BK3" xr:uid="{A0C90A4F-C6CC-4800-BE62-781A8DE1F8E3}">
      <formula1>"cm3/g, mmol/L, mmol/kg, mg/L"</formula1>
    </dataValidation>
    <dataValidation type="list" allowBlank="1" showInputMessage="1" showErrorMessage="1" promptTitle="Gas or Tracer Name" prompt="Select a gas for this column" sqref="L2:BJ2" xr:uid="{6C04B00B-D241-4CC5-A2F0-E68F22CC5D6C}">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gas" sqref="L3:BJ3" xr:uid="{E8359D8A-4DE0-4247-86B9-20D7481B4AB5}">
      <formula1>"cm3/g, mmol/L, mmol/kg, mg/L"</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79"/>
  <sheetViews>
    <sheetView workbookViewId="0">
      <pane ySplit="3" topLeftCell="A4" activePane="bottomLeft" state="frozen"/>
      <selection pane="bottomLeft" activeCell="A4" sqref="A4"/>
    </sheetView>
  </sheetViews>
  <sheetFormatPr defaultColWidth="9.33203125" defaultRowHeight="14.4"/>
  <cols>
    <col min="1" max="1" width="22.44140625" style="16" bestFit="1" customWidth="1"/>
    <col min="2" max="2" width="9.33203125" style="16"/>
    <col min="3" max="3" width="19" style="77"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5"/>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01" t="s">
        <v>142</v>
      </c>
      <c r="B2" s="101" t="s">
        <v>143</v>
      </c>
      <c r="C2" s="107" t="s">
        <v>144</v>
      </c>
      <c r="D2" s="109" t="s">
        <v>145</v>
      </c>
      <c r="E2" s="105" t="s">
        <v>146</v>
      </c>
      <c r="F2" s="20" t="s">
        <v>168</v>
      </c>
      <c r="G2" s="21" t="s">
        <v>184</v>
      </c>
      <c r="H2" s="21" t="s">
        <v>169</v>
      </c>
      <c r="I2" s="21" t="s">
        <v>182</v>
      </c>
      <c r="J2" s="21" t="s">
        <v>170</v>
      </c>
      <c r="K2" s="21" t="s">
        <v>183</v>
      </c>
      <c r="L2" s="21" t="s">
        <v>64</v>
      </c>
      <c r="M2" s="21" t="s">
        <v>148</v>
      </c>
      <c r="N2" s="21" t="s">
        <v>72</v>
      </c>
      <c r="O2" s="21" t="s">
        <v>149</v>
      </c>
      <c r="P2" s="105"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02"/>
      <c r="B3" s="102"/>
      <c r="C3" s="108"/>
      <c r="D3" s="110"/>
      <c r="E3" s="106"/>
      <c r="F3" s="24" t="s">
        <v>176</v>
      </c>
      <c r="G3" s="25" t="s">
        <v>176</v>
      </c>
      <c r="H3" s="25" t="s">
        <v>177</v>
      </c>
      <c r="I3" s="25" t="s">
        <v>177</v>
      </c>
      <c r="J3" s="25" t="s">
        <v>178</v>
      </c>
      <c r="K3" s="25" t="s">
        <v>178</v>
      </c>
      <c r="L3" s="25" t="s">
        <v>198</v>
      </c>
      <c r="M3" s="25"/>
      <c r="N3" s="25" t="s">
        <v>198</v>
      </c>
      <c r="O3" s="25"/>
      <c r="P3" s="106"/>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c r="A4" s="67"/>
      <c r="C4" s="78"/>
      <c r="E4" s="68"/>
    </row>
    <row r="6" spans="1:36">
      <c r="A6" s="67"/>
      <c r="C6" s="78"/>
      <c r="E6" s="68"/>
    </row>
    <row r="7" spans="1:36">
      <c r="A7" s="67"/>
      <c r="C7" s="78"/>
      <c r="E7" s="68"/>
    </row>
    <row r="8" spans="1:36">
      <c r="A8" s="67"/>
      <c r="C8" s="78"/>
      <c r="E8" s="68"/>
      <c r="P8" s="16"/>
    </row>
    <row r="9" spans="1:36">
      <c r="C9" s="76"/>
    </row>
    <row r="10" spans="1:36">
      <c r="A10" s="67"/>
      <c r="C10" s="78"/>
      <c r="E10" s="68"/>
    </row>
    <row r="11" spans="1:36">
      <c r="A11" s="67"/>
      <c r="C11" s="76"/>
      <c r="E11" s="68"/>
    </row>
    <row r="13" spans="1:36">
      <c r="A13" s="67"/>
      <c r="C13" s="76"/>
      <c r="E13" s="68"/>
    </row>
    <row r="14" spans="1:36">
      <c r="A14" s="67"/>
      <c r="C14" s="76"/>
      <c r="E14" s="68"/>
    </row>
    <row r="16" spans="1:36">
      <c r="A16" s="67"/>
      <c r="C16" s="78"/>
      <c r="E16" s="68"/>
    </row>
    <row r="17" spans="1:8">
      <c r="B17" s="66"/>
      <c r="H17" s="66"/>
    </row>
    <row r="18" spans="1:8">
      <c r="A18" s="67"/>
      <c r="C18" s="78"/>
      <c r="E18" s="68"/>
    </row>
    <row r="19" spans="1:8">
      <c r="C19" s="76"/>
    </row>
    <row r="20" spans="1:8">
      <c r="C20" s="76"/>
    </row>
    <row r="21" spans="1:8">
      <c r="C21" s="76"/>
    </row>
    <row r="22" spans="1:8">
      <c r="A22" s="67"/>
      <c r="C22" s="78"/>
      <c r="E22" s="68"/>
    </row>
    <row r="23" spans="1:8">
      <c r="A23" s="67"/>
      <c r="C23" s="78"/>
      <c r="E23" s="68"/>
    </row>
    <row r="24" spans="1:8">
      <c r="A24" s="67"/>
      <c r="C24" s="78"/>
      <c r="E24" s="68"/>
    </row>
    <row r="25" spans="1:8">
      <c r="A25" s="67"/>
      <c r="C25" s="76"/>
      <c r="E25" s="68"/>
    </row>
    <row r="26" spans="1:8">
      <c r="C26" s="76"/>
    </row>
    <row r="27" spans="1:8">
      <c r="C27" s="76"/>
    </row>
    <row r="28" spans="1:8">
      <c r="C28" s="76"/>
    </row>
    <row r="30" spans="1:8">
      <c r="B30" s="66"/>
      <c r="C30" s="76"/>
      <c r="H30" s="66"/>
    </row>
    <row r="31" spans="1:8">
      <c r="A31" s="67"/>
      <c r="C31" s="78"/>
      <c r="E31" s="68"/>
    </row>
    <row r="34" spans="1:5">
      <c r="A34" s="67"/>
      <c r="C34" s="76"/>
      <c r="E34" s="68"/>
    </row>
    <row r="35" spans="1:5">
      <c r="A35" s="67"/>
      <c r="C35" s="76"/>
      <c r="E35" s="68"/>
    </row>
    <row r="36" spans="1:5">
      <c r="A36" s="67"/>
      <c r="C36" s="78"/>
      <c r="E36" s="68"/>
    </row>
    <row r="37" spans="1:5">
      <c r="C37" s="76"/>
    </row>
    <row r="38" spans="1:5">
      <c r="A38" s="67"/>
      <c r="E38" s="68"/>
    </row>
    <row r="39" spans="1:5">
      <c r="A39" s="67"/>
      <c r="E39" s="68"/>
    </row>
    <row r="40" spans="1:5">
      <c r="A40" s="67"/>
      <c r="C40" s="76"/>
      <c r="E40" s="68"/>
    </row>
    <row r="41" spans="1:5">
      <c r="A41" s="67"/>
      <c r="C41" s="76"/>
      <c r="E41" s="68"/>
    </row>
    <row r="42" spans="1:5">
      <c r="A42" s="67"/>
      <c r="C42" s="76"/>
      <c r="E42" s="68"/>
    </row>
    <row r="43" spans="1:5">
      <c r="A43" s="67"/>
      <c r="C43" s="76"/>
      <c r="E43" s="68"/>
    </row>
    <row r="44" spans="1:5">
      <c r="C44" s="76"/>
    </row>
    <row r="45" spans="1:5">
      <c r="A45" s="67"/>
      <c r="E45" s="68"/>
    </row>
    <row r="46" spans="1:5">
      <c r="A46" s="67"/>
      <c r="E46" s="68"/>
    </row>
    <row r="47" spans="1:5">
      <c r="A47" s="67"/>
      <c r="C47" s="78"/>
      <c r="E47" s="68"/>
    </row>
    <row r="49" spans="1:16">
      <c r="C49" s="76"/>
    </row>
    <row r="50" spans="1:16">
      <c r="C50" s="76"/>
    </row>
    <row r="51" spans="1:16">
      <c r="C51" s="76"/>
      <c r="P51" s="16"/>
    </row>
    <row r="52" spans="1:16">
      <c r="A52" s="67"/>
      <c r="E52" s="68"/>
    </row>
    <row r="53" spans="1:16">
      <c r="C53" s="76"/>
    </row>
    <row r="54" spans="1:16">
      <c r="C54" s="76"/>
    </row>
    <row r="55" spans="1:16">
      <c r="C55" s="76"/>
    </row>
    <row r="56" spans="1:16">
      <c r="A56" s="67"/>
      <c r="E56" s="68"/>
    </row>
    <row r="57" spans="1:16">
      <c r="C57" s="76"/>
    </row>
    <row r="59" spans="1:16">
      <c r="C59" s="76"/>
    </row>
    <row r="60" spans="1:16">
      <c r="C60" s="76"/>
    </row>
    <row r="61" spans="1:16">
      <c r="A61" s="67"/>
      <c r="E61" s="68"/>
    </row>
    <row r="62" spans="1:16">
      <c r="C62" s="76"/>
    </row>
    <row r="66" spans="1:16">
      <c r="C66" s="76"/>
    </row>
    <row r="67" spans="1:16">
      <c r="C67" s="76"/>
    </row>
    <row r="68" spans="1:16">
      <c r="C68" s="76"/>
    </row>
    <row r="69" spans="1:16">
      <c r="C69" s="76"/>
    </row>
    <row r="73" spans="1:16">
      <c r="P73" s="16"/>
    </row>
    <row r="74" spans="1:16">
      <c r="A74" s="67"/>
      <c r="C74" s="76"/>
      <c r="E74" s="68"/>
    </row>
    <row r="75" spans="1:16">
      <c r="A75" s="67"/>
      <c r="C75" s="76"/>
      <c r="E75" s="68"/>
    </row>
    <row r="76" spans="1:16">
      <c r="A76" s="67"/>
      <c r="E76" s="68"/>
    </row>
    <row r="77" spans="1:16">
      <c r="A77" s="67"/>
      <c r="C77" s="78"/>
      <c r="E77" s="68"/>
    </row>
    <row r="78" spans="1:16">
      <c r="A78" s="67"/>
      <c r="C78" s="78"/>
      <c r="E78" s="68"/>
    </row>
    <row r="79" spans="1:16">
      <c r="A79" s="67"/>
      <c r="C79" s="78"/>
      <c r="E79" s="68"/>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61A18B2A-B6E8-4A7D-8058-8CBCDD0D2004}">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2CFABBEA-B061-4CF1-8596-66117E81BAAE}">
      <formula1>"mmol/kg, pmol/kg, fmol/kg"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69AEC-DFE2-41A0-9B96-5C65585EFE9F}">
  <dimension ref="A1:CJ174"/>
  <sheetViews>
    <sheetView tabSelected="1" workbookViewId="0">
      <selection activeCell="R5" sqref="R5"/>
    </sheetView>
  </sheetViews>
  <sheetFormatPr defaultRowHeight="13.2"/>
  <cols>
    <col min="1" max="1" width="23" style="116" bestFit="1" customWidth="1"/>
    <col min="2" max="31" width="8.88671875" style="116"/>
    <col min="32" max="32" width="8.88671875" style="131"/>
    <col min="33" max="36" width="8.88671875" style="116"/>
    <col min="37" max="37" width="8.88671875" style="132"/>
    <col min="38" max="16384" width="8.88671875" style="116"/>
  </cols>
  <sheetData>
    <row r="1" spans="1:88" ht="16.2">
      <c r="C1" s="121" t="s">
        <v>353</v>
      </c>
      <c r="D1" s="122"/>
      <c r="E1" s="122"/>
      <c r="F1" s="122"/>
      <c r="G1" s="122"/>
      <c r="H1" s="122"/>
      <c r="I1" s="122"/>
      <c r="N1" s="121" t="s">
        <v>379</v>
      </c>
      <c r="O1" s="122"/>
      <c r="P1" s="122"/>
      <c r="Q1" s="122"/>
      <c r="R1" s="122"/>
      <c r="S1" s="122"/>
      <c r="T1" s="122"/>
      <c r="AB1" s="121" t="s">
        <v>141</v>
      </c>
      <c r="AC1" s="128"/>
      <c r="AD1" s="128"/>
      <c r="AE1" s="128"/>
      <c r="AF1" s="128"/>
      <c r="AG1" s="128"/>
      <c r="AH1" s="121" t="s">
        <v>383</v>
      </c>
      <c r="AI1" s="128"/>
      <c r="AJ1" s="128"/>
      <c r="AK1" s="128"/>
      <c r="AL1" s="128"/>
      <c r="AM1" s="128"/>
      <c r="AN1" s="128"/>
      <c r="AO1" s="128"/>
      <c r="AP1" s="128"/>
      <c r="AQ1" s="128"/>
      <c r="AR1" s="128"/>
      <c r="AS1" s="128"/>
      <c r="AT1" s="128"/>
      <c r="AU1" s="128"/>
      <c r="AV1" s="128"/>
      <c r="AW1" s="128"/>
      <c r="AX1" s="121" t="s">
        <v>420</v>
      </c>
      <c r="AY1" s="128"/>
      <c r="AZ1" s="128"/>
      <c r="BA1" s="128"/>
      <c r="BB1" s="128"/>
      <c r="BC1" s="128"/>
      <c r="BD1" s="128"/>
      <c r="BE1" s="128"/>
      <c r="BF1" s="128"/>
      <c r="BG1" s="128"/>
      <c r="BH1" s="128"/>
      <c r="BI1" s="128"/>
      <c r="BJ1" s="128"/>
      <c r="BK1" s="128"/>
      <c r="BL1" s="128"/>
      <c r="BM1" s="128"/>
      <c r="BN1" s="128"/>
      <c r="BO1" s="128"/>
      <c r="BP1" s="128"/>
      <c r="BQ1" s="128"/>
      <c r="BR1" s="128"/>
      <c r="BS1" s="128"/>
      <c r="BT1" s="128"/>
      <c r="BU1" s="128"/>
      <c r="BV1" s="128"/>
      <c r="BW1" s="128"/>
      <c r="BX1" s="128"/>
      <c r="BY1" s="128"/>
      <c r="BZ1" s="128"/>
      <c r="CA1" s="128"/>
      <c r="CB1" s="128"/>
      <c r="CC1" s="128"/>
      <c r="CD1" s="128"/>
      <c r="CE1" s="128"/>
      <c r="CF1" s="128"/>
      <c r="CG1" s="128"/>
      <c r="CH1" s="128"/>
      <c r="CI1" s="128"/>
      <c r="CJ1" s="128"/>
    </row>
    <row r="2" spans="1:88" ht="13.8">
      <c r="C2" s="125" t="s">
        <v>354</v>
      </c>
      <c r="D2" s="126"/>
      <c r="E2" s="126"/>
      <c r="F2" s="126"/>
      <c r="G2" s="123" t="s">
        <v>355</v>
      </c>
      <c r="H2" s="125" t="s">
        <v>356</v>
      </c>
      <c r="I2" s="126"/>
      <c r="N2" s="125" t="s">
        <v>354</v>
      </c>
      <c r="O2" s="126"/>
      <c r="P2" s="126"/>
      <c r="Q2" s="126"/>
      <c r="R2" s="123" t="s">
        <v>355</v>
      </c>
      <c r="S2" s="125" t="s">
        <v>356</v>
      </c>
      <c r="T2" s="126"/>
      <c r="AB2" s="123"/>
      <c r="AC2" s="133" t="s">
        <v>142</v>
      </c>
      <c r="AD2" s="133" t="s">
        <v>143</v>
      </c>
      <c r="AE2" s="133" t="s">
        <v>144</v>
      </c>
      <c r="AF2" s="134" t="s">
        <v>145</v>
      </c>
      <c r="AG2" s="133" t="s">
        <v>146</v>
      </c>
      <c r="AH2" s="133" t="s">
        <v>382</v>
      </c>
      <c r="AI2" s="133" t="s">
        <v>384</v>
      </c>
      <c r="AJ2" s="133" t="s">
        <v>385</v>
      </c>
      <c r="AK2" s="135" t="s">
        <v>386</v>
      </c>
      <c r="AL2" s="133" t="s">
        <v>357</v>
      </c>
      <c r="AM2" s="133" t="s">
        <v>387</v>
      </c>
      <c r="AN2" s="133" t="s">
        <v>388</v>
      </c>
      <c r="AO2" s="133" t="s">
        <v>389</v>
      </c>
      <c r="AP2" s="133" t="s">
        <v>390</v>
      </c>
      <c r="AQ2" s="133" t="s">
        <v>391</v>
      </c>
      <c r="AR2" s="133" t="s">
        <v>392</v>
      </c>
      <c r="AS2" s="133" t="s">
        <v>393</v>
      </c>
      <c r="AT2" s="133" t="s">
        <v>394</v>
      </c>
      <c r="AU2" s="133" t="s">
        <v>395</v>
      </c>
      <c r="AV2" s="133" t="s">
        <v>396</v>
      </c>
      <c r="AW2" s="133" t="s">
        <v>397</v>
      </c>
      <c r="AX2" s="125" t="s">
        <v>64</v>
      </c>
      <c r="AY2" s="125" t="s">
        <v>398</v>
      </c>
      <c r="AZ2" s="125" t="s">
        <v>399</v>
      </c>
      <c r="BA2" s="125" t="s">
        <v>73</v>
      </c>
      <c r="BB2" s="125" t="s">
        <v>400</v>
      </c>
      <c r="BC2" s="125" t="s">
        <v>401</v>
      </c>
      <c r="BD2" s="125" t="s">
        <v>82</v>
      </c>
      <c r="BE2" s="125" t="s">
        <v>402</v>
      </c>
      <c r="BF2" s="125" t="s">
        <v>403</v>
      </c>
      <c r="BG2" s="125" t="s">
        <v>89</v>
      </c>
      <c r="BH2" s="125" t="s">
        <v>404</v>
      </c>
      <c r="BI2" s="125" t="s">
        <v>405</v>
      </c>
      <c r="BJ2" s="125" t="s">
        <v>94</v>
      </c>
      <c r="BK2" s="125" t="s">
        <v>406</v>
      </c>
      <c r="BL2" s="125" t="s">
        <v>407</v>
      </c>
      <c r="BM2" s="125" t="s">
        <v>98</v>
      </c>
      <c r="BN2" s="125" t="s">
        <v>408</v>
      </c>
      <c r="BO2" s="125" t="s">
        <v>409</v>
      </c>
      <c r="BP2" s="125" t="s">
        <v>102</v>
      </c>
      <c r="BQ2" s="125" t="s">
        <v>410</v>
      </c>
      <c r="BR2" s="125" t="s">
        <v>411</v>
      </c>
      <c r="BS2" s="125" t="s">
        <v>77</v>
      </c>
      <c r="BT2" s="125" t="s">
        <v>412</v>
      </c>
      <c r="BU2" s="125" t="s">
        <v>413</v>
      </c>
      <c r="BV2" s="125" t="s">
        <v>110</v>
      </c>
      <c r="BW2" s="125" t="s">
        <v>414</v>
      </c>
      <c r="BX2" s="125" t="s">
        <v>415</v>
      </c>
      <c r="BY2" s="125" t="s">
        <v>118</v>
      </c>
      <c r="BZ2" s="125" t="s">
        <v>416</v>
      </c>
      <c r="CA2" s="125" t="s">
        <v>417</v>
      </c>
      <c r="CB2" s="125" t="s">
        <v>78</v>
      </c>
      <c r="CC2" s="125" t="s">
        <v>418</v>
      </c>
      <c r="CD2" s="125" t="s">
        <v>419</v>
      </c>
      <c r="CE2" s="125" t="s">
        <v>347</v>
      </c>
      <c r="CF2" s="125" t="s">
        <v>348</v>
      </c>
      <c r="CG2" s="125" t="s">
        <v>349</v>
      </c>
      <c r="CH2" s="125" t="s">
        <v>350</v>
      </c>
      <c r="CI2" s="125" t="s">
        <v>351</v>
      </c>
      <c r="CJ2" s="125" t="s">
        <v>352</v>
      </c>
    </row>
    <row r="3" spans="1:88" ht="66">
      <c r="C3" s="127" t="s">
        <v>357</v>
      </c>
      <c r="D3" s="127" t="s">
        <v>358</v>
      </c>
      <c r="E3" s="127" t="s">
        <v>359</v>
      </c>
      <c r="F3" s="127" t="s">
        <v>360</v>
      </c>
      <c r="G3" s="127" t="s">
        <v>147</v>
      </c>
      <c r="H3" s="127" t="s">
        <v>361</v>
      </c>
      <c r="I3" s="127" t="s">
        <v>362</v>
      </c>
      <c r="N3" s="127" t="s">
        <v>357</v>
      </c>
      <c r="O3" s="127" t="s">
        <v>358</v>
      </c>
      <c r="P3" s="127" t="s">
        <v>359</v>
      </c>
      <c r="Q3" s="127" t="s">
        <v>360</v>
      </c>
      <c r="R3" s="127" t="s">
        <v>147</v>
      </c>
      <c r="S3" s="127" t="s">
        <v>361</v>
      </c>
      <c r="T3" s="127" t="s">
        <v>362</v>
      </c>
      <c r="AB3" s="127" t="s">
        <v>381</v>
      </c>
      <c r="AC3" s="136"/>
      <c r="AD3" s="136"/>
      <c r="AE3" s="136"/>
      <c r="AF3" s="137"/>
      <c r="AG3" s="136"/>
      <c r="AH3" s="136"/>
      <c r="AI3" s="136"/>
      <c r="AJ3" s="136"/>
      <c r="AK3" s="138"/>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136"/>
      <c r="BP3" s="136"/>
      <c r="BQ3" s="136"/>
      <c r="BR3" s="136"/>
      <c r="BS3" s="136"/>
      <c r="BT3" s="136"/>
      <c r="BU3" s="136"/>
      <c r="BV3" s="136"/>
      <c r="BW3" s="136"/>
      <c r="BX3" s="136"/>
      <c r="BY3" s="136"/>
      <c r="BZ3" s="136"/>
      <c r="CA3" s="136"/>
      <c r="CB3" s="136"/>
      <c r="CC3" s="136"/>
      <c r="CD3" s="136"/>
      <c r="CE3" s="136"/>
      <c r="CF3" s="136"/>
      <c r="CG3" s="136"/>
      <c r="CH3" s="136"/>
      <c r="CI3" s="136"/>
      <c r="CJ3" s="136"/>
    </row>
    <row r="4" spans="1:88" ht="14.4">
      <c r="C4" s="124">
        <v>1.43</v>
      </c>
      <c r="D4" s="124">
        <v>88</v>
      </c>
      <c r="E4" s="124">
        <v>9</v>
      </c>
      <c r="F4" s="124">
        <v>0</v>
      </c>
      <c r="G4" s="124">
        <v>2</v>
      </c>
      <c r="H4" s="124">
        <v>3</v>
      </c>
      <c r="I4" s="124">
        <v>20</v>
      </c>
      <c r="N4" s="124">
        <v>1.43</v>
      </c>
      <c r="O4" s="124">
        <v>88</v>
      </c>
      <c r="P4" s="124">
        <v>9</v>
      </c>
      <c r="Q4" s="124">
        <v>0</v>
      </c>
      <c r="R4" s="124">
        <v>2</v>
      </c>
      <c r="S4" s="124">
        <v>3</v>
      </c>
      <c r="T4" s="124">
        <v>20</v>
      </c>
      <c r="AB4" s="130" t="s">
        <v>421</v>
      </c>
      <c r="AC4" s="139" t="s">
        <v>328</v>
      </c>
      <c r="AD4" s="139" t="s">
        <v>329</v>
      </c>
      <c r="AE4" s="139" t="s">
        <v>330</v>
      </c>
      <c r="AF4" s="140"/>
      <c r="AG4" s="141"/>
      <c r="AH4" s="130" t="s">
        <v>270</v>
      </c>
      <c r="AI4" s="130" t="s">
        <v>270</v>
      </c>
      <c r="AJ4" s="130" t="s">
        <v>270</v>
      </c>
      <c r="AK4" s="142" t="s">
        <v>270</v>
      </c>
      <c r="AL4" s="130">
        <v>1.07</v>
      </c>
      <c r="AM4" s="130">
        <v>0.10700000000000001</v>
      </c>
      <c r="AN4" s="130">
        <v>88</v>
      </c>
      <c r="AO4" s="130">
        <v>8.8000000000000007</v>
      </c>
      <c r="AP4" s="130">
        <v>5</v>
      </c>
      <c r="AQ4" s="130">
        <v>0.5</v>
      </c>
      <c r="AR4" s="130">
        <v>3</v>
      </c>
      <c r="AS4" s="130">
        <v>0.3</v>
      </c>
      <c r="AT4" s="130">
        <v>1.5</v>
      </c>
      <c r="AU4" s="130">
        <v>0.15</v>
      </c>
      <c r="AV4" s="130">
        <v>0</v>
      </c>
      <c r="AW4" s="130">
        <v>0</v>
      </c>
      <c r="AX4" s="130">
        <f>ConvertUnits(0.00000004428, "He_Weiss", $AZ$4, $B$11, $AP$4, $AL$4)</f>
        <v>4.4279999999999997E-8</v>
      </c>
      <c r="AY4" s="130">
        <f>ConvertUnits(0.00000004428, "He_Weiss", $AZ$4, $B$11, $AP$4, $AL$4)</f>
        <v>4.4279999999999997E-8</v>
      </c>
      <c r="AZ4" s="130" t="s">
        <v>198</v>
      </c>
      <c r="BA4" s="130">
        <f>ConvertUnits(0.0000001732, "Ne_Weiss", $BC$4, $B$12, $AP$4, $AL$4)</f>
        <v>1.7319999999999999E-7</v>
      </c>
      <c r="BB4" s="130">
        <f>ConvertUnits(0.0000001732, "Ne_Weiss", $BC$4, $B$12, $AP$4, $AL$4)</f>
        <v>1.7319999999999999E-7</v>
      </c>
      <c r="BC4" s="130" t="s">
        <v>198</v>
      </c>
      <c r="BD4" s="130">
        <f>ConvertUnits(0.000362, "Ar_Weiss", $BF$4, $B$13, $AP$4, $AL$4)</f>
        <v>3.6200000000000002E-4</v>
      </c>
      <c r="BE4" s="130">
        <f>ConvertUnits(0.000362, "Ar_Weiss", $BF$4, $B$13, $AP$4, $AL$4)</f>
        <v>3.6200000000000002E-4</v>
      </c>
      <c r="BF4" s="130" t="s">
        <v>198</v>
      </c>
      <c r="BG4" s="130">
        <f>ConvertUnits(0.0000000863, "Kr_Weiss", $BI$4, $B$14, $AP$4, $AL$4)</f>
        <v>8.6299999999999999E-8</v>
      </c>
      <c r="BH4" s="130">
        <f>ConvertUnits(0.0000000863, "Kr_Weiss", $BI$4, $B$14, $AP$4, $AL$4)</f>
        <v>8.6299999999999999E-8</v>
      </c>
      <c r="BI4" s="130" t="s">
        <v>198</v>
      </c>
      <c r="BJ4" s="130">
        <f>ConvertUnits(0.00000001299, "Xe_Clvr", $BL$4, $B$15, $AP$4, $AL$4)</f>
        <v>1.2989999999999999E-8</v>
      </c>
      <c r="BK4" s="130">
        <f>ConvertUnits(0.00000001299, "Xe_Clvr", $BL$4, $B$15, $AP$4, $AL$4)</f>
        <v>1.2989999999999999E-8</v>
      </c>
      <c r="BL4" s="130" t="s">
        <v>198</v>
      </c>
      <c r="BM4" s="130"/>
      <c r="BN4" s="130"/>
      <c r="BO4" s="130"/>
      <c r="BP4" s="130"/>
      <c r="BQ4" s="130"/>
      <c r="BR4" s="130"/>
      <c r="BS4" s="130"/>
      <c r="BT4" s="130"/>
      <c r="BU4" s="130"/>
      <c r="BV4" s="130"/>
      <c r="BW4" s="130"/>
      <c r="BX4" s="130"/>
      <c r="BY4" s="130"/>
      <c r="BZ4" s="130"/>
      <c r="CA4" s="130"/>
      <c r="CB4" s="130"/>
      <c r="CC4" s="130"/>
      <c r="CD4" s="130"/>
      <c r="CE4" s="130">
        <f>$BD$4/$BA$4</f>
        <v>2090.0692840646652</v>
      </c>
      <c r="CF4" s="130">
        <f>$BG$4/$BJ$4</f>
        <v>6.6435719784449576</v>
      </c>
      <c r="CG4" s="130">
        <f>$BJ$4/$BA$4</f>
        <v>7.4999999999999997E-2</v>
      </c>
      <c r="CH4" s="130">
        <f>$BG$4/$BD$4</f>
        <v>2.383977900552486E-4</v>
      </c>
      <c r="CI4" s="130"/>
      <c r="CJ4" s="130">
        <f>$AU$4/$AU$4</f>
        <v>1</v>
      </c>
    </row>
    <row r="5" spans="1:88" ht="14.4">
      <c r="A5" s="117" t="s">
        <v>332</v>
      </c>
      <c r="B5" s="117"/>
      <c r="L5" s="117" t="s">
        <v>332</v>
      </c>
      <c r="M5" s="117"/>
      <c r="AB5" s="130" t="s">
        <v>421</v>
      </c>
      <c r="AC5" s="139" t="s">
        <v>328</v>
      </c>
      <c r="AD5" s="139" t="s">
        <v>329</v>
      </c>
      <c r="AE5" s="139" t="s">
        <v>330</v>
      </c>
      <c r="AF5" s="140"/>
      <c r="AG5" s="141"/>
      <c r="AH5" s="130" t="s">
        <v>270</v>
      </c>
      <c r="AI5" s="130" t="s">
        <v>270</v>
      </c>
      <c r="AJ5" s="130" t="s">
        <v>270</v>
      </c>
      <c r="AK5" s="142" t="s">
        <v>270</v>
      </c>
      <c r="AL5" s="130">
        <v>1.43</v>
      </c>
      <c r="AM5" s="130">
        <v>0.14299999999999999</v>
      </c>
      <c r="AN5" s="130">
        <v>88</v>
      </c>
      <c r="AO5" s="130">
        <v>8.8000000000000007</v>
      </c>
      <c r="AP5" s="130">
        <v>5</v>
      </c>
      <c r="AQ5" s="130">
        <v>0.5</v>
      </c>
      <c r="AR5" s="130">
        <v>3</v>
      </c>
      <c r="AS5" s="130">
        <v>0.3</v>
      </c>
      <c r="AT5" s="130">
        <v>1.5</v>
      </c>
      <c r="AU5" s="130">
        <v>0.15</v>
      </c>
      <c r="AV5" s="130">
        <v>0</v>
      </c>
      <c r="AW5" s="130">
        <v>0</v>
      </c>
      <c r="AX5" s="130">
        <f>ConvertUnits(0.00000004507, "He_Weiss", $AZ$5, $B$11, $AP$5, $AL$5)</f>
        <v>4.5069999999999999E-8</v>
      </c>
      <c r="AY5" s="130">
        <f>ConvertUnits(0.00000004507, "He_Weiss", $AZ$5, $B$11, $AP$5, $AL$5)</f>
        <v>4.5069999999999999E-8</v>
      </c>
      <c r="AZ5" s="130" t="s">
        <v>198</v>
      </c>
      <c r="BA5" s="130">
        <f>ConvertUnits(0.0000001314, "Ne_Weiss", $BC$5, $B$12, $AP$5, $AL$5)</f>
        <v>1.314E-7</v>
      </c>
      <c r="BB5" s="130">
        <f>ConvertUnits(0.0000001314, "Ne_Weiss", $BC$5, $B$12, $AP$5, $AL$5)</f>
        <v>1.314E-7</v>
      </c>
      <c r="BC5" s="130" t="s">
        <v>198</v>
      </c>
      <c r="BD5" s="130">
        <f>ConvertUnits(0.0003166, "Ar_Weiss", $BF$5, $B$13, $AP$5, $AL$5)</f>
        <v>3.166E-4</v>
      </c>
      <c r="BE5" s="130">
        <f>ConvertUnits(0.0003166, "Ar_Weiss", $BF$5, $B$13, $AP$5, $AL$5)</f>
        <v>3.166E-4</v>
      </c>
      <c r="BF5" s="130" t="s">
        <v>198</v>
      </c>
      <c r="BG5" s="130">
        <f>ConvertUnits(0.00000008028, "Kr_Weiss", $BI$5, $B$14, $AP$5, $AL$5)</f>
        <v>8.0280000000000002E-8</v>
      </c>
      <c r="BH5" s="130">
        <f>ConvertUnits(0.00000008028, "Kr_Weiss", $BI$5, $B$14, $AP$5, $AL$5)</f>
        <v>8.0280000000000002E-8</v>
      </c>
      <c r="BI5" s="130" t="s">
        <v>198</v>
      </c>
      <c r="BJ5" s="130">
        <f>ConvertUnits(0.00000001294, "Xe_Clvr", $BL$5, $B$15, $AP$5, $AL$5)</f>
        <v>1.294E-8</v>
      </c>
      <c r="BK5" s="130">
        <f>ConvertUnits(0.00000001294, "Xe_Clvr", $BL$5, $B$15, $AP$5, $AL$5)</f>
        <v>1.294E-8</v>
      </c>
      <c r="BL5" s="130" t="s">
        <v>198</v>
      </c>
      <c r="BM5" s="130"/>
      <c r="BN5" s="130"/>
      <c r="BO5" s="130"/>
      <c r="BP5" s="130"/>
      <c r="BQ5" s="130"/>
      <c r="BR5" s="130"/>
      <c r="BS5" s="130"/>
      <c r="BT5" s="130"/>
      <c r="BU5" s="130"/>
      <c r="BV5" s="130"/>
      <c r="BW5" s="130"/>
      <c r="BX5" s="130"/>
      <c r="BY5" s="130"/>
      <c r="BZ5" s="130"/>
      <c r="CA5" s="130"/>
      <c r="CB5" s="130"/>
      <c r="CC5" s="130"/>
      <c r="CD5" s="130"/>
      <c r="CE5" s="130">
        <f>$BD$5/$BA$5</f>
        <v>2409.4368340943684</v>
      </c>
      <c r="CF5" s="130">
        <f>$BG$5/$BJ$5</f>
        <v>6.2040185471406488</v>
      </c>
      <c r="CG5" s="130">
        <f>$BJ$5/$BA$5</f>
        <v>9.8477929984779305E-2</v>
      </c>
      <c r="CH5" s="130">
        <f>$BG$5/$BD$5</f>
        <v>2.5356917245735947E-4</v>
      </c>
      <c r="CI5" s="130"/>
      <c r="CJ5" s="130">
        <f>$AU$5/$AU$5</f>
        <v>1</v>
      </c>
    </row>
    <row r="6" spans="1:88" ht="14.4">
      <c r="A6" s="117">
        <v>1</v>
      </c>
      <c r="B6" s="117" t="s">
        <v>198</v>
      </c>
      <c r="L6" s="117">
        <v>1</v>
      </c>
      <c r="M6" s="117" t="s">
        <v>198</v>
      </c>
      <c r="AB6" s="130" t="s">
        <v>421</v>
      </c>
      <c r="AC6" s="139" t="s">
        <v>328</v>
      </c>
      <c r="AD6" s="139" t="s">
        <v>329</v>
      </c>
      <c r="AE6" s="139" t="s">
        <v>330</v>
      </c>
      <c r="AF6" s="140"/>
      <c r="AG6" s="141"/>
      <c r="AH6" s="130" t="s">
        <v>270</v>
      </c>
      <c r="AI6" s="130" t="s">
        <v>270</v>
      </c>
      <c r="AJ6" s="130" t="s">
        <v>270</v>
      </c>
      <c r="AK6" s="142" t="s">
        <v>270</v>
      </c>
      <c r="AL6" s="130">
        <v>1.45</v>
      </c>
      <c r="AM6" s="130">
        <v>0.14499999999999999</v>
      </c>
      <c r="AN6" s="130">
        <v>88</v>
      </c>
      <c r="AO6" s="130">
        <v>8.8000000000000007</v>
      </c>
      <c r="AP6" s="130">
        <v>5</v>
      </c>
      <c r="AQ6" s="130">
        <v>0.5</v>
      </c>
      <c r="AR6" s="130">
        <v>3</v>
      </c>
      <c r="AS6" s="130">
        <v>0.3</v>
      </c>
      <c r="AT6" s="130">
        <v>1.5</v>
      </c>
      <c r="AU6" s="130">
        <v>0.15</v>
      </c>
      <c r="AV6" s="130">
        <v>0</v>
      </c>
      <c r="AW6" s="130">
        <v>0</v>
      </c>
      <c r="AX6" s="130">
        <f>ConvertUnits(0.0000000445, "He_Weiss", $AZ$6, $B$11, $AP$6, $AL$6)</f>
        <v>4.4500000000000001E-8</v>
      </c>
      <c r="AY6" s="130">
        <f>ConvertUnits(0.0000000445, "He_Weiss", $AZ$6, $B$11, $AP$6, $AL$6)</f>
        <v>4.4500000000000001E-8</v>
      </c>
      <c r="AZ6" s="130" t="s">
        <v>198</v>
      </c>
      <c r="BA6" s="130">
        <f>ConvertUnits(0.0000001301, "Ne_Weiss", $BC$6, $B$12, $AP$6, $AL$6)</f>
        <v>1.3010000000000001E-7</v>
      </c>
      <c r="BB6" s="130">
        <f>ConvertUnits(0.0000001301, "Ne_Weiss", $BC$6, $B$12, $AP$6, $AL$6)</f>
        <v>1.3010000000000001E-7</v>
      </c>
      <c r="BC6" s="130" t="s">
        <v>198</v>
      </c>
      <c r="BD6" s="130">
        <f>ConvertUnits(0.0003113, "Ar_Weiss", $BF$6, $B$13, $AP$6, $AL$6)</f>
        <v>3.1129999999999998E-4</v>
      </c>
      <c r="BE6" s="130">
        <f>ConvertUnits(0.0003113, "Ar_Weiss", $BF$6, $B$13, $AP$6, $AL$6)</f>
        <v>3.1129999999999998E-4</v>
      </c>
      <c r="BF6" s="130" t="s">
        <v>198</v>
      </c>
      <c r="BG6" s="130">
        <f>ConvertUnits(0.00000007823, "Kr_Weiss", $BI$6, $B$14, $AP$6, $AL$6)</f>
        <v>7.8230000000000006E-8</v>
      </c>
      <c r="BH6" s="130">
        <f>ConvertUnits(0.00000007823, "Kr_Weiss", $BI$6, $B$14, $AP$6, $AL$6)</f>
        <v>7.8230000000000006E-8</v>
      </c>
      <c r="BI6" s="130" t="s">
        <v>198</v>
      </c>
      <c r="BJ6" s="130">
        <f>ConvertUnits(0.00000001293, "Xe_Clvr", $BL$6, $B$15, $AP$6, $AL$6)</f>
        <v>1.2930000000000001E-8</v>
      </c>
      <c r="BK6" s="130">
        <f>ConvertUnits(0.00000001293, "Xe_Clvr", $BL$6, $B$15, $AP$6, $AL$6)</f>
        <v>1.2930000000000001E-8</v>
      </c>
      <c r="BL6" s="130" t="s">
        <v>198</v>
      </c>
      <c r="BM6" s="130"/>
      <c r="BN6" s="130"/>
      <c r="BO6" s="130"/>
      <c r="BP6" s="130"/>
      <c r="BQ6" s="130"/>
      <c r="BR6" s="130"/>
      <c r="BS6" s="130"/>
      <c r="BT6" s="130"/>
      <c r="BU6" s="130"/>
      <c r="BV6" s="130"/>
      <c r="BW6" s="130"/>
      <c r="BX6" s="130"/>
      <c r="BY6" s="130"/>
      <c r="BZ6" s="130"/>
      <c r="CA6" s="130"/>
      <c r="CB6" s="130"/>
      <c r="CC6" s="130"/>
      <c r="CD6" s="130"/>
      <c r="CE6" s="130">
        <f>$BD$6/$BA$6</f>
        <v>2392.774788624135</v>
      </c>
      <c r="CF6" s="130">
        <f>$BG$6/$BJ$6</f>
        <v>6.0502706883217323</v>
      </c>
      <c r="CG6" s="130">
        <f>$BJ$6/$BA$6</f>
        <v>9.938508839354343E-2</v>
      </c>
      <c r="CH6" s="130">
        <f>$BG$6/$BD$6</f>
        <v>2.5130099582396407E-4</v>
      </c>
      <c r="CI6" s="130"/>
      <c r="CJ6" s="130">
        <f>$AU$6/$AU$6</f>
        <v>1</v>
      </c>
    </row>
    <row r="7" spans="1:88" ht="14.4">
      <c r="A7" s="117">
        <v>2</v>
      </c>
      <c r="B7" s="117" t="s">
        <v>333</v>
      </c>
      <c r="L7" s="117">
        <v>2</v>
      </c>
      <c r="M7" s="117" t="s">
        <v>333</v>
      </c>
      <c r="AB7" s="130" t="s">
        <v>421</v>
      </c>
      <c r="AC7" s="139" t="s">
        <v>328</v>
      </c>
      <c r="AD7" s="139" t="s">
        <v>329</v>
      </c>
      <c r="AE7" s="139" t="s">
        <v>331</v>
      </c>
      <c r="AF7" s="140"/>
      <c r="AG7" s="141"/>
      <c r="AH7" s="130" t="s">
        <v>270</v>
      </c>
      <c r="AI7" s="130" t="s">
        <v>270</v>
      </c>
      <c r="AJ7" s="130" t="s">
        <v>270</v>
      </c>
      <c r="AK7" s="142" t="s">
        <v>270</v>
      </c>
      <c r="AL7" s="130">
        <v>1.1000000000000001</v>
      </c>
      <c r="AM7" s="130">
        <v>0.11000000000000001</v>
      </c>
      <c r="AN7" s="130">
        <v>88</v>
      </c>
      <c r="AO7" s="130">
        <v>8.8000000000000007</v>
      </c>
      <c r="AP7" s="130">
        <v>5</v>
      </c>
      <c r="AQ7" s="130">
        <v>0.5</v>
      </c>
      <c r="AR7" s="130">
        <v>3</v>
      </c>
      <c r="AS7" s="130">
        <v>0.3</v>
      </c>
      <c r="AT7" s="130">
        <v>1.5</v>
      </c>
      <c r="AU7" s="130">
        <v>0.15</v>
      </c>
      <c r="AV7" s="130">
        <v>0</v>
      </c>
      <c r="AW7" s="130">
        <v>0</v>
      </c>
      <c r="AX7" s="130">
        <f>ConvertUnits(0.00000003974, "He_Weiss", $AZ$7, $B$11, $AP$7, $AL$7)</f>
        <v>3.9739999999999997E-8</v>
      </c>
      <c r="AY7" s="130">
        <f>ConvertUnits(0.00000003974, "He_Weiss", $AZ$7, $B$11, $AP$7, $AL$7)</f>
        <v>3.9739999999999997E-8</v>
      </c>
      <c r="AZ7" s="130" t="s">
        <v>198</v>
      </c>
      <c r="BA7" s="130">
        <f>ConvertUnits(0.0000001422, "Ne_Weiss", $BC$7, $B$12, $AP$7, $AL$7)</f>
        <v>1.4219999999999999E-7</v>
      </c>
      <c r="BB7" s="130">
        <f>ConvertUnits(0.0000001422, "Ne_Weiss", $BC$7, $B$12, $AP$7, $AL$7)</f>
        <v>1.4219999999999999E-7</v>
      </c>
      <c r="BC7" s="130" t="s">
        <v>198</v>
      </c>
      <c r="BD7" s="130">
        <f>ConvertUnits(0.0003203, "Ar_Weiss", $BF$7, $B$13, $AP$7, $AL$7)</f>
        <v>3.2029999999999998E-4</v>
      </c>
      <c r="BE7" s="130">
        <f>ConvertUnits(0.0003203, "Ar_Weiss", $BF$7, $B$13, $AP$7, $AL$7)</f>
        <v>3.2029999999999998E-4</v>
      </c>
      <c r="BF7" s="130" t="s">
        <v>198</v>
      </c>
      <c r="BG7" s="130">
        <f>ConvertUnits(0.00000008254, "Kr_Weiss", $BI$7, $B$14, $AP$7, $AL$7)</f>
        <v>8.2539999999999997E-8</v>
      </c>
      <c r="BH7" s="130">
        <f>ConvertUnits(0.00000008254, "Kr_Weiss", $BI$7, $B$14, $AP$7, $AL$7)</f>
        <v>8.2539999999999997E-8</v>
      </c>
      <c r="BI7" s="130" t="s">
        <v>198</v>
      </c>
      <c r="BJ7" s="130">
        <f>ConvertUnits(0.00000001236, "Xe_Clvr", $BL$7, $B$15, $AP$7, $AL$7)</f>
        <v>1.236E-8</v>
      </c>
      <c r="BK7" s="130">
        <f>ConvertUnits(0.00000001236, "Xe_Clvr", $BL$7, $B$15, $AP$7, $AL$7)</f>
        <v>1.236E-8</v>
      </c>
      <c r="BL7" s="130" t="s">
        <v>198</v>
      </c>
      <c r="BM7" s="130"/>
      <c r="BN7" s="130"/>
      <c r="BO7" s="130"/>
      <c r="BP7" s="130"/>
      <c r="BQ7" s="130"/>
      <c r="BR7" s="130"/>
      <c r="BS7" s="130"/>
      <c r="BT7" s="130"/>
      <c r="BU7" s="130"/>
      <c r="BV7" s="130"/>
      <c r="BW7" s="130"/>
      <c r="BX7" s="130"/>
      <c r="BY7" s="130"/>
      <c r="BZ7" s="130"/>
      <c r="CA7" s="130"/>
      <c r="CB7" s="130"/>
      <c r="CC7" s="130"/>
      <c r="CD7" s="130"/>
      <c r="CE7" s="130">
        <f>$BD$7/$BA$7</f>
        <v>2252.4613220815754</v>
      </c>
      <c r="CF7" s="130">
        <f>$BG$7/$BJ$7</f>
        <v>6.6779935275080904</v>
      </c>
      <c r="CG7" s="130">
        <f>$BJ$7/$BA$7</f>
        <v>8.6919831223628688E-2</v>
      </c>
      <c r="CH7" s="130">
        <f>$BG$7/$BD$7</f>
        <v>2.5769591008429596E-4</v>
      </c>
      <c r="CI7" s="130"/>
      <c r="CJ7" s="130">
        <f>$AU$7/$AU$7</f>
        <v>1</v>
      </c>
    </row>
    <row r="8" spans="1:88" ht="14.4">
      <c r="A8" s="117">
        <v>3</v>
      </c>
      <c r="B8" s="117" t="s">
        <v>165</v>
      </c>
      <c r="L8" s="117">
        <v>3</v>
      </c>
      <c r="M8" s="117" t="s">
        <v>165</v>
      </c>
      <c r="AB8" s="130" t="s">
        <v>421</v>
      </c>
      <c r="AC8" s="139" t="s">
        <v>328</v>
      </c>
      <c r="AD8" s="139" t="s">
        <v>329</v>
      </c>
      <c r="AE8" s="139" t="s">
        <v>331</v>
      </c>
      <c r="AF8" s="140"/>
      <c r="AG8" s="141"/>
      <c r="AH8" s="130" t="s">
        <v>270</v>
      </c>
      <c r="AI8" s="130" t="s">
        <v>270</v>
      </c>
      <c r="AJ8" s="130" t="s">
        <v>270</v>
      </c>
      <c r="AK8" s="142" t="s">
        <v>270</v>
      </c>
      <c r="AL8" s="130">
        <v>1.46</v>
      </c>
      <c r="AM8" s="130">
        <v>0.14599999999999999</v>
      </c>
      <c r="AN8" s="130">
        <v>88</v>
      </c>
      <c r="AO8" s="130">
        <v>8.8000000000000007</v>
      </c>
      <c r="AP8" s="130">
        <v>5</v>
      </c>
      <c r="AQ8" s="130">
        <v>0.5</v>
      </c>
      <c r="AR8" s="130">
        <v>3</v>
      </c>
      <c r="AS8" s="130">
        <v>0.3</v>
      </c>
      <c r="AT8" s="130">
        <v>1.5</v>
      </c>
      <c r="AU8" s="130">
        <v>0.15</v>
      </c>
      <c r="AV8" s="130">
        <v>0</v>
      </c>
      <c r="AW8" s="130">
        <v>0</v>
      </c>
      <c r="AX8" s="130">
        <f>ConvertUnits(0.0000000404, "He_Weiss", $AZ$8, $B$11, $AP$8, $AL$8)</f>
        <v>4.0399999999999998E-8</v>
      </c>
      <c r="AY8" s="130">
        <f>ConvertUnits(0.0000000404, "He_Weiss", $AZ$8, $B$11, $AP$8, $AL$8)</f>
        <v>4.0399999999999998E-8</v>
      </c>
      <c r="AZ8" s="130" t="s">
        <v>198</v>
      </c>
      <c r="BA8" s="130">
        <f>ConvertUnits(0.0000001245, "Ne_Weiss", $BC$8, $B$12, $AP$8, $AL$8)</f>
        <v>1.2450000000000001E-7</v>
      </c>
      <c r="BB8" s="130">
        <f>ConvertUnits(0.0000001245, "Ne_Weiss", $BC$8, $B$12, $AP$8, $AL$8)</f>
        <v>1.2450000000000001E-7</v>
      </c>
      <c r="BC8" s="130" t="s">
        <v>198</v>
      </c>
      <c r="BD8" s="130">
        <f>ConvertUnits(0.0003061, "Ar_Weiss", $BF$8, $B$13, $AP$8, $AL$8)</f>
        <v>3.0610000000000001E-4</v>
      </c>
      <c r="BE8" s="130">
        <f>ConvertUnits(0.0003061, "Ar_Weiss", $BF$8, $B$13, $AP$8, $AL$8)</f>
        <v>3.0610000000000001E-4</v>
      </c>
      <c r="BF8" s="130" t="s">
        <v>198</v>
      </c>
      <c r="BG8" s="130">
        <f>ConvertUnits(0.0000000815, "Kr_Weiss", $BI$8, $B$14, $AP$8, $AL$8)</f>
        <v>8.1499999999999995E-8</v>
      </c>
      <c r="BH8" s="130">
        <f>ConvertUnits(0.0000000815, "Kr_Weiss", $BI$8, $B$14, $AP$8, $AL$8)</f>
        <v>8.1499999999999995E-8</v>
      </c>
      <c r="BI8" s="130" t="s">
        <v>198</v>
      </c>
      <c r="BJ8" s="130">
        <f>ConvertUnits(0.00000001225, "Xe_Clvr", $BL$8, $B$15, $AP$8, $AL$8)</f>
        <v>1.2250000000000001E-8</v>
      </c>
      <c r="BK8" s="130">
        <f>ConvertUnits(0.00000001225, "Xe_Clvr", $BL$8, $B$15, $AP$8, $AL$8)</f>
        <v>1.2250000000000001E-8</v>
      </c>
      <c r="BL8" s="130" t="s">
        <v>198</v>
      </c>
      <c r="BM8" s="130"/>
      <c r="BN8" s="130"/>
      <c r="BO8" s="130"/>
      <c r="BP8" s="130"/>
      <c r="BQ8" s="130"/>
      <c r="BR8" s="130"/>
      <c r="BS8" s="130"/>
      <c r="BT8" s="130"/>
      <c r="BU8" s="130"/>
      <c r="BV8" s="130"/>
      <c r="BW8" s="130"/>
      <c r="BX8" s="130"/>
      <c r="BY8" s="130"/>
      <c r="BZ8" s="130"/>
      <c r="CA8" s="130"/>
      <c r="CB8" s="130"/>
      <c r="CC8" s="130"/>
      <c r="CD8" s="130"/>
      <c r="CE8" s="130">
        <f>$BD$8/$BA$8</f>
        <v>2458.6345381526103</v>
      </c>
      <c r="CF8" s="130">
        <f>$BG$8/$BJ$8</f>
        <v>6.6530612244897949</v>
      </c>
      <c r="CG8" s="130">
        <f>$BJ$8/$BA$8</f>
        <v>9.8393574297188757E-2</v>
      </c>
      <c r="CH8" s="130">
        <f>$BG$8/$BD$8</f>
        <v>2.6625285854295979E-4</v>
      </c>
      <c r="CI8" s="130"/>
      <c r="CJ8" s="130">
        <f>$AU$8/$AU$8</f>
        <v>1</v>
      </c>
    </row>
    <row r="9" spans="1:88" ht="14.4">
      <c r="A9" s="117">
        <v>4</v>
      </c>
      <c r="B9" s="117" t="s">
        <v>334</v>
      </c>
      <c r="L9" s="117">
        <v>4</v>
      </c>
      <c r="M9" s="117" t="s">
        <v>334</v>
      </c>
      <c r="AB9" s="130" t="s">
        <v>422</v>
      </c>
      <c r="AC9" s="139" t="s">
        <v>328</v>
      </c>
      <c r="AD9" s="139" t="s">
        <v>329</v>
      </c>
      <c r="AE9" s="139" t="s">
        <v>330</v>
      </c>
      <c r="AF9" s="140"/>
      <c r="AG9" s="141"/>
      <c r="AH9" s="130" t="s">
        <v>270</v>
      </c>
      <c r="AI9" s="130" t="s">
        <v>270</v>
      </c>
      <c r="AJ9" s="130" t="s">
        <v>270</v>
      </c>
      <c r="AK9" s="142" t="s">
        <v>270</v>
      </c>
      <c r="AL9" s="130">
        <v>1.07</v>
      </c>
      <c r="AM9" s="130">
        <v>0.10700000000000001</v>
      </c>
      <c r="AN9" s="130">
        <v>88</v>
      </c>
      <c r="AO9" s="130">
        <v>8.8000000000000007</v>
      </c>
      <c r="AP9" s="130">
        <v>5</v>
      </c>
      <c r="AQ9" s="130">
        <v>0.5</v>
      </c>
      <c r="AR9" s="130">
        <v>3</v>
      </c>
      <c r="AS9" s="130">
        <v>0.3</v>
      </c>
      <c r="AT9" s="130">
        <v>1.5</v>
      </c>
      <c r="AU9" s="130">
        <v>0.15</v>
      </c>
      <c r="AV9" s="130">
        <v>0</v>
      </c>
      <c r="AW9" s="130">
        <v>0</v>
      </c>
      <c r="AX9" s="130">
        <f>ConvertUnits(0.00000004428, "He_Weiss", $AZ$9, $M$11, $AP$9, $AL$9)</f>
        <v>4.4279999999999997E-8</v>
      </c>
      <c r="AY9" s="130">
        <f>ConvertUnits(0.00000004428, "He_Weiss", $AZ$9, $M$11, $AP$9, $AL$9)</f>
        <v>4.4279999999999997E-8</v>
      </c>
      <c r="AZ9" s="130" t="s">
        <v>198</v>
      </c>
      <c r="BA9" s="130">
        <f>ConvertUnits(0.0000001732, "Ne_Weiss", $BC$9, $M$12, $AP$9, $AL$9)</f>
        <v>1.7319999999999999E-7</v>
      </c>
      <c r="BB9" s="130">
        <f>ConvertUnits(0.0000001732, "Ne_Weiss", $BC$9, $M$12, $AP$9, $AL$9)</f>
        <v>1.7319999999999999E-7</v>
      </c>
      <c r="BC9" s="130" t="s">
        <v>198</v>
      </c>
      <c r="BD9" s="130">
        <f>ConvertUnits(0.000362, "Ar_Weiss", $BF$9, $M$13, $AP$9, $AL$9)</f>
        <v>3.6200000000000002E-4</v>
      </c>
      <c r="BE9" s="130">
        <f>ConvertUnits(0.000362, "Ar_Weiss", $BF$9, $M$13, $AP$9, $AL$9)</f>
        <v>3.6200000000000002E-4</v>
      </c>
      <c r="BF9" s="130" t="s">
        <v>198</v>
      </c>
      <c r="BG9" s="130">
        <f>ConvertUnits(0.0000000863, "Kr_Weiss", $BI$9, $M$14, $AP$9, $AL$9)</f>
        <v>8.6299999999999999E-8</v>
      </c>
      <c r="BH9" s="130">
        <f>ConvertUnits(0.0000000863, "Kr_Weiss", $BI$9, $M$14, $AP$9, $AL$9)</f>
        <v>8.6299999999999999E-8</v>
      </c>
      <c r="BI9" s="130" t="s">
        <v>198</v>
      </c>
      <c r="BJ9" s="130">
        <f>ConvertUnits(0.00000001299, "Xe_Clvr", $BL$9, $M$15, $AP$9, $AL$9)</f>
        <v>1.2989999999999999E-8</v>
      </c>
      <c r="BK9" s="130">
        <f>ConvertUnits(0.00000001299, "Xe_Clvr", $BL$9, $M$15, $AP$9, $AL$9)</f>
        <v>1.2989999999999999E-8</v>
      </c>
      <c r="BL9" s="130" t="s">
        <v>198</v>
      </c>
      <c r="BM9" s="130"/>
      <c r="BN9" s="130"/>
      <c r="BO9" s="130"/>
      <c r="BP9" s="130"/>
      <c r="BQ9" s="130"/>
      <c r="BR9" s="130"/>
      <c r="BS9" s="130"/>
      <c r="BT9" s="130"/>
      <c r="BU9" s="130"/>
      <c r="BV9" s="130"/>
      <c r="BW9" s="130"/>
      <c r="BX9" s="130"/>
      <c r="BY9" s="130"/>
      <c r="BZ9" s="130"/>
      <c r="CA9" s="130"/>
      <c r="CB9" s="130"/>
      <c r="CC9" s="130"/>
      <c r="CD9" s="130"/>
      <c r="CE9" s="130">
        <f>$BD$9/$BA$9</f>
        <v>2090.0692840646652</v>
      </c>
      <c r="CF9" s="130">
        <f>$BG$9/$BJ$9</f>
        <v>6.6435719784449576</v>
      </c>
      <c r="CG9" s="130">
        <f>$BJ$9/$BA$9</f>
        <v>7.4999999999999997E-2</v>
      </c>
      <c r="CH9" s="130">
        <f>$BG$9/$BD$9</f>
        <v>2.383977900552486E-4</v>
      </c>
      <c r="CI9" s="130"/>
      <c r="CJ9" s="130">
        <f>$AU$9/$AU$9</f>
        <v>1</v>
      </c>
    </row>
    <row r="10" spans="1:88" ht="14.4">
      <c r="A10" s="118" t="s">
        <v>335</v>
      </c>
      <c r="B10" s="119"/>
      <c r="L10" s="118" t="s">
        <v>378</v>
      </c>
      <c r="M10" s="119"/>
      <c r="AB10" s="130" t="s">
        <v>422</v>
      </c>
      <c r="AC10" s="139" t="s">
        <v>328</v>
      </c>
      <c r="AD10" s="139" t="s">
        <v>329</v>
      </c>
      <c r="AE10" s="139" t="s">
        <v>330</v>
      </c>
      <c r="AF10" s="140"/>
      <c r="AG10" s="141"/>
      <c r="AH10" s="130" t="s">
        <v>270</v>
      </c>
      <c r="AI10" s="130" t="s">
        <v>270</v>
      </c>
      <c r="AJ10" s="130" t="s">
        <v>270</v>
      </c>
      <c r="AK10" s="142" t="s">
        <v>270</v>
      </c>
      <c r="AL10" s="130">
        <v>1.43</v>
      </c>
      <c r="AM10" s="130">
        <v>0.14299999999999999</v>
      </c>
      <c r="AN10" s="130">
        <v>88</v>
      </c>
      <c r="AO10" s="130">
        <v>8.8000000000000007</v>
      </c>
      <c r="AP10" s="130">
        <v>5</v>
      </c>
      <c r="AQ10" s="130">
        <v>0.5</v>
      </c>
      <c r="AR10" s="130">
        <v>3</v>
      </c>
      <c r="AS10" s="130">
        <v>0.3</v>
      </c>
      <c r="AT10" s="130">
        <v>1.5</v>
      </c>
      <c r="AU10" s="130">
        <v>0.15</v>
      </c>
      <c r="AV10" s="130">
        <v>0</v>
      </c>
      <c r="AW10" s="130">
        <v>0</v>
      </c>
      <c r="AX10" s="130">
        <f>ConvertUnits(0.00000004507, "He_Weiss", $AZ$10, $M$11, $AP$10, $AL$10)</f>
        <v>4.5069999999999999E-8</v>
      </c>
      <c r="AY10" s="130">
        <f>ConvertUnits(0.00000004507, "He_Weiss", $AZ$10, $M$11, $AP$10, $AL$10)</f>
        <v>4.5069999999999999E-8</v>
      </c>
      <c r="AZ10" s="130" t="s">
        <v>198</v>
      </c>
      <c r="BA10" s="130">
        <f>ConvertUnits(0.0000001314, "Ne_Weiss", $BC$10, $M$12, $AP$10, $AL$10)</f>
        <v>1.314E-7</v>
      </c>
      <c r="BB10" s="130">
        <f>ConvertUnits(0.0000001314, "Ne_Weiss", $BC$10, $M$12, $AP$10, $AL$10)</f>
        <v>1.314E-7</v>
      </c>
      <c r="BC10" s="130" t="s">
        <v>198</v>
      </c>
      <c r="BD10" s="130">
        <f>ConvertUnits(0.0003166, "Ar_Weiss", $BF$10, $M$13, $AP$10, $AL$10)</f>
        <v>3.166E-4</v>
      </c>
      <c r="BE10" s="130">
        <f>ConvertUnits(0.0003166, "Ar_Weiss", $BF$10, $M$13, $AP$10, $AL$10)</f>
        <v>3.166E-4</v>
      </c>
      <c r="BF10" s="130" t="s">
        <v>198</v>
      </c>
      <c r="BG10" s="130">
        <f>ConvertUnits(0.00000008028, "Kr_Weiss", $BI$10, $M$14, $AP$10, $AL$10)</f>
        <v>8.0280000000000002E-8</v>
      </c>
      <c r="BH10" s="130">
        <f>ConvertUnits(0.00000008028, "Kr_Weiss", $BI$10, $M$14, $AP$10, $AL$10)</f>
        <v>8.0280000000000002E-8</v>
      </c>
      <c r="BI10" s="130" t="s">
        <v>198</v>
      </c>
      <c r="BJ10" s="130">
        <f>ConvertUnits(0.00000001294, "Xe_Clvr", $BL$10, $M$15, $AP$10, $AL$10)</f>
        <v>1.294E-8</v>
      </c>
      <c r="BK10" s="130">
        <f>ConvertUnits(0.00000001294, "Xe_Clvr", $BL$10, $M$15, $AP$10, $AL$10)</f>
        <v>1.294E-8</v>
      </c>
      <c r="BL10" s="130" t="s">
        <v>198</v>
      </c>
      <c r="BM10" s="130"/>
      <c r="BN10" s="130"/>
      <c r="BO10" s="130"/>
      <c r="BP10" s="130"/>
      <c r="BQ10" s="130"/>
      <c r="BR10" s="130"/>
      <c r="BS10" s="130"/>
      <c r="BT10" s="130"/>
      <c r="BU10" s="130"/>
      <c r="BV10" s="130"/>
      <c r="BW10" s="130"/>
      <c r="BX10" s="130"/>
      <c r="BY10" s="130"/>
      <c r="BZ10" s="130"/>
      <c r="CA10" s="130"/>
      <c r="CB10" s="130"/>
      <c r="CC10" s="130"/>
      <c r="CD10" s="130"/>
      <c r="CE10" s="130">
        <f>$BD$10/$BA$10</f>
        <v>2409.4368340943684</v>
      </c>
      <c r="CF10" s="130">
        <f>$BG$10/$BJ$10</f>
        <v>6.2040185471406488</v>
      </c>
      <c r="CG10" s="130">
        <f>$BJ$10/$BA$10</f>
        <v>9.8477929984779305E-2</v>
      </c>
      <c r="CH10" s="130">
        <f>$BG$10/$BD$10</f>
        <v>2.5356917245735947E-4</v>
      </c>
      <c r="CI10" s="130"/>
      <c r="CJ10" s="130">
        <f>$AU$10/$AU$10</f>
        <v>1</v>
      </c>
    </row>
    <row r="11" spans="1:88" ht="14.4">
      <c r="A11" s="116" t="s">
        <v>336</v>
      </c>
      <c r="B11" s="120" t="s">
        <v>198</v>
      </c>
      <c r="C11" s="116" t="str">
        <f>LEFT($A$11,LEN($A$11)-6)&amp;", "&amp;$B$11</f>
        <v>He, cm3/g</v>
      </c>
      <c r="L11" s="116" t="s">
        <v>336</v>
      </c>
      <c r="M11" s="120" t="s">
        <v>198</v>
      </c>
      <c r="N11" s="116" t="str">
        <f>LEFT($L$11,LEN($L$11)-6)&amp;", "&amp;$M$11</f>
        <v>He, cm3/g</v>
      </c>
      <c r="AB11" s="130" t="s">
        <v>422</v>
      </c>
      <c r="AC11" s="139" t="s">
        <v>328</v>
      </c>
      <c r="AD11" s="139" t="s">
        <v>329</v>
      </c>
      <c r="AE11" s="139" t="s">
        <v>330</v>
      </c>
      <c r="AF11" s="140"/>
      <c r="AG11" s="141"/>
      <c r="AH11" s="130" t="s">
        <v>270</v>
      </c>
      <c r="AI11" s="130" t="s">
        <v>270</v>
      </c>
      <c r="AJ11" s="130" t="s">
        <v>270</v>
      </c>
      <c r="AK11" s="142" t="s">
        <v>270</v>
      </c>
      <c r="AL11" s="130">
        <v>1.45</v>
      </c>
      <c r="AM11" s="130">
        <v>0.14499999999999999</v>
      </c>
      <c r="AN11" s="130">
        <v>88</v>
      </c>
      <c r="AO11" s="130">
        <v>8.8000000000000007</v>
      </c>
      <c r="AP11" s="130">
        <v>5</v>
      </c>
      <c r="AQ11" s="130">
        <v>0.5</v>
      </c>
      <c r="AR11" s="130">
        <v>3</v>
      </c>
      <c r="AS11" s="130">
        <v>0.3</v>
      </c>
      <c r="AT11" s="130">
        <v>1.5</v>
      </c>
      <c r="AU11" s="130">
        <v>0.15</v>
      </c>
      <c r="AV11" s="130">
        <v>0</v>
      </c>
      <c r="AW11" s="130">
        <v>0</v>
      </c>
      <c r="AX11" s="130">
        <f>ConvertUnits(0.0000000445, "He_Weiss", $AZ$11, $M$11, $AP$11, $AL$11)</f>
        <v>4.4500000000000001E-8</v>
      </c>
      <c r="AY11" s="130">
        <f>ConvertUnits(0.0000000445, "He_Weiss", $AZ$11, $M$11, $AP$11, $AL$11)</f>
        <v>4.4500000000000001E-8</v>
      </c>
      <c r="AZ11" s="130" t="s">
        <v>198</v>
      </c>
      <c r="BA11" s="130">
        <f>ConvertUnits(0.0000001301, "Ne_Weiss", $BC$11, $M$12, $AP$11, $AL$11)</f>
        <v>1.3010000000000001E-7</v>
      </c>
      <c r="BB11" s="130">
        <f>ConvertUnits(0.0000001301, "Ne_Weiss", $BC$11, $M$12, $AP$11, $AL$11)</f>
        <v>1.3010000000000001E-7</v>
      </c>
      <c r="BC11" s="130" t="s">
        <v>198</v>
      </c>
      <c r="BD11" s="130">
        <f>ConvertUnits(0.0003113, "Ar_Weiss", $BF$11, $M$13, $AP$11, $AL$11)</f>
        <v>3.1129999999999998E-4</v>
      </c>
      <c r="BE11" s="130">
        <f>ConvertUnits(0.0003113, "Ar_Weiss", $BF$11, $M$13, $AP$11, $AL$11)</f>
        <v>3.1129999999999998E-4</v>
      </c>
      <c r="BF11" s="130" t="s">
        <v>198</v>
      </c>
      <c r="BG11" s="130">
        <f>ConvertUnits(0.00000007823, "Kr_Weiss", $BI$11, $M$14, $AP$11, $AL$11)</f>
        <v>7.8230000000000006E-8</v>
      </c>
      <c r="BH11" s="130">
        <f>ConvertUnits(0.00000007823, "Kr_Weiss", $BI$11, $M$14, $AP$11, $AL$11)</f>
        <v>7.8230000000000006E-8</v>
      </c>
      <c r="BI11" s="130" t="s">
        <v>198</v>
      </c>
      <c r="BJ11" s="130">
        <f>ConvertUnits(0.00000001293, "Xe_Clvr", $BL$11, $M$15, $AP$11, $AL$11)</f>
        <v>1.2930000000000001E-8</v>
      </c>
      <c r="BK11" s="130">
        <f>ConvertUnits(0.00000001293, "Xe_Clvr", $BL$11, $M$15, $AP$11, $AL$11)</f>
        <v>1.2930000000000001E-8</v>
      </c>
      <c r="BL11" s="130" t="s">
        <v>198</v>
      </c>
      <c r="BM11" s="130"/>
      <c r="BN11" s="130"/>
      <c r="BO11" s="130"/>
      <c r="BP11" s="130"/>
      <c r="BQ11" s="130"/>
      <c r="BR11" s="130"/>
      <c r="BS11" s="130"/>
      <c r="BT11" s="130"/>
      <c r="BU11" s="130"/>
      <c r="BV11" s="130"/>
      <c r="BW11" s="130"/>
      <c r="BX11" s="130"/>
      <c r="BY11" s="130"/>
      <c r="BZ11" s="130"/>
      <c r="CA11" s="130"/>
      <c r="CB11" s="130"/>
      <c r="CC11" s="130"/>
      <c r="CD11" s="130"/>
      <c r="CE11" s="130">
        <f>$BD$11/$BA$11</f>
        <v>2392.774788624135</v>
      </c>
      <c r="CF11" s="130">
        <f>$BG$11/$BJ$11</f>
        <v>6.0502706883217323</v>
      </c>
      <c r="CG11" s="130">
        <f>$BJ$11/$BA$11</f>
        <v>9.938508839354343E-2</v>
      </c>
      <c r="CH11" s="130">
        <f>$BG$11/$BD$11</f>
        <v>2.5130099582396407E-4</v>
      </c>
      <c r="CI11" s="130"/>
      <c r="CJ11" s="130">
        <f>$AU$11/$AU$11</f>
        <v>1</v>
      </c>
    </row>
    <row r="12" spans="1:88" ht="14.4">
      <c r="A12" s="116" t="s">
        <v>337</v>
      </c>
      <c r="B12" s="120" t="s">
        <v>198</v>
      </c>
      <c r="C12" s="116" t="str">
        <f>LEFT($A$12,LEN($A$12)-6)&amp;", "&amp;$B$12</f>
        <v>Ne, cm3/g</v>
      </c>
      <c r="L12" s="116" t="s">
        <v>337</v>
      </c>
      <c r="M12" s="120" t="s">
        <v>198</v>
      </c>
      <c r="N12" s="116" t="str">
        <f>LEFT($L$12,LEN($L$12)-6)&amp;", "&amp;$M$12</f>
        <v>Ne, cm3/g</v>
      </c>
      <c r="AB12" s="130" t="s">
        <v>422</v>
      </c>
      <c r="AC12" s="139" t="s">
        <v>328</v>
      </c>
      <c r="AD12" s="139" t="s">
        <v>329</v>
      </c>
      <c r="AE12" s="139" t="s">
        <v>331</v>
      </c>
      <c r="AF12" s="140"/>
      <c r="AG12" s="141"/>
      <c r="AH12" s="130" t="s">
        <v>270</v>
      </c>
      <c r="AI12" s="130" t="s">
        <v>270</v>
      </c>
      <c r="AJ12" s="130" t="s">
        <v>270</v>
      </c>
      <c r="AK12" s="142" t="s">
        <v>270</v>
      </c>
      <c r="AL12" s="130">
        <v>1.1000000000000001</v>
      </c>
      <c r="AM12" s="130">
        <v>0.11000000000000001</v>
      </c>
      <c r="AN12" s="130">
        <v>88</v>
      </c>
      <c r="AO12" s="130">
        <v>8.8000000000000007</v>
      </c>
      <c r="AP12" s="130">
        <v>5</v>
      </c>
      <c r="AQ12" s="130">
        <v>0.5</v>
      </c>
      <c r="AR12" s="130">
        <v>3</v>
      </c>
      <c r="AS12" s="130">
        <v>0.3</v>
      </c>
      <c r="AT12" s="130">
        <v>1.5</v>
      </c>
      <c r="AU12" s="130">
        <v>0.15</v>
      </c>
      <c r="AV12" s="130">
        <v>0</v>
      </c>
      <c r="AW12" s="130">
        <v>0</v>
      </c>
      <c r="AX12" s="130">
        <f>ConvertUnits(0.00000003974, "He_Weiss", $AZ$12, $M$11, $AP$12, $AL$12)</f>
        <v>3.9739999999999997E-8</v>
      </c>
      <c r="AY12" s="130">
        <f>ConvertUnits(0.00000003974, "He_Weiss", $AZ$12, $M$11, $AP$12, $AL$12)</f>
        <v>3.9739999999999997E-8</v>
      </c>
      <c r="AZ12" s="130" t="s">
        <v>198</v>
      </c>
      <c r="BA12" s="130">
        <f>ConvertUnits(0.0000001422, "Ne_Weiss", $BC$12, $M$12, $AP$12, $AL$12)</f>
        <v>1.4219999999999999E-7</v>
      </c>
      <c r="BB12" s="130">
        <f>ConvertUnits(0.0000001422, "Ne_Weiss", $BC$12, $M$12, $AP$12, $AL$12)</f>
        <v>1.4219999999999999E-7</v>
      </c>
      <c r="BC12" s="130" t="s">
        <v>198</v>
      </c>
      <c r="BD12" s="130">
        <f>ConvertUnits(0.0003203, "Ar_Weiss", $BF$12, $M$13, $AP$12, $AL$12)</f>
        <v>3.2029999999999998E-4</v>
      </c>
      <c r="BE12" s="130">
        <f>ConvertUnits(0.0003203, "Ar_Weiss", $BF$12, $M$13, $AP$12, $AL$12)</f>
        <v>3.2029999999999998E-4</v>
      </c>
      <c r="BF12" s="130" t="s">
        <v>198</v>
      </c>
      <c r="BG12" s="130">
        <f>ConvertUnits(0.00000008254, "Kr_Weiss", $BI$12, $M$14, $AP$12, $AL$12)</f>
        <v>8.2539999999999997E-8</v>
      </c>
      <c r="BH12" s="130">
        <f>ConvertUnits(0.00000008254, "Kr_Weiss", $BI$12, $M$14, $AP$12, $AL$12)</f>
        <v>8.2539999999999997E-8</v>
      </c>
      <c r="BI12" s="130" t="s">
        <v>198</v>
      </c>
      <c r="BJ12" s="130">
        <f>ConvertUnits(0.00000001236, "Xe_Clvr", $BL$12, $M$15, $AP$12, $AL$12)</f>
        <v>1.236E-8</v>
      </c>
      <c r="BK12" s="130">
        <f>ConvertUnits(0.00000001236, "Xe_Clvr", $BL$12, $M$15, $AP$12, $AL$12)</f>
        <v>1.236E-8</v>
      </c>
      <c r="BL12" s="130" t="s">
        <v>198</v>
      </c>
      <c r="BM12" s="130"/>
      <c r="BN12" s="130"/>
      <c r="BO12" s="130"/>
      <c r="BP12" s="130"/>
      <c r="BQ12" s="130"/>
      <c r="BR12" s="130"/>
      <c r="BS12" s="130"/>
      <c r="BT12" s="130"/>
      <c r="BU12" s="130"/>
      <c r="BV12" s="130"/>
      <c r="BW12" s="130"/>
      <c r="BX12" s="130"/>
      <c r="BY12" s="130"/>
      <c r="BZ12" s="130"/>
      <c r="CA12" s="130"/>
      <c r="CB12" s="130"/>
      <c r="CC12" s="130"/>
      <c r="CD12" s="130"/>
      <c r="CE12" s="130">
        <f>$BD$12/$BA$12</f>
        <v>2252.4613220815754</v>
      </c>
      <c r="CF12" s="130">
        <f>$BG$12/$BJ$12</f>
        <v>6.6779935275080904</v>
      </c>
      <c r="CG12" s="130">
        <f>$BJ$12/$BA$12</f>
        <v>8.6919831223628688E-2</v>
      </c>
      <c r="CH12" s="130">
        <f>$BG$12/$BD$12</f>
        <v>2.5769591008429596E-4</v>
      </c>
      <c r="CI12" s="130"/>
      <c r="CJ12" s="130">
        <f>$AU$12/$AU$12</f>
        <v>1</v>
      </c>
    </row>
    <row r="13" spans="1:88" ht="14.4">
      <c r="A13" s="116" t="s">
        <v>338</v>
      </c>
      <c r="B13" s="120" t="s">
        <v>198</v>
      </c>
      <c r="C13" s="116" t="str">
        <f>LEFT($A$13,LEN($A$13)-6)&amp;", "&amp;$B$13</f>
        <v>Ar, cm3/g</v>
      </c>
      <c r="L13" s="116" t="s">
        <v>338</v>
      </c>
      <c r="M13" s="120" t="s">
        <v>198</v>
      </c>
      <c r="N13" s="116" t="str">
        <f>LEFT($L$13,LEN($L$13)-6)&amp;", "&amp;$M$13</f>
        <v>Ar, cm3/g</v>
      </c>
      <c r="AB13" s="130" t="s">
        <v>422</v>
      </c>
      <c r="AC13" s="139" t="s">
        <v>328</v>
      </c>
      <c r="AD13" s="139" t="s">
        <v>329</v>
      </c>
      <c r="AE13" s="139" t="s">
        <v>331</v>
      </c>
      <c r="AF13" s="140"/>
      <c r="AG13" s="141"/>
      <c r="AH13" s="130" t="s">
        <v>270</v>
      </c>
      <c r="AI13" s="130" t="s">
        <v>270</v>
      </c>
      <c r="AJ13" s="130" t="s">
        <v>270</v>
      </c>
      <c r="AK13" s="142" t="s">
        <v>270</v>
      </c>
      <c r="AL13" s="130">
        <v>1.46</v>
      </c>
      <c r="AM13" s="130">
        <v>0.14599999999999999</v>
      </c>
      <c r="AN13" s="130">
        <v>88</v>
      </c>
      <c r="AO13" s="130">
        <v>8.8000000000000007</v>
      </c>
      <c r="AP13" s="130">
        <v>5</v>
      </c>
      <c r="AQ13" s="130">
        <v>0.5</v>
      </c>
      <c r="AR13" s="130">
        <v>3</v>
      </c>
      <c r="AS13" s="130">
        <v>0.3</v>
      </c>
      <c r="AT13" s="130">
        <v>1.5</v>
      </c>
      <c r="AU13" s="130">
        <v>0.15</v>
      </c>
      <c r="AV13" s="130">
        <v>0</v>
      </c>
      <c r="AW13" s="130">
        <v>0</v>
      </c>
      <c r="AX13" s="130">
        <f>ConvertUnits(0.0000000404, "He_Weiss", $AZ$13, $M$11, $AP$13, $AL$13)</f>
        <v>4.0399999999999998E-8</v>
      </c>
      <c r="AY13" s="130">
        <f>ConvertUnits(0.0000000404, "He_Weiss", $AZ$13, $M$11, $AP$13, $AL$13)</f>
        <v>4.0399999999999998E-8</v>
      </c>
      <c r="AZ13" s="130" t="s">
        <v>198</v>
      </c>
      <c r="BA13" s="130">
        <f>ConvertUnits(0.0000001245, "Ne_Weiss", $BC$13, $M$12, $AP$13, $AL$13)</f>
        <v>1.2450000000000001E-7</v>
      </c>
      <c r="BB13" s="130">
        <f>ConvertUnits(0.0000001245, "Ne_Weiss", $BC$13, $M$12, $AP$13, $AL$13)</f>
        <v>1.2450000000000001E-7</v>
      </c>
      <c r="BC13" s="130" t="s">
        <v>198</v>
      </c>
      <c r="BD13" s="130">
        <f>ConvertUnits(0.0003061, "Ar_Weiss", $BF$13, $M$13, $AP$13, $AL$13)</f>
        <v>3.0610000000000001E-4</v>
      </c>
      <c r="BE13" s="130">
        <f>ConvertUnits(0.0003061, "Ar_Weiss", $BF$13, $M$13, $AP$13, $AL$13)</f>
        <v>3.0610000000000001E-4</v>
      </c>
      <c r="BF13" s="130" t="s">
        <v>198</v>
      </c>
      <c r="BG13" s="130">
        <f>ConvertUnits(0.0000000815, "Kr_Weiss", $BI$13, $M$14, $AP$13, $AL$13)</f>
        <v>8.1499999999999995E-8</v>
      </c>
      <c r="BH13" s="130">
        <f>ConvertUnits(0.0000000815, "Kr_Weiss", $BI$13, $M$14, $AP$13, $AL$13)</f>
        <v>8.1499999999999995E-8</v>
      </c>
      <c r="BI13" s="130" t="s">
        <v>198</v>
      </c>
      <c r="BJ13" s="130">
        <f>ConvertUnits(0.00000001225, "Xe_Clvr", $BL$13, $M$15, $AP$13, $AL$13)</f>
        <v>1.2250000000000001E-8</v>
      </c>
      <c r="BK13" s="130">
        <f>ConvertUnits(0.00000001225, "Xe_Clvr", $BL$13, $M$15, $AP$13, $AL$13)</f>
        <v>1.2250000000000001E-8</v>
      </c>
      <c r="BL13" s="130" t="s">
        <v>198</v>
      </c>
      <c r="BM13" s="130"/>
      <c r="BN13" s="130"/>
      <c r="BO13" s="130"/>
      <c r="BP13" s="130"/>
      <c r="BQ13" s="130"/>
      <c r="BR13" s="130"/>
      <c r="BS13" s="130"/>
      <c r="BT13" s="130"/>
      <c r="BU13" s="130"/>
      <c r="BV13" s="130"/>
      <c r="BW13" s="130"/>
      <c r="BX13" s="130"/>
      <c r="BY13" s="130"/>
      <c r="BZ13" s="130"/>
      <c r="CA13" s="130"/>
      <c r="CB13" s="130"/>
      <c r="CC13" s="130"/>
      <c r="CD13" s="130"/>
      <c r="CE13" s="130">
        <f>$BD$13/$BA$13</f>
        <v>2458.6345381526103</v>
      </c>
      <c r="CF13" s="130">
        <f>$BG$13/$BJ$13</f>
        <v>6.6530612244897949</v>
      </c>
      <c r="CG13" s="130">
        <f>$BJ$13/$BA$13</f>
        <v>9.8393574297188757E-2</v>
      </c>
      <c r="CH13" s="130">
        <f>$BG$13/$BD$13</f>
        <v>2.6625285854295979E-4</v>
      </c>
      <c r="CI13" s="130"/>
      <c r="CJ13" s="130">
        <f>$AU$13/$AU$13</f>
        <v>1</v>
      </c>
    </row>
    <row r="14" spans="1:88">
      <c r="A14" s="116" t="s">
        <v>339</v>
      </c>
      <c r="B14" s="120" t="s">
        <v>198</v>
      </c>
      <c r="C14" s="116" t="str">
        <f>LEFT($A$14,LEN($A$14)-6)&amp;", "&amp;$B$14</f>
        <v>Kr, cm3/g</v>
      </c>
      <c r="L14" s="116" t="s">
        <v>339</v>
      </c>
      <c r="M14" s="120" t="s">
        <v>198</v>
      </c>
      <c r="N14" s="116" t="str">
        <f>LEFT($L$14,LEN($L$14)-6)&amp;", "&amp;$M$14</f>
        <v>Kr, cm3/g</v>
      </c>
    </row>
    <row r="15" spans="1:88">
      <c r="A15" s="116" t="s">
        <v>340</v>
      </c>
      <c r="B15" s="120" t="s">
        <v>198</v>
      </c>
      <c r="C15" s="116" t="str">
        <f>LEFT($A$15,LEN($A$15)-6)&amp;", "&amp;$B$15</f>
        <v>Xe, cm3/g</v>
      </c>
      <c r="L15" s="116" t="s">
        <v>340</v>
      </c>
      <c r="M15" s="120" t="s">
        <v>198</v>
      </c>
      <c r="N15" s="116" t="str">
        <f>LEFT($L$15,LEN($L$15)-6)&amp;", "&amp;$M$15</f>
        <v>Xe, cm3/g</v>
      </c>
    </row>
    <row r="16" spans="1:88">
      <c r="A16" s="116" t="s">
        <v>341</v>
      </c>
      <c r="B16" s="120" t="s">
        <v>198</v>
      </c>
      <c r="C16" s="116" t="str">
        <f>LEFT($A$16,LEN($A$16)-6)&amp;", "&amp;$B$16</f>
        <v>N2, cm3/g</v>
      </c>
      <c r="L16" s="116" t="s">
        <v>341</v>
      </c>
      <c r="M16" s="120" t="s">
        <v>198</v>
      </c>
      <c r="N16" s="116" t="str">
        <f>LEFT($L$16,LEN($L$16)-6)&amp;", "&amp;$M$16</f>
        <v>N2, cm3/g</v>
      </c>
    </row>
    <row r="17" spans="1:14">
      <c r="A17" s="116" t="s">
        <v>342</v>
      </c>
      <c r="B17" s="120" t="s">
        <v>198</v>
      </c>
      <c r="C17" s="116" t="str">
        <f>LEFT($A$17,LEN($A$17)-6)&amp;", "&amp;$B$17</f>
        <v>O2, cm3/g</v>
      </c>
      <c r="L17" s="116" t="s">
        <v>342</v>
      </c>
      <c r="M17" s="120" t="s">
        <v>198</v>
      </c>
      <c r="N17" s="116" t="str">
        <f>LEFT($L$17,LEN($L$17)-6)&amp;", "&amp;$M$17</f>
        <v>O2, cm3/g</v>
      </c>
    </row>
    <row r="18" spans="1:14">
      <c r="A18" s="116" t="s">
        <v>343</v>
      </c>
      <c r="B18" s="120" t="s">
        <v>198</v>
      </c>
      <c r="C18" s="116" t="str">
        <f>LEFT($A$18,LEN($A$18)-6)&amp;", "&amp;$B$18</f>
        <v>CO2, cm3/g</v>
      </c>
      <c r="L18" s="116" t="s">
        <v>343</v>
      </c>
      <c r="M18" s="120" t="s">
        <v>198</v>
      </c>
      <c r="N18" s="116" t="str">
        <f>LEFT($L$18,LEN($L$18)-6)&amp;", "&amp;$M$18</f>
        <v>CO2, cm3/g</v>
      </c>
    </row>
    <row r="19" spans="1:14">
      <c r="A19" s="116" t="s">
        <v>344</v>
      </c>
      <c r="B19" s="120" t="s">
        <v>198</v>
      </c>
      <c r="C19" s="116" t="str">
        <f>LEFT($A$19,LEN($A$19)-6)&amp;", "&amp;$B$19</f>
        <v>CH4, cm3/g</v>
      </c>
      <c r="L19" s="116" t="s">
        <v>344</v>
      </c>
      <c r="M19" s="120" t="s">
        <v>198</v>
      </c>
      <c r="N19" s="116" t="str">
        <f>LEFT($L$19,LEN($L$19)-6)&amp;", "&amp;$M$19</f>
        <v>CH4, cm3/g</v>
      </c>
    </row>
    <row r="20" spans="1:14">
      <c r="A20" s="116" t="s">
        <v>345</v>
      </c>
      <c r="B20" s="120" t="s">
        <v>198</v>
      </c>
      <c r="C20" s="116" t="str">
        <f>LEFT($A$20,LEN($A$20)-6)&amp;", "&amp;$B$20</f>
        <v>H2, cm3/g</v>
      </c>
      <c r="L20" s="116" t="s">
        <v>345</v>
      </c>
      <c r="M20" s="120" t="s">
        <v>198</v>
      </c>
      <c r="N20" s="116" t="str">
        <f>LEFT($L$20,LEN($L$20)-6)&amp;", "&amp;$M$20</f>
        <v>H2, cm3/g</v>
      </c>
    </row>
    <row r="21" spans="1:14">
      <c r="A21" s="116" t="s">
        <v>346</v>
      </c>
      <c r="B21" s="120" t="s">
        <v>198</v>
      </c>
      <c r="C21" s="116" t="str">
        <f>LEFT($A$21,LEN($A$21)-6)&amp;", "&amp;$B$21</f>
        <v>N2O, cm3/g</v>
      </c>
      <c r="L21" s="116" t="s">
        <v>346</v>
      </c>
      <c r="M21" s="120" t="s">
        <v>198</v>
      </c>
      <c r="N21" s="116" t="str">
        <f>LEFT($L$21,LEN($L$21)-6)&amp;", "&amp;$M$21</f>
        <v>N2O, cm3/g</v>
      </c>
    </row>
    <row r="22" spans="1:14">
      <c r="A22" s="116" t="s">
        <v>347</v>
      </c>
      <c r="B22" s="120" t="s">
        <v>270</v>
      </c>
      <c r="C22" s="116" t="str">
        <f>LEFT($A$22, 2)&amp;" to "&amp;RIGHT($A$22, 2)&amp;" ratio"</f>
        <v>Ar to Ne ratio</v>
      </c>
      <c r="L22" s="116" t="s">
        <v>347</v>
      </c>
      <c r="M22" s="120" t="s">
        <v>270</v>
      </c>
      <c r="N22" s="116" t="str">
        <f>LEFT($L$22, 2)&amp;" to "&amp;RIGHT($L$22, 2)&amp;" ratio"</f>
        <v>Ar to Ne ratio</v>
      </c>
    </row>
    <row r="23" spans="1:14">
      <c r="A23" s="116" t="s">
        <v>348</v>
      </c>
      <c r="B23" s="120" t="s">
        <v>270</v>
      </c>
      <c r="C23" s="116" t="str">
        <f>LEFT($A$23, 2)&amp;" to "&amp;RIGHT($A$23, 2)&amp;" ratio"</f>
        <v>Kr to Xe ratio</v>
      </c>
      <c r="L23" s="116" t="s">
        <v>348</v>
      </c>
      <c r="M23" s="120" t="s">
        <v>270</v>
      </c>
      <c r="N23" s="116" t="str">
        <f>LEFT($L$23, 2)&amp;" to "&amp;RIGHT($L$23, 2)&amp;" ratio"</f>
        <v>Kr to Xe ratio</v>
      </c>
    </row>
    <row r="24" spans="1:14">
      <c r="A24" s="116" t="s">
        <v>349</v>
      </c>
      <c r="B24" s="120" t="s">
        <v>270</v>
      </c>
      <c r="C24" s="116" t="str">
        <f>LEFT($A$24, 2)&amp;" to "&amp;RIGHT($A$24, 2)&amp;" ratio"</f>
        <v>Xe to Ne ratio</v>
      </c>
      <c r="L24" s="116" t="s">
        <v>349</v>
      </c>
      <c r="M24" s="120" t="s">
        <v>270</v>
      </c>
      <c r="N24" s="116" t="str">
        <f>LEFT($L$24, 2)&amp;" to "&amp;RIGHT($L$24, 2)&amp;" ratio"</f>
        <v>Xe to Ne ratio</v>
      </c>
    </row>
    <row r="25" spans="1:14">
      <c r="A25" s="116" t="s">
        <v>350</v>
      </c>
      <c r="B25" s="120" t="s">
        <v>270</v>
      </c>
      <c r="C25" s="116" t="str">
        <f>LEFT($A$25, 2)&amp;" to "&amp;RIGHT($A$25, 2)&amp;" ratio"</f>
        <v>Kr to Ar ratio</v>
      </c>
      <c r="L25" s="116" t="s">
        <v>350</v>
      </c>
      <c r="M25" s="120" t="s">
        <v>270</v>
      </c>
      <c r="N25" s="116" t="str">
        <f>LEFT($L$25, 2)&amp;" to "&amp;RIGHT($L$25, 2)&amp;" ratio"</f>
        <v>Kr to Ar ratio</v>
      </c>
    </row>
    <row r="26" spans="1:14">
      <c r="A26" s="116" t="s">
        <v>351</v>
      </c>
      <c r="B26" s="120" t="s">
        <v>270</v>
      </c>
      <c r="C26" s="116" t="str">
        <f>LEFT($A$26, 2)&amp;" to "&amp;RIGHT($A$26, 2)&amp;" ratio"</f>
        <v>N2 to Ar ratio</v>
      </c>
      <c r="L26" s="116" t="s">
        <v>351</v>
      </c>
      <c r="M26" s="120" t="s">
        <v>270</v>
      </c>
      <c r="N26" s="116" t="str">
        <f>LEFT($L$26, 2)&amp;" to "&amp;RIGHT($L$26, 2)&amp;" ratio"</f>
        <v>N2 to Ar ratio</v>
      </c>
    </row>
    <row r="27" spans="1:14">
      <c r="A27" s="116" t="s">
        <v>352</v>
      </c>
      <c r="B27" s="120" t="s">
        <v>270</v>
      </c>
      <c r="C27" s="116" t="str">
        <f>LEFT($A$27, 2)&amp;" to "&amp;RIGHT($A$27, 2)&amp;" ratio"</f>
        <v>20 to Ne ratio</v>
      </c>
      <c r="L27" s="116" t="s">
        <v>352</v>
      </c>
      <c r="M27" s="120" t="s">
        <v>270</v>
      </c>
      <c r="N27" s="116" t="str">
        <f>LEFT($L$27, 2)&amp;" to "&amp;RIGHT($L$27, 2)&amp;" ratio"</f>
        <v>20 to Ne ratio</v>
      </c>
    </row>
    <row r="35" spans="1:26" ht="16.2">
      <c r="A35" s="121" t="s">
        <v>368</v>
      </c>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c r="A36" s="123"/>
      <c r="B36" s="123"/>
      <c r="C36" s="123"/>
      <c r="D36" s="123"/>
      <c r="E36" s="123"/>
      <c r="F36" s="123"/>
      <c r="G36" s="123"/>
      <c r="H36" s="123"/>
      <c r="I36" s="123"/>
      <c r="J36" s="125" t="s">
        <v>369</v>
      </c>
      <c r="K36" s="129"/>
      <c r="L36" s="129"/>
      <c r="M36" s="129"/>
      <c r="N36" s="129"/>
      <c r="O36" s="129"/>
      <c r="P36" s="129"/>
      <c r="Q36" s="129"/>
      <c r="R36" s="129"/>
      <c r="S36" s="129"/>
      <c r="T36" s="129"/>
      <c r="U36" s="129"/>
      <c r="V36" s="129"/>
      <c r="W36" s="129"/>
      <c r="X36" s="129"/>
      <c r="Y36" s="129"/>
      <c r="Z36" s="129"/>
    </row>
    <row r="37" spans="1:26" ht="52.8">
      <c r="A37" s="127" t="s">
        <v>363</v>
      </c>
      <c r="B37" s="127" t="s">
        <v>357</v>
      </c>
      <c r="C37" s="127" t="s">
        <v>358</v>
      </c>
      <c r="D37" s="127" t="s">
        <v>359</v>
      </c>
      <c r="E37" s="127" t="s">
        <v>364</v>
      </c>
      <c r="F37" s="127" t="s">
        <v>365</v>
      </c>
      <c r="G37" s="127" t="s">
        <v>147</v>
      </c>
      <c r="H37" s="127" t="s">
        <v>366</v>
      </c>
      <c r="I37" s="127" t="s">
        <v>367</v>
      </c>
      <c r="J37" s="127" t="s">
        <v>64</v>
      </c>
      <c r="K37" s="127" t="s">
        <v>73</v>
      </c>
      <c r="L37" s="127" t="s">
        <v>82</v>
      </c>
      <c r="M37" s="127" t="s">
        <v>89</v>
      </c>
      <c r="N37" s="127" t="s">
        <v>94</v>
      </c>
      <c r="O37" s="127" t="s">
        <v>98</v>
      </c>
      <c r="P37" s="127" t="s">
        <v>102</v>
      </c>
      <c r="Q37" s="127" t="s">
        <v>77</v>
      </c>
      <c r="R37" s="127" t="s">
        <v>110</v>
      </c>
      <c r="S37" s="127" t="s">
        <v>118</v>
      </c>
      <c r="T37" s="127" t="s">
        <v>78</v>
      </c>
      <c r="U37" s="127" t="s">
        <v>347</v>
      </c>
      <c r="V37" s="127" t="s">
        <v>348</v>
      </c>
      <c r="W37" s="127" t="s">
        <v>349</v>
      </c>
      <c r="X37" s="127" t="s">
        <v>350</v>
      </c>
      <c r="Y37" s="127" t="s">
        <v>351</v>
      </c>
      <c r="Z37" s="127" t="s">
        <v>352</v>
      </c>
    </row>
    <row r="38" spans="1:26">
      <c r="A38" s="130" t="s">
        <v>370</v>
      </c>
      <c r="B38" s="130">
        <f>$C$4</f>
        <v>1.43</v>
      </c>
      <c r="C38" s="130">
        <f>$D$4</f>
        <v>88</v>
      </c>
      <c r="D38" s="130">
        <v>0</v>
      </c>
      <c r="E38" s="130">
        <v>0</v>
      </c>
      <c r="F38" s="130">
        <v>0</v>
      </c>
      <c r="G38" s="130">
        <v>0</v>
      </c>
      <c r="H38" s="130">
        <v>0</v>
      </c>
      <c r="I38" s="130" t="s">
        <v>10</v>
      </c>
      <c r="J38" s="130">
        <f>GasModel($I$38,"He_Weiss",$D$38,$E$38,$B$38,$C$38,$G$38,$H$38,$B$11)</f>
        <v>4.8104914916998761E-8</v>
      </c>
      <c r="K38" s="130">
        <f>GasModel($I$38,"Ne_Weiss",$D$38,$E$38,$B$38,$C$38,$G$38,$H$38,$B$12)</f>
        <v>2.2041943710782614E-7</v>
      </c>
      <c r="L38" s="130">
        <f>GasModel($I$38,"Ar_Weiss",$D$38,$E$38,$B$38,$C$38,$G$38,$H$38,$B$13)</f>
        <v>4.8733421027253145E-4</v>
      </c>
      <c r="M38" s="130">
        <f>GasModel($I$38,"Kr_Weiss",$D$38,$E$38,$B$38,$C$38,$G$38,$H$38,$B$14)</f>
        <v>1.2144620723174379E-7</v>
      </c>
      <c r="N38" s="130">
        <f>GasModel($I$38,"Xe_Clvr",$D$38,$E$38,$B$38,$C$38,$G$38,$H$38,$B$15)</f>
        <v>1.8810999385485821E-8</v>
      </c>
      <c r="O38" s="130">
        <f>GasModel($I$38,"N2_Weiss",$D$38,$E$38,$B$38,$C$38,$G$38,$H$38,$B$16)</f>
        <v>1.8019366085406677E-2</v>
      </c>
      <c r="P38" s="130">
        <f>GasModel($I$38,"O2_B&amp;K",$D$38,$E$38,$B$38,$C$38,$G$38,$H$38,$B$17)</f>
        <v>1.0023571365648217E-2</v>
      </c>
      <c r="Q38" s="130">
        <f>GasModel($I$38,"CO2_Weiss_F",$D$38,$E$38,$B$38,$C$38,$G$38,$H$38,$B$18)</f>
        <v>5.8718800905651995E-4</v>
      </c>
      <c r="R38" s="130">
        <f>GasModel($I$38,"CH4_Wies",$D$38,$E$38,$B$38,$C$38,$G$38,$H$38,$B$19)</f>
        <v>7.8785792602646592E-8</v>
      </c>
      <c r="S38" s="130">
        <f>GasModel($I$38,"H2_Wies",$D$38,$E$38,$B$38,$C$38,$G$38,$H$38,$B$20)</f>
        <v>1.2462354018088878E-8</v>
      </c>
      <c r="T38" s="130">
        <f>GasModel($I$38,"N2O_Weiss_F",$D$38,$E$38,$B$38,$C$38,$G$38,$H$38,$B$21)</f>
        <v>4.1007705249191304E-7</v>
      </c>
      <c r="U38" s="130">
        <f>$L$38/$K$38</f>
        <v>2210.9402721781489</v>
      </c>
      <c r="V38" s="130">
        <f>$M$38/$N$38</f>
        <v>6.4561273297073827</v>
      </c>
      <c r="W38" s="130">
        <f>$N$38/$K$38</f>
        <v>8.5341835694298318E-2</v>
      </c>
      <c r="X38" s="130">
        <f>$M$38/$L$38</f>
        <v>2.4920517515859917E-4</v>
      </c>
      <c r="Y38" s="130">
        <f>$O$38/$L$38</f>
        <v>36.975376867816692</v>
      </c>
      <c r="Z38" s="130" t="e">
        <f>$I$38/$I$38</f>
        <v>#VALUE!</v>
      </c>
    </row>
    <row r="39" spans="1:26">
      <c r="A39" s="130" t="s">
        <v>370</v>
      </c>
      <c r="B39" s="130">
        <f>$C$4</f>
        <v>1.43</v>
      </c>
      <c r="C39" s="130">
        <f>$D$4</f>
        <v>88</v>
      </c>
      <c r="D39" s="130">
        <v>0</v>
      </c>
      <c r="E39" s="130">
        <v>2</v>
      </c>
      <c r="F39" s="130">
        <v>0</v>
      </c>
      <c r="G39" s="130">
        <v>0</v>
      </c>
      <c r="H39" s="130">
        <v>0</v>
      </c>
      <c r="I39" s="130" t="s">
        <v>10</v>
      </c>
      <c r="J39" s="130">
        <f>GasModel($I$39,"He_Weiss",$D$39,$E$39,$B$39,$C$39,$G$39,$H$39,$B$11)</f>
        <v>5.8584914916998759E-8</v>
      </c>
      <c r="K39" s="130">
        <f>GasModel($I$39,"Ne_Weiss",$D$39,$E$39,$B$39,$C$39,$G$39,$H$39,$B$12)</f>
        <v>2.5677943710782615E-7</v>
      </c>
      <c r="L39" s="130">
        <f>GasModel($I$39,"Ar_Weiss",$D$39,$E$39,$B$39,$C$39,$G$39,$H$39,$B$13)</f>
        <v>5.0601421027253143E-4</v>
      </c>
      <c r="M39" s="130">
        <f>GasModel($I$39,"Kr_Weiss",$D$39,$E$39,$B$39,$C$39,$G$39,$H$39,$B$14)</f>
        <v>1.2372620723174378E-7</v>
      </c>
      <c r="N39" s="130">
        <f>GasModel($I$39,"Xe_Clvr",$D$39,$E$39,$B$39,$C$39,$G$39,$H$39,$B$15)</f>
        <v>1.898499938548582E-8</v>
      </c>
      <c r="O39" s="130">
        <f>GasModel($I$39,"N2_Weiss",$D$39,$E$39,$B$39,$C$39,$G$39,$H$39,$B$16)</f>
        <v>1.9581046085406676E-2</v>
      </c>
      <c r="P39" s="130">
        <f>GasModel($I$39,"O2_B&amp;K",$D$39,$E$39,$B$39,$C$39,$G$39,$H$39,$B$17)</f>
        <v>1.0442571365648216E-2</v>
      </c>
      <c r="Q39" s="130">
        <f>GasModel($I$39,"CO2_Weiss_F",$D$39,$E$39,$B$39,$C$39,$G$39,$H$39,$B$18)</f>
        <v>5.8788800905651992E-4</v>
      </c>
      <c r="R39" s="130">
        <f>GasModel($I$39,"CH4_Wies",$D$39,$E$39,$B$39,$C$39,$G$39,$H$39,$B$19)</f>
        <v>8.1605792602646587E-8</v>
      </c>
      <c r="S39" s="130">
        <f>GasModel($I$39,"H2_Wies",$D$39,$E$39,$B$39,$C$39,$G$39,$H$39,$B$20)</f>
        <v>1.3622354018088878E-8</v>
      </c>
      <c r="T39" s="130">
        <f>GasModel($I$39,"N2O_Weiss_F",$D$39,$E$39,$B$39,$C$39,$G$39,$H$39,$B$21)</f>
        <v>4.1071705249191302E-7</v>
      </c>
      <c r="U39" s="130">
        <f>$L$39/$K$39</f>
        <v>1970.6181147988391</v>
      </c>
      <c r="V39" s="130">
        <f>$M$39/$N$39</f>
        <v>6.5170508947360535</v>
      </c>
      <c r="W39" s="130">
        <f>$N$39/$K$39</f>
        <v>7.3935045575762706E-2</v>
      </c>
      <c r="X39" s="130">
        <f>$M$39/$L$39</f>
        <v>2.4451132936584286E-4</v>
      </c>
      <c r="Y39" s="130">
        <f>$O$39/$L$39</f>
        <v>38.696632797843023</v>
      </c>
      <c r="Z39" s="130" t="e">
        <f>$I$39/$I$39</f>
        <v>#VALUE!</v>
      </c>
    </row>
    <row r="40" spans="1:26">
      <c r="A40" s="130" t="s">
        <v>370</v>
      </c>
      <c r="B40" s="130">
        <f>$C$4</f>
        <v>1.43</v>
      </c>
      <c r="C40" s="130">
        <f>$D$4</f>
        <v>88</v>
      </c>
      <c r="D40" s="130">
        <v>0</v>
      </c>
      <c r="E40" s="130">
        <v>4</v>
      </c>
      <c r="F40" s="130">
        <v>0</v>
      </c>
      <c r="G40" s="130">
        <v>0</v>
      </c>
      <c r="H40" s="130">
        <v>0</v>
      </c>
      <c r="I40" s="130" t="s">
        <v>10</v>
      </c>
      <c r="J40" s="130">
        <f>GasModel($I$40,"He_Weiss",$D$40,$E$40,$B$40,$C$40,$G$40,$H$40,$B$11)</f>
        <v>6.9064914916998764E-8</v>
      </c>
      <c r="K40" s="130">
        <f>GasModel($I$40,"Ne_Weiss",$D$40,$E$40,$B$40,$C$40,$G$40,$H$40,$B$12)</f>
        <v>2.9313943710782614E-7</v>
      </c>
      <c r="L40" s="130">
        <f>GasModel($I$40,"Ar_Weiss",$D$40,$E$40,$B$40,$C$40,$G$40,$H$40,$B$13)</f>
        <v>5.246942102725314E-4</v>
      </c>
      <c r="M40" s="130">
        <f>GasModel($I$40,"Kr_Weiss",$D$40,$E$40,$B$40,$C$40,$G$40,$H$40,$B$14)</f>
        <v>1.260062072317438E-7</v>
      </c>
      <c r="N40" s="130">
        <f>GasModel($I$40,"Xe_Clvr",$D$40,$E$40,$B$40,$C$40,$G$40,$H$40,$B$15)</f>
        <v>1.9158999385485822E-8</v>
      </c>
      <c r="O40" s="130">
        <f>GasModel($I$40,"N2_Weiss",$D$40,$E$40,$B$40,$C$40,$G$40,$H$40,$B$16)</f>
        <v>2.1142726085406675E-2</v>
      </c>
      <c r="P40" s="130">
        <f>GasModel($I$40,"O2_B&amp;K",$D$40,$E$40,$B$40,$C$40,$G$40,$H$40,$B$17)</f>
        <v>1.0861571365648217E-2</v>
      </c>
      <c r="Q40" s="130">
        <f>GasModel($I$40,"CO2_Weiss_F",$D$40,$E$40,$B$40,$C$40,$G$40,$H$40,$B$18)</f>
        <v>5.8858800905651999E-4</v>
      </c>
      <c r="R40" s="130">
        <f>GasModel($I$40,"CH4_Wies",$D$40,$E$40,$B$40,$C$40,$G$40,$H$40,$B$19)</f>
        <v>8.4425792602646595E-8</v>
      </c>
      <c r="S40" s="130">
        <f>GasModel($I$40,"H2_Wies",$D$40,$E$40,$B$40,$C$40,$G$40,$H$40,$B$20)</f>
        <v>1.4782354018088878E-8</v>
      </c>
      <c r="T40" s="130">
        <f>GasModel($I$40,"N2O_Weiss_F",$D$40,$E$40,$B$40,$C$40,$G$40,$H$40,$B$21)</f>
        <v>4.1135705249191306E-7</v>
      </c>
      <c r="U40" s="130">
        <f>$L$40/$K$40</f>
        <v>1789.9134127064997</v>
      </c>
      <c r="V40" s="130">
        <f>$M$40/$N$40</f>
        <v>6.5768678570552925</v>
      </c>
      <c r="W40" s="130">
        <f>$N$40/$K$40</f>
        <v>6.5357972896831776E-2</v>
      </c>
      <c r="X40" s="130">
        <f>$M$40/$L$40</f>
        <v>2.4015170124765608E-4</v>
      </c>
      <c r="Y40" s="130">
        <f>$O$40/$L$40</f>
        <v>40.295329491867143</v>
      </c>
      <c r="Z40" s="130" t="e">
        <f>$I$40/$I$40</f>
        <v>#VALUE!</v>
      </c>
    </row>
    <row r="41" spans="1:26">
      <c r="A41" s="130" t="s">
        <v>370</v>
      </c>
      <c r="B41" s="130">
        <f>$C$4</f>
        <v>1.43</v>
      </c>
      <c r="C41" s="130">
        <f>$D$4</f>
        <v>88</v>
      </c>
      <c r="D41" s="130">
        <v>0</v>
      </c>
      <c r="E41" s="130">
        <v>6</v>
      </c>
      <c r="F41" s="130">
        <v>0</v>
      </c>
      <c r="G41" s="130">
        <v>0</v>
      </c>
      <c r="H41" s="130">
        <v>0</v>
      </c>
      <c r="I41" s="130" t="s">
        <v>10</v>
      </c>
      <c r="J41" s="130">
        <f>GasModel($I$41,"He_Weiss",$D$41,$E$41,$B$41,$C$41,$G$41,$H$41,$B$11)</f>
        <v>7.9544914916998763E-8</v>
      </c>
      <c r="K41" s="130">
        <f>GasModel($I$41,"Ne_Weiss",$D$41,$E$41,$B$41,$C$41,$G$41,$H$41,$B$12)</f>
        <v>3.2949943710782613E-7</v>
      </c>
      <c r="L41" s="130">
        <f>GasModel($I$41,"Ar_Weiss",$D$41,$E$41,$B$41,$C$41,$G$41,$H$41,$B$13)</f>
        <v>5.4337421027253149E-4</v>
      </c>
      <c r="M41" s="130">
        <f>GasModel($I$41,"Kr_Weiss",$D$41,$E$41,$B$41,$C$41,$G$41,$H$41,$B$14)</f>
        <v>1.2828620723174379E-7</v>
      </c>
      <c r="N41" s="130">
        <f>GasModel($I$41,"Xe_Clvr",$D$41,$E$41,$B$41,$C$41,$G$41,$H$41,$B$15)</f>
        <v>1.9332999385485821E-8</v>
      </c>
      <c r="O41" s="130">
        <f>GasModel($I$41,"N2_Weiss",$D$41,$E$41,$B$41,$C$41,$G$41,$H$41,$B$16)</f>
        <v>2.2704406085406678E-2</v>
      </c>
      <c r="P41" s="130">
        <f>GasModel($I$41,"O2_B&amp;K",$D$41,$E$41,$B$41,$C$41,$G$41,$H$41,$B$17)</f>
        <v>1.1280571365648216E-2</v>
      </c>
      <c r="Q41" s="130">
        <f>GasModel($I$41,"CO2_Weiss_F",$D$41,$E$41,$B$41,$C$41,$G$41,$H$41,$B$18)</f>
        <v>5.8928800905651995E-4</v>
      </c>
      <c r="R41" s="130">
        <f>GasModel($I$41,"CH4_Wies",$D$41,$E$41,$B$41,$C$41,$G$41,$H$41,$B$19)</f>
        <v>8.724579260264659E-8</v>
      </c>
      <c r="S41" s="130">
        <f>GasModel($I$41,"H2_Wies",$D$41,$E$41,$B$41,$C$41,$G$41,$H$41,$B$20)</f>
        <v>1.5942354018088877E-8</v>
      </c>
      <c r="T41" s="130">
        <f>GasModel($I$41,"N2O_Weiss_F",$D$41,$E$41,$B$41,$C$41,$G$41,$H$41,$B$21)</f>
        <v>4.1199705249191304E-7</v>
      </c>
      <c r="U41" s="130">
        <f>$L$41/$K$41</f>
        <v>1649.089950022332</v>
      </c>
      <c r="V41" s="130">
        <f>$M$41/$N$41</f>
        <v>6.635608095454355</v>
      </c>
      <c r="W41" s="130">
        <f>$N$41/$K$41</f>
        <v>5.867384647203281E-2</v>
      </c>
      <c r="X41" s="130">
        <f>$M$41/$L$41</f>
        <v>2.3609182181723594E-4</v>
      </c>
      <c r="Y41" s="130">
        <f>$O$41/$L$41</f>
        <v>41.784106893882935</v>
      </c>
      <c r="Z41" s="130" t="e">
        <f>$I$41/$I$41</f>
        <v>#VALUE!</v>
      </c>
    </row>
    <row r="42" spans="1:26">
      <c r="A42" s="130" t="s">
        <v>370</v>
      </c>
      <c r="B42" s="130">
        <f>$C$4</f>
        <v>1.43</v>
      </c>
      <c r="C42" s="130">
        <f>$D$4</f>
        <v>88</v>
      </c>
      <c r="D42" s="130">
        <v>0</v>
      </c>
      <c r="E42" s="130">
        <v>8</v>
      </c>
      <c r="F42" s="130">
        <v>0</v>
      </c>
      <c r="G42" s="130">
        <v>0</v>
      </c>
      <c r="H42" s="130">
        <v>0</v>
      </c>
      <c r="I42" s="130" t="s">
        <v>10</v>
      </c>
      <c r="J42" s="130">
        <f>GasModel($I$42,"He_Weiss",$D$42,$E$42,$B$42,$C$42,$G$42,$H$42,$B$11)</f>
        <v>9.0024914916998762E-8</v>
      </c>
      <c r="K42" s="130">
        <f>GasModel($I$42,"Ne_Weiss",$D$42,$E$42,$B$42,$C$42,$G$42,$H$42,$B$12)</f>
        <v>3.6585943710782612E-7</v>
      </c>
      <c r="L42" s="130">
        <f>GasModel($I$42,"Ar_Weiss",$D$42,$E$42,$B$42,$C$42,$G$42,$H$42,$B$13)</f>
        <v>5.6205421027253147E-4</v>
      </c>
      <c r="M42" s="130">
        <f>GasModel($I$42,"Kr_Weiss",$D$42,$E$42,$B$42,$C$42,$G$42,$H$42,$B$14)</f>
        <v>1.3056620723174378E-7</v>
      </c>
      <c r="N42" s="130">
        <f>GasModel($I$42,"Xe_Clvr",$D$42,$E$42,$B$42,$C$42,$G$42,$H$42,$B$15)</f>
        <v>1.950699938548582E-8</v>
      </c>
      <c r="O42" s="130">
        <f>GasModel($I$42,"N2_Weiss",$D$42,$E$42,$B$42,$C$42,$G$42,$H$42,$B$16)</f>
        <v>2.4266086085406677E-2</v>
      </c>
      <c r="P42" s="130">
        <f>GasModel($I$42,"O2_B&amp;K",$D$42,$E$42,$B$42,$C$42,$G$42,$H$42,$B$17)</f>
        <v>1.1699571365648217E-2</v>
      </c>
      <c r="Q42" s="130">
        <f>GasModel($I$42,"CO2_Weiss_F",$D$42,$E$42,$B$42,$C$42,$G$42,$H$42,$B$18)</f>
        <v>5.8998800905651991E-4</v>
      </c>
      <c r="R42" s="130">
        <f>GasModel($I$42,"CH4_Wies",$D$42,$E$42,$B$42,$C$42,$G$42,$H$42,$B$19)</f>
        <v>9.0065792602646598E-8</v>
      </c>
      <c r="S42" s="130">
        <f>GasModel($I$42,"H2_Wies",$D$42,$E$42,$B$42,$C$42,$G$42,$H$42,$B$20)</f>
        <v>1.7102354018088879E-8</v>
      </c>
      <c r="T42" s="130">
        <f>GasModel($I$42,"N2O_Weiss_F",$D$42,$E$42,$B$42,$C$42,$G$42,$H$42,$B$21)</f>
        <v>4.1263705249191303E-7</v>
      </c>
      <c r="U42" s="130">
        <f>$L$42/$K$42</f>
        <v>1536.2572432616596</v>
      </c>
      <c r="V42" s="130">
        <f>$M$42/$N$42</f>
        <v>6.6933004226622144</v>
      </c>
      <c r="W42" s="130">
        <f>$N$42/$K$42</f>
        <v>5.3318289504000728E-2</v>
      </c>
      <c r="X42" s="130">
        <f>$M$42/$L$42</f>
        <v>2.3230180442636349E-4</v>
      </c>
      <c r="Y42" s="130">
        <f>$O$42/$L$42</f>
        <v>43.173924582186523</v>
      </c>
      <c r="Z42" s="130" t="e">
        <f>$I$42/$I$42</f>
        <v>#VALUE!</v>
      </c>
    </row>
    <row r="43" spans="1:26">
      <c r="A43" s="130" t="s">
        <v>370</v>
      </c>
      <c r="B43" s="130">
        <f>$C$4</f>
        <v>1.43</v>
      </c>
      <c r="C43" s="130">
        <f>$D$4</f>
        <v>88</v>
      </c>
      <c r="D43" s="130">
        <v>0</v>
      </c>
      <c r="E43" s="130">
        <v>10</v>
      </c>
      <c r="F43" s="130">
        <v>0</v>
      </c>
      <c r="G43" s="130">
        <v>0</v>
      </c>
      <c r="H43" s="130">
        <v>0</v>
      </c>
      <c r="I43" s="130" t="s">
        <v>10</v>
      </c>
      <c r="J43" s="130">
        <f>GasModel($I$43,"He_Weiss",$D$43,$E$43,$B$43,$C$43,$G$43,$H$43,$B$11)</f>
        <v>1.0050491491699876E-7</v>
      </c>
      <c r="K43" s="130">
        <f>GasModel($I$43,"Ne_Weiss",$D$43,$E$43,$B$43,$C$43,$G$43,$H$43,$B$12)</f>
        <v>4.0221943710782616E-7</v>
      </c>
      <c r="L43" s="130">
        <f>GasModel($I$43,"Ar_Weiss",$D$43,$E$43,$B$43,$C$43,$G$43,$H$43,$B$13)</f>
        <v>5.8073421027253144E-4</v>
      </c>
      <c r="M43" s="130">
        <f>GasModel($I$43,"Kr_Weiss",$D$43,$E$43,$B$43,$C$43,$G$43,$H$43,$B$14)</f>
        <v>1.328462072317438E-7</v>
      </c>
      <c r="N43" s="130">
        <f>GasModel($I$43,"Xe_Clvr",$D$43,$E$43,$B$43,$C$43,$G$43,$H$43,$B$15)</f>
        <v>1.9680999385485822E-8</v>
      </c>
      <c r="O43" s="130">
        <f>GasModel($I$43,"N2_Weiss",$D$43,$E$43,$B$43,$C$43,$G$43,$H$43,$B$16)</f>
        <v>2.5827766085406677E-2</v>
      </c>
      <c r="P43" s="130">
        <f>GasModel($I$43,"O2_B&amp;K",$D$43,$E$43,$B$43,$C$43,$G$43,$H$43,$B$17)</f>
        <v>1.2118571365648216E-2</v>
      </c>
      <c r="Q43" s="130">
        <f>GasModel($I$43,"CO2_Weiss_F",$D$43,$E$43,$B$43,$C$43,$G$43,$H$43,$B$18)</f>
        <v>5.9068800905651999E-4</v>
      </c>
      <c r="R43" s="130">
        <f>GasModel($I$43,"CH4_Wies",$D$43,$E$43,$B$43,$C$43,$G$43,$H$43,$B$19)</f>
        <v>9.2885792602646593E-8</v>
      </c>
      <c r="S43" s="130">
        <f>GasModel($I$43,"H2_Wies",$D$43,$E$43,$B$43,$C$43,$G$43,$H$43,$B$20)</f>
        <v>1.8262354018088877E-8</v>
      </c>
      <c r="T43" s="130">
        <f>GasModel($I$43,"N2O_Weiss_F",$D$43,$E$43,$B$43,$C$43,$G$43,$H$43,$B$21)</f>
        <v>4.1327705249191301E-7</v>
      </c>
      <c r="U43" s="130">
        <f>$L$43/$K$43</f>
        <v>1443.8243324298855</v>
      </c>
      <c r="V43" s="130">
        <f>$M$43/$N$43</f>
        <v>6.7499726324728258</v>
      </c>
      <c r="W43" s="130">
        <f>$N$43/$K$43</f>
        <v>4.8931000269412092E-2</v>
      </c>
      <c r="X43" s="130">
        <f>$M$43/$L$43</f>
        <v>2.2875560778380991E-4</v>
      </c>
      <c r="Y43" s="130">
        <f>$O$43/$L$43</f>
        <v>44.474332024087275</v>
      </c>
      <c r="Z43" s="130" t="e">
        <f>$I$43/$I$43</f>
        <v>#VALUE!</v>
      </c>
    </row>
    <row r="44" spans="1:26">
      <c r="A44" s="130" t="s">
        <v>371</v>
      </c>
      <c r="B44" s="130">
        <f>$C$4</f>
        <v>1.43</v>
      </c>
      <c r="C44" s="130">
        <f>$D$4</f>
        <v>88</v>
      </c>
      <c r="D44" s="130">
        <v>40</v>
      </c>
      <c r="E44" s="130">
        <v>0</v>
      </c>
      <c r="F44" s="130">
        <v>0</v>
      </c>
      <c r="G44" s="130">
        <v>0</v>
      </c>
      <c r="H44" s="130">
        <v>0</v>
      </c>
      <c r="I44" s="130" t="s">
        <v>10</v>
      </c>
      <c r="J44" s="130">
        <f>GasModel($I$44,"He_Weiss",$D$44,$E$44,$B$44,$C$44,$G$44,$H$44,$B$11)</f>
        <v>4.1812659089858178E-8</v>
      </c>
      <c r="K44" s="130">
        <f>GasModel($I$44,"Ne_Weiss",$D$44,$E$44,$B$44,$C$44,$G$44,$H$44,$B$12)</f>
        <v>1.5886348798794054E-7</v>
      </c>
      <c r="L44" s="130">
        <f>GasModel($I$44,"Ar_Weiss",$D$44,$E$44,$B$44,$C$44,$G$44,$H$44,$B$13)</f>
        <v>2.1727559466486548E-4</v>
      </c>
      <c r="M44" s="130">
        <f>GasModel($I$44,"Kr_Weiss",$D$44,$E$44,$B$44,$C$44,$G$44,$H$44,$B$14)</f>
        <v>4.4206395020568768E-8</v>
      </c>
      <c r="N44" s="130">
        <f>GasModel($I$44,"Xe_Clvr",$D$44,$E$44,$B$44,$C$44,$G$44,$H$44,$B$15)</f>
        <v>5.4793827320240007E-9</v>
      </c>
      <c r="O44" s="130">
        <f>GasModel($I$44,"N2_Weiss",$D$44,$E$44,$B$44,$C$44,$G$44,$H$44,$B$16)</f>
        <v>8.5988303053085042E-3</v>
      </c>
      <c r="P44" s="130">
        <f>GasModel($I$44,"O2_B&amp;K",$D$44,$E$44,$B$44,$C$44,$G$44,$H$44,$B$17)</f>
        <v>4.4388469151295656E-3</v>
      </c>
      <c r="Q44" s="130">
        <f>GasModel($I$44,"CO2_Weiss_F",$D$44,$E$44,$B$44,$C$44,$G$44,$H$44,$B$18)</f>
        <v>1.6911578076576086E-4</v>
      </c>
      <c r="R44" s="130">
        <f>GasModel($I$44,"CH4_Wies",$D$44,$E$44,$B$44,$C$44,$G$44,$H$44,$B$19)</f>
        <v>3.2042221840427835E-8</v>
      </c>
      <c r="S44" s="130">
        <f>GasModel($I$44,"H2_Wies",$D$44,$E$44,$B$44,$C$44,$G$44,$H$44,$B$20)</f>
        <v>8.7105065434792063E-9</v>
      </c>
      <c r="T44" s="130">
        <f>GasModel($I$44,"N2O_Weiss_F",$D$44,$E$44,$B$44,$C$44,$G$44,$H$44,$B$21)</f>
        <v>1.1056577730285161E-7</v>
      </c>
      <c r="U44" s="130">
        <f>$L$44/$K$44</f>
        <v>1367.687424069142</v>
      </c>
      <c r="V44" s="130">
        <f>$M$44/$N$44</f>
        <v>8.0677691598738885</v>
      </c>
      <c r="W44" s="130">
        <f>$N$44/$K$44</f>
        <v>3.4491139540131117E-2</v>
      </c>
      <c r="X44" s="130">
        <f>$M$44/$L$44</f>
        <v>2.0345771041959163E-4</v>
      </c>
      <c r="Y44" s="130">
        <f>$O$44/$L$44</f>
        <v>39.575684137795974</v>
      </c>
      <c r="Z44" s="130" t="e">
        <f>$I$44/$I$44</f>
        <v>#VALUE!</v>
      </c>
    </row>
    <row r="45" spans="1:26">
      <c r="A45" s="130" t="s">
        <v>371</v>
      </c>
      <c r="B45" s="130">
        <f>$C$4</f>
        <v>1.43</v>
      </c>
      <c r="C45" s="130">
        <f>$D$4</f>
        <v>88</v>
      </c>
      <c r="D45" s="130">
        <v>40</v>
      </c>
      <c r="E45" s="130">
        <v>2</v>
      </c>
      <c r="F45" s="130">
        <v>0</v>
      </c>
      <c r="G45" s="130">
        <v>0</v>
      </c>
      <c r="H45" s="130">
        <v>0</v>
      </c>
      <c r="I45" s="130" t="s">
        <v>10</v>
      </c>
      <c r="J45" s="130">
        <f>GasModel($I$45,"He_Weiss",$D$45,$E$45,$B$45,$C$45,$G$45,$H$45,$B$11)</f>
        <v>5.2292659089858176E-8</v>
      </c>
      <c r="K45" s="130">
        <f>GasModel($I$45,"Ne_Weiss",$D$45,$E$45,$B$45,$C$45,$G$45,$H$45,$B$12)</f>
        <v>1.9522348798794055E-7</v>
      </c>
      <c r="L45" s="130">
        <f>GasModel($I$45,"Ar_Weiss",$D$45,$E$45,$B$45,$C$45,$G$45,$H$45,$B$13)</f>
        <v>2.3595559466486549E-4</v>
      </c>
      <c r="M45" s="130">
        <f>GasModel($I$45,"Kr_Weiss",$D$45,$E$45,$B$45,$C$45,$G$45,$H$45,$B$14)</f>
        <v>4.6486395020568766E-8</v>
      </c>
      <c r="N45" s="130">
        <f>GasModel($I$45,"Xe_Clvr",$D$45,$E$45,$B$45,$C$45,$G$45,$H$45,$B$15)</f>
        <v>5.6533827320240003E-9</v>
      </c>
      <c r="O45" s="130">
        <f>GasModel($I$45,"N2_Weiss",$D$45,$E$45,$B$45,$C$45,$G$45,$H$45,$B$16)</f>
        <v>1.0160510305308504E-2</v>
      </c>
      <c r="P45" s="130">
        <f>GasModel($I$45,"O2_B&amp;K",$D$45,$E$45,$B$45,$C$45,$G$45,$H$45,$B$17)</f>
        <v>4.8578469151295657E-3</v>
      </c>
      <c r="Q45" s="130">
        <f>GasModel($I$45,"CO2_Weiss_F",$D$45,$E$45,$B$45,$C$45,$G$45,$H$45,$B$18)</f>
        <v>1.6981578076576085E-4</v>
      </c>
      <c r="R45" s="130">
        <f>GasModel($I$45,"CH4_Wies",$D$45,$E$45,$B$45,$C$45,$G$45,$H$45,$B$19)</f>
        <v>3.4862221840427836E-8</v>
      </c>
      <c r="S45" s="130">
        <f>GasModel($I$45,"H2_Wies",$D$45,$E$45,$B$45,$C$45,$G$45,$H$45,$B$20)</f>
        <v>9.8705065434792064E-9</v>
      </c>
      <c r="T45" s="130">
        <f>GasModel($I$45,"N2O_Weiss_F",$D$45,$E$45,$B$45,$C$45,$G$45,$H$45,$B$21)</f>
        <v>1.1120577730285161E-7</v>
      </c>
      <c r="U45" s="130">
        <f>$L$45/$K$45</f>
        <v>1208.6434736758779</v>
      </c>
      <c r="V45" s="130">
        <f>$M$45/$N$45</f>
        <v>8.2227574576267735</v>
      </c>
      <c r="W45" s="130">
        <f>$N$45/$K$45</f>
        <v>2.8958517186073552E-2</v>
      </c>
      <c r="X45" s="130">
        <f>$M$45/$L$45</f>
        <v>1.9701331975872295E-4</v>
      </c>
      <c r="Y45" s="130">
        <f>$O$45/$L$45</f>
        <v>43.061112069581434</v>
      </c>
      <c r="Z45" s="130" t="e">
        <f>$I$45/$I$45</f>
        <v>#VALUE!</v>
      </c>
    </row>
    <row r="46" spans="1:26">
      <c r="A46" s="130" t="s">
        <v>371</v>
      </c>
      <c r="B46" s="130">
        <f>$C$4</f>
        <v>1.43</v>
      </c>
      <c r="C46" s="130">
        <f>$D$4</f>
        <v>88</v>
      </c>
      <c r="D46" s="130">
        <v>40</v>
      </c>
      <c r="E46" s="130">
        <v>4</v>
      </c>
      <c r="F46" s="130">
        <v>0</v>
      </c>
      <c r="G46" s="130">
        <v>0</v>
      </c>
      <c r="H46" s="130">
        <v>0</v>
      </c>
      <c r="I46" s="130" t="s">
        <v>10</v>
      </c>
      <c r="J46" s="130">
        <f>GasModel($I$46,"He_Weiss",$D$46,$E$46,$B$46,$C$46,$G$46,$H$46,$B$11)</f>
        <v>6.2772659089858175E-8</v>
      </c>
      <c r="K46" s="130">
        <f>GasModel($I$46,"Ne_Weiss",$D$46,$E$46,$B$46,$C$46,$G$46,$H$46,$B$12)</f>
        <v>2.3158348798794054E-7</v>
      </c>
      <c r="L46" s="130">
        <f>GasModel($I$46,"Ar_Weiss",$D$46,$E$46,$B$46,$C$46,$G$46,$H$46,$B$13)</f>
        <v>2.5463559466486549E-4</v>
      </c>
      <c r="M46" s="130">
        <f>GasModel($I$46,"Kr_Weiss",$D$46,$E$46,$B$46,$C$46,$G$46,$H$46,$B$14)</f>
        <v>4.8766395020568771E-8</v>
      </c>
      <c r="N46" s="130">
        <f>GasModel($I$46,"Xe_Clvr",$D$46,$E$46,$B$46,$C$46,$G$46,$H$46,$B$15)</f>
        <v>5.8273827320240007E-9</v>
      </c>
      <c r="O46" s="130">
        <f>GasModel($I$46,"N2_Weiss",$D$46,$E$46,$B$46,$C$46,$G$46,$H$46,$B$16)</f>
        <v>1.1722190305308505E-2</v>
      </c>
      <c r="P46" s="130">
        <f>GasModel($I$46,"O2_B&amp;K",$D$46,$E$46,$B$46,$C$46,$G$46,$H$46,$B$17)</f>
        <v>5.2768469151295658E-3</v>
      </c>
      <c r="Q46" s="130">
        <f>GasModel($I$46,"CO2_Weiss_F",$D$46,$E$46,$B$46,$C$46,$G$46,$H$46,$B$18)</f>
        <v>1.7051578076576087E-4</v>
      </c>
      <c r="R46" s="130">
        <f>GasModel($I$46,"CH4_Wies",$D$46,$E$46,$B$46,$C$46,$G$46,$H$46,$B$19)</f>
        <v>3.7682221840427838E-8</v>
      </c>
      <c r="S46" s="130">
        <f>GasModel($I$46,"H2_Wies",$D$46,$E$46,$B$46,$C$46,$G$46,$H$46,$B$20)</f>
        <v>1.1030506543479207E-8</v>
      </c>
      <c r="T46" s="130">
        <f>GasModel($I$46,"N2O_Weiss_F",$D$46,$E$46,$B$46,$C$46,$G$46,$H$46,$B$21)</f>
        <v>1.1184577730285161E-7</v>
      </c>
      <c r="U46" s="130">
        <f>$L$46/$K$46</f>
        <v>1099.541236196103</v>
      </c>
      <c r="V46" s="130">
        <f>$M$46/$N$46</f>
        <v>8.368490154692644</v>
      </c>
      <c r="W46" s="130">
        <f>$N$46/$K$46</f>
        <v>2.5163204780504281E-2</v>
      </c>
      <c r="X46" s="130">
        <f>$M$46/$L$46</f>
        <v>1.915144466929373E-4</v>
      </c>
      <c r="Y46" s="130">
        <f>$O$46/$L$46</f>
        <v>46.035159855543668</v>
      </c>
      <c r="Z46" s="130" t="e">
        <f>$I$46/$I$46</f>
        <v>#VALUE!</v>
      </c>
    </row>
    <row r="47" spans="1:26">
      <c r="A47" s="130" t="s">
        <v>371</v>
      </c>
      <c r="B47" s="130">
        <f>$C$4</f>
        <v>1.43</v>
      </c>
      <c r="C47" s="130">
        <f>$D$4</f>
        <v>88</v>
      </c>
      <c r="D47" s="130">
        <v>40</v>
      </c>
      <c r="E47" s="130">
        <v>6</v>
      </c>
      <c r="F47" s="130">
        <v>0</v>
      </c>
      <c r="G47" s="130">
        <v>0</v>
      </c>
      <c r="H47" s="130">
        <v>0</v>
      </c>
      <c r="I47" s="130" t="s">
        <v>10</v>
      </c>
      <c r="J47" s="130">
        <f>GasModel($I$47,"He_Weiss",$D$47,$E$47,$B$47,$C$47,$G$47,$H$47,$B$11)</f>
        <v>7.3252659089858186E-8</v>
      </c>
      <c r="K47" s="130">
        <f>GasModel($I$47,"Ne_Weiss",$D$47,$E$47,$B$47,$C$47,$G$47,$H$47,$B$12)</f>
        <v>2.6794348798794053E-7</v>
      </c>
      <c r="L47" s="130">
        <f>GasModel($I$47,"Ar_Weiss",$D$47,$E$47,$B$47,$C$47,$G$47,$H$47,$B$13)</f>
        <v>2.7331559466486547E-4</v>
      </c>
      <c r="M47" s="130">
        <f>GasModel($I$47,"Kr_Weiss",$D$47,$E$47,$B$47,$C$47,$G$47,$H$47,$B$14)</f>
        <v>5.1046395020568769E-8</v>
      </c>
      <c r="N47" s="130">
        <f>GasModel($I$47,"Xe_Clvr",$D$47,$E$47,$B$47,$C$47,$G$47,$H$47,$B$15)</f>
        <v>6.0013827320240003E-9</v>
      </c>
      <c r="O47" s="130">
        <f>GasModel($I$47,"N2_Weiss",$D$47,$E$47,$B$47,$C$47,$G$47,$H$47,$B$16)</f>
        <v>1.3283870305308504E-2</v>
      </c>
      <c r="P47" s="130">
        <f>GasModel($I$47,"O2_B&amp;K",$D$47,$E$47,$B$47,$C$47,$G$47,$H$47,$B$17)</f>
        <v>5.6958469151295659E-3</v>
      </c>
      <c r="Q47" s="130">
        <f>GasModel($I$47,"CO2_Weiss_F",$D$47,$E$47,$B$47,$C$47,$G$47,$H$47,$B$18)</f>
        <v>1.7121578076576086E-4</v>
      </c>
      <c r="R47" s="130">
        <f>GasModel($I$47,"CH4_Wies",$D$47,$E$47,$B$47,$C$47,$G$47,$H$47,$B$19)</f>
        <v>4.0502221840427833E-8</v>
      </c>
      <c r="S47" s="130">
        <f>GasModel($I$47,"H2_Wies",$D$47,$E$47,$B$47,$C$47,$G$47,$H$47,$B$20)</f>
        <v>1.2190506543479207E-8</v>
      </c>
      <c r="T47" s="130">
        <f>GasModel($I$47,"N2O_Weiss_F",$D$47,$E$47,$B$47,$C$47,$G$47,$H$47,$B$21)</f>
        <v>1.124857773028516E-7</v>
      </c>
      <c r="U47" s="130">
        <f>$L$47/$K$47</f>
        <v>1020.04940189913</v>
      </c>
      <c r="V47" s="130">
        <f>$M$47/$N$47</f>
        <v>8.5057723028028054</v>
      </c>
      <c r="W47" s="130">
        <f>$N$47/$K$47</f>
        <v>2.239794210745703E-2</v>
      </c>
      <c r="X47" s="130">
        <f>$M$47/$L$47</f>
        <v>1.8676722447235738E-4</v>
      </c>
      <c r="Y47" s="130">
        <f>$O$47/$L$47</f>
        <v>48.602679702916113</v>
      </c>
      <c r="Z47" s="130" t="e">
        <f>$I$47/$I$47</f>
        <v>#VALUE!</v>
      </c>
    </row>
    <row r="48" spans="1:26">
      <c r="A48" s="130" t="s">
        <v>371</v>
      </c>
      <c r="B48" s="130">
        <f>$C$4</f>
        <v>1.43</v>
      </c>
      <c r="C48" s="130">
        <f>$D$4</f>
        <v>88</v>
      </c>
      <c r="D48" s="130">
        <v>40</v>
      </c>
      <c r="E48" s="130">
        <v>8</v>
      </c>
      <c r="F48" s="130">
        <v>0</v>
      </c>
      <c r="G48" s="130">
        <v>0</v>
      </c>
      <c r="H48" s="130">
        <v>0</v>
      </c>
      <c r="I48" s="130" t="s">
        <v>10</v>
      </c>
      <c r="J48" s="130">
        <f>GasModel($I$48,"He_Weiss",$D$48,$E$48,$B$48,$C$48,$G$48,$H$48,$B$11)</f>
        <v>8.3732659089858185E-8</v>
      </c>
      <c r="K48" s="130">
        <f>GasModel($I$48,"Ne_Weiss",$D$48,$E$48,$B$48,$C$48,$G$48,$H$48,$B$12)</f>
        <v>3.0430348798794052E-7</v>
      </c>
      <c r="L48" s="130">
        <f>GasModel($I$48,"Ar_Weiss",$D$48,$E$48,$B$48,$C$48,$G$48,$H$48,$B$13)</f>
        <v>2.919955946648655E-4</v>
      </c>
      <c r="M48" s="130">
        <f>GasModel($I$48,"Kr_Weiss",$D$48,$E$48,$B$48,$C$48,$G$48,$H$48,$B$14)</f>
        <v>5.3326395020568766E-8</v>
      </c>
      <c r="N48" s="130">
        <f>GasModel($I$48,"Xe_Clvr",$D$48,$E$48,$B$48,$C$48,$G$48,$H$48,$B$15)</f>
        <v>6.1753827320240007E-9</v>
      </c>
      <c r="O48" s="130">
        <f>GasModel($I$48,"N2_Weiss",$D$48,$E$48,$B$48,$C$48,$G$48,$H$48,$B$16)</f>
        <v>1.4845550305308503E-2</v>
      </c>
      <c r="P48" s="130">
        <f>GasModel($I$48,"O2_B&amp;K",$D$48,$E$48,$B$48,$C$48,$G$48,$H$48,$B$17)</f>
        <v>6.114846915129566E-3</v>
      </c>
      <c r="Q48" s="130">
        <f>GasModel($I$48,"CO2_Weiss_F",$D$48,$E$48,$B$48,$C$48,$G$48,$H$48,$B$18)</f>
        <v>1.7191578076576085E-4</v>
      </c>
      <c r="R48" s="130">
        <f>GasModel($I$48,"CH4_Wies",$D$48,$E$48,$B$48,$C$48,$G$48,$H$48,$B$19)</f>
        <v>4.3322221840427834E-8</v>
      </c>
      <c r="S48" s="130">
        <f>GasModel($I$48,"H2_Wies",$D$48,$E$48,$B$48,$C$48,$G$48,$H$48,$B$20)</f>
        <v>1.3350506543479205E-8</v>
      </c>
      <c r="T48" s="130">
        <f>GasModel($I$48,"N2O_Weiss_F",$D$48,$E$48,$B$48,$C$48,$G$48,$H$48,$B$21)</f>
        <v>1.1312577730285162E-7</v>
      </c>
      <c r="U48" s="130">
        <f>$L$48/$K$48</f>
        <v>959.55388679750274</v>
      </c>
      <c r="V48" s="130">
        <f>$M$48/$N$48</f>
        <v>8.6353182198783127</v>
      </c>
      <c r="W48" s="130">
        <f>$N$48/$K$48</f>
        <v>2.0293499666585255E-2</v>
      </c>
      <c r="X48" s="130">
        <f>$M$48/$L$48</f>
        <v>1.826273957378484E-4</v>
      </c>
      <c r="Y48" s="130">
        <f>$O$48/$L$48</f>
        <v>50.841692739739131</v>
      </c>
      <c r="Z48" s="130" t="e">
        <f>$I$48/$I$48</f>
        <v>#VALUE!</v>
      </c>
    </row>
    <row r="49" spans="1:26">
      <c r="A49" s="130" t="s">
        <v>371</v>
      </c>
      <c r="B49" s="130">
        <f>$C$4</f>
        <v>1.43</v>
      </c>
      <c r="C49" s="130">
        <f>$D$4</f>
        <v>88</v>
      </c>
      <c r="D49" s="130">
        <v>40</v>
      </c>
      <c r="E49" s="130">
        <v>10</v>
      </c>
      <c r="F49" s="130">
        <v>0</v>
      </c>
      <c r="G49" s="130">
        <v>0</v>
      </c>
      <c r="H49" s="130">
        <v>0</v>
      </c>
      <c r="I49" s="130" t="s">
        <v>10</v>
      </c>
      <c r="J49" s="130">
        <f>GasModel($I$49,"He_Weiss",$D$49,$E$49,$B$49,$C$49,$G$49,$H$49,$B$11)</f>
        <v>9.4212659089858184E-8</v>
      </c>
      <c r="K49" s="130">
        <f>GasModel($I$49,"Ne_Weiss",$D$49,$E$49,$B$49,$C$49,$G$49,$H$49,$B$12)</f>
        <v>3.4066348798794056E-7</v>
      </c>
      <c r="L49" s="130">
        <f>GasModel($I$49,"Ar_Weiss",$D$49,$E$49,$B$49,$C$49,$G$49,$H$49,$B$13)</f>
        <v>3.1067559466486548E-4</v>
      </c>
      <c r="M49" s="130">
        <f>GasModel($I$49,"Kr_Weiss",$D$49,$E$49,$B$49,$C$49,$G$49,$H$49,$B$14)</f>
        <v>5.5606395020568771E-8</v>
      </c>
      <c r="N49" s="130">
        <f>GasModel($I$49,"Xe_Clvr",$D$49,$E$49,$B$49,$C$49,$G$49,$H$49,$B$15)</f>
        <v>6.3493827320240003E-9</v>
      </c>
      <c r="O49" s="130">
        <f>GasModel($I$49,"N2_Weiss",$D$49,$E$49,$B$49,$C$49,$G$49,$H$49,$B$16)</f>
        <v>1.6407230305308503E-2</v>
      </c>
      <c r="P49" s="130">
        <f>GasModel($I$49,"O2_B&amp;K",$D$49,$E$49,$B$49,$C$49,$G$49,$H$49,$B$17)</f>
        <v>6.5338469151295653E-3</v>
      </c>
      <c r="Q49" s="130">
        <f>GasModel($I$49,"CO2_Weiss_F",$D$49,$E$49,$B$49,$C$49,$G$49,$H$49,$B$18)</f>
        <v>1.7261578076576087E-4</v>
      </c>
      <c r="R49" s="130">
        <f>GasModel($I$49,"CH4_Wies",$D$49,$E$49,$B$49,$C$49,$G$49,$H$49,$B$19)</f>
        <v>4.6142221840427835E-8</v>
      </c>
      <c r="S49" s="130">
        <f>GasModel($I$49,"H2_Wies",$D$49,$E$49,$B$49,$C$49,$G$49,$H$49,$B$20)</f>
        <v>1.4510506543479207E-8</v>
      </c>
      <c r="T49" s="130">
        <f>GasModel($I$49,"N2O_Weiss_F",$D$49,$E$49,$B$49,$C$49,$G$49,$H$49,$B$21)</f>
        <v>1.1376577730285161E-7</v>
      </c>
      <c r="U49" s="130">
        <f>$L$49/$K$49</f>
        <v>911.97209451417154</v>
      </c>
      <c r="V49" s="130">
        <f>$M$49/$N$49</f>
        <v>8.7577639224849584</v>
      </c>
      <c r="W49" s="130">
        <f>$N$49/$K$49</f>
        <v>1.8638283690234417E-2</v>
      </c>
      <c r="X49" s="130">
        <f>$M$49/$L$49</f>
        <v>1.7898539819503027E-4</v>
      </c>
      <c r="Y49" s="130">
        <f>$O$49/$L$49</f>
        <v>52.811455380032164</v>
      </c>
      <c r="Z49" s="130" t="e">
        <f>$I$49/$I$49</f>
        <v>#VALUE!</v>
      </c>
    </row>
    <row r="50" spans="1:26">
      <c r="A50" s="130" t="s">
        <v>372</v>
      </c>
      <c r="B50" s="130">
        <f>$C$4</f>
        <v>1.43</v>
      </c>
      <c r="C50" s="130">
        <f>$D$4</f>
        <v>88</v>
      </c>
      <c r="D50" s="130">
        <v>0</v>
      </c>
      <c r="E50" s="130">
        <v>0</v>
      </c>
      <c r="F50" s="130">
        <v>0</v>
      </c>
      <c r="G50" s="130">
        <v>0</v>
      </c>
      <c r="H50" s="130">
        <v>0</v>
      </c>
      <c r="I50" s="130" t="s">
        <v>10</v>
      </c>
      <c r="J50" s="130">
        <f>GasModel($I$50,"He_Weiss",$D$50,$E$50,$B$50,$C$50,$G$50,$H$50,$B$11)</f>
        <v>4.8104914916998761E-8</v>
      </c>
      <c r="K50" s="130">
        <f>GasModel($I$50,"Ne_Weiss",$D$50,$E$50,$B$50,$C$50,$G$50,$H$50,$B$12)</f>
        <v>2.2041943710782614E-7</v>
      </c>
      <c r="L50" s="130">
        <f>GasModel($I$50,"Ar_Weiss",$D$50,$E$50,$B$50,$C$50,$G$50,$H$50,$B$13)</f>
        <v>4.8733421027253145E-4</v>
      </c>
      <c r="M50" s="130">
        <f>GasModel($I$50,"Kr_Weiss",$D$50,$E$50,$B$50,$C$50,$G$50,$H$50,$B$14)</f>
        <v>1.2144620723174379E-7</v>
      </c>
      <c r="N50" s="130">
        <f>GasModel($I$50,"Xe_Clvr",$D$50,$E$50,$B$50,$C$50,$G$50,$H$50,$B$15)</f>
        <v>1.8810999385485821E-8</v>
      </c>
      <c r="O50" s="130">
        <f>GasModel($I$50,"N2_Weiss",$D$50,$E$50,$B$50,$C$50,$G$50,$H$50,$B$16)</f>
        <v>1.8019366085406677E-2</v>
      </c>
      <c r="P50" s="130">
        <f>GasModel($I$50,"O2_B&amp;K",$D$50,$E$50,$B$50,$C$50,$G$50,$H$50,$B$17)</f>
        <v>1.0023571365648217E-2</v>
      </c>
      <c r="Q50" s="130">
        <f>GasModel($I$50,"CO2_Weiss_F",$D$50,$E$50,$B$50,$C$50,$G$50,$H$50,$B$18)</f>
        <v>5.8718800905651995E-4</v>
      </c>
      <c r="R50" s="130">
        <f>GasModel($I$50,"CH4_Wies",$D$50,$E$50,$B$50,$C$50,$G$50,$H$50,$B$19)</f>
        <v>7.8785792602646592E-8</v>
      </c>
      <c r="S50" s="130">
        <f>GasModel($I$50,"H2_Wies",$D$50,$E$50,$B$50,$C$50,$G$50,$H$50,$B$20)</f>
        <v>1.2462354018088878E-8</v>
      </c>
      <c r="T50" s="130">
        <f>GasModel($I$50,"N2O_Weiss_F",$D$50,$E$50,$B$50,$C$50,$G$50,$H$50,$B$21)</f>
        <v>4.1007705249191304E-7</v>
      </c>
      <c r="U50" s="130">
        <f>$L$50/$K$50</f>
        <v>2210.9402721781489</v>
      </c>
      <c r="V50" s="130">
        <f>$M$50/$N$50</f>
        <v>6.4561273297073827</v>
      </c>
      <c r="W50" s="130">
        <f>$N$50/$K$50</f>
        <v>8.5341835694298318E-2</v>
      </c>
      <c r="X50" s="130">
        <f>$M$50/$L$50</f>
        <v>2.4920517515859917E-4</v>
      </c>
      <c r="Y50" s="130">
        <f>$O$50/$L$50</f>
        <v>36.975376867816692</v>
      </c>
      <c r="Z50" s="130" t="e">
        <f>$I$50/$I$50</f>
        <v>#VALUE!</v>
      </c>
    </row>
    <row r="51" spans="1:26">
      <c r="A51" s="130" t="s">
        <v>372</v>
      </c>
      <c r="B51" s="130">
        <f>$C$4</f>
        <v>1.43</v>
      </c>
      <c r="C51" s="130">
        <f>$D$4</f>
        <v>88</v>
      </c>
      <c r="D51" s="130">
        <v>5</v>
      </c>
      <c r="E51" s="130">
        <v>0</v>
      </c>
      <c r="F51" s="130">
        <v>0</v>
      </c>
      <c r="G51" s="130">
        <v>0</v>
      </c>
      <c r="H51" s="130">
        <v>0</v>
      </c>
      <c r="I51" s="130" t="s">
        <v>10</v>
      </c>
      <c r="J51" s="130">
        <f>GasModel($I$51,"He_Weiss",$D$51,$E$51,$B$51,$C$51,$G$51,$H$51,$B$11)</f>
        <v>4.6711651354432082E-8</v>
      </c>
      <c r="K51" s="130">
        <f>GasModel($I$51,"Ne_Weiss",$D$51,$E$51,$B$51,$C$51,$G$51,$H$51,$B$12)</f>
        <v>2.0814500949811728E-7</v>
      </c>
      <c r="L51" s="130">
        <f>GasModel($I$51,"Ar_Weiss",$D$51,$E$51,$B$51,$C$51,$G$51,$H$51,$B$13)</f>
        <v>4.2681931689627609E-4</v>
      </c>
      <c r="M51" s="130">
        <f>GasModel($I$51,"Kr_Weiss",$D$51,$E$51,$B$51,$C$51,$G$51,$H$51,$B$14)</f>
        <v>1.0343243579446915E-7</v>
      </c>
      <c r="N51" s="130">
        <f>GasModel($I$51,"Xe_Clvr",$D$51,$E$51,$B$51,$C$51,$G$51,$H$51,$B$15)</f>
        <v>1.5460244609633504E-8</v>
      </c>
      <c r="O51" s="130">
        <f>GasModel($I$51,"N2_Weiss",$D$51,$E$51,$B$51,$C$51,$G$51,$H$51,$B$16)</f>
        <v>1.5903390989818744E-2</v>
      </c>
      <c r="P51" s="130">
        <f>GasModel($I$51,"O2_B&amp;K",$D$51,$E$51,$B$51,$C$51,$G$51,$H$51,$B$17)</f>
        <v>8.7582233864339741E-3</v>
      </c>
      <c r="Q51" s="130">
        <f>GasModel($I$51,"CO2_Weiss_F",$D$51,$E$51,$B$51,$C$51,$G$51,$H$51,$B$18)</f>
        <v>4.8350455521118958E-4</v>
      </c>
      <c r="R51" s="130">
        <f>GasModel($I$51,"CH4_Wies",$D$51,$E$51,$B$51,$C$51,$G$51,$H$51,$B$19)</f>
        <v>6.7708715086709333E-8</v>
      </c>
      <c r="S51" s="130">
        <f>GasModel($I$51,"H2_Wies",$D$51,$E$51,$B$51,$C$51,$G$51,$H$51,$B$20)</f>
        <v>1.1661287577112349E-8</v>
      </c>
      <c r="T51" s="130">
        <f>GasModel($I$51,"N2O_Weiss_F",$D$51,$E$51,$B$51,$C$51,$G$51,$H$51,$B$21)</f>
        <v>3.3395388073425833E-7</v>
      </c>
      <c r="U51" s="130">
        <f>$L$51/$K$51</f>
        <v>2050.5863576812626</v>
      </c>
      <c r="V51" s="130">
        <f>$M$51/$N$51</f>
        <v>6.6902198772468902</v>
      </c>
      <c r="W51" s="130">
        <f>$N$51/$K$51</f>
        <v>7.4276316530055189E-2</v>
      </c>
      <c r="X51" s="130">
        <f>$M$51/$L$51</f>
        <v>2.4233307092707073E-4</v>
      </c>
      <c r="Y51" s="130">
        <f>$O$51/$L$51</f>
        <v>37.260241887514013</v>
      </c>
      <c r="Z51" s="130" t="e">
        <f>$I$51/$I$51</f>
        <v>#VALUE!</v>
      </c>
    </row>
    <row r="52" spans="1:26">
      <c r="A52" s="130" t="s">
        <v>372</v>
      </c>
      <c r="B52" s="130">
        <f>$C$4</f>
        <v>1.43</v>
      </c>
      <c r="C52" s="130">
        <f>$D$4</f>
        <v>88</v>
      </c>
      <c r="D52" s="130">
        <v>10</v>
      </c>
      <c r="E52" s="130">
        <v>0</v>
      </c>
      <c r="F52" s="130">
        <v>0</v>
      </c>
      <c r="G52" s="130">
        <v>0</v>
      </c>
      <c r="H52" s="130">
        <v>0</v>
      </c>
      <c r="I52" s="130" t="s">
        <v>10</v>
      </c>
      <c r="J52" s="130">
        <f>GasModel($I$52,"He_Weiss",$D$52,$E$52,$B$52,$C$52,$G$52,$H$52,$B$11)</f>
        <v>4.5597937370564472E-8</v>
      </c>
      <c r="K52" s="130">
        <f>GasModel($I$52,"Ne_Weiss",$D$52,$E$52,$B$52,$C$52,$G$52,$H$52,$B$12)</f>
        <v>1.9787639441899273E-7</v>
      </c>
      <c r="L52" s="130">
        <f>GasModel($I$52,"Ar_Weiss",$D$52,$E$52,$B$52,$C$52,$G$52,$H$52,$B$13)</f>
        <v>3.7816672172583815E-4</v>
      </c>
      <c r="M52" s="130">
        <f>GasModel($I$52,"Kr_Weiss",$D$52,$E$52,$B$52,$C$52,$G$52,$H$52,$B$14)</f>
        <v>8.9120714132768023E-8</v>
      </c>
      <c r="N52" s="130">
        <f>GasModel($I$52,"Xe_Clvr",$D$52,$E$52,$B$52,$C$52,$G$52,$H$52,$B$15)</f>
        <v>1.28926275898025E-8</v>
      </c>
      <c r="O52" s="130">
        <f>GasModel($I$52,"N2_Weiss",$D$52,$E$52,$B$52,$C$52,$G$52,$H$52,$B$16)</f>
        <v>1.4203013095269931E-2</v>
      </c>
      <c r="P52" s="130">
        <f>GasModel($I$52,"O2_B&amp;K",$D$52,$E$52,$B$52,$C$52,$G$52,$H$52,$B$17)</f>
        <v>7.7461620779183202E-3</v>
      </c>
      <c r="Q52" s="130">
        <f>GasModel($I$52,"CO2_Weiss_F",$D$52,$E$52,$B$52,$C$52,$G$52,$H$52,$B$18)</f>
        <v>4.0373895592482969E-4</v>
      </c>
      <c r="R52" s="130">
        <f>GasModel($I$52,"CH4_Wies",$D$52,$E$52,$B$52,$C$52,$G$52,$H$52,$B$19)</f>
        <v>5.915382179192014E-8</v>
      </c>
      <c r="S52" s="130">
        <f>GasModel($I$52,"H2_Wies",$D$52,$E$52,$B$52,$C$52,$G$52,$H$52,$B$20)</f>
        <v>1.1022234611119995E-8</v>
      </c>
      <c r="T52" s="130">
        <f>GasModel($I$52,"N2O_Weiss_F",$D$52,$E$52,$B$52,$C$52,$G$52,$H$52,$B$21)</f>
        <v>2.7604929740775587E-7</v>
      </c>
      <c r="U52" s="130">
        <f>$L$52/$K$52</f>
        <v>1911.1259978039132</v>
      </c>
      <c r="V52" s="130">
        <f>$M$52/$N$52</f>
        <v>6.9125330357993571</v>
      </c>
      <c r="W52" s="130">
        <f>$N$52/$K$52</f>
        <v>6.5154955080205509E-2</v>
      </c>
      <c r="X52" s="130">
        <f>$M$52/$L$52</f>
        <v>2.356651418878111E-4</v>
      </c>
      <c r="Y52" s="130">
        <f>$O$52/$L$52</f>
        <v>37.557543483603446</v>
      </c>
      <c r="Z52" s="130" t="e">
        <f>$I$52/$I$52</f>
        <v>#VALUE!</v>
      </c>
    </row>
    <row r="53" spans="1:26">
      <c r="A53" s="130" t="s">
        <v>372</v>
      </c>
      <c r="B53" s="130">
        <f>$C$4</f>
        <v>1.43</v>
      </c>
      <c r="C53" s="130">
        <f>$D$4</f>
        <v>88</v>
      </c>
      <c r="D53" s="130">
        <v>15</v>
      </c>
      <c r="E53" s="130">
        <v>0</v>
      </c>
      <c r="F53" s="130">
        <v>0</v>
      </c>
      <c r="G53" s="130">
        <v>0</v>
      </c>
      <c r="H53" s="130">
        <v>0</v>
      </c>
      <c r="I53" s="130" t="s">
        <v>10</v>
      </c>
      <c r="J53" s="130">
        <f>GasModel($I$53,"He_Weiss",$D$53,$E$53,$B$53,$C$53,$G$53,$H$53,$B$11)</f>
        <v>4.4698738751133516E-8</v>
      </c>
      <c r="K53" s="130">
        <f>GasModel($I$53,"Ne_Weiss",$D$53,$E$53,$B$53,$C$53,$G$53,$H$53,$B$12)</f>
        <v>1.891653113967977E-7</v>
      </c>
      <c r="L53" s="130">
        <f>GasModel($I$53,"Ar_Weiss",$D$53,$E$53,$B$53,$C$53,$G$53,$H$53,$B$13)</f>
        <v>3.3848059252795508E-4</v>
      </c>
      <c r="M53" s="130">
        <f>GasModel($I$53,"Kr_Weiss",$D$53,$E$53,$B$53,$C$53,$G$53,$H$53,$B$14)</f>
        <v>7.7608133833010802E-8</v>
      </c>
      <c r="N53" s="130">
        <f>GasModel($I$53,"Xe_Clvr",$D$53,$E$53,$B$53,$C$53,$G$53,$H$53,$B$15)</f>
        <v>1.0895419670269124E-8</v>
      </c>
      <c r="O53" s="130">
        <f>GasModel($I$53,"N2_Weiss",$D$53,$E$53,$B$53,$C$53,$G$53,$H$53,$B$16)</f>
        <v>1.2817158877212681E-2</v>
      </c>
      <c r="P53" s="130">
        <f>GasModel($I$53,"O2_B&amp;K",$D$53,$E$53,$B$53,$C$53,$G$53,$H$53,$B$17)</f>
        <v>6.9263117064847397E-3</v>
      </c>
      <c r="Q53" s="130">
        <f>GasModel($I$53,"CO2_Weiss_F",$D$53,$E$53,$B$53,$C$53,$G$53,$H$53,$B$18)</f>
        <v>3.4133106285812479E-4</v>
      </c>
      <c r="R53" s="130">
        <f>GasModel($I$53,"CH4_Wies",$D$53,$E$53,$B$53,$C$53,$G$53,$H$53,$B$19)</f>
        <v>5.2381553938754458E-8</v>
      </c>
      <c r="S53" s="130">
        <f>GasModel($I$53,"H2_Wies",$D$53,$E$53,$B$53,$C$53,$G$53,$H$53,$B$20)</f>
        <v>1.0500815054181149E-8</v>
      </c>
      <c r="T53" s="130">
        <f>GasModel($I$53,"N2O_Weiss_F",$D$53,$E$53,$B$53,$C$53,$G$53,$H$53,$B$21)</f>
        <v>2.3122508037506876E-7</v>
      </c>
      <c r="U53" s="130">
        <f>$L$53/$K$53</f>
        <v>1789.3375377790596</v>
      </c>
      <c r="V53" s="130">
        <f>$M$53/$N$53</f>
        <v>7.1230054630005659</v>
      </c>
      <c r="W53" s="130">
        <f>$N$53/$K$53</f>
        <v>5.7597344829330946E-2</v>
      </c>
      <c r="X53" s="130">
        <f>$M$53/$L$53</f>
        <v>2.2928385126423799E-4</v>
      </c>
      <c r="Y53" s="130">
        <f>$O$53/$L$53</f>
        <v>37.866746750492389</v>
      </c>
      <c r="Z53" s="130" t="e">
        <f>$I$53/$I$53</f>
        <v>#VALUE!</v>
      </c>
    </row>
    <row r="54" spans="1:26">
      <c r="A54" s="130" t="s">
        <v>372</v>
      </c>
      <c r="B54" s="130">
        <f>$C$4</f>
        <v>1.43</v>
      </c>
      <c r="C54" s="130">
        <f>$D$4</f>
        <v>88</v>
      </c>
      <c r="D54" s="130">
        <v>20</v>
      </c>
      <c r="E54" s="130">
        <v>0</v>
      </c>
      <c r="F54" s="130">
        <v>0</v>
      </c>
      <c r="G54" s="130">
        <v>0</v>
      </c>
      <c r="H54" s="130">
        <v>0</v>
      </c>
      <c r="I54" s="130" t="s">
        <v>10</v>
      </c>
      <c r="J54" s="130">
        <f>GasModel($I$54,"He_Weiss",$D$54,$E$54,$B$54,$C$54,$G$54,$H$54,$B$11)</f>
        <v>4.3960557270554923E-8</v>
      </c>
      <c r="K54" s="130">
        <f>GasModel($I$54,"Ne_Weiss",$D$54,$E$54,$B$54,$C$54,$G$54,$H$54,$B$12)</f>
        <v>1.8166062486654436E-7</v>
      </c>
      <c r="L54" s="130">
        <f>GasModel($I$54,"Ar_Weiss",$D$54,$E$54,$B$54,$C$54,$G$54,$H$54,$B$13)</f>
        <v>3.0565933040989319E-4</v>
      </c>
      <c r="M54" s="130">
        <f>GasModel($I$54,"Kr_Weiss",$D$54,$E$54,$B$54,$C$54,$G$54,$H$54,$B$14)</f>
        <v>6.8239502837068307E-8</v>
      </c>
      <c r="N54" s="130">
        <f>GasModel($I$54,"Xe_Clvr",$D$54,$E$54,$B$54,$C$54,$G$54,$H$54,$B$15)</f>
        <v>9.3192281633113061E-9</v>
      </c>
      <c r="O54" s="130">
        <f>GasModel($I$54,"N2_Weiss",$D$54,$E$54,$B$54,$C$54,$G$54,$H$54,$B$16)</f>
        <v>1.1672324471118883E-2</v>
      </c>
      <c r="P54" s="130">
        <f>GasModel($I$54,"O2_B&amp;K",$D$54,$E$54,$B$54,$C$54,$G$54,$H$54,$B$17)</f>
        <v>6.2526853850270476E-3</v>
      </c>
      <c r="Q54" s="130">
        <f>GasModel($I$54,"CO2_Weiss_F",$D$54,$E$54,$B$54,$C$54,$G$54,$H$54,$B$18)</f>
        <v>2.9172875150340952E-4</v>
      </c>
      <c r="R54" s="130">
        <f>GasModel($I$54,"CH4_Wies",$D$54,$E$54,$B$54,$C$54,$G$54,$H$54,$B$19)</f>
        <v>4.6888379964248034E-8</v>
      </c>
      <c r="S54" s="130">
        <f>GasModel($I$54,"H2_Wies",$D$54,$E$54,$B$54,$C$54,$G$54,$H$54,$B$20)</f>
        <v>1.0063489476275788E-8</v>
      </c>
      <c r="T54" s="130">
        <f>GasModel($I$54,"N2O_Weiss_F",$D$54,$E$54,$B$54,$C$54,$G$54,$H$54,$B$21)</f>
        <v>1.9595547356906136E-7</v>
      </c>
      <c r="U54" s="130">
        <f>$L$54/$K$54</f>
        <v>1682.5843830188494</v>
      </c>
      <c r="V54" s="130">
        <f>$M$54/$N$54</f>
        <v>7.3224414770441095</v>
      </c>
      <c r="W54" s="130">
        <f>$N$54/$K$54</f>
        <v>5.1300209773899041E-2</v>
      </c>
      <c r="X54" s="130">
        <f>$M$54/$L$54</f>
        <v>2.2325345915519162E-4</v>
      </c>
      <c r="Y54" s="130">
        <f>$O$54/$L$54</f>
        <v>38.187365180268316</v>
      </c>
      <c r="Z54" s="130" t="e">
        <f>$I$54/$I$54</f>
        <v>#VALUE!</v>
      </c>
    </row>
    <row r="55" spans="1:26">
      <c r="A55" s="130" t="s">
        <v>372</v>
      </c>
      <c r="B55" s="130">
        <f>$C$4</f>
        <v>1.43</v>
      </c>
      <c r="C55" s="130">
        <f>$D$4</f>
        <v>88</v>
      </c>
      <c r="D55" s="130">
        <v>25</v>
      </c>
      <c r="E55" s="130">
        <v>0</v>
      </c>
      <c r="F55" s="130">
        <v>0</v>
      </c>
      <c r="G55" s="130">
        <v>0</v>
      </c>
      <c r="H55" s="130">
        <v>0</v>
      </c>
      <c r="I55" s="130" t="s">
        <v>10</v>
      </c>
      <c r="J55" s="130">
        <f>GasModel($I$55,"He_Weiss",$D$55,$E$55,$B$55,$C$55,$G$55,$H$55,$B$11)</f>
        <v>4.3338547876361582E-8</v>
      </c>
      <c r="K55" s="130">
        <f>GasModel($I$55,"Ne_Weiss",$D$55,$E$55,$B$55,$C$55,$G$55,$H$55,$B$12)</f>
        <v>1.7508313673698116E-7</v>
      </c>
      <c r="L55" s="130">
        <f>GasModel($I$55,"Ar_Weiss",$D$55,$E$55,$B$55,$C$55,$G$55,$H$55,$B$13)</f>
        <v>2.7815381973873724E-4</v>
      </c>
      <c r="M55" s="130">
        <f>GasModel($I$55,"Kr_Weiss",$D$55,$E$55,$B$55,$C$55,$G$55,$H$55,$B$14)</f>
        <v>6.0532720134254914E-8</v>
      </c>
      <c r="N55" s="130">
        <f>GasModel($I$55,"Xe_Clvr",$D$55,$E$55,$B$55,$C$55,$G$55,$H$55,$B$15)</f>
        <v>8.0573930444482344E-9</v>
      </c>
      <c r="O55" s="130">
        <f>GasModel($I$55,"N2_Weiss",$D$55,$E$55,$B$55,$C$55,$G$55,$H$55,$B$16)</f>
        <v>1.0714194614386087E-2</v>
      </c>
      <c r="P55" s="130">
        <f>GasModel($I$55,"O2_B&amp;K",$D$55,$E$55,$B$55,$C$55,$G$55,$H$55,$B$17)</f>
        <v>5.690538762669858E-3</v>
      </c>
      <c r="Q55" s="130">
        <f>GasModel($I$55,"CO2_Weiss_F",$D$55,$E$55,$B$55,$C$55,$G$55,$H$55,$B$18)</f>
        <v>2.5171773089271998E-4</v>
      </c>
      <c r="R55" s="130">
        <f>GasModel($I$55,"CH4_Wies",$D$55,$E$55,$B$55,$C$55,$G$55,$H$55,$B$19)</f>
        <v>4.2323724408169071E-8</v>
      </c>
      <c r="S55" s="130">
        <f>GasModel($I$55,"H2_Wies",$D$55,$E$55,$B$55,$C$55,$G$55,$H$55,$B$20)</f>
        <v>9.6842983130878585E-9</v>
      </c>
      <c r="T55" s="130">
        <f>GasModel($I$55,"N2O_Weiss_F",$D$55,$E$55,$B$55,$C$55,$G$55,$H$55,$B$21)</f>
        <v>1.6777674093863013E-7</v>
      </c>
      <c r="U55" s="130">
        <f>$L$55/$K$55</f>
        <v>1588.6956615164722</v>
      </c>
      <c r="V55" s="130">
        <f>$M$55/$N$55</f>
        <v>7.5126929765407962</v>
      </c>
      <c r="W55" s="130">
        <f>$N$55/$K$55</f>
        <v>4.6020383199739348E-2</v>
      </c>
      <c r="X55" s="130">
        <f>$M$55/$L$55</f>
        <v>2.1762318486624326E-4</v>
      </c>
      <c r="Y55" s="130">
        <f>$O$55/$L$55</f>
        <v>38.518955534925446</v>
      </c>
      <c r="Z55" s="130" t="e">
        <f>$I$55/$I$55</f>
        <v>#VALUE!</v>
      </c>
    </row>
    <row r="56" spans="1:26">
      <c r="A56" s="130" t="s">
        <v>372</v>
      </c>
      <c r="B56" s="130">
        <f>$C$4</f>
        <v>1.43</v>
      </c>
      <c r="C56" s="130">
        <f>$D$4</f>
        <v>88</v>
      </c>
      <c r="D56" s="130">
        <v>30</v>
      </c>
      <c r="E56" s="130">
        <v>0</v>
      </c>
      <c r="F56" s="130">
        <v>0</v>
      </c>
      <c r="G56" s="130">
        <v>0</v>
      </c>
      <c r="H56" s="130">
        <v>0</v>
      </c>
      <c r="I56" s="130" t="s">
        <v>10</v>
      </c>
      <c r="J56" s="130">
        <f>GasModel($I$56,"He_Weiss",$D$56,$E$56,$B$56,$C$56,$G$56,$H$56,$B$11)</f>
        <v>4.2794502627207119E-8</v>
      </c>
      <c r="K56" s="130">
        <f>GasModel($I$56,"Ne_Weiss",$D$56,$E$56,$B$56,$C$56,$G$56,$H$56,$B$12)</f>
        <v>1.6920787688267299E-7</v>
      </c>
      <c r="L56" s="130">
        <f>GasModel($I$56,"Ar_Weiss",$D$56,$E$56,$B$56,$C$56,$G$56,$H$56,$B$13)</f>
        <v>2.5480569211253047E-4</v>
      </c>
      <c r="M56" s="130">
        <f>GasModel($I$56,"Kr_Weiss",$D$56,$E$56,$B$56,$C$56,$G$56,$H$56,$B$14)</f>
        <v>5.4128393065246574E-8</v>
      </c>
      <c r="N56" s="130">
        <f>GasModel($I$56,"Xe_Clvr",$D$56,$E$56,$B$56,$C$56,$G$56,$H$56,$B$15)</f>
        <v>7.0325100457793078E-9</v>
      </c>
      <c r="O56" s="130">
        <f>GasModel($I$56,"N2_Weiss",$D$56,$E$56,$B$56,$C$56,$G$56,$H$56,$B$16)</f>
        <v>9.9020328835805003E-3</v>
      </c>
      <c r="P56" s="130">
        <f>GasModel($I$56,"O2_B&amp;K",$D$56,$E$56,$B$56,$C$56,$G$56,$H$56,$B$17)</f>
        <v>5.2134896661286956E-3</v>
      </c>
      <c r="Q56" s="130">
        <f>GasModel($I$56,"CO2_Weiss_F",$D$56,$E$56,$B$56,$C$56,$G$56,$H$56,$B$18)</f>
        <v>2.1899161816483196E-4</v>
      </c>
      <c r="R56" s="130">
        <f>GasModel($I$56,"CH4_Wies",$D$56,$E$56,$B$56,$C$56,$G$56,$H$56,$B$19)</f>
        <v>3.8438904551378281E-8</v>
      </c>
      <c r="S56" s="130">
        <f>GasModel($I$56,"H2_Wies",$D$56,$E$56,$B$56,$C$56,$G$56,$H$56,$B$20)</f>
        <v>9.3427617603915117E-9</v>
      </c>
      <c r="T56" s="130">
        <f>GasModel($I$56,"N2O_Weiss_F",$D$56,$E$56,$B$56,$C$56,$G$56,$H$56,$B$21)</f>
        <v>1.4493811993059479E-7</v>
      </c>
      <c r="U56" s="130">
        <f>$L$56/$K$56</f>
        <v>1505.8737028490118</v>
      </c>
      <c r="V56" s="130">
        <f>$M$56/$N$56</f>
        <v>7.6968810158661256</v>
      </c>
      <c r="W56" s="130">
        <f>$N$56/$K$56</f>
        <v>4.1561363308491708E-2</v>
      </c>
      <c r="X56" s="130">
        <f>$M$56/$L$56</f>
        <v>2.1243007805862404E-4</v>
      </c>
      <c r="Y56" s="130">
        <f>$O$56/$L$56</f>
        <v>38.86111335066817</v>
      </c>
      <c r="Z56" s="130" t="e">
        <f>$I$56/$I$56</f>
        <v>#VALUE!</v>
      </c>
    </row>
    <row r="57" spans="1:26">
      <c r="A57" s="130" t="s">
        <v>372</v>
      </c>
      <c r="B57" s="130">
        <f>$C$4</f>
        <v>1.43</v>
      </c>
      <c r="C57" s="130">
        <f>$D$4</f>
        <v>88</v>
      </c>
      <c r="D57" s="130">
        <v>35</v>
      </c>
      <c r="E57" s="130">
        <v>0</v>
      </c>
      <c r="F57" s="130">
        <v>0</v>
      </c>
      <c r="G57" s="130">
        <v>0</v>
      </c>
      <c r="H57" s="130">
        <v>0</v>
      </c>
      <c r="I57" s="130" t="s">
        <v>10</v>
      </c>
      <c r="J57" s="130">
        <f>GasModel($I$57,"He_Weiss",$D$57,$E$57,$B$57,$C$57,$G$57,$H$57,$B$11)</f>
        <v>4.2295445354891772E-8</v>
      </c>
      <c r="K57" s="130">
        <f>GasModel($I$57,"Ne_Weiss",$D$57,$E$57,$B$57,$C$57,$G$57,$H$57,$B$12)</f>
        <v>1.6385153951314518E-7</v>
      </c>
      <c r="L57" s="130">
        <f>GasModel($I$57,"Ar_Weiss",$D$57,$E$57,$B$57,$C$57,$G$57,$H$57,$B$13)</f>
        <v>2.3473728740215643E-4</v>
      </c>
      <c r="M57" s="130">
        <f>GasModel($I$57,"Kr_Weiss",$D$57,$E$57,$B$57,$C$57,$G$57,$H$57,$B$14)</f>
        <v>4.8755303333734789E-8</v>
      </c>
      <c r="N57" s="130">
        <f>GasModel($I$57,"Xe_Clvr",$D$57,$E$57,$B$57,$C$57,$G$57,$H$57,$B$15)</f>
        <v>6.1874667127165314E-9</v>
      </c>
      <c r="O57" s="130">
        <f>GasModel($I$57,"N2_Weiss",$D$57,$E$57,$B$57,$C$57,$G$57,$H$57,$B$16)</f>
        <v>9.2048633393642734E-3</v>
      </c>
      <c r="P57" s="130">
        <f>GasModel($I$57,"O2_B&amp;K",$D$57,$E$57,$B$57,$C$57,$G$57,$H$57,$B$17)</f>
        <v>4.8014021222393495E-3</v>
      </c>
      <c r="Q57" s="130">
        <f>GasModel($I$57,"CO2_Weiss_F",$D$57,$E$57,$B$57,$C$57,$G$57,$H$57,$B$18)</f>
        <v>1.9187087572415911E-4</v>
      </c>
      <c r="R57" s="130">
        <f>GasModel($I$57,"CH4_Wies",$D$57,$E$57,$B$57,$C$57,$G$57,$H$57,$B$19)</f>
        <v>3.5055005126867235E-8</v>
      </c>
      <c r="S57" s="130">
        <f>GasModel($I$57,"H2_Wies",$D$57,$E$57,$B$57,$C$57,$G$57,$H$57,$B$20)</f>
        <v>9.0225274763174525E-9</v>
      </c>
      <c r="T57" s="130">
        <f>GasModel($I$57,"N2O_Weiss_F",$D$57,$E$57,$B$57,$C$57,$G$57,$H$57,$B$21)</f>
        <v>1.2617610422959568E-7</v>
      </c>
      <c r="U57" s="130">
        <f>$L$57/$K$57</f>
        <v>1432.6217995853763</v>
      </c>
      <c r="V57" s="130">
        <f>$M$57/$N$57</f>
        <v>7.8796873740803317</v>
      </c>
      <c r="W57" s="130">
        <f>$N$57/$K$57</f>
        <v>3.7762640077117701E-2</v>
      </c>
      <c r="X57" s="130">
        <f>$M$57/$L$57</f>
        <v>2.0770157086379834E-4</v>
      </c>
      <c r="Y57" s="130">
        <f>$O$57/$L$57</f>
        <v>39.213468985838304</v>
      </c>
      <c r="Z57" s="130" t="e">
        <f>$I$57/$I$57</f>
        <v>#VALUE!</v>
      </c>
    </row>
    <row r="58" spans="1:26">
      <c r="A58" s="130" t="s">
        <v>372</v>
      </c>
      <c r="B58" s="130">
        <f>$C$4</f>
        <v>1.43</v>
      </c>
      <c r="C58" s="130">
        <f>$D$4</f>
        <v>88</v>
      </c>
      <c r="D58" s="130">
        <v>40</v>
      </c>
      <c r="E58" s="130">
        <v>0</v>
      </c>
      <c r="F58" s="130">
        <v>0</v>
      </c>
      <c r="G58" s="130">
        <v>0</v>
      </c>
      <c r="H58" s="130">
        <v>0</v>
      </c>
      <c r="I58" s="130" t="s">
        <v>10</v>
      </c>
      <c r="J58" s="130">
        <f>GasModel($I$58,"He_Weiss",$D$58,$E$58,$B$58,$C$58,$G$58,$H$58,$B$11)</f>
        <v>4.1812659089858178E-8</v>
      </c>
      <c r="K58" s="130">
        <f>GasModel($I$58,"Ne_Weiss",$D$58,$E$58,$B$58,$C$58,$G$58,$H$58,$B$12)</f>
        <v>1.5886348798794054E-7</v>
      </c>
      <c r="L58" s="130">
        <f>GasModel($I$58,"Ar_Weiss",$D$58,$E$58,$B$58,$C$58,$G$58,$H$58,$B$13)</f>
        <v>2.1727559466486548E-4</v>
      </c>
      <c r="M58" s="130">
        <f>GasModel($I$58,"Kr_Weiss",$D$58,$E$58,$B$58,$C$58,$G$58,$H$58,$B$14)</f>
        <v>4.4206395020568768E-8</v>
      </c>
      <c r="N58" s="130">
        <f>GasModel($I$58,"Xe_Clvr",$D$58,$E$58,$B$58,$C$58,$G$58,$H$58,$B$15)</f>
        <v>5.4793827320240007E-9</v>
      </c>
      <c r="O58" s="130">
        <f>GasModel($I$58,"N2_Weiss",$D$58,$E$58,$B$58,$C$58,$G$58,$H$58,$B$16)</f>
        <v>8.5988303053085042E-3</v>
      </c>
      <c r="P58" s="130">
        <f>GasModel($I$58,"O2_B&amp;K",$D$58,$E$58,$B$58,$C$58,$G$58,$H$58,$B$17)</f>
        <v>4.4388469151295656E-3</v>
      </c>
      <c r="Q58" s="130">
        <f>GasModel($I$58,"CO2_Weiss_F",$D$58,$E$58,$B$58,$C$58,$G$58,$H$58,$B$18)</f>
        <v>1.6911578076576086E-4</v>
      </c>
      <c r="R58" s="130">
        <f>GasModel($I$58,"CH4_Wies",$D$58,$E$58,$B$58,$C$58,$G$58,$H$58,$B$19)</f>
        <v>3.2042221840427835E-8</v>
      </c>
      <c r="S58" s="130">
        <f>GasModel($I$58,"H2_Wies",$D$58,$E$58,$B$58,$C$58,$G$58,$H$58,$B$20)</f>
        <v>8.7105065434792063E-9</v>
      </c>
      <c r="T58" s="130">
        <f>GasModel($I$58,"N2O_Weiss_F",$D$58,$E$58,$B$58,$C$58,$G$58,$H$58,$B$21)</f>
        <v>1.1056577730285161E-7</v>
      </c>
      <c r="U58" s="130">
        <f>$L$58/$K$58</f>
        <v>1367.687424069142</v>
      </c>
      <c r="V58" s="130">
        <f>$M$58/$N$58</f>
        <v>8.0677691598738885</v>
      </c>
      <c r="W58" s="130">
        <f>$N$58/$K$58</f>
        <v>3.4491139540131117E-2</v>
      </c>
      <c r="X58" s="130">
        <f>$M$58/$L$58</f>
        <v>2.0345771041959163E-4</v>
      </c>
      <c r="Y58" s="130">
        <f>$O$58/$L$58</f>
        <v>39.575684137795974</v>
      </c>
      <c r="Z58" s="130" t="e">
        <f>$I$58/$I$58</f>
        <v>#VALUE!</v>
      </c>
    </row>
    <row r="59" spans="1:26">
      <c r="A59" s="130" t="s">
        <v>373</v>
      </c>
      <c r="B59" s="130">
        <f>$C$4</f>
        <v>1.43</v>
      </c>
      <c r="C59" s="130">
        <f>$D$4</f>
        <v>88</v>
      </c>
      <c r="D59" s="130">
        <v>0</v>
      </c>
      <c r="E59" s="130">
        <v>10</v>
      </c>
      <c r="F59" s="130">
        <v>0</v>
      </c>
      <c r="G59" s="130">
        <v>0</v>
      </c>
      <c r="H59" s="130">
        <v>0</v>
      </c>
      <c r="I59" s="130" t="s">
        <v>10</v>
      </c>
      <c r="J59" s="130">
        <f>GasModel($I$59,"He_Weiss",$D$59,$E$59,$B$59,$C$59,$G$59,$H$59,$B$11)</f>
        <v>1.0050491491699876E-7</v>
      </c>
      <c r="K59" s="130">
        <f>GasModel($I$59,"Ne_Weiss",$D$59,$E$59,$B$59,$C$59,$G$59,$H$59,$B$12)</f>
        <v>4.0221943710782616E-7</v>
      </c>
      <c r="L59" s="130">
        <f>GasModel($I$59,"Ar_Weiss",$D$59,$E$59,$B$59,$C$59,$G$59,$H$59,$B$13)</f>
        <v>5.8073421027253144E-4</v>
      </c>
      <c r="M59" s="130">
        <f>GasModel($I$59,"Kr_Weiss",$D$59,$E$59,$B$59,$C$59,$G$59,$H$59,$B$14)</f>
        <v>1.328462072317438E-7</v>
      </c>
      <c r="N59" s="130">
        <f>GasModel($I$59,"Xe_Clvr",$D$59,$E$59,$B$59,$C$59,$G$59,$H$59,$B$15)</f>
        <v>1.9680999385485822E-8</v>
      </c>
      <c r="O59" s="130">
        <f>GasModel($I$59,"N2_Weiss",$D$59,$E$59,$B$59,$C$59,$G$59,$H$59,$B$16)</f>
        <v>2.5827766085406677E-2</v>
      </c>
      <c r="P59" s="130">
        <f>GasModel($I$59,"O2_B&amp;K",$D$59,$E$59,$B$59,$C$59,$G$59,$H$59,$B$17)</f>
        <v>1.2118571365648216E-2</v>
      </c>
      <c r="Q59" s="130">
        <f>GasModel($I$59,"CO2_Weiss_F",$D$59,$E$59,$B$59,$C$59,$G$59,$H$59,$B$18)</f>
        <v>5.9068800905651999E-4</v>
      </c>
      <c r="R59" s="130">
        <f>GasModel($I$59,"CH4_Wies",$D$59,$E$59,$B$59,$C$59,$G$59,$H$59,$B$19)</f>
        <v>9.2885792602646593E-8</v>
      </c>
      <c r="S59" s="130">
        <f>GasModel($I$59,"H2_Wies",$D$59,$E$59,$B$59,$C$59,$G$59,$H$59,$B$20)</f>
        <v>1.8262354018088877E-8</v>
      </c>
      <c r="T59" s="130">
        <f>GasModel($I$59,"N2O_Weiss_F",$D$59,$E$59,$B$59,$C$59,$G$59,$H$59,$B$21)</f>
        <v>4.1327705249191301E-7</v>
      </c>
      <c r="U59" s="130">
        <f>$L$59/$K$59</f>
        <v>1443.8243324298855</v>
      </c>
      <c r="V59" s="130">
        <f>$M$59/$N$59</f>
        <v>6.7499726324728258</v>
      </c>
      <c r="W59" s="130">
        <f>$N$59/$K$59</f>
        <v>4.8931000269412092E-2</v>
      </c>
      <c r="X59" s="130">
        <f>$M$59/$L$59</f>
        <v>2.2875560778380991E-4</v>
      </c>
      <c r="Y59" s="130">
        <f>$O$59/$L$59</f>
        <v>44.474332024087275</v>
      </c>
      <c r="Z59" s="130" t="e">
        <f>$I$59/$I$59</f>
        <v>#VALUE!</v>
      </c>
    </row>
    <row r="60" spans="1:26">
      <c r="A60" s="130" t="s">
        <v>373</v>
      </c>
      <c r="B60" s="130">
        <f>$C$4</f>
        <v>1.43</v>
      </c>
      <c r="C60" s="130">
        <f>$D$4</f>
        <v>88</v>
      </c>
      <c r="D60" s="130">
        <v>5</v>
      </c>
      <c r="E60" s="130">
        <v>10</v>
      </c>
      <c r="F60" s="130">
        <v>0</v>
      </c>
      <c r="G60" s="130">
        <v>0</v>
      </c>
      <c r="H60" s="130">
        <v>0</v>
      </c>
      <c r="I60" s="130" t="s">
        <v>10</v>
      </c>
      <c r="J60" s="130">
        <f>GasModel($I$60,"He_Weiss",$D$60,$E$60,$B$60,$C$60,$G$60,$H$60,$B$11)</f>
        <v>9.9111651354432082E-8</v>
      </c>
      <c r="K60" s="130">
        <f>GasModel($I$60,"Ne_Weiss",$D$60,$E$60,$B$60,$C$60,$G$60,$H$60,$B$12)</f>
        <v>3.8994500949811728E-7</v>
      </c>
      <c r="L60" s="130">
        <f>GasModel($I$60,"Ar_Weiss",$D$60,$E$60,$B$60,$C$60,$G$60,$H$60,$B$13)</f>
        <v>5.2021931689627608E-4</v>
      </c>
      <c r="M60" s="130">
        <f>GasModel($I$60,"Kr_Weiss",$D$60,$E$60,$B$60,$C$60,$G$60,$H$60,$B$14)</f>
        <v>1.1483243579446915E-7</v>
      </c>
      <c r="N60" s="130">
        <f>GasModel($I$60,"Xe_Clvr",$D$60,$E$60,$B$60,$C$60,$G$60,$H$60,$B$15)</f>
        <v>1.6330244609633504E-8</v>
      </c>
      <c r="O60" s="130">
        <f>GasModel($I$60,"N2_Weiss",$D$60,$E$60,$B$60,$C$60,$G$60,$H$60,$B$16)</f>
        <v>2.3711790989818744E-2</v>
      </c>
      <c r="P60" s="130">
        <f>GasModel($I$60,"O2_B&amp;K",$D$60,$E$60,$B$60,$C$60,$G$60,$H$60,$B$17)</f>
        <v>1.0853223386433974E-2</v>
      </c>
      <c r="Q60" s="130">
        <f>GasModel($I$60,"CO2_Weiss_F",$D$60,$E$60,$B$60,$C$60,$G$60,$H$60,$B$18)</f>
        <v>4.8700455521118955E-4</v>
      </c>
      <c r="R60" s="130">
        <f>GasModel($I$60,"CH4_Wies",$D$60,$E$60,$B$60,$C$60,$G$60,$H$60,$B$19)</f>
        <v>8.1808715086709333E-8</v>
      </c>
      <c r="S60" s="130">
        <f>GasModel($I$60,"H2_Wies",$D$60,$E$60,$B$60,$C$60,$G$60,$H$60,$B$20)</f>
        <v>1.7461287577112348E-8</v>
      </c>
      <c r="T60" s="130">
        <f>GasModel($I$60,"N2O_Weiss_F",$D$60,$E$60,$B$60,$C$60,$G$60,$H$60,$B$21)</f>
        <v>3.3715388073425831E-7</v>
      </c>
      <c r="U60" s="130">
        <f>$L$60/$K$60</f>
        <v>1334.0837918808852</v>
      </c>
      <c r="V60" s="130">
        <f>$M$60/$N$60</f>
        <v>7.031887062287324</v>
      </c>
      <c r="W60" s="130">
        <f>$N$60/$K$60</f>
        <v>4.1878326973979002E-2</v>
      </c>
      <c r="X60" s="130">
        <f>$M$60/$L$60</f>
        <v>2.2073850790389817E-4</v>
      </c>
      <c r="Y60" s="130">
        <f>$O$60/$L$60</f>
        <v>45.580373930148617</v>
      </c>
      <c r="Z60" s="130" t="e">
        <f>$I$60/$I$60</f>
        <v>#VALUE!</v>
      </c>
    </row>
    <row r="61" spans="1:26">
      <c r="A61" s="130" t="s">
        <v>373</v>
      </c>
      <c r="B61" s="130">
        <f>$C$4</f>
        <v>1.43</v>
      </c>
      <c r="C61" s="130">
        <f>$D$4</f>
        <v>88</v>
      </c>
      <c r="D61" s="130">
        <v>10</v>
      </c>
      <c r="E61" s="130">
        <v>10</v>
      </c>
      <c r="F61" s="130">
        <v>0</v>
      </c>
      <c r="G61" s="130">
        <v>0</v>
      </c>
      <c r="H61" s="130">
        <v>0</v>
      </c>
      <c r="I61" s="130" t="s">
        <v>10</v>
      </c>
      <c r="J61" s="130">
        <f>GasModel($I$61,"He_Weiss",$D$61,$E$61,$B$61,$C$61,$G$61,$H$61,$B$11)</f>
        <v>9.7997937370564472E-8</v>
      </c>
      <c r="K61" s="130">
        <f>GasModel($I$61,"Ne_Weiss",$D$61,$E$61,$B$61,$C$61,$G$61,$H$61,$B$12)</f>
        <v>3.7967639441899275E-7</v>
      </c>
      <c r="L61" s="130">
        <f>GasModel($I$61,"Ar_Weiss",$D$61,$E$61,$B$61,$C$61,$G$61,$H$61,$B$13)</f>
        <v>4.7156672172583814E-4</v>
      </c>
      <c r="M61" s="130">
        <f>GasModel($I$61,"Kr_Weiss",$D$61,$E$61,$B$61,$C$61,$G$61,$H$61,$B$14)</f>
        <v>1.0052071413276802E-7</v>
      </c>
      <c r="N61" s="130">
        <f>GasModel($I$61,"Xe_Clvr",$D$61,$E$61,$B$61,$C$61,$G$61,$H$61,$B$15)</f>
        <v>1.37626275898025E-8</v>
      </c>
      <c r="O61" s="130">
        <f>GasModel($I$61,"N2_Weiss",$D$61,$E$61,$B$61,$C$61,$G$61,$H$61,$B$16)</f>
        <v>2.2011413095269931E-2</v>
      </c>
      <c r="P61" s="130">
        <f>GasModel($I$61,"O2_B&amp;K",$D$61,$E$61,$B$61,$C$61,$G$61,$H$61,$B$17)</f>
        <v>9.8411620779183199E-3</v>
      </c>
      <c r="Q61" s="130">
        <f>GasModel($I$61,"CO2_Weiss_F",$D$61,$E$61,$B$61,$C$61,$G$61,$H$61,$B$18)</f>
        <v>4.0723895592482967E-4</v>
      </c>
      <c r="R61" s="130">
        <f>GasModel($I$61,"CH4_Wies",$D$61,$E$61,$B$61,$C$61,$G$61,$H$61,$B$19)</f>
        <v>7.3253821791920141E-8</v>
      </c>
      <c r="S61" s="130">
        <f>GasModel($I$61,"H2_Wies",$D$61,$E$61,$B$61,$C$61,$G$61,$H$61,$B$20)</f>
        <v>1.6822234611119996E-8</v>
      </c>
      <c r="T61" s="130">
        <f>GasModel($I$61,"N2O_Weiss_F",$D$61,$E$61,$B$61,$C$61,$G$61,$H$61,$B$21)</f>
        <v>2.7924929740775584E-7</v>
      </c>
      <c r="U61" s="130">
        <f>$L$61/$K$61</f>
        <v>1242.0227558457048</v>
      </c>
      <c r="V61" s="130">
        <f>$M$61/$N$61</f>
        <v>7.3038897170515193</v>
      </c>
      <c r="W61" s="130">
        <f>$N$61/$K$61</f>
        <v>3.6248309855720764E-2</v>
      </c>
      <c r="X61" s="130">
        <f>$M$61/$L$61</f>
        <v>2.1316329058353119E-4</v>
      </c>
      <c r="Y61" s="130">
        <f>$O$61/$L$61</f>
        <v>46.677197692646004</v>
      </c>
      <c r="Z61" s="130" t="e">
        <f>$I$61/$I$61</f>
        <v>#VALUE!</v>
      </c>
    </row>
    <row r="62" spans="1:26">
      <c r="A62" s="130" t="s">
        <v>373</v>
      </c>
      <c r="B62" s="130">
        <f>$C$4</f>
        <v>1.43</v>
      </c>
      <c r="C62" s="130">
        <f>$D$4</f>
        <v>88</v>
      </c>
      <c r="D62" s="130">
        <v>15</v>
      </c>
      <c r="E62" s="130">
        <v>10</v>
      </c>
      <c r="F62" s="130">
        <v>0</v>
      </c>
      <c r="G62" s="130">
        <v>0</v>
      </c>
      <c r="H62" s="130">
        <v>0</v>
      </c>
      <c r="I62" s="130" t="s">
        <v>10</v>
      </c>
      <c r="J62" s="130">
        <f>GasModel($I$62,"He_Weiss",$D$62,$E$62,$B$62,$C$62,$G$62,$H$62,$B$11)</f>
        <v>9.7098738751133509E-8</v>
      </c>
      <c r="K62" s="130">
        <f>GasModel($I$62,"Ne_Weiss",$D$62,$E$62,$B$62,$C$62,$G$62,$H$62,$B$12)</f>
        <v>3.709653113967977E-7</v>
      </c>
      <c r="L62" s="130">
        <f>GasModel($I$62,"Ar_Weiss",$D$62,$E$62,$B$62,$C$62,$G$62,$H$62,$B$13)</f>
        <v>4.3188059252795508E-4</v>
      </c>
      <c r="M62" s="130">
        <f>GasModel($I$62,"Kr_Weiss",$D$62,$E$62,$B$62,$C$62,$G$62,$H$62,$B$14)</f>
        <v>8.9008133833010798E-8</v>
      </c>
      <c r="N62" s="130">
        <f>GasModel($I$62,"Xe_Clvr",$D$62,$E$62,$B$62,$C$62,$G$62,$H$62,$B$15)</f>
        <v>1.1765419670269125E-8</v>
      </c>
      <c r="O62" s="130">
        <f>GasModel($I$62,"N2_Weiss",$D$62,$E$62,$B$62,$C$62,$G$62,$H$62,$B$16)</f>
        <v>2.062555887721268E-2</v>
      </c>
      <c r="P62" s="130">
        <f>GasModel($I$62,"O2_B&amp;K",$D$62,$E$62,$B$62,$C$62,$G$62,$H$62,$B$17)</f>
        <v>9.0213117064847394E-3</v>
      </c>
      <c r="Q62" s="130">
        <f>GasModel($I$62,"CO2_Weiss_F",$D$62,$E$62,$B$62,$C$62,$G$62,$H$62,$B$18)</f>
        <v>3.4483106285812477E-4</v>
      </c>
      <c r="R62" s="130">
        <f>GasModel($I$62,"CH4_Wies",$D$62,$E$62,$B$62,$C$62,$G$62,$H$62,$B$19)</f>
        <v>6.6481553938754458E-8</v>
      </c>
      <c r="S62" s="130">
        <f>GasModel($I$62,"H2_Wies",$D$62,$E$62,$B$62,$C$62,$G$62,$H$62,$B$20)</f>
        <v>1.6300815054181149E-8</v>
      </c>
      <c r="T62" s="130">
        <f>GasModel($I$62,"N2O_Weiss_F",$D$62,$E$62,$B$62,$C$62,$G$62,$H$62,$B$21)</f>
        <v>2.3442508037506877E-7</v>
      </c>
      <c r="U62" s="130">
        <f>$L$62/$K$62</f>
        <v>1164.207485874603</v>
      </c>
      <c r="V62" s="130">
        <f>$M$62/$N$62</f>
        <v>7.5652323782322677</v>
      </c>
      <c r="W62" s="130">
        <f>$N$62/$K$62</f>
        <v>3.1715686908753614E-2</v>
      </c>
      <c r="X62" s="130">
        <f>$M$62/$L$62</f>
        <v>2.0609431257842274E-4</v>
      </c>
      <c r="Y62" s="130">
        <f>$O$62/$L$62</f>
        <v>47.757549734948121</v>
      </c>
      <c r="Z62" s="130" t="e">
        <f>$I$62/$I$62</f>
        <v>#VALUE!</v>
      </c>
    </row>
    <row r="63" spans="1:26">
      <c r="A63" s="130" t="s">
        <v>373</v>
      </c>
      <c r="B63" s="130">
        <f>$C$4</f>
        <v>1.43</v>
      </c>
      <c r="C63" s="130">
        <f>$D$4</f>
        <v>88</v>
      </c>
      <c r="D63" s="130">
        <v>20</v>
      </c>
      <c r="E63" s="130">
        <v>10</v>
      </c>
      <c r="F63" s="130">
        <v>0</v>
      </c>
      <c r="G63" s="130">
        <v>0</v>
      </c>
      <c r="H63" s="130">
        <v>0</v>
      </c>
      <c r="I63" s="130" t="s">
        <v>10</v>
      </c>
      <c r="J63" s="130">
        <f>GasModel($I$63,"He_Weiss",$D$63,$E$63,$B$63,$C$63,$G$63,$H$63,$B$11)</f>
        <v>9.6360557270554929E-8</v>
      </c>
      <c r="K63" s="130">
        <f>GasModel($I$63,"Ne_Weiss",$D$63,$E$63,$B$63,$C$63,$G$63,$H$63,$B$12)</f>
        <v>3.6346062486654434E-7</v>
      </c>
      <c r="L63" s="130">
        <f>GasModel($I$63,"Ar_Weiss",$D$63,$E$63,$B$63,$C$63,$G$63,$H$63,$B$13)</f>
        <v>3.9905933040989319E-4</v>
      </c>
      <c r="M63" s="130">
        <f>GasModel($I$63,"Kr_Weiss",$D$63,$E$63,$B$63,$C$63,$G$63,$H$63,$B$14)</f>
        <v>7.9639502837068303E-8</v>
      </c>
      <c r="N63" s="130">
        <f>GasModel($I$63,"Xe_Clvr",$D$63,$E$63,$B$63,$C$63,$G$63,$H$63,$B$15)</f>
        <v>1.0189228163311307E-8</v>
      </c>
      <c r="O63" s="130">
        <f>GasModel($I$63,"N2_Weiss",$D$63,$E$63,$B$63,$C$63,$G$63,$H$63,$B$16)</f>
        <v>1.9480724471118885E-2</v>
      </c>
      <c r="P63" s="130">
        <f>GasModel($I$63,"O2_B&amp;K",$D$63,$E$63,$B$63,$C$63,$G$63,$H$63,$B$17)</f>
        <v>8.3476853850270472E-3</v>
      </c>
      <c r="Q63" s="130">
        <f>GasModel($I$63,"CO2_Weiss_F",$D$63,$E$63,$B$63,$C$63,$G$63,$H$63,$B$18)</f>
        <v>2.952287515034095E-4</v>
      </c>
      <c r="R63" s="130">
        <f>GasModel($I$63,"CH4_Wies",$D$63,$E$63,$B$63,$C$63,$G$63,$H$63,$B$19)</f>
        <v>6.0988379964248028E-8</v>
      </c>
      <c r="S63" s="130">
        <f>GasModel($I$63,"H2_Wies",$D$63,$E$63,$B$63,$C$63,$G$63,$H$63,$B$20)</f>
        <v>1.5863489476275788E-8</v>
      </c>
      <c r="T63" s="130">
        <f>GasModel($I$63,"N2O_Weiss_F",$D$63,$E$63,$B$63,$C$63,$G$63,$H$63,$B$21)</f>
        <v>1.9915547356906136E-7</v>
      </c>
      <c r="U63" s="130">
        <f>$L$63/$K$63</f>
        <v>1097.9437746700073</v>
      </c>
      <c r="V63" s="130">
        <f>$M$63/$N$63</f>
        <v>7.8160486310267263</v>
      </c>
      <c r="W63" s="130">
        <f>$N$63/$K$63</f>
        <v>2.8033925730063861E-2</v>
      </c>
      <c r="X63" s="130">
        <f>$M$63/$L$63</f>
        <v>1.9956807614363186E-4</v>
      </c>
      <c r="Y63" s="130">
        <f>$O$63/$L$63</f>
        <v>48.816611933642271</v>
      </c>
      <c r="Z63" s="130" t="e">
        <f>$I$63/$I$63</f>
        <v>#VALUE!</v>
      </c>
    </row>
    <row r="64" spans="1:26">
      <c r="A64" s="130" t="s">
        <v>373</v>
      </c>
      <c r="B64" s="130">
        <f>$C$4</f>
        <v>1.43</v>
      </c>
      <c r="C64" s="130">
        <f>$D$4</f>
        <v>88</v>
      </c>
      <c r="D64" s="130">
        <v>25</v>
      </c>
      <c r="E64" s="130">
        <v>10</v>
      </c>
      <c r="F64" s="130">
        <v>0</v>
      </c>
      <c r="G64" s="130">
        <v>0</v>
      </c>
      <c r="H64" s="130">
        <v>0</v>
      </c>
      <c r="I64" s="130" t="s">
        <v>10</v>
      </c>
      <c r="J64" s="130">
        <f>GasModel($I$64,"He_Weiss",$D$64,$E$64,$B$64,$C$64,$G$64,$H$64,$B$11)</f>
        <v>9.5738547876361575E-8</v>
      </c>
      <c r="K64" s="130">
        <f>GasModel($I$64,"Ne_Weiss",$D$64,$E$64,$B$64,$C$64,$G$64,$H$64,$B$12)</f>
        <v>3.5688313673698118E-7</v>
      </c>
      <c r="L64" s="130">
        <f>GasModel($I$64,"Ar_Weiss",$D$64,$E$64,$B$64,$C$64,$G$64,$H$64,$B$13)</f>
        <v>3.7155381973873723E-4</v>
      </c>
      <c r="M64" s="130">
        <f>GasModel($I$64,"Kr_Weiss",$D$64,$E$64,$B$64,$C$64,$G$64,$H$64,$B$14)</f>
        <v>7.193272013425491E-8</v>
      </c>
      <c r="N64" s="130">
        <f>GasModel($I$64,"Xe_Clvr",$D$64,$E$64,$B$64,$C$64,$G$64,$H$64,$B$15)</f>
        <v>8.9273930444482349E-9</v>
      </c>
      <c r="O64" s="130">
        <f>GasModel($I$64,"N2_Weiss",$D$64,$E$64,$B$64,$C$64,$G$64,$H$64,$B$16)</f>
        <v>1.8522594614386087E-2</v>
      </c>
      <c r="P64" s="130">
        <f>GasModel($I$64,"O2_B&amp;K",$D$64,$E$64,$B$64,$C$64,$G$64,$H$64,$B$17)</f>
        <v>7.7855387626698577E-3</v>
      </c>
      <c r="Q64" s="130">
        <f>GasModel($I$64,"CO2_Weiss_F",$D$64,$E$64,$B$64,$C$64,$G$64,$H$64,$B$18)</f>
        <v>2.5521773089271996E-4</v>
      </c>
      <c r="R64" s="130">
        <f>GasModel($I$64,"CH4_Wies",$D$64,$E$64,$B$64,$C$64,$G$64,$H$64,$B$19)</f>
        <v>5.6423724408169071E-8</v>
      </c>
      <c r="S64" s="130">
        <f>GasModel($I$64,"H2_Wies",$D$64,$E$64,$B$64,$C$64,$G$64,$H$64,$B$20)</f>
        <v>1.5484298313087859E-8</v>
      </c>
      <c r="T64" s="130">
        <f>GasModel($I$64,"N2O_Weiss_F",$D$64,$E$64,$B$64,$C$64,$G$64,$H$64,$B$21)</f>
        <v>1.7097674093863013E-7</v>
      </c>
      <c r="U64" s="130">
        <f>$L$64/$K$64</f>
        <v>1041.1078067063959</v>
      </c>
      <c r="V64" s="130">
        <f>$M$64/$N$64</f>
        <v>8.0575280797106181</v>
      </c>
      <c r="W64" s="130">
        <f>$N$64/$K$64</f>
        <v>2.5014891782425747E-2</v>
      </c>
      <c r="X64" s="130">
        <f>$M$64/$L$64</f>
        <v>1.9359973256319991E-4</v>
      </c>
      <c r="Y64" s="130">
        <f>$O$64/$L$64</f>
        <v>49.851713615568492</v>
      </c>
      <c r="Z64" s="130" t="e">
        <f>$I$64/$I$64</f>
        <v>#VALUE!</v>
      </c>
    </row>
    <row r="65" spans="1:26">
      <c r="A65" s="130" t="s">
        <v>373</v>
      </c>
      <c r="B65" s="130">
        <f>$C$4</f>
        <v>1.43</v>
      </c>
      <c r="C65" s="130">
        <f>$D$4</f>
        <v>88</v>
      </c>
      <c r="D65" s="130">
        <v>30</v>
      </c>
      <c r="E65" s="130">
        <v>10</v>
      </c>
      <c r="F65" s="130">
        <v>0</v>
      </c>
      <c r="G65" s="130">
        <v>0</v>
      </c>
      <c r="H65" s="130">
        <v>0</v>
      </c>
      <c r="I65" s="130" t="s">
        <v>10</v>
      </c>
      <c r="J65" s="130">
        <f>GasModel($I$65,"He_Weiss",$D$65,$E$65,$B$65,$C$65,$G$65,$H$65,$B$11)</f>
        <v>9.5194502627207112E-8</v>
      </c>
      <c r="K65" s="130">
        <f>GasModel($I$65,"Ne_Weiss",$D$65,$E$65,$B$65,$C$65,$G$65,$H$65,$B$12)</f>
        <v>3.5100787688267301E-7</v>
      </c>
      <c r="L65" s="130">
        <f>GasModel($I$65,"Ar_Weiss",$D$65,$E$65,$B$65,$C$65,$G$65,$H$65,$B$13)</f>
        <v>3.4820569211253046E-4</v>
      </c>
      <c r="M65" s="130">
        <f>GasModel($I$65,"Kr_Weiss",$D$65,$E$65,$B$65,$C$65,$G$65,$H$65,$B$14)</f>
        <v>6.5528393065246576E-8</v>
      </c>
      <c r="N65" s="130">
        <f>GasModel($I$65,"Xe_Clvr",$D$65,$E$65,$B$65,$C$65,$G$65,$H$65,$B$15)</f>
        <v>7.9025100457793075E-9</v>
      </c>
      <c r="O65" s="130">
        <f>GasModel($I$65,"N2_Weiss",$D$65,$E$65,$B$65,$C$65,$G$65,$H$65,$B$16)</f>
        <v>1.7710432883580499E-2</v>
      </c>
      <c r="P65" s="130">
        <f>GasModel($I$65,"O2_B&amp;K",$D$65,$E$65,$B$65,$C$65,$G$65,$H$65,$B$17)</f>
        <v>7.3084896661286952E-3</v>
      </c>
      <c r="Q65" s="130">
        <f>GasModel($I$65,"CO2_Weiss_F",$D$65,$E$65,$B$65,$C$65,$G$65,$H$65,$B$18)</f>
        <v>2.2249161816483197E-4</v>
      </c>
      <c r="R65" s="130">
        <f>GasModel($I$65,"CH4_Wies",$D$65,$E$65,$B$65,$C$65,$G$65,$H$65,$B$19)</f>
        <v>5.2538904551378281E-8</v>
      </c>
      <c r="S65" s="130">
        <f>GasModel($I$65,"H2_Wies",$D$65,$E$65,$B$65,$C$65,$G$65,$H$65,$B$20)</f>
        <v>1.5142761760391511E-8</v>
      </c>
      <c r="T65" s="130">
        <f>GasModel($I$65,"N2O_Weiss_F",$D$65,$E$65,$B$65,$C$65,$G$65,$H$65,$B$21)</f>
        <v>1.4813811993059479E-7</v>
      </c>
      <c r="U65" s="130">
        <f>$L$65/$K$65</f>
        <v>992.0167467607024</v>
      </c>
      <c r="V65" s="130">
        <f>$M$65/$N$65</f>
        <v>8.2920986731608117</v>
      </c>
      <c r="W65" s="130">
        <f>$N$65/$K$65</f>
        <v>2.2513768397342204E-2</v>
      </c>
      <c r="X65" s="130">
        <f>$M$65/$L$65</f>
        <v>1.8818874748339728E-4</v>
      </c>
      <c r="Y65" s="130">
        <f>$O$65/$L$65</f>
        <v>50.861985558400853</v>
      </c>
      <c r="Z65" s="130" t="e">
        <f>$I$65/$I$65</f>
        <v>#VALUE!</v>
      </c>
    </row>
    <row r="66" spans="1:26">
      <c r="A66" s="130" t="s">
        <v>373</v>
      </c>
      <c r="B66" s="130">
        <f>$C$4</f>
        <v>1.43</v>
      </c>
      <c r="C66" s="130">
        <f>$D$4</f>
        <v>88</v>
      </c>
      <c r="D66" s="130">
        <v>35</v>
      </c>
      <c r="E66" s="130">
        <v>10</v>
      </c>
      <c r="F66" s="130">
        <v>0</v>
      </c>
      <c r="G66" s="130">
        <v>0</v>
      </c>
      <c r="H66" s="130">
        <v>0</v>
      </c>
      <c r="I66" s="130" t="s">
        <v>10</v>
      </c>
      <c r="J66" s="130">
        <f>GasModel($I$66,"He_Weiss",$D$66,$E$66,$B$66,$C$66,$G$66,$H$66,$B$11)</f>
        <v>9.4695445354891772E-8</v>
      </c>
      <c r="K66" s="130">
        <f>GasModel($I$66,"Ne_Weiss",$D$66,$E$66,$B$66,$C$66,$G$66,$H$66,$B$12)</f>
        <v>3.4565153951314516E-7</v>
      </c>
      <c r="L66" s="130">
        <f>GasModel($I$66,"Ar_Weiss",$D$66,$E$66,$B$66,$C$66,$G$66,$H$66,$B$13)</f>
        <v>3.2813728740215643E-4</v>
      </c>
      <c r="M66" s="130">
        <f>GasModel($I$66,"Kr_Weiss",$D$66,$E$66,$B$66,$C$66,$G$66,$H$66,$B$14)</f>
        <v>6.0155303333734792E-8</v>
      </c>
      <c r="N66" s="130">
        <f>GasModel($I$66,"Xe_Clvr",$D$66,$E$66,$B$66,$C$66,$G$66,$H$66,$B$15)</f>
        <v>7.0574667127165311E-9</v>
      </c>
      <c r="O66" s="130">
        <f>GasModel($I$66,"N2_Weiss",$D$66,$E$66,$B$66,$C$66,$G$66,$H$66,$B$16)</f>
        <v>1.7013263339364273E-2</v>
      </c>
      <c r="P66" s="130">
        <f>GasModel($I$66,"O2_B&amp;K",$D$66,$E$66,$B$66,$C$66,$G$66,$H$66,$B$17)</f>
        <v>6.89640212223935E-3</v>
      </c>
      <c r="Q66" s="130">
        <f>GasModel($I$66,"CO2_Weiss_F",$D$66,$E$66,$B$66,$C$66,$G$66,$H$66,$B$18)</f>
        <v>1.9537087572415912E-4</v>
      </c>
      <c r="R66" s="130">
        <f>GasModel($I$66,"CH4_Wies",$D$66,$E$66,$B$66,$C$66,$G$66,$H$66,$B$19)</f>
        <v>4.9155005126867236E-8</v>
      </c>
      <c r="S66" s="130">
        <f>GasModel($I$66,"H2_Wies",$D$66,$E$66,$B$66,$C$66,$G$66,$H$66,$B$20)</f>
        <v>1.4822527476317452E-8</v>
      </c>
      <c r="T66" s="130">
        <f>GasModel($I$66,"N2O_Weiss_F",$D$66,$E$66,$B$66,$C$66,$G$66,$H$66,$B$21)</f>
        <v>1.2937610422959568E-7</v>
      </c>
      <c r="U66" s="130">
        <f>$L$66/$K$66</f>
        <v>949.32974366132498</v>
      </c>
      <c r="V66" s="130">
        <f>$M$66/$N$66</f>
        <v>8.5236396829677794</v>
      </c>
      <c r="W66" s="130">
        <f>$N$66/$K$66</f>
        <v>2.0417865699823203E-2</v>
      </c>
      <c r="X66" s="130">
        <f>$M$66/$L$66</f>
        <v>1.8332358327814794E-4</v>
      </c>
      <c r="Y66" s="130">
        <f>$O$66/$L$66</f>
        <v>51.848003846369537</v>
      </c>
      <c r="Z66" s="130" t="e">
        <f>$I$66/$I$66</f>
        <v>#VALUE!</v>
      </c>
    </row>
    <row r="67" spans="1:26">
      <c r="A67" s="130" t="s">
        <v>373</v>
      </c>
      <c r="B67" s="130">
        <f>$C$4</f>
        <v>1.43</v>
      </c>
      <c r="C67" s="130">
        <f>$D$4</f>
        <v>88</v>
      </c>
      <c r="D67" s="130">
        <v>40</v>
      </c>
      <c r="E67" s="130">
        <v>10</v>
      </c>
      <c r="F67" s="130">
        <v>0</v>
      </c>
      <c r="G67" s="130">
        <v>0</v>
      </c>
      <c r="H67" s="130">
        <v>0</v>
      </c>
      <c r="I67" s="130" t="s">
        <v>10</v>
      </c>
      <c r="J67" s="130">
        <f>GasModel($I$67,"He_Weiss",$D$67,$E$67,$B$67,$C$67,$G$67,$H$67,$B$11)</f>
        <v>9.4212659089858184E-8</v>
      </c>
      <c r="K67" s="130">
        <f>GasModel($I$67,"Ne_Weiss",$D$67,$E$67,$B$67,$C$67,$G$67,$H$67,$B$12)</f>
        <v>3.4066348798794056E-7</v>
      </c>
      <c r="L67" s="130">
        <f>GasModel($I$67,"Ar_Weiss",$D$67,$E$67,$B$67,$C$67,$G$67,$H$67,$B$13)</f>
        <v>3.1067559466486548E-4</v>
      </c>
      <c r="M67" s="130">
        <f>GasModel($I$67,"Kr_Weiss",$D$67,$E$67,$B$67,$C$67,$G$67,$H$67,$B$14)</f>
        <v>5.5606395020568771E-8</v>
      </c>
      <c r="N67" s="130">
        <f>GasModel($I$67,"Xe_Clvr",$D$67,$E$67,$B$67,$C$67,$G$67,$H$67,$B$15)</f>
        <v>6.3493827320240003E-9</v>
      </c>
      <c r="O67" s="130">
        <f>GasModel($I$67,"N2_Weiss",$D$67,$E$67,$B$67,$C$67,$G$67,$H$67,$B$16)</f>
        <v>1.6407230305308503E-2</v>
      </c>
      <c r="P67" s="130">
        <f>GasModel($I$67,"O2_B&amp;K",$D$67,$E$67,$B$67,$C$67,$G$67,$H$67,$B$17)</f>
        <v>6.5338469151295653E-3</v>
      </c>
      <c r="Q67" s="130">
        <f>GasModel($I$67,"CO2_Weiss_F",$D$67,$E$67,$B$67,$C$67,$G$67,$H$67,$B$18)</f>
        <v>1.7261578076576087E-4</v>
      </c>
      <c r="R67" s="130">
        <f>GasModel($I$67,"CH4_Wies",$D$67,$E$67,$B$67,$C$67,$G$67,$H$67,$B$19)</f>
        <v>4.6142221840427835E-8</v>
      </c>
      <c r="S67" s="130">
        <f>GasModel($I$67,"H2_Wies",$D$67,$E$67,$B$67,$C$67,$G$67,$H$67,$B$20)</f>
        <v>1.4510506543479207E-8</v>
      </c>
      <c r="T67" s="130">
        <f>GasModel($I$67,"N2O_Weiss_F",$D$67,$E$67,$B$67,$C$67,$G$67,$H$67,$B$21)</f>
        <v>1.1376577730285161E-7</v>
      </c>
      <c r="U67" s="130">
        <f>$L$67/$K$67</f>
        <v>911.97209451417154</v>
      </c>
      <c r="V67" s="130">
        <f>$M$67/$N$67</f>
        <v>8.7577639224849584</v>
      </c>
      <c r="W67" s="130">
        <f>$N$67/$K$67</f>
        <v>1.8638283690234417E-2</v>
      </c>
      <c r="X67" s="130">
        <f>$M$67/$L$67</f>
        <v>1.7898539819503027E-4</v>
      </c>
      <c r="Y67" s="130">
        <f>$O$67/$L$67</f>
        <v>52.811455380032164</v>
      </c>
      <c r="Z67" s="130" t="e">
        <f>$I$67/$I$67</f>
        <v>#VALUE!</v>
      </c>
    </row>
    <row r="68" spans="1:26">
      <c r="A68" s="130" t="s">
        <v>374</v>
      </c>
      <c r="B68" s="130">
        <f>$C$4</f>
        <v>1.43</v>
      </c>
      <c r="C68" s="130">
        <f>$D$4</f>
        <v>88</v>
      </c>
      <c r="D68" s="130">
        <f>$E$4</f>
        <v>9</v>
      </c>
      <c r="E68" s="130">
        <v>0</v>
      </c>
      <c r="F68" s="130">
        <v>0</v>
      </c>
      <c r="G68" s="130">
        <v>0</v>
      </c>
      <c r="H68" s="130">
        <f>$F$4</f>
        <v>0</v>
      </c>
      <c r="I68" s="130" t="s">
        <v>10</v>
      </c>
      <c r="J68" s="130">
        <f>GasModel($I$68,"He_Weiss",$D$68,$E$68,$B$68,$C$68,$G$68,$H$68,$B$11)</f>
        <v>4.5801625813110745E-8</v>
      </c>
      <c r="K68" s="130">
        <f>GasModel($I$68,"Ne_Weiss",$D$68,$E$68,$B$68,$C$68,$G$68,$H$68,$B$12)</f>
        <v>1.9979275997402081E-7</v>
      </c>
      <c r="L68" s="130">
        <f>GasModel($I$68,"Ar_Weiss",$D$68,$E$68,$B$68,$C$68,$G$68,$H$68,$B$13)</f>
        <v>3.8710057276987686E-4</v>
      </c>
      <c r="M68" s="130">
        <f>GasModel($I$68,"Kr_Weiss",$D$68,$E$68,$B$68,$C$68,$G$68,$H$68,$B$14)</f>
        <v>9.1734378529226385E-8</v>
      </c>
      <c r="N68" s="130">
        <f>GasModel($I$68,"Xe_Clvr",$D$68,$E$68,$B$68,$C$68,$G$68,$H$68,$B$15)</f>
        <v>1.3354784764069788E-8</v>
      </c>
      <c r="O68" s="130">
        <f>GasModel($I$68,"N2_Weiss",$D$68,$E$68,$B$68,$C$68,$G$68,$H$68,$B$16)</f>
        <v>1.4515154556488738E-2</v>
      </c>
      <c r="P68" s="130">
        <f>GasModel($I$68,"O2_B&amp;K",$D$68,$E$68,$B$68,$C$68,$G$68,$H$68,$B$17)</f>
        <v>7.9314883396750802E-3</v>
      </c>
      <c r="Q68" s="130">
        <f>GasModel($I$68,"CO2_Weiss_F",$D$68,$E$68,$B$68,$C$68,$G$68,$H$68,$B$18)</f>
        <v>4.1812776237247669E-4</v>
      </c>
      <c r="R68" s="130">
        <f>GasModel($I$68,"CH4_Wies",$D$68,$E$68,$B$68,$C$68,$G$68,$H$68,$B$19)</f>
        <v>6.0702595230347074E-8</v>
      </c>
      <c r="S68" s="130">
        <f>GasModel($I$68,"H2_Wies",$D$68,$E$68,$B$68,$C$68,$G$68,$H$68,$B$20)</f>
        <v>1.113939618025171E-8</v>
      </c>
      <c r="T68" s="130">
        <f>GasModel($I$68,"N2O_Weiss_F",$D$68,$E$68,$B$68,$C$68,$G$68,$H$68,$B$21)</f>
        <v>2.8644696785132585E-7</v>
      </c>
      <c r="U68" s="130">
        <f>$L$68/$K$68</f>
        <v>1937.5105124941056</v>
      </c>
      <c r="V68" s="130">
        <f>$M$68/$N$68</f>
        <v>6.8690271052538403</v>
      </c>
      <c r="W68" s="130">
        <f>$N$68/$K$68</f>
        <v>6.6843186739130686E-2</v>
      </c>
      <c r="X68" s="130">
        <f>$M$68/$L$68</f>
        <v>2.3697815240320127E-4</v>
      </c>
      <c r="Y68" s="130">
        <f>$O$68/$L$68</f>
        <v>37.497114645494705</v>
      </c>
      <c r="Z68" s="130" t="e">
        <f>$I$68/$I$68</f>
        <v>#VALUE!</v>
      </c>
    </row>
    <row r="69" spans="1:26">
      <c r="A69" s="130" t="s">
        <v>374</v>
      </c>
      <c r="B69" s="130">
        <f>$C$4</f>
        <v>1.43</v>
      </c>
      <c r="C69" s="130">
        <f>$D$4</f>
        <v>88</v>
      </c>
      <c r="D69" s="130">
        <f>$E$4</f>
        <v>9</v>
      </c>
      <c r="E69" s="130">
        <v>1</v>
      </c>
      <c r="F69" s="130">
        <v>0</v>
      </c>
      <c r="G69" s="130">
        <v>0</v>
      </c>
      <c r="H69" s="130">
        <f>$F$4</f>
        <v>0</v>
      </c>
      <c r="I69" s="130" t="s">
        <v>10</v>
      </c>
      <c r="J69" s="130">
        <f>GasModel($I$69,"He_Weiss",$D$69,$E$69,$B$69,$C$69,$G$69,$H$69,$B$11)</f>
        <v>5.1041625813110744E-8</v>
      </c>
      <c r="K69" s="130">
        <f>GasModel($I$69,"Ne_Weiss",$D$69,$E$69,$B$69,$C$69,$G$69,$H$69,$B$12)</f>
        <v>2.179727599740208E-7</v>
      </c>
      <c r="L69" s="130">
        <f>GasModel($I$69,"Ar_Weiss",$D$69,$E$69,$B$69,$C$69,$G$69,$H$69,$B$13)</f>
        <v>3.9644057276987685E-4</v>
      </c>
      <c r="M69" s="130">
        <f>GasModel($I$69,"Kr_Weiss",$D$69,$E$69,$B$69,$C$69,$G$69,$H$69,$B$14)</f>
        <v>9.287437852922638E-8</v>
      </c>
      <c r="N69" s="130">
        <f>GasModel($I$69,"Xe_Clvr",$D$69,$E$69,$B$69,$C$69,$G$69,$H$69,$B$15)</f>
        <v>1.3441784764069787E-8</v>
      </c>
      <c r="O69" s="130">
        <f>GasModel($I$69,"N2_Weiss",$D$69,$E$69,$B$69,$C$69,$G$69,$H$69,$B$16)</f>
        <v>1.5295994556488737E-2</v>
      </c>
      <c r="P69" s="130">
        <f>GasModel($I$69,"O2_B&amp;K",$D$69,$E$69,$B$69,$C$69,$G$69,$H$69,$B$17)</f>
        <v>8.1409883396750798E-3</v>
      </c>
      <c r="Q69" s="130">
        <f>GasModel($I$69,"CO2_Weiss_F",$D$69,$E$69,$B$69,$C$69,$G$69,$H$69,$B$18)</f>
        <v>4.1847776237247667E-4</v>
      </c>
      <c r="R69" s="130">
        <f>GasModel($I$69,"CH4_Wies",$D$69,$E$69,$B$69,$C$69,$G$69,$H$69,$B$19)</f>
        <v>6.2112595230347071E-8</v>
      </c>
      <c r="S69" s="130">
        <f>GasModel($I$69,"H2_Wies",$D$69,$E$69,$B$69,$C$69,$G$69,$H$69,$B$20)</f>
        <v>1.1719396180251709E-8</v>
      </c>
      <c r="T69" s="130">
        <f>GasModel($I$69,"N2O_Weiss_F",$D$69,$E$69,$B$69,$C$69,$G$69,$H$69,$B$21)</f>
        <v>2.8676696785132584E-7</v>
      </c>
      <c r="U69" s="130">
        <f>$L$69/$K$69</f>
        <v>1818.761999513732</v>
      </c>
      <c r="V69" s="130">
        <f>$M$69/$N$69</f>
        <v>6.9093784909785061</v>
      </c>
      <c r="W69" s="130">
        <f>$N$69/$K$69</f>
        <v>6.1667268725100574E-2</v>
      </c>
      <c r="X69" s="130">
        <f>$M$69/$L$69</f>
        <v>2.3427061937764245E-4</v>
      </c>
      <c r="Y69" s="130">
        <f>$O$69/$L$69</f>
        <v>38.583322714972603</v>
      </c>
      <c r="Z69" s="130" t="e">
        <f>$I$69/$I$69</f>
        <v>#VALUE!</v>
      </c>
    </row>
    <row r="70" spans="1:26">
      <c r="A70" s="130" t="s">
        <v>374</v>
      </c>
      <c r="B70" s="130">
        <f>$C$4</f>
        <v>1.43</v>
      </c>
      <c r="C70" s="130">
        <f>$D$4</f>
        <v>88</v>
      </c>
      <c r="D70" s="130">
        <f>$E$4</f>
        <v>9</v>
      </c>
      <c r="E70" s="130">
        <v>2</v>
      </c>
      <c r="F70" s="130">
        <v>0</v>
      </c>
      <c r="G70" s="130">
        <v>0</v>
      </c>
      <c r="H70" s="130">
        <f>$F$4</f>
        <v>0</v>
      </c>
      <c r="I70" s="130" t="s">
        <v>10</v>
      </c>
      <c r="J70" s="130">
        <f>GasModel($I$70,"He_Weiss",$D$70,$E$70,$B$70,$C$70,$G$70,$H$70,$B$11)</f>
        <v>5.6281625813110744E-8</v>
      </c>
      <c r="K70" s="130">
        <f>GasModel($I$70,"Ne_Weiss",$D$70,$E$70,$B$70,$C$70,$G$70,$H$70,$B$12)</f>
        <v>2.3615275997402082E-7</v>
      </c>
      <c r="L70" s="130">
        <f>GasModel($I$70,"Ar_Weiss",$D$70,$E$70,$B$70,$C$70,$G$70,$H$70,$B$13)</f>
        <v>4.0578057276987684E-4</v>
      </c>
      <c r="M70" s="130">
        <f>GasModel($I$70,"Kr_Weiss",$D$70,$E$70,$B$70,$C$70,$G$70,$H$70,$B$14)</f>
        <v>9.4014378529226389E-8</v>
      </c>
      <c r="N70" s="130">
        <f>GasModel($I$70,"Xe_Clvr",$D$70,$E$70,$B$70,$C$70,$G$70,$H$70,$B$15)</f>
        <v>1.3528784764069788E-8</v>
      </c>
      <c r="O70" s="130">
        <f>GasModel($I$70,"N2_Weiss",$D$70,$E$70,$B$70,$C$70,$G$70,$H$70,$B$16)</f>
        <v>1.6076834556488739E-2</v>
      </c>
      <c r="P70" s="130">
        <f>GasModel($I$70,"O2_B&amp;K",$D$70,$E$70,$B$70,$C$70,$G$70,$H$70,$B$17)</f>
        <v>8.3504883396750794E-3</v>
      </c>
      <c r="Q70" s="130">
        <f>GasModel($I$70,"CO2_Weiss_F",$D$70,$E$70,$B$70,$C$70,$G$70,$H$70,$B$18)</f>
        <v>4.1882776237247671E-4</v>
      </c>
      <c r="R70" s="130">
        <f>GasModel($I$70,"CH4_Wies",$D$70,$E$70,$B$70,$C$70,$G$70,$H$70,$B$19)</f>
        <v>6.3522595230347069E-8</v>
      </c>
      <c r="S70" s="130">
        <f>GasModel($I$70,"H2_Wies",$D$70,$E$70,$B$70,$C$70,$G$70,$H$70,$B$20)</f>
        <v>1.229939618025171E-8</v>
      </c>
      <c r="T70" s="130">
        <f>GasModel($I$70,"N2O_Weiss_F",$D$70,$E$70,$B$70,$C$70,$G$70,$H$70,$B$21)</f>
        <v>2.8708696785132584E-7</v>
      </c>
      <c r="U70" s="130">
        <f>$L$70/$K$70</f>
        <v>1718.2969735967379</v>
      </c>
      <c r="V70" s="130">
        <f>$M$70/$N$70</f>
        <v>6.9492108987433232</v>
      </c>
      <c r="W70" s="130">
        <f>$N$70/$K$70</f>
        <v>5.7288277153983255E-2</v>
      </c>
      <c r="X70" s="130">
        <f>$M$70/$L$70</f>
        <v>2.3168772690984173E-4</v>
      </c>
      <c r="Y70" s="130">
        <f>$O$70/$L$70</f>
        <v>39.619527486857066</v>
      </c>
      <c r="Z70" s="130" t="e">
        <f>$I$70/$I$70</f>
        <v>#VALUE!</v>
      </c>
    </row>
    <row r="71" spans="1:26">
      <c r="A71" s="130" t="s">
        <v>374</v>
      </c>
      <c r="B71" s="130">
        <f>$C$4</f>
        <v>1.43</v>
      </c>
      <c r="C71" s="130">
        <f>$D$4</f>
        <v>88</v>
      </c>
      <c r="D71" s="130">
        <f>$E$4</f>
        <v>9</v>
      </c>
      <c r="E71" s="130">
        <v>3</v>
      </c>
      <c r="F71" s="130">
        <v>0</v>
      </c>
      <c r="G71" s="130">
        <v>0</v>
      </c>
      <c r="H71" s="130">
        <f>$F$4</f>
        <v>0</v>
      </c>
      <c r="I71" s="130" t="s">
        <v>10</v>
      </c>
      <c r="J71" s="130">
        <f>GasModel($I$71,"He_Weiss",$D$71,$E$71,$B$71,$C$71,$G$71,$H$71,$B$11)</f>
        <v>6.152162581311075E-8</v>
      </c>
      <c r="K71" s="130">
        <f>GasModel($I$71,"Ne_Weiss",$D$71,$E$71,$B$71,$C$71,$G$71,$H$71,$B$12)</f>
        <v>2.5433275997402079E-7</v>
      </c>
      <c r="L71" s="130">
        <f>GasModel($I$71,"Ar_Weiss",$D$71,$E$71,$B$71,$C$71,$G$71,$H$71,$B$13)</f>
        <v>4.1512057276987688E-4</v>
      </c>
      <c r="M71" s="130">
        <f>GasModel($I$71,"Kr_Weiss",$D$71,$E$71,$B$71,$C$71,$G$71,$H$71,$B$14)</f>
        <v>9.5154378529226385E-8</v>
      </c>
      <c r="N71" s="130">
        <f>GasModel($I$71,"Xe_Clvr",$D$71,$E$71,$B$71,$C$71,$G$71,$H$71,$B$15)</f>
        <v>1.3615784764069787E-8</v>
      </c>
      <c r="O71" s="130">
        <f>GasModel($I$71,"N2_Weiss",$D$71,$E$71,$B$71,$C$71,$G$71,$H$71,$B$16)</f>
        <v>1.6857674556488737E-2</v>
      </c>
      <c r="P71" s="130">
        <f>GasModel($I$71,"O2_B&amp;K",$D$71,$E$71,$B$71,$C$71,$G$71,$H$71,$B$17)</f>
        <v>8.5599883396750807E-3</v>
      </c>
      <c r="Q71" s="130">
        <f>GasModel($I$71,"CO2_Weiss_F",$D$71,$E$71,$B$71,$C$71,$G$71,$H$71,$B$18)</f>
        <v>4.1917776237247669E-4</v>
      </c>
      <c r="R71" s="130">
        <f>GasModel($I$71,"CH4_Wies",$D$71,$E$71,$B$71,$C$71,$G$71,$H$71,$B$19)</f>
        <v>6.4932595230347079E-8</v>
      </c>
      <c r="S71" s="130">
        <f>GasModel($I$71,"H2_Wies",$D$71,$E$71,$B$71,$C$71,$G$71,$H$71,$B$20)</f>
        <v>1.2879396180251709E-8</v>
      </c>
      <c r="T71" s="130">
        <f>GasModel($I$71,"N2O_Weiss_F",$D$71,$E$71,$B$71,$C$71,$G$71,$H$71,$B$21)</f>
        <v>2.8740696785132583E-7</v>
      </c>
      <c r="U71" s="130">
        <f>$L$71/$K$71</f>
        <v>1632.1946603036117</v>
      </c>
      <c r="V71" s="130">
        <f>$M$71/$N$71</f>
        <v>6.9885342767995207</v>
      </c>
      <c r="W71" s="130">
        <f>$N$71/$K$71</f>
        <v>5.3535316352720713E-2</v>
      </c>
      <c r="X71" s="130">
        <f>$M$71/$L$71</f>
        <v>2.2922106195390961E-4</v>
      </c>
      <c r="Y71" s="130">
        <f>$O$71/$L$71</f>
        <v>40.609104106805688</v>
      </c>
      <c r="Z71" s="130" t="e">
        <f>$I$71/$I$71</f>
        <v>#VALUE!</v>
      </c>
    </row>
    <row r="72" spans="1:26">
      <c r="A72" s="130" t="s">
        <v>374</v>
      </c>
      <c r="B72" s="130">
        <f>$C$4</f>
        <v>1.43</v>
      </c>
      <c r="C72" s="130">
        <f>$D$4</f>
        <v>88</v>
      </c>
      <c r="D72" s="130">
        <f>$E$4</f>
        <v>9</v>
      </c>
      <c r="E72" s="130">
        <v>4</v>
      </c>
      <c r="F72" s="130">
        <v>0</v>
      </c>
      <c r="G72" s="130">
        <v>0</v>
      </c>
      <c r="H72" s="130">
        <f>$F$4</f>
        <v>0</v>
      </c>
      <c r="I72" s="130" t="s">
        <v>10</v>
      </c>
      <c r="J72" s="130">
        <f>GasModel($I$72,"He_Weiss",$D$72,$E$72,$B$72,$C$72,$G$72,$H$72,$B$11)</f>
        <v>6.6761625813110749E-8</v>
      </c>
      <c r="K72" s="130">
        <f>GasModel($I$72,"Ne_Weiss",$D$72,$E$72,$B$72,$C$72,$G$72,$H$72,$B$12)</f>
        <v>2.7251275997402081E-7</v>
      </c>
      <c r="L72" s="130">
        <f>GasModel($I$72,"Ar_Weiss",$D$72,$E$72,$B$72,$C$72,$G$72,$H$72,$B$13)</f>
        <v>4.2446057276987687E-4</v>
      </c>
      <c r="M72" s="130">
        <f>GasModel($I$72,"Kr_Weiss",$D$72,$E$72,$B$72,$C$72,$G$72,$H$72,$B$14)</f>
        <v>9.6294378529226381E-8</v>
      </c>
      <c r="N72" s="130">
        <f>GasModel($I$72,"Xe_Clvr",$D$72,$E$72,$B$72,$C$72,$G$72,$H$72,$B$15)</f>
        <v>1.3702784764069787E-8</v>
      </c>
      <c r="O72" s="130">
        <f>GasModel($I$72,"N2_Weiss",$D$72,$E$72,$B$72,$C$72,$G$72,$H$72,$B$16)</f>
        <v>1.7638514556488738E-2</v>
      </c>
      <c r="P72" s="130">
        <f>GasModel($I$72,"O2_B&amp;K",$D$72,$E$72,$B$72,$C$72,$G$72,$H$72,$B$17)</f>
        <v>8.7694883396750804E-3</v>
      </c>
      <c r="Q72" s="130">
        <f>GasModel($I$72,"CO2_Weiss_F",$D$72,$E$72,$B$72,$C$72,$G$72,$H$72,$B$18)</f>
        <v>4.1952776237247667E-4</v>
      </c>
      <c r="R72" s="130">
        <f>GasModel($I$72,"CH4_Wies",$D$72,$E$72,$B$72,$C$72,$G$72,$H$72,$B$19)</f>
        <v>6.6342595230347077E-8</v>
      </c>
      <c r="S72" s="130">
        <f>GasModel($I$72,"H2_Wies",$D$72,$E$72,$B$72,$C$72,$G$72,$H$72,$B$20)</f>
        <v>1.345939618025171E-8</v>
      </c>
      <c r="T72" s="130">
        <f>GasModel($I$72,"N2O_Weiss_F",$D$72,$E$72,$B$72,$C$72,$G$72,$H$72,$B$21)</f>
        <v>2.8772696785132587E-7</v>
      </c>
      <c r="U72" s="130">
        <f>$L$72/$K$72</f>
        <v>1557.5805434224128</v>
      </c>
      <c r="V72" s="130">
        <f>$M$72/$N$72</f>
        <v>7.0273583207495793</v>
      </c>
      <c r="W72" s="130">
        <f>$N$72/$K$72</f>
        <v>5.0283094139797715E-2</v>
      </c>
      <c r="X72" s="130">
        <f>$M$72/$L$72</f>
        <v>2.2686295196004645E-4</v>
      </c>
      <c r="Y72" s="130">
        <f>$O$72/$L$72</f>
        <v>41.55513064826291</v>
      </c>
      <c r="Z72" s="130" t="e">
        <f>$I$72/$I$72</f>
        <v>#VALUE!</v>
      </c>
    </row>
    <row r="73" spans="1:26">
      <c r="A73" s="130" t="s">
        <v>374</v>
      </c>
      <c r="B73" s="130">
        <f>$C$4</f>
        <v>1.43</v>
      </c>
      <c r="C73" s="130">
        <f>$D$4</f>
        <v>88</v>
      </c>
      <c r="D73" s="130">
        <f>$E$4</f>
        <v>9</v>
      </c>
      <c r="E73" s="130">
        <v>5</v>
      </c>
      <c r="F73" s="130">
        <v>0</v>
      </c>
      <c r="G73" s="130">
        <v>0</v>
      </c>
      <c r="H73" s="130">
        <f>$F$4</f>
        <v>0</v>
      </c>
      <c r="I73" s="130" t="s">
        <v>10</v>
      </c>
      <c r="J73" s="130">
        <f>GasModel($I$73,"He_Weiss",$D$73,$E$73,$B$73,$C$73,$G$73,$H$73,$B$11)</f>
        <v>7.2001625813110748E-8</v>
      </c>
      <c r="K73" s="130">
        <f>GasModel($I$73,"Ne_Weiss",$D$73,$E$73,$B$73,$C$73,$G$73,$H$73,$B$12)</f>
        <v>2.9069275997402078E-7</v>
      </c>
      <c r="L73" s="130">
        <f>GasModel($I$73,"Ar_Weiss",$D$73,$E$73,$B$73,$C$73,$G$73,$H$73,$B$13)</f>
        <v>4.3380057276987686E-4</v>
      </c>
      <c r="M73" s="130">
        <f>GasModel($I$73,"Kr_Weiss",$D$73,$E$73,$B$73,$C$73,$G$73,$H$73,$B$14)</f>
        <v>9.7434378529226389E-8</v>
      </c>
      <c r="N73" s="130">
        <f>GasModel($I$73,"Xe_Clvr",$D$73,$E$73,$B$73,$C$73,$G$73,$H$73,$B$15)</f>
        <v>1.3789784764069788E-8</v>
      </c>
      <c r="O73" s="130">
        <f>GasModel($I$73,"N2_Weiss",$D$73,$E$73,$B$73,$C$73,$G$73,$H$73,$B$16)</f>
        <v>1.8419354556488736E-2</v>
      </c>
      <c r="P73" s="130">
        <f>GasModel($I$73,"O2_B&amp;K",$D$73,$E$73,$B$73,$C$73,$G$73,$H$73,$B$17)</f>
        <v>8.97898833967508E-3</v>
      </c>
      <c r="Q73" s="130">
        <f>GasModel($I$73,"CO2_Weiss_F",$D$73,$E$73,$B$73,$C$73,$G$73,$H$73,$B$18)</f>
        <v>4.198777623724767E-4</v>
      </c>
      <c r="R73" s="130">
        <f>GasModel($I$73,"CH4_Wies",$D$73,$E$73,$B$73,$C$73,$G$73,$H$73,$B$19)</f>
        <v>6.7752595230347074E-8</v>
      </c>
      <c r="S73" s="130">
        <f>GasModel($I$73,"H2_Wies",$D$73,$E$73,$B$73,$C$73,$G$73,$H$73,$B$20)</f>
        <v>1.4039396180251709E-8</v>
      </c>
      <c r="T73" s="130">
        <f>GasModel($I$73,"N2O_Weiss_F",$D$73,$E$73,$B$73,$C$73,$G$73,$H$73,$B$21)</f>
        <v>2.8804696785132587E-7</v>
      </c>
      <c r="U73" s="130">
        <f>$L$73/$K$73</f>
        <v>1492.299198675074</v>
      </c>
      <c r="V73" s="130">
        <f>$M$73/$N$73</f>
        <v>7.0656924815170585</v>
      </c>
      <c r="W73" s="130">
        <f>$N$73/$K$73</f>
        <v>4.7437661554770687E-2</v>
      </c>
      <c r="X73" s="130">
        <f>$M$73/$L$73</f>
        <v>2.2460638515780273E-4</v>
      </c>
      <c r="Y73" s="130">
        <f>$O$73/$L$73</f>
        <v>42.460420093220719</v>
      </c>
      <c r="Z73" s="130" t="e">
        <f>$I$73/$I$73</f>
        <v>#VALUE!</v>
      </c>
    </row>
    <row r="74" spans="1:26">
      <c r="A74" s="130" t="s">
        <v>374</v>
      </c>
      <c r="B74" s="130">
        <f>$C$4</f>
        <v>1.43</v>
      </c>
      <c r="C74" s="130">
        <f>$D$4</f>
        <v>88</v>
      </c>
      <c r="D74" s="130">
        <f>$E$4</f>
        <v>9</v>
      </c>
      <c r="E74" s="130">
        <v>10</v>
      </c>
      <c r="F74" s="130">
        <v>0</v>
      </c>
      <c r="G74" s="130">
        <v>0</v>
      </c>
      <c r="H74" s="130">
        <f>$F$4</f>
        <v>0</v>
      </c>
      <c r="I74" s="130" t="s">
        <v>10</v>
      </c>
      <c r="J74" s="130">
        <f>GasModel($I$74,"He_Weiss",$D$74,$E$74,$B$74,$C$74,$G$74,$H$74,$B$11)</f>
        <v>9.8201625813110745E-8</v>
      </c>
      <c r="K74" s="130">
        <f>GasModel($I$74,"Ne_Weiss",$D$74,$E$74,$B$74,$C$74,$G$74,$H$74,$B$12)</f>
        <v>3.8159275997402084E-7</v>
      </c>
      <c r="L74" s="130">
        <f>GasModel($I$74,"Ar_Weiss",$D$74,$E$74,$B$74,$C$74,$G$74,$H$74,$B$13)</f>
        <v>4.8050057276987685E-4</v>
      </c>
      <c r="M74" s="130">
        <f>GasModel($I$74,"Kr_Weiss",$D$74,$E$74,$B$74,$C$74,$G$74,$H$74,$B$14)</f>
        <v>1.0313437852922638E-7</v>
      </c>
      <c r="N74" s="130">
        <f>GasModel($I$74,"Xe_Clvr",$D$74,$E$74,$B$74,$C$74,$G$74,$H$74,$B$15)</f>
        <v>1.4224784764069788E-8</v>
      </c>
      <c r="O74" s="130">
        <f>GasModel($I$74,"N2_Weiss",$D$74,$E$74,$B$74,$C$74,$G$74,$H$74,$B$16)</f>
        <v>2.2323554556488739E-2</v>
      </c>
      <c r="P74" s="130">
        <f>GasModel($I$74,"O2_B&amp;K",$D$74,$E$74,$B$74,$C$74,$G$74,$H$74,$B$17)</f>
        <v>1.002648833967508E-2</v>
      </c>
      <c r="Q74" s="130">
        <f>GasModel($I$74,"CO2_Weiss_F",$D$74,$E$74,$B$74,$C$74,$G$74,$H$74,$B$18)</f>
        <v>4.2162776237247667E-4</v>
      </c>
      <c r="R74" s="130">
        <f>GasModel($I$74,"CH4_Wies",$D$74,$E$74,$B$74,$C$74,$G$74,$H$74,$B$19)</f>
        <v>7.4802595230347074E-8</v>
      </c>
      <c r="S74" s="130">
        <f>GasModel($I$74,"H2_Wies",$D$74,$E$74,$B$74,$C$74,$G$74,$H$74,$B$20)</f>
        <v>1.6939396180251709E-8</v>
      </c>
      <c r="T74" s="130">
        <f>GasModel($I$74,"N2O_Weiss_F",$D$74,$E$74,$B$74,$C$74,$G$74,$H$74,$B$21)</f>
        <v>2.8964696785132583E-7</v>
      </c>
      <c r="U74" s="130">
        <f>$L$74/$K$74</f>
        <v>1259.1972992427575</v>
      </c>
      <c r="V74" s="130">
        <f>$M$74/$N$74</f>
        <v>7.2503296351964677</v>
      </c>
      <c r="W74" s="130">
        <f>$N$74/$K$74</f>
        <v>3.727739689043949E-2</v>
      </c>
      <c r="X74" s="130">
        <f>$M$74/$L$74</f>
        <v>2.1463944971949052E-4</v>
      </c>
      <c r="Y74" s="130">
        <f>$O$74/$L$74</f>
        <v>46.458955142973409</v>
      </c>
      <c r="Z74" s="130" t="e">
        <f>$I$74/$I$74</f>
        <v>#VALUE!</v>
      </c>
    </row>
    <row r="75" spans="1:26">
      <c r="A75" s="130" t="s">
        <v>375</v>
      </c>
      <c r="B75" s="130">
        <f>$C$4</f>
        <v>1.43</v>
      </c>
      <c r="C75" s="130">
        <f>$D$4</f>
        <v>88</v>
      </c>
      <c r="D75" s="130">
        <f>$E$4</f>
        <v>9</v>
      </c>
      <c r="E75" s="130">
        <f>$H$4</f>
        <v>3</v>
      </c>
      <c r="F75" s="130">
        <v>0</v>
      </c>
      <c r="G75" s="130">
        <v>0</v>
      </c>
      <c r="H75" s="130">
        <v>0</v>
      </c>
      <c r="I75" s="130" t="s">
        <v>10</v>
      </c>
      <c r="J75" s="130">
        <f>GasModel($I$75,"He_Weiss",$D$75,$E$75,$B$75,$C$75,$G$75,$H$75,$B$11)</f>
        <v>6.152162581311075E-8</v>
      </c>
      <c r="K75" s="130">
        <f>GasModel($I$75,"Ne_Weiss",$D$75,$E$75,$B$75,$C$75,$G$75,$H$75,$B$12)</f>
        <v>2.5433275997402079E-7</v>
      </c>
      <c r="L75" s="130">
        <f>GasModel($I$75,"Ar_Weiss",$D$75,$E$75,$B$75,$C$75,$G$75,$H$75,$B$13)</f>
        <v>4.1512057276987688E-4</v>
      </c>
      <c r="M75" s="130">
        <f>GasModel($I$75,"Kr_Weiss",$D$75,$E$75,$B$75,$C$75,$G$75,$H$75,$B$14)</f>
        <v>9.5154378529226385E-8</v>
      </c>
      <c r="N75" s="130">
        <f>GasModel($I$75,"Xe_Clvr",$D$75,$E$75,$B$75,$C$75,$G$75,$H$75,$B$15)</f>
        <v>1.3615784764069787E-8</v>
      </c>
      <c r="O75" s="130">
        <f>GasModel($I$75,"N2_Weiss",$D$75,$E$75,$B$75,$C$75,$G$75,$H$75,$B$16)</f>
        <v>1.6857674556488737E-2</v>
      </c>
      <c r="P75" s="130">
        <f>GasModel($I$75,"O2_B&amp;K",$D$75,$E$75,$B$75,$C$75,$G$75,$H$75,$B$17)</f>
        <v>8.5599883396750807E-3</v>
      </c>
      <c r="Q75" s="130">
        <f>GasModel($I$75,"CO2_Weiss_F",$D$75,$E$75,$B$75,$C$75,$G$75,$H$75,$B$18)</f>
        <v>4.1917776237247669E-4</v>
      </c>
      <c r="R75" s="130">
        <f>GasModel($I$75,"CH4_Wies",$D$75,$E$75,$B$75,$C$75,$G$75,$H$75,$B$19)</f>
        <v>6.4932595230347079E-8</v>
      </c>
      <c r="S75" s="130">
        <f>GasModel($I$75,"H2_Wies",$D$75,$E$75,$B$75,$C$75,$G$75,$H$75,$B$20)</f>
        <v>1.2879396180251709E-8</v>
      </c>
      <c r="T75" s="130">
        <f>GasModel($I$75,"N2O_Weiss_F",$D$75,$E$75,$B$75,$C$75,$G$75,$H$75,$B$21)</f>
        <v>2.8740696785132583E-7</v>
      </c>
      <c r="U75" s="130">
        <f>$L$75/$K$75</f>
        <v>1632.1946603036117</v>
      </c>
      <c r="V75" s="130">
        <f>$M$75/$N$75</f>
        <v>6.9885342767995207</v>
      </c>
      <c r="W75" s="130">
        <f>$N$75/$K$75</f>
        <v>5.3535316352720713E-2</v>
      </c>
      <c r="X75" s="130">
        <f>$M$75/$L$75</f>
        <v>2.2922106195390961E-4</v>
      </c>
      <c r="Y75" s="130">
        <f>$O$75/$L$75</f>
        <v>40.609104106805688</v>
      </c>
      <c r="Z75" s="130" t="e">
        <f>$I$75/$I$75</f>
        <v>#VALUE!</v>
      </c>
    </row>
    <row r="76" spans="1:26">
      <c r="A76" s="130" t="s">
        <v>375</v>
      </c>
      <c r="B76" s="130">
        <f>$C$4</f>
        <v>1.43</v>
      </c>
      <c r="C76" s="130">
        <f>$D$4</f>
        <v>88</v>
      </c>
      <c r="D76" s="130">
        <f>$E$4</f>
        <v>9</v>
      </c>
      <c r="E76" s="130">
        <f>$H$4</f>
        <v>3</v>
      </c>
      <c r="F76" s="130">
        <v>0</v>
      </c>
      <c r="G76" s="130">
        <v>0</v>
      </c>
      <c r="H76" s="130">
        <v>1</v>
      </c>
      <c r="I76" s="130" t="s">
        <v>10</v>
      </c>
      <c r="J76" s="130">
        <f>GasModel($I$76,"He_Weiss",$D$76,$E$76,$B$76,$C$76,$G$76,$H$76,$B$11)</f>
        <v>6.152162581311075E-8</v>
      </c>
      <c r="K76" s="130">
        <f>GasModel($I$76,"Ne_Weiss",$D$76,$E$76,$B$76,$C$76,$G$76,$H$76,$B$12)</f>
        <v>2.5433275997402079E-7</v>
      </c>
      <c r="L76" s="130">
        <f>GasModel($I$76,"Ar_Weiss",$D$76,$E$76,$B$76,$C$76,$G$76,$H$76,$B$13)</f>
        <v>4.1512057276987688E-4</v>
      </c>
      <c r="M76" s="130">
        <f>GasModel($I$76,"Kr_Weiss",$D$76,$E$76,$B$76,$C$76,$G$76,$H$76,$B$14)</f>
        <v>9.5154378529226385E-8</v>
      </c>
      <c r="N76" s="130">
        <f>GasModel($I$76,"Xe_Clvr",$D$76,$E$76,$B$76,$C$76,$G$76,$H$76,$B$15)</f>
        <v>1.3615784764069787E-8</v>
      </c>
      <c r="O76" s="130">
        <f>GasModel($I$76,"N2_Weiss",$D$76,$E$76,$B$76,$C$76,$G$76,$H$76,$B$16)</f>
        <v>1.7657035068079467E-2</v>
      </c>
      <c r="P76" s="130">
        <f>GasModel($I$76,"O2_B&amp;K",$D$76,$E$76,$B$76,$C$76,$G$76,$H$76,$B$17)</f>
        <v>8.5599883396750807E-3</v>
      </c>
      <c r="Q76" s="130">
        <f>GasModel($I$76,"CO2_Weiss_F",$D$76,$E$76,$B$76,$C$76,$G$76,$H$76,$B$18)</f>
        <v>4.1917776237247669E-4</v>
      </c>
      <c r="R76" s="130">
        <f>GasModel($I$76,"CH4_Wies",$D$76,$E$76,$B$76,$C$76,$G$76,$H$76,$B$19)</f>
        <v>6.4932595230347079E-8</v>
      </c>
      <c r="S76" s="130">
        <f>GasModel($I$76,"H2_Wies",$D$76,$E$76,$B$76,$C$76,$G$76,$H$76,$B$20)</f>
        <v>1.2879396180251709E-8</v>
      </c>
      <c r="T76" s="130">
        <f>GasModel($I$76,"N2O_Weiss_F",$D$76,$E$76,$B$76,$C$76,$G$76,$H$76,$B$21)</f>
        <v>2.8740696785132583E-7</v>
      </c>
      <c r="U76" s="130">
        <f>$L$76/$K$76</f>
        <v>1632.1946603036117</v>
      </c>
      <c r="V76" s="130">
        <f>$M$76/$N$76</f>
        <v>6.9885342767995207</v>
      </c>
      <c r="W76" s="130">
        <f>$N$76/$K$76</f>
        <v>5.3535316352720713E-2</v>
      </c>
      <c r="X76" s="130">
        <f>$M$76/$L$76</f>
        <v>2.2922106195390961E-4</v>
      </c>
      <c r="Y76" s="130">
        <f>$O$76/$L$76</f>
        <v>42.534714553565834</v>
      </c>
      <c r="Z76" s="130" t="e">
        <f>$I$76/$I$76</f>
        <v>#VALUE!</v>
      </c>
    </row>
    <row r="77" spans="1:26">
      <c r="A77" s="130" t="s">
        <v>375</v>
      </c>
      <c r="B77" s="130">
        <f>$C$4</f>
        <v>1.43</v>
      </c>
      <c r="C77" s="130">
        <f>$D$4</f>
        <v>88</v>
      </c>
      <c r="D77" s="130">
        <f>$E$4</f>
        <v>9</v>
      </c>
      <c r="E77" s="130">
        <f>$H$4</f>
        <v>3</v>
      </c>
      <c r="F77" s="130">
        <v>0</v>
      </c>
      <c r="G77" s="130">
        <v>0</v>
      </c>
      <c r="H77" s="130">
        <v>2</v>
      </c>
      <c r="I77" s="130" t="s">
        <v>10</v>
      </c>
      <c r="J77" s="130">
        <f>GasModel($I$77,"He_Weiss",$D$77,$E$77,$B$77,$C$77,$G$77,$H$77,$B$11)</f>
        <v>6.152162581311075E-8</v>
      </c>
      <c r="K77" s="130">
        <f>GasModel($I$77,"Ne_Weiss",$D$77,$E$77,$B$77,$C$77,$G$77,$H$77,$B$12)</f>
        <v>2.5433275997402079E-7</v>
      </c>
      <c r="L77" s="130">
        <f>GasModel($I$77,"Ar_Weiss",$D$77,$E$77,$B$77,$C$77,$G$77,$H$77,$B$13)</f>
        <v>4.1512057276987688E-4</v>
      </c>
      <c r="M77" s="130">
        <f>GasModel($I$77,"Kr_Weiss",$D$77,$E$77,$B$77,$C$77,$G$77,$H$77,$B$14)</f>
        <v>9.5154378529226385E-8</v>
      </c>
      <c r="N77" s="130">
        <f>GasModel($I$77,"Xe_Clvr",$D$77,$E$77,$B$77,$C$77,$G$77,$H$77,$B$15)</f>
        <v>1.3615784764069787E-8</v>
      </c>
      <c r="O77" s="130">
        <f>GasModel($I$77,"N2_Weiss",$D$77,$E$77,$B$77,$C$77,$G$77,$H$77,$B$16)</f>
        <v>1.8456395579670194E-2</v>
      </c>
      <c r="P77" s="130">
        <f>GasModel($I$77,"O2_B&amp;K",$D$77,$E$77,$B$77,$C$77,$G$77,$H$77,$B$17)</f>
        <v>8.5599883396750807E-3</v>
      </c>
      <c r="Q77" s="130">
        <f>GasModel($I$77,"CO2_Weiss_F",$D$77,$E$77,$B$77,$C$77,$G$77,$H$77,$B$18)</f>
        <v>4.1917776237247669E-4</v>
      </c>
      <c r="R77" s="130">
        <f>GasModel($I$77,"CH4_Wies",$D$77,$E$77,$B$77,$C$77,$G$77,$H$77,$B$19)</f>
        <v>6.4932595230347079E-8</v>
      </c>
      <c r="S77" s="130">
        <f>GasModel($I$77,"H2_Wies",$D$77,$E$77,$B$77,$C$77,$G$77,$H$77,$B$20)</f>
        <v>1.2879396180251709E-8</v>
      </c>
      <c r="T77" s="130">
        <f>GasModel($I$77,"N2O_Weiss_F",$D$77,$E$77,$B$77,$C$77,$G$77,$H$77,$B$21)</f>
        <v>2.8740696785132583E-7</v>
      </c>
      <c r="U77" s="130">
        <f>$L$77/$K$77</f>
        <v>1632.1946603036117</v>
      </c>
      <c r="V77" s="130">
        <f>$M$77/$N$77</f>
        <v>6.9885342767995207</v>
      </c>
      <c r="W77" s="130">
        <f>$N$77/$K$77</f>
        <v>5.3535316352720713E-2</v>
      </c>
      <c r="X77" s="130">
        <f>$M$77/$L$77</f>
        <v>2.2922106195390961E-4</v>
      </c>
      <c r="Y77" s="130">
        <f>$O$77/$L$77</f>
        <v>44.460325000325973</v>
      </c>
      <c r="Z77" s="130" t="e">
        <f>$I$77/$I$77</f>
        <v>#VALUE!</v>
      </c>
    </row>
    <row r="78" spans="1:26">
      <c r="A78" s="130" t="s">
        <v>375</v>
      </c>
      <c r="B78" s="130">
        <f>$C$4</f>
        <v>1.43</v>
      </c>
      <c r="C78" s="130">
        <f>$D$4</f>
        <v>88</v>
      </c>
      <c r="D78" s="130">
        <f>$E$4</f>
        <v>9</v>
      </c>
      <c r="E78" s="130">
        <f>$H$4</f>
        <v>3</v>
      </c>
      <c r="F78" s="130">
        <v>0</v>
      </c>
      <c r="G78" s="130">
        <v>0</v>
      </c>
      <c r="H78" s="130">
        <v>3</v>
      </c>
      <c r="I78" s="130" t="s">
        <v>10</v>
      </c>
      <c r="J78" s="130">
        <f>GasModel($I$78,"He_Weiss",$D$78,$E$78,$B$78,$C$78,$G$78,$H$78,$B$11)</f>
        <v>6.152162581311075E-8</v>
      </c>
      <c r="K78" s="130">
        <f>GasModel($I$78,"Ne_Weiss",$D$78,$E$78,$B$78,$C$78,$G$78,$H$78,$B$12)</f>
        <v>2.5433275997402079E-7</v>
      </c>
      <c r="L78" s="130">
        <f>GasModel($I$78,"Ar_Weiss",$D$78,$E$78,$B$78,$C$78,$G$78,$H$78,$B$13)</f>
        <v>4.1512057276987688E-4</v>
      </c>
      <c r="M78" s="130">
        <f>GasModel($I$78,"Kr_Weiss",$D$78,$E$78,$B$78,$C$78,$G$78,$H$78,$B$14)</f>
        <v>9.5154378529226385E-8</v>
      </c>
      <c r="N78" s="130">
        <f>GasModel($I$78,"Xe_Clvr",$D$78,$E$78,$B$78,$C$78,$G$78,$H$78,$B$15)</f>
        <v>1.3615784764069787E-8</v>
      </c>
      <c r="O78" s="130">
        <f>GasModel($I$78,"N2_Weiss",$D$78,$E$78,$B$78,$C$78,$G$78,$H$78,$B$16)</f>
        <v>1.9255756091260921E-2</v>
      </c>
      <c r="P78" s="130">
        <f>GasModel($I$78,"O2_B&amp;K",$D$78,$E$78,$B$78,$C$78,$G$78,$H$78,$B$17)</f>
        <v>8.5599883396750807E-3</v>
      </c>
      <c r="Q78" s="130">
        <f>GasModel($I$78,"CO2_Weiss_F",$D$78,$E$78,$B$78,$C$78,$G$78,$H$78,$B$18)</f>
        <v>4.1917776237247669E-4</v>
      </c>
      <c r="R78" s="130">
        <f>GasModel($I$78,"CH4_Wies",$D$78,$E$78,$B$78,$C$78,$G$78,$H$78,$B$19)</f>
        <v>6.4932595230347079E-8</v>
      </c>
      <c r="S78" s="130">
        <f>GasModel($I$78,"H2_Wies",$D$78,$E$78,$B$78,$C$78,$G$78,$H$78,$B$20)</f>
        <v>1.2879396180251709E-8</v>
      </c>
      <c r="T78" s="130">
        <f>GasModel($I$78,"N2O_Weiss_F",$D$78,$E$78,$B$78,$C$78,$G$78,$H$78,$B$21)</f>
        <v>2.8740696785132583E-7</v>
      </c>
      <c r="U78" s="130">
        <f>$L$78/$K$78</f>
        <v>1632.1946603036117</v>
      </c>
      <c r="V78" s="130">
        <f>$M$78/$N$78</f>
        <v>6.9885342767995207</v>
      </c>
      <c r="W78" s="130">
        <f>$N$78/$K$78</f>
        <v>5.3535316352720713E-2</v>
      </c>
      <c r="X78" s="130">
        <f>$M$78/$L$78</f>
        <v>2.2922106195390961E-4</v>
      </c>
      <c r="Y78" s="130">
        <f>$O$78/$L$78</f>
        <v>46.385935447086112</v>
      </c>
      <c r="Z78" s="130" t="e">
        <f>$I$78/$I$78</f>
        <v>#VALUE!</v>
      </c>
    </row>
    <row r="79" spans="1:26">
      <c r="A79" s="130" t="s">
        <v>375</v>
      </c>
      <c r="B79" s="130">
        <f>$C$4</f>
        <v>1.43</v>
      </c>
      <c r="C79" s="130">
        <f>$D$4</f>
        <v>88</v>
      </c>
      <c r="D79" s="130">
        <f>$E$4</f>
        <v>9</v>
      </c>
      <c r="E79" s="130">
        <f>$H$4</f>
        <v>3</v>
      </c>
      <c r="F79" s="130">
        <v>0</v>
      </c>
      <c r="G79" s="130">
        <v>0</v>
      </c>
      <c r="H79" s="130">
        <v>4</v>
      </c>
      <c r="I79" s="130" t="s">
        <v>10</v>
      </c>
      <c r="J79" s="130">
        <f>GasModel($I$79,"He_Weiss",$D$79,$E$79,$B$79,$C$79,$G$79,$H$79,$B$11)</f>
        <v>6.152162581311075E-8</v>
      </c>
      <c r="K79" s="130">
        <f>GasModel($I$79,"Ne_Weiss",$D$79,$E$79,$B$79,$C$79,$G$79,$H$79,$B$12)</f>
        <v>2.5433275997402079E-7</v>
      </c>
      <c r="L79" s="130">
        <f>GasModel($I$79,"Ar_Weiss",$D$79,$E$79,$B$79,$C$79,$G$79,$H$79,$B$13)</f>
        <v>4.1512057276987688E-4</v>
      </c>
      <c r="M79" s="130">
        <f>GasModel($I$79,"Kr_Weiss",$D$79,$E$79,$B$79,$C$79,$G$79,$H$79,$B$14)</f>
        <v>9.5154378529226385E-8</v>
      </c>
      <c r="N79" s="130">
        <f>GasModel($I$79,"Xe_Clvr",$D$79,$E$79,$B$79,$C$79,$G$79,$H$79,$B$15)</f>
        <v>1.3615784764069787E-8</v>
      </c>
      <c r="O79" s="130">
        <f>GasModel($I$79,"N2_Weiss",$D$79,$E$79,$B$79,$C$79,$G$79,$H$79,$B$16)</f>
        <v>2.0055116602851648E-2</v>
      </c>
      <c r="P79" s="130">
        <f>GasModel($I$79,"O2_B&amp;K",$D$79,$E$79,$B$79,$C$79,$G$79,$H$79,$B$17)</f>
        <v>8.5599883396750807E-3</v>
      </c>
      <c r="Q79" s="130">
        <f>GasModel($I$79,"CO2_Weiss_F",$D$79,$E$79,$B$79,$C$79,$G$79,$H$79,$B$18)</f>
        <v>4.1917776237247669E-4</v>
      </c>
      <c r="R79" s="130">
        <f>GasModel($I$79,"CH4_Wies",$D$79,$E$79,$B$79,$C$79,$G$79,$H$79,$B$19)</f>
        <v>6.4932595230347079E-8</v>
      </c>
      <c r="S79" s="130">
        <f>GasModel($I$79,"H2_Wies",$D$79,$E$79,$B$79,$C$79,$G$79,$H$79,$B$20)</f>
        <v>1.2879396180251709E-8</v>
      </c>
      <c r="T79" s="130">
        <f>GasModel($I$79,"N2O_Weiss_F",$D$79,$E$79,$B$79,$C$79,$G$79,$H$79,$B$21)</f>
        <v>2.8740696785132583E-7</v>
      </c>
      <c r="U79" s="130">
        <f>$L$79/$K$79</f>
        <v>1632.1946603036117</v>
      </c>
      <c r="V79" s="130">
        <f>$M$79/$N$79</f>
        <v>6.9885342767995207</v>
      </c>
      <c r="W79" s="130">
        <f>$N$79/$K$79</f>
        <v>5.3535316352720713E-2</v>
      </c>
      <c r="X79" s="130">
        <f>$M$79/$L$79</f>
        <v>2.2922106195390961E-4</v>
      </c>
      <c r="Y79" s="130">
        <f>$O$79/$L$79</f>
        <v>48.311545893846251</v>
      </c>
      <c r="Z79" s="130" t="e">
        <f>$I$79/$I$79</f>
        <v>#VALUE!</v>
      </c>
    </row>
    <row r="80" spans="1:26">
      <c r="A80" s="130" t="s">
        <v>375</v>
      </c>
      <c r="B80" s="130">
        <f>$C$4</f>
        <v>1.43</v>
      </c>
      <c r="C80" s="130">
        <f>$D$4</f>
        <v>88</v>
      </c>
      <c r="D80" s="130">
        <f>$E$4</f>
        <v>9</v>
      </c>
      <c r="E80" s="130">
        <f>$H$4</f>
        <v>3</v>
      </c>
      <c r="F80" s="130">
        <v>0</v>
      </c>
      <c r="G80" s="130">
        <v>0</v>
      </c>
      <c r="H80" s="130">
        <v>5</v>
      </c>
      <c r="I80" s="130" t="s">
        <v>10</v>
      </c>
      <c r="J80" s="130">
        <f>GasModel($I$80,"He_Weiss",$D$80,$E$80,$B$80,$C$80,$G$80,$H$80,$B$11)</f>
        <v>6.152162581311075E-8</v>
      </c>
      <c r="K80" s="130">
        <f>GasModel($I$80,"Ne_Weiss",$D$80,$E$80,$B$80,$C$80,$G$80,$H$80,$B$12)</f>
        <v>2.5433275997402079E-7</v>
      </c>
      <c r="L80" s="130">
        <f>GasModel($I$80,"Ar_Weiss",$D$80,$E$80,$B$80,$C$80,$G$80,$H$80,$B$13)</f>
        <v>4.1512057276987688E-4</v>
      </c>
      <c r="M80" s="130">
        <f>GasModel($I$80,"Kr_Weiss",$D$80,$E$80,$B$80,$C$80,$G$80,$H$80,$B$14)</f>
        <v>9.5154378529226385E-8</v>
      </c>
      <c r="N80" s="130">
        <f>GasModel($I$80,"Xe_Clvr",$D$80,$E$80,$B$80,$C$80,$G$80,$H$80,$B$15)</f>
        <v>1.3615784764069787E-8</v>
      </c>
      <c r="O80" s="130">
        <f>GasModel($I$80,"N2_Weiss",$D$80,$E$80,$B$80,$C$80,$G$80,$H$80,$B$16)</f>
        <v>2.0854477114442375E-2</v>
      </c>
      <c r="P80" s="130">
        <f>GasModel($I$80,"O2_B&amp;K",$D$80,$E$80,$B$80,$C$80,$G$80,$H$80,$B$17)</f>
        <v>8.5599883396750807E-3</v>
      </c>
      <c r="Q80" s="130">
        <f>GasModel($I$80,"CO2_Weiss_F",$D$80,$E$80,$B$80,$C$80,$G$80,$H$80,$B$18)</f>
        <v>4.1917776237247669E-4</v>
      </c>
      <c r="R80" s="130">
        <f>GasModel($I$80,"CH4_Wies",$D$80,$E$80,$B$80,$C$80,$G$80,$H$80,$B$19)</f>
        <v>6.4932595230347079E-8</v>
      </c>
      <c r="S80" s="130">
        <f>GasModel($I$80,"H2_Wies",$D$80,$E$80,$B$80,$C$80,$G$80,$H$80,$B$20)</f>
        <v>1.2879396180251709E-8</v>
      </c>
      <c r="T80" s="130">
        <f>GasModel($I$80,"N2O_Weiss_F",$D$80,$E$80,$B$80,$C$80,$G$80,$H$80,$B$21)</f>
        <v>2.8740696785132583E-7</v>
      </c>
      <c r="U80" s="130">
        <f>$L$80/$K$80</f>
        <v>1632.1946603036117</v>
      </c>
      <c r="V80" s="130">
        <f>$M$80/$N$80</f>
        <v>6.9885342767995207</v>
      </c>
      <c r="W80" s="130">
        <f>$N$80/$K$80</f>
        <v>5.3535316352720713E-2</v>
      </c>
      <c r="X80" s="130">
        <f>$M$80/$L$80</f>
        <v>2.2922106195390961E-4</v>
      </c>
      <c r="Y80" s="130">
        <f>$O$80/$L$80</f>
        <v>50.23715634060639</v>
      </c>
      <c r="Z80" s="130" t="e">
        <f>$I$80/$I$80</f>
        <v>#VALUE!</v>
      </c>
    </row>
    <row r="81" spans="1:26">
      <c r="A81" s="130" t="s">
        <v>375</v>
      </c>
      <c r="B81" s="130">
        <f>$C$4</f>
        <v>1.43</v>
      </c>
      <c r="C81" s="130">
        <f>$D$4</f>
        <v>88</v>
      </c>
      <c r="D81" s="130">
        <f>$E$4</f>
        <v>9</v>
      </c>
      <c r="E81" s="130">
        <f>$H$4</f>
        <v>3</v>
      </c>
      <c r="F81" s="130">
        <v>0</v>
      </c>
      <c r="G81" s="130">
        <v>0</v>
      </c>
      <c r="H81" s="130">
        <v>10</v>
      </c>
      <c r="I81" s="130" t="s">
        <v>10</v>
      </c>
      <c r="J81" s="130">
        <f>GasModel($I$81,"He_Weiss",$D$81,$E$81,$B$81,$C$81,$G$81,$H$81,$B$11)</f>
        <v>6.152162581311075E-8</v>
      </c>
      <c r="K81" s="130">
        <f>GasModel($I$81,"Ne_Weiss",$D$81,$E$81,$B$81,$C$81,$G$81,$H$81,$B$12)</f>
        <v>2.5433275997402079E-7</v>
      </c>
      <c r="L81" s="130">
        <f>GasModel($I$81,"Ar_Weiss",$D$81,$E$81,$B$81,$C$81,$G$81,$H$81,$B$13)</f>
        <v>4.1512057276987688E-4</v>
      </c>
      <c r="M81" s="130">
        <f>GasModel($I$81,"Kr_Weiss",$D$81,$E$81,$B$81,$C$81,$G$81,$H$81,$B$14)</f>
        <v>9.5154378529226385E-8</v>
      </c>
      <c r="N81" s="130">
        <f>GasModel($I$81,"Xe_Clvr",$D$81,$E$81,$B$81,$C$81,$G$81,$H$81,$B$15)</f>
        <v>1.3615784764069787E-8</v>
      </c>
      <c r="O81" s="130">
        <f>GasModel($I$81,"N2_Weiss",$D$81,$E$81,$B$81,$C$81,$G$81,$H$81,$B$16)</f>
        <v>2.4851279672396018E-2</v>
      </c>
      <c r="P81" s="130">
        <f>GasModel($I$81,"O2_B&amp;K",$D$81,$E$81,$B$81,$C$81,$G$81,$H$81,$B$17)</f>
        <v>8.5599883396750807E-3</v>
      </c>
      <c r="Q81" s="130">
        <f>GasModel($I$81,"CO2_Weiss_F",$D$81,$E$81,$B$81,$C$81,$G$81,$H$81,$B$18)</f>
        <v>4.1917776237247669E-4</v>
      </c>
      <c r="R81" s="130">
        <f>GasModel($I$81,"CH4_Wies",$D$81,$E$81,$B$81,$C$81,$G$81,$H$81,$B$19)</f>
        <v>6.4932595230347079E-8</v>
      </c>
      <c r="S81" s="130">
        <f>GasModel($I$81,"H2_Wies",$D$81,$E$81,$B$81,$C$81,$G$81,$H$81,$B$20)</f>
        <v>1.2879396180251709E-8</v>
      </c>
      <c r="T81" s="130">
        <f>GasModel($I$81,"N2O_Weiss_F",$D$81,$E$81,$B$81,$C$81,$G$81,$H$81,$B$21)</f>
        <v>2.8740696785132583E-7</v>
      </c>
      <c r="U81" s="130">
        <f>$L$81/$K$81</f>
        <v>1632.1946603036117</v>
      </c>
      <c r="V81" s="130">
        <f>$M$81/$N$81</f>
        <v>6.9885342767995207</v>
      </c>
      <c r="W81" s="130">
        <f>$N$81/$K$81</f>
        <v>5.3535316352720713E-2</v>
      </c>
      <c r="X81" s="130">
        <f>$M$81/$L$81</f>
        <v>2.2922106195390961E-4</v>
      </c>
      <c r="Y81" s="130">
        <f>$O$81/$L$81</f>
        <v>59.865208574407092</v>
      </c>
      <c r="Z81" s="130" t="e">
        <f>$I$81/$I$81</f>
        <v>#VALUE!</v>
      </c>
    </row>
    <row r="82" spans="1:26">
      <c r="A82" s="130" t="s">
        <v>376</v>
      </c>
      <c r="B82" s="130">
        <f>$C$4</f>
        <v>1.43</v>
      </c>
      <c r="C82" s="130">
        <f>$D$4</f>
        <v>88</v>
      </c>
      <c r="D82" s="130">
        <f>$E$4</f>
        <v>9</v>
      </c>
      <c r="E82" s="130">
        <v>0</v>
      </c>
      <c r="F82" s="130">
        <v>0</v>
      </c>
      <c r="G82" s="130">
        <f>$G$4</f>
        <v>2</v>
      </c>
      <c r="H82" s="130">
        <f>$F$4</f>
        <v>0</v>
      </c>
      <c r="I82" s="130" t="s">
        <v>16</v>
      </c>
      <c r="J82" s="130">
        <f>GasModel($I$82,"He_Weiss",$D$82,$F$82,$B$82,$C$82,$G$82,$H$82,$B$11)</f>
        <v>4.5801625813110745E-8</v>
      </c>
      <c r="K82" s="130">
        <f>GasModel($I$82,"Ne_Weiss",$D$82,$F$82,$B$82,$C$82,$G$82,$H$82,$B$12)</f>
        <v>1.9979275997402081E-7</v>
      </c>
      <c r="L82" s="130">
        <f>GasModel($I$82,"Ar_Weiss",$D$82,$F$82,$B$82,$C$82,$G$82,$H$82,$B$13)</f>
        <v>3.8710057276987686E-4</v>
      </c>
      <c r="M82" s="130">
        <f>GasModel($I$82,"Kr_Weiss",$D$82,$F$82,$B$82,$C$82,$G$82,$H$82,$B$14)</f>
        <v>9.1734378529226385E-8</v>
      </c>
      <c r="N82" s="130">
        <f>GasModel($I$82,"Xe_Clvr",$D$82,$F$82,$B$82,$C$82,$G$82,$H$82,$B$15)</f>
        <v>1.3354784764069788E-8</v>
      </c>
      <c r="O82" s="130">
        <f>GasModel($I$82,"N2_Weiss",$D$82,$F$82,$B$82,$C$82,$G$82,$H$82,$B$16)</f>
        <v>1.4515154556488738E-2</v>
      </c>
      <c r="P82" s="130">
        <f>GasModel($I$82,"O2_B&amp;K",$D$82,$F$82,$B$82,$C$82,$G$82,$H$82,$B$17)</f>
        <v>7.9314883396750802E-3</v>
      </c>
      <c r="Q82" s="130">
        <f>GasModel($I$82,"CO2_Weiss_F",$D$82,$F$82,$B$82,$C$82,$G$82,$H$82,$B$18)</f>
        <v>4.1812776237247669E-4</v>
      </c>
      <c r="R82" s="130">
        <f>GasModel($I$82,"CH4_Wies",$D$82,$F$82,$B$82,$C$82,$G$82,$H$82,$B$19)</f>
        <v>6.0702595230347074E-8</v>
      </c>
      <c r="S82" s="130">
        <f>GasModel($I$82,"H2_Wies",$D$82,$F$82,$B$82,$C$82,$G$82,$H$82,$B$20)</f>
        <v>1.113939618025171E-8</v>
      </c>
      <c r="T82" s="130">
        <f>GasModel($I$82,"N2O_Weiss_F",$D$82,$F$82,$B$82,$C$82,$G$82,$H$82,$B$21)</f>
        <v>2.8644696785132585E-7</v>
      </c>
      <c r="U82" s="130">
        <f>$L$82/$K$82</f>
        <v>1937.5105124941056</v>
      </c>
      <c r="V82" s="130">
        <f>$M$82/$N$82</f>
        <v>6.8690271052538403</v>
      </c>
      <c r="W82" s="130">
        <f>$N$82/$K$82</f>
        <v>6.6843186739130686E-2</v>
      </c>
      <c r="X82" s="130">
        <f>$M$82/$L$82</f>
        <v>2.3697815240320127E-4</v>
      </c>
      <c r="Y82" s="130">
        <f>$O$82/$L$82</f>
        <v>37.497114645494705</v>
      </c>
      <c r="Z82" s="130" t="e">
        <f>$I$82/$I$82</f>
        <v>#VALUE!</v>
      </c>
    </row>
    <row r="83" spans="1:26">
      <c r="A83" s="130" t="s">
        <v>376</v>
      </c>
      <c r="B83" s="130">
        <f>$C$4</f>
        <v>1.43</v>
      </c>
      <c r="C83" s="130">
        <f>$D$4</f>
        <v>88</v>
      </c>
      <c r="D83" s="130">
        <f>$E$4</f>
        <v>9</v>
      </c>
      <c r="E83" s="130">
        <v>0</v>
      </c>
      <c r="F83" s="130">
        <v>4</v>
      </c>
      <c r="G83" s="130">
        <f>$G$4</f>
        <v>2</v>
      </c>
      <c r="H83" s="130">
        <f>$F$4</f>
        <v>0</v>
      </c>
      <c r="I83" s="130" t="s">
        <v>16</v>
      </c>
      <c r="J83" s="130">
        <f>GasModel($I$83,"He_Weiss",$D$83,$F$83,$B$83,$C$83,$G$83,$H$83,$B$11)</f>
        <v>3.485789251879097E-8</v>
      </c>
      <c r="K83" s="130">
        <f>GasModel($I$83,"Ne_Weiss",$D$83,$F$83,$B$83,$C$83,$G$83,$H$83,$B$12)</f>
        <v>1.5770831379804344E-7</v>
      </c>
      <c r="L83" s="130">
        <f>GasModel($I$83,"Ar_Weiss",$D$83,$F$83,$B$83,$C$83,$G$83,$H$83,$B$13)</f>
        <v>3.5578521297128038E-4</v>
      </c>
      <c r="M83" s="130">
        <f>GasModel($I$83,"Kr_Weiss",$D$83,$F$83,$B$83,$C$83,$G$83,$H$83,$B$14)</f>
        <v>8.7586727508085531E-8</v>
      </c>
      <c r="N83" s="130">
        <f>GasModel($I$83,"Xe_Clvr",$D$83,$F$83,$B$83,$C$83,$G$83,$H$83,$B$15)</f>
        <v>1.3024022804796123E-8</v>
      </c>
      <c r="O83" s="130">
        <f>GasModel($I$83,"N2_Weiss",$D$83,$F$83,$B$83,$C$83,$G$83,$H$83,$B$16)</f>
        <v>1.2331534141472516E-2</v>
      </c>
      <c r="P83" s="130">
        <f>GasModel($I$83,"O2_B&amp;K",$D$83,$F$83,$B$83,$C$83,$G$83,$H$83,$B$17)</f>
        <v>7.2396751421299971E-3</v>
      </c>
      <c r="Q83" s="130">
        <f>GasModel($I$83,"CO2_Weiss_F",$D$83,$F$83,$B$83,$C$83,$G$83,$H$83,$B$18)</f>
        <v>4.1673707513430999E-4</v>
      </c>
      <c r="R83" s="130">
        <f>GasModel($I$83,"CH4_Wies",$D$83,$F$83,$B$83,$C$83,$G$83,$H$83,$B$19)</f>
        <v>5.5946408877193456E-8</v>
      </c>
      <c r="S83" s="130">
        <f>GasModel($I$83,"H2_Wies",$D$83,$F$83,$B$83,$C$83,$G$83,$H$83,$B$20)</f>
        <v>9.5016022594344112E-9</v>
      </c>
      <c r="T83" s="130">
        <f>GasModel($I$83,"N2O_Weiss_F",$D$83,$F$83,$B$83,$C$83,$G$83,$H$83,$B$21)</f>
        <v>2.8517830598626553E-7</v>
      </c>
      <c r="U83" s="130">
        <f>$L$83/$K$83</f>
        <v>2255.9699257636366</v>
      </c>
      <c r="V83" s="130">
        <f>$M$83/$N$83</f>
        <v>6.7250133711245912</v>
      </c>
      <c r="W83" s="130">
        <f>$N$83/$K$83</f>
        <v>8.2582981779098202E-2</v>
      </c>
      <c r="X83" s="130">
        <f>$M$83/$L$83</f>
        <v>2.4617866149247663E-4</v>
      </c>
      <c r="Y83" s="130">
        <f>$O$83/$L$83</f>
        <v>34.660052447058668</v>
      </c>
      <c r="Z83" s="130" t="e">
        <f>$I$83/$I$83</f>
        <v>#VALUE!</v>
      </c>
    </row>
    <row r="84" spans="1:26">
      <c r="A84" s="130" t="s">
        <v>376</v>
      </c>
      <c r="B84" s="130">
        <f>$C$4</f>
        <v>1.43</v>
      </c>
      <c r="C84" s="130">
        <f>$D$4</f>
        <v>88</v>
      </c>
      <c r="D84" s="130">
        <f>$E$4</f>
        <v>9</v>
      </c>
      <c r="E84" s="130">
        <v>0</v>
      </c>
      <c r="F84" s="130">
        <v>6</v>
      </c>
      <c r="G84" s="130">
        <f>$G$4</f>
        <v>2</v>
      </c>
      <c r="H84" s="130">
        <f>$F$4</f>
        <v>0</v>
      </c>
      <c r="I84" s="130" t="s">
        <v>16</v>
      </c>
      <c r="J84" s="130">
        <f>GasModel($I$84,"He_Weiss",$D$84,$F$84,$B$84,$C$84,$G$84,$H$84,$B$11)</f>
        <v>3.2551887370290286E-8</v>
      </c>
      <c r="K84" s="130">
        <f>GasModel($I$84,"Ne_Weiss",$D$84,$F$84,$B$84,$C$84,$G$84,$H$84,$B$12)</f>
        <v>1.4764956020349932E-7</v>
      </c>
      <c r="L84" s="130">
        <f>GasModel($I$84,"Ar_Weiss",$D$84,$F$84,$B$84,$C$84,$G$84,$H$84,$B$13)</f>
        <v>3.4364312013374538E-4</v>
      </c>
      <c r="M84" s="130">
        <f>GasModel($I$84,"Kr_Weiss",$D$84,$F$84,$B$84,$C$84,$G$84,$H$84,$B$14)</f>
        <v>8.5782029733033052E-8</v>
      </c>
      <c r="N84" s="130">
        <f>GasModel($I$84,"Xe_Clvr",$D$84,$F$84,$B$84,$C$84,$G$84,$H$84,$B$15)</f>
        <v>1.2870632958131268E-8</v>
      </c>
      <c r="O84" s="130">
        <f>GasModel($I$84,"N2_Weiss",$D$84,$F$84,$B$84,$C$84,$G$84,$H$84,$B$16)</f>
        <v>1.1668036620824263E-2</v>
      </c>
      <c r="P84" s="130">
        <f>GasModel($I$84,"O2_B&amp;K",$D$84,$F$84,$B$84,$C$84,$G$84,$H$84,$B$17)</f>
        <v>6.9770206768179025E-3</v>
      </c>
      <c r="Q84" s="130">
        <f>GasModel($I$84,"CO2_Weiss_F",$D$84,$F$84,$B$84,$C$84,$G$84,$H$84,$B$18)</f>
        <v>4.1604864662585955E-4</v>
      </c>
      <c r="R84" s="130">
        <f>GasModel($I$84,"CH4_Wies",$D$84,$F$84,$B$84,$C$84,$G$84,$H$84,$B$19)</f>
        <v>5.4086687141667726E-8</v>
      </c>
      <c r="S84" s="130">
        <f>GasModel($I$84,"H2_Wies",$D$84,$F$84,$B$84,$C$84,$G$84,$H$84,$B$20)</f>
        <v>8.9976065690837615E-9</v>
      </c>
      <c r="T84" s="130">
        <f>GasModel($I$84,"N2O_Weiss_F",$D$84,$F$84,$B$84,$C$84,$G$84,$H$84,$B$21)</f>
        <v>2.8455236616684299E-7</v>
      </c>
      <c r="U84" s="130">
        <f>$L$84/$K$84</f>
        <v>2327.4239331300155</v>
      </c>
      <c r="V84" s="130">
        <f>$M$84/$N$84</f>
        <v>6.6649425876789241</v>
      </c>
      <c r="W84" s="130">
        <f>$N$84/$K$84</f>
        <v>8.7170140841545368E-2</v>
      </c>
      <c r="X84" s="130">
        <f>$M$84/$L$84</f>
        <v>2.4962533718017349E-4</v>
      </c>
      <c r="Y84" s="130">
        <f>$O$84/$L$84</f>
        <v>33.953936328721149</v>
      </c>
      <c r="Z84" s="130" t="e">
        <f>$I$84/$I$84</f>
        <v>#VALUE!</v>
      </c>
    </row>
    <row r="85" spans="1:26">
      <c r="A85" s="130" t="s">
        <v>376</v>
      </c>
      <c r="B85" s="130">
        <f>$C$4</f>
        <v>1.43</v>
      </c>
      <c r="C85" s="130">
        <f>$D$4</f>
        <v>88</v>
      </c>
      <c r="D85" s="130">
        <f>$E$4</f>
        <v>9</v>
      </c>
      <c r="E85" s="130">
        <v>0</v>
      </c>
      <c r="F85" s="130">
        <v>8</v>
      </c>
      <c r="G85" s="130">
        <f>$G$4</f>
        <v>2</v>
      </c>
      <c r="H85" s="130">
        <f>$F$4</f>
        <v>0</v>
      </c>
      <c r="I85" s="130" t="s">
        <v>16</v>
      </c>
      <c r="J85" s="130">
        <f>GasModel($I$85,"He_Weiss",$D$85,$F$85,$B$85,$C$85,$G$85,$H$85,$B$11)</f>
        <v>3.0991535751038787E-8</v>
      </c>
      <c r="K85" s="130">
        <f>GasModel($I$85,"Ne_Weiss",$D$85,$F$85,$B$85,$C$85,$G$85,$H$85,$B$12)</f>
        <v>1.4057231534986828E-7</v>
      </c>
      <c r="L85" s="130">
        <f>GasModel($I$85,"Ar_Weiss",$D$85,$F$85,$B$85,$C$85,$G$85,$H$85,$B$13)</f>
        <v>3.3319196591831109E-4</v>
      </c>
      <c r="M85" s="130">
        <f>GasModel($I$85,"Kr_Weiss",$D$85,$F$85,$B$85,$C$85,$G$85,$H$85,$B$14)</f>
        <v>8.4126992669217114E-8</v>
      </c>
      <c r="N85" s="130">
        <f>GasModel($I$85,"Xe_Clvr",$D$85,$F$85,$B$85,$C$85,$G$85,$H$85,$B$15)</f>
        <v>1.2724482610447836E-8</v>
      </c>
      <c r="O85" s="130">
        <f>GasModel($I$85,"N2_Weiss",$D$85,$F$85,$B$85,$C$85,$G$85,$H$85,$B$16)</f>
        <v>1.1157997038296973E-2</v>
      </c>
      <c r="P85" s="130">
        <f>GasModel($I$85,"O2_B&amp;K",$D$85,$F$85,$B$85,$C$85,$G$85,$H$85,$B$17)</f>
        <v>6.7533797568395861E-3</v>
      </c>
      <c r="Q85" s="130">
        <f>GasModel($I$85,"CO2_Weiss_F",$D$85,$F$85,$B$85,$C$85,$G$85,$H$85,$B$18)</f>
        <v>4.1536476726427847E-4</v>
      </c>
      <c r="R85" s="130">
        <f>GasModel($I$85,"CH4_Wies",$D$85,$F$85,$B$85,$C$85,$G$85,$H$85,$B$19)</f>
        <v>5.2478911206278242E-8</v>
      </c>
      <c r="S85" s="130">
        <f>GasModel($I$85,"H2_Wies",$D$85,$F$85,$B$85,$C$85,$G$85,$H$85,$B$20)</f>
        <v>8.6081363026282974E-9</v>
      </c>
      <c r="T85" s="130">
        <f>GasModel($I$85,"N2O_Weiss_F",$D$85,$F$85,$B$85,$C$85,$G$85,$H$85,$B$21)</f>
        <v>2.8393192218924893E-7</v>
      </c>
      <c r="U85" s="130">
        <f>$L$85/$K$85</f>
        <v>2370.253097767044</v>
      </c>
      <c r="V85" s="130">
        <f>$M$85/$N$85</f>
        <v>6.6114273754550936</v>
      </c>
      <c r="W85" s="130">
        <f>$N$85/$K$85</f>
        <v>9.0519122337695476E-2</v>
      </c>
      <c r="X85" s="130">
        <f>$M$85/$L$85</f>
        <v>2.524880587602241E-4</v>
      </c>
      <c r="Y85" s="130">
        <f>$O$85/$L$85</f>
        <v>33.48819353295147</v>
      </c>
      <c r="Z85" s="130" t="e">
        <f>$I$85/$I$85</f>
        <v>#VALUE!</v>
      </c>
    </row>
    <row r="86" spans="1:26">
      <c r="A86" s="130" t="s">
        <v>376</v>
      </c>
      <c r="B86" s="130">
        <f>$C$4</f>
        <v>1.43</v>
      </c>
      <c r="C86" s="130">
        <f>$D$4</f>
        <v>88</v>
      </c>
      <c r="D86" s="130">
        <f>$E$4</f>
        <v>9</v>
      </c>
      <c r="E86" s="130">
        <v>0</v>
      </c>
      <c r="F86" s="130">
        <v>10</v>
      </c>
      <c r="G86" s="130">
        <f>$G$4</f>
        <v>2</v>
      </c>
      <c r="H86" s="130">
        <f>$F$4</f>
        <v>0</v>
      </c>
      <c r="I86" s="130" t="s">
        <v>16</v>
      </c>
      <c r="J86" s="130">
        <f>GasModel($I$86,"He_Weiss",$D$86,$F$86,$B$86,$C$86,$G$86,$H$86,$B$11)</f>
        <v>2.9865508393068464E-8</v>
      </c>
      <c r="K86" s="130">
        <f>GasModel($I$86,"Ne_Weiss",$D$86,$F$86,$B$86,$C$86,$G$86,$H$86,$B$12)</f>
        <v>1.3532206325269289E-7</v>
      </c>
      <c r="L86" s="130">
        <f>GasModel($I$86,"Ar_Weiss",$D$86,$F$86,$B$86,$C$86,$G$86,$H$86,$B$13)</f>
        <v>3.2410151820854951E-4</v>
      </c>
      <c r="M86" s="130">
        <f>GasModel($I$86,"Kr_Weiss",$D$86,$F$86,$B$86,$C$86,$G$86,$H$86,$B$14)</f>
        <v>8.2603740823218099E-8</v>
      </c>
      <c r="N86" s="130">
        <f>GasModel($I$86,"Xe_Clvr",$D$86,$F$86,$B$86,$C$86,$G$86,$H$86,$B$15)</f>
        <v>1.2585071056564883E-8</v>
      </c>
      <c r="O86" s="130">
        <f>GasModel($I$86,"N2_Weiss",$D$86,$F$86,$B$86,$C$86,$G$86,$H$86,$B$16)</f>
        <v>1.0753694853421465E-2</v>
      </c>
      <c r="P86" s="130">
        <f>GasModel($I$86,"O2_B&amp;K",$D$86,$F$86,$B$86,$C$86,$G$86,$H$86,$B$17)</f>
        <v>6.5606609622125608E-3</v>
      </c>
      <c r="Q86" s="130">
        <f>GasModel($I$86,"CO2_Weiss_F",$D$86,$F$86,$B$86,$C$86,$G$86,$H$86,$B$18)</f>
        <v>4.1468539210680235E-4</v>
      </c>
      <c r="R86" s="130">
        <f>GasModel($I$86,"CH4_Wies",$D$86,$F$86,$B$86,$C$86,$G$86,$H$86,$B$19)</f>
        <v>5.1075130581759084E-8</v>
      </c>
      <c r="S86" s="130">
        <f>GasModel($I$86,"H2_Wies",$D$86,$F$86,$B$86,$C$86,$G$86,$H$86,$B$20)</f>
        <v>8.2981378929463548E-9</v>
      </c>
      <c r="T86" s="130">
        <f>GasModel($I$86,"N2O_Weiss_F",$D$86,$F$86,$B$86,$C$86,$G$86,$H$86,$B$21)</f>
        <v>2.8331690198842917E-7</v>
      </c>
      <c r="U86" s="130">
        <f>$L$86/$K$86</f>
        <v>2395.038254799148</v>
      </c>
      <c r="V86" s="130">
        <f>$M$86/$N$86</f>
        <v>6.563629275666953</v>
      </c>
      <c r="W86" s="130">
        <f>$N$86/$K$86</f>
        <v>9.3000880669874372E-2</v>
      </c>
      <c r="X86" s="130">
        <f>$M$86/$L$86</f>
        <v>2.5486995951085024E-4</v>
      </c>
      <c r="Y86" s="130">
        <f>$O$86/$L$86</f>
        <v>33.180019991457698</v>
      </c>
      <c r="Z86" s="130" t="e">
        <f>$I$86/$I$86</f>
        <v>#VALUE!</v>
      </c>
    </row>
    <row r="87" spans="1:26">
      <c r="A87" s="130" t="s">
        <v>376</v>
      </c>
      <c r="B87" s="130">
        <f>$C$4</f>
        <v>1.43</v>
      </c>
      <c r="C87" s="130">
        <f>$D$4</f>
        <v>88</v>
      </c>
      <c r="D87" s="130">
        <f>$E$4</f>
        <v>9</v>
      </c>
      <c r="E87" s="130">
        <v>0</v>
      </c>
      <c r="F87" s="130">
        <v>15</v>
      </c>
      <c r="G87" s="130">
        <f>$G$4</f>
        <v>2</v>
      </c>
      <c r="H87" s="130">
        <f>$F$4</f>
        <v>0</v>
      </c>
      <c r="I87" s="130" t="s">
        <v>16</v>
      </c>
      <c r="J87" s="130">
        <f>GasModel($I$87,"He_Weiss",$D$87,$F$87,$B$87,$C$87,$G$87,$H$87,$B$11)</f>
        <v>2.8067739325793756E-8</v>
      </c>
      <c r="K87" s="130">
        <f>GasModel($I$87,"Ne_Weiss",$D$87,$F$87,$B$87,$C$87,$G$87,$H$87,$B$12)</f>
        <v>1.2667948167698676E-7</v>
      </c>
      <c r="L87" s="130">
        <f>GasModel($I$87,"Ar_Weiss",$D$87,$F$87,$B$87,$C$87,$G$87,$H$87,$B$13)</f>
        <v>3.0582866553930673E-4</v>
      </c>
      <c r="M87" s="130">
        <f>GasModel($I$87,"Kr_Weiss",$D$87,$F$87,$B$87,$C$87,$G$87,$H$87,$B$14)</f>
        <v>7.9278225640952729E-8</v>
      </c>
      <c r="N87" s="130">
        <f>GasModel($I$87,"Xe_Clvr",$D$87,$F$87,$B$87,$C$87,$G$87,$H$87,$B$15)</f>
        <v>1.2263132457153983E-8</v>
      </c>
      <c r="O87" s="130">
        <f>GasModel($I$87,"N2_Weiss",$D$87,$F$87,$B$87,$C$87,$G$87,$H$87,$B$16)</f>
        <v>1.0034168512850038E-2</v>
      </c>
      <c r="P87" s="130">
        <f>GasModel($I$87,"O2_B&amp;K",$D$87,$F$87,$B$87,$C$87,$G$87,$H$87,$B$17)</f>
        <v>6.1782633862335476E-3</v>
      </c>
      <c r="Q87" s="130">
        <f>GasModel($I$87,"CO2_Weiss_F",$D$87,$F$87,$B$87,$C$87,$G$87,$H$87,$B$18)</f>
        <v>4.1300637046751674E-4</v>
      </c>
      <c r="R87" s="130">
        <f>GasModel($I$87,"CH4_Wies",$D$87,$F$87,$B$87,$C$87,$G$87,$H$87,$B$19)</f>
        <v>4.8238250169422007E-8</v>
      </c>
      <c r="S87" s="130">
        <f>GasModel($I$87,"H2_Wies",$D$87,$F$87,$B$87,$C$87,$G$87,$H$87,$B$20)</f>
        <v>7.7436429500116741E-9</v>
      </c>
      <c r="T87" s="130">
        <f>GasModel($I$87,"N2O_Weiss_F",$D$87,$F$87,$B$87,$C$87,$G$87,$H$87,$B$21)</f>
        <v>2.8180261882905564E-7</v>
      </c>
      <c r="U87" s="130">
        <f>$L$87/$K$87</f>
        <v>2414.1925866031161</v>
      </c>
      <c r="V87" s="130">
        <f>$M$87/$N$87</f>
        <v>6.4647614235548714</v>
      </c>
      <c r="W87" s="130">
        <f>$N$87/$K$87</f>
        <v>9.6804409797184743E-2</v>
      </c>
      <c r="X87" s="130">
        <f>$M$87/$L$87</f>
        <v>2.5922431274109415E-4</v>
      </c>
      <c r="Y87" s="130">
        <f>$O$87/$L$87</f>
        <v>32.809771102246117</v>
      </c>
      <c r="Z87" s="130" t="e">
        <f>$I$87/$I$87</f>
        <v>#VALUE!</v>
      </c>
    </row>
    <row r="88" spans="1:26">
      <c r="A88" s="130" t="s">
        <v>376</v>
      </c>
      <c r="B88" s="130">
        <f>$C$4</f>
        <v>1.43</v>
      </c>
      <c r="C88" s="130">
        <f>$D$4</f>
        <v>88</v>
      </c>
      <c r="D88" s="130">
        <f>$E$4</f>
        <v>9</v>
      </c>
      <c r="E88" s="130">
        <v>0</v>
      </c>
      <c r="F88" s="130">
        <v>20</v>
      </c>
      <c r="G88" s="130">
        <f>$G$4</f>
        <v>2</v>
      </c>
      <c r="H88" s="130">
        <f>$F$4</f>
        <v>0</v>
      </c>
      <c r="I88" s="130" t="s">
        <v>16</v>
      </c>
      <c r="J88" s="130">
        <f>GasModel($I$88,"He_Weiss",$D$88,$F$88,$B$88,$C$88,$G$88,$H$88,$B$11)</f>
        <v>2.7007656237026694E-8</v>
      </c>
      <c r="K88" s="130">
        <f>GasModel($I$88,"Ne_Weiss",$D$88,$F$88,$B$88,$C$88,$G$88,$H$88,$B$12)</f>
        <v>1.2142683236031447E-7</v>
      </c>
      <c r="L88" s="130">
        <f>GasModel($I$88,"Ar_Weiss",$D$88,$F$88,$B$88,$C$88,$G$88,$H$88,$B$13)</f>
        <v>2.920429514378525E-4</v>
      </c>
      <c r="M88" s="130">
        <f>GasModel($I$88,"Kr_Weiss",$D$88,$F$88,$B$88,$C$88,$G$88,$H$88,$B$14)</f>
        <v>7.6504806350245311E-8</v>
      </c>
      <c r="N88" s="130">
        <f>GasModel($I$88,"Xe_Clvr",$D$88,$F$88,$B$88,$C$88,$G$88,$H$88,$B$15)</f>
        <v>1.1974468602316624E-8</v>
      </c>
      <c r="O88" s="130">
        <f>GasModel($I$88,"N2_Weiss",$D$88,$F$88,$B$88,$C$88,$G$88,$H$88,$B$16)</f>
        <v>9.560259764809162E-3</v>
      </c>
      <c r="P88" s="130">
        <f>GasModel($I$88,"O2_B&amp;K",$D$88,$F$88,$B$88,$C$88,$G$88,$H$88,$B$17)</f>
        <v>5.894093869520888E-3</v>
      </c>
      <c r="Q88" s="130">
        <f>GasModel($I$88,"CO2_Weiss_F",$D$88,$F$88,$B$88,$C$88,$G$88,$H$88,$B$18)</f>
        <v>4.1135454715358389E-4</v>
      </c>
      <c r="R88" s="130">
        <f>GasModel($I$88,"CH4_Wies",$D$88,$F$88,$B$88,$C$88,$G$88,$H$88,$B$19)</f>
        <v>4.6084531624424772E-8</v>
      </c>
      <c r="S88" s="130">
        <f>GasModel($I$88,"H2_Wies",$D$88,$F$88,$B$88,$C$88,$G$88,$H$88,$B$20)</f>
        <v>7.3764588527389034E-9</v>
      </c>
      <c r="T88" s="130">
        <f>GasModel($I$88,"N2O_Weiss_F",$D$88,$F$88,$B$88,$C$88,$G$88,$H$88,$B$21)</f>
        <v>2.8032072166941197E-7</v>
      </c>
      <c r="U88" s="130">
        <f>$L$88/$K$88</f>
        <v>2405.0940452046243</v>
      </c>
      <c r="V88" s="130">
        <f>$M$88/$N$88</f>
        <v>6.3889938577687211</v>
      </c>
      <c r="W88" s="130">
        <f>$N$88/$K$88</f>
        <v>9.8614683176320758E-2</v>
      </c>
      <c r="X88" s="130">
        <f>$M$88/$L$88</f>
        <v>2.61964228116376E-4</v>
      </c>
      <c r="Y88" s="130">
        <f>$O$88/$L$88</f>
        <v>32.73580039422253</v>
      </c>
      <c r="Z88" s="130" t="e">
        <f>$I$88/$I$88</f>
        <v>#VALUE!</v>
      </c>
    </row>
    <row r="89" spans="1:26">
      <c r="A89" s="130" t="s">
        <v>376</v>
      </c>
      <c r="B89" s="130">
        <f>$C$4</f>
        <v>1.43</v>
      </c>
      <c r="C89" s="130">
        <f>$D$4</f>
        <v>88</v>
      </c>
      <c r="D89" s="130">
        <f>$E$4</f>
        <v>9</v>
      </c>
      <c r="E89" s="130">
        <v>0</v>
      </c>
      <c r="F89" s="130">
        <v>25</v>
      </c>
      <c r="G89" s="130">
        <f>$G$4</f>
        <v>2</v>
      </c>
      <c r="H89" s="130">
        <f>$F$4</f>
        <v>0</v>
      </c>
      <c r="I89" s="130" t="s">
        <v>16</v>
      </c>
      <c r="J89" s="130">
        <f>GasModel($I$89,"He_Weiss",$D$89,$F$89,$B$89,$C$89,$G$89,$H$89,$B$11)</f>
        <v>2.6308509213523447E-8</v>
      </c>
      <c r="K89" s="130">
        <f>GasModel($I$89,"Ne_Weiss",$D$89,$F$89,$B$89,$C$89,$G$89,$H$89,$B$12)</f>
        <v>1.1789665396921605E-7</v>
      </c>
      <c r="L89" s="130">
        <f>GasModel($I$89,"Ar_Weiss",$D$89,$F$89,$B$89,$C$89,$G$89,$H$89,$B$13)</f>
        <v>2.8127230543991246E-4</v>
      </c>
      <c r="M89" s="130">
        <f>GasModel($I$89,"Kr_Weiss",$D$89,$F$89,$B$89,$C$89,$G$89,$H$89,$B$14)</f>
        <v>7.4156533958684046E-8</v>
      </c>
      <c r="N89" s="130">
        <f>GasModel($I$89,"Xe_Clvr",$D$89,$F$89,$B$89,$C$89,$G$89,$H$89,$B$15)</f>
        <v>1.171417420320043E-8</v>
      </c>
      <c r="O89" s="130">
        <f>GasModel($I$89,"N2_Weiss",$D$89,$F$89,$B$89,$C$89,$G$89,$H$89,$B$16)</f>
        <v>9.2245386818466963E-3</v>
      </c>
      <c r="P89" s="130">
        <f>GasModel($I$89,"O2_B&amp;K",$D$89,$F$89,$B$89,$C$89,$G$89,$H$89,$B$17)</f>
        <v>5.6746118832623448E-3</v>
      </c>
      <c r="Q89" s="130">
        <f>GasModel($I$89,"CO2_Weiss_F",$D$89,$F$89,$B$89,$C$89,$G$89,$H$89,$B$18)</f>
        <v>4.0972926659976945E-4</v>
      </c>
      <c r="R89" s="130">
        <f>GasModel($I$89,"CH4_Wies",$D$89,$F$89,$B$89,$C$89,$G$89,$H$89,$B$19)</f>
        <v>4.4393722085627392E-8</v>
      </c>
      <c r="S89" s="130">
        <f>GasModel($I$89,"H2_Wies",$D$89,$F$89,$B$89,$C$89,$G$89,$H$89,$B$20)</f>
        <v>7.1153883479386503E-9</v>
      </c>
      <c r="T89" s="130">
        <f>GasModel($I$89,"N2O_Weiss_F",$D$89,$F$89,$B$89,$C$89,$G$89,$H$89,$B$21)</f>
        <v>2.7887018254218339E-7</v>
      </c>
      <c r="U89" s="130">
        <f>$L$89/$K$89</f>
        <v>2385.7530809428686</v>
      </c>
      <c r="V89" s="130">
        <f>$M$89/$N$89</f>
        <v>6.3304960872464857</v>
      </c>
      <c r="W89" s="130">
        <f>$N$89/$K$89</f>
        <v>9.9359683322811809E-2</v>
      </c>
      <c r="X89" s="130">
        <f>$M$89/$L$89</f>
        <v>2.6364676693890125E-4</v>
      </c>
      <c r="Y89" s="130">
        <f>$O$89/$L$89</f>
        <v>32.795758784070237</v>
      </c>
      <c r="Z89" s="130" t="e">
        <f>$I$89/$I$89</f>
        <v>#VALUE!</v>
      </c>
    </row>
    <row r="90" spans="1:26">
      <c r="A90" s="130" t="s">
        <v>376</v>
      </c>
      <c r="B90" s="130">
        <f>$C$4</f>
        <v>1.43</v>
      </c>
      <c r="C90" s="130">
        <f>$D$4</f>
        <v>88</v>
      </c>
      <c r="D90" s="130">
        <f>$E$4</f>
        <v>9</v>
      </c>
      <c r="E90" s="130">
        <v>0</v>
      </c>
      <c r="F90" s="130">
        <v>30</v>
      </c>
      <c r="G90" s="130">
        <f>$G$4</f>
        <v>2</v>
      </c>
      <c r="H90" s="130">
        <f>$F$4</f>
        <v>0</v>
      </c>
      <c r="I90" s="130" t="s">
        <v>16</v>
      </c>
      <c r="J90" s="130">
        <f>GasModel($I$90,"He_Weiss",$D$90,$F$90,$B$90,$C$90,$G$90,$H$90,$B$11)</f>
        <v>2.581277772957458E-8</v>
      </c>
      <c r="K90" s="130">
        <f>GasModel($I$90,"Ne_Weiss",$D$90,$F$90,$B$90,$C$90,$G$90,$H$90,$B$12)</f>
        <v>1.1536103629689092E-7</v>
      </c>
      <c r="L90" s="130">
        <f>GasModel($I$90,"Ar_Weiss",$D$90,$F$90,$B$90,$C$90,$G$90,$H$90,$B$13)</f>
        <v>2.7262509527962422E-4</v>
      </c>
      <c r="M90" s="130">
        <f>GasModel($I$90,"Kr_Weiss",$D$90,$F$90,$B$90,$C$90,$G$90,$H$90,$B$14)</f>
        <v>7.2142609575460179E-8</v>
      </c>
      <c r="N90" s="130">
        <f>GasModel($I$90,"Xe_Clvr",$D$90,$F$90,$B$90,$C$90,$G$90,$H$90,$B$15)</f>
        <v>1.1478262980536341E-8</v>
      </c>
      <c r="O90" s="130">
        <f>GasModel($I$90,"N2_Weiss",$D$90,$F$90,$B$90,$C$90,$G$90,$H$90,$B$16)</f>
        <v>8.9742546009010868E-3</v>
      </c>
      <c r="P90" s="130">
        <f>GasModel($I$90,"O2_B&amp;K",$D$90,$F$90,$B$90,$C$90,$G$90,$H$90,$B$17)</f>
        <v>5.4999866170226883E-3</v>
      </c>
      <c r="Q90" s="130">
        <f>GasModel($I$90,"CO2_Weiss_F",$D$90,$F$90,$B$90,$C$90,$G$90,$H$90,$B$18)</f>
        <v>4.0812989414116445E-4</v>
      </c>
      <c r="R90" s="130">
        <f>GasModel($I$90,"CH4_Wies",$D$90,$F$90,$B$90,$C$90,$G$90,$H$90,$B$19)</f>
        <v>4.3031061049053927E-8</v>
      </c>
      <c r="S90" s="130">
        <f>GasModel($I$90,"H2_Wies",$D$90,$F$90,$B$90,$C$90,$G$90,$H$90,$B$20)</f>
        <v>6.9202398644858338E-9</v>
      </c>
      <c r="T90" s="130">
        <f>GasModel($I$90,"N2O_Weiss_F",$D$90,$F$90,$B$90,$C$90,$G$90,$H$90,$B$21)</f>
        <v>2.7745001652966139E-7</v>
      </c>
      <c r="U90" s="130">
        <f>$L$90/$K$90</f>
        <v>2363.2337575227875</v>
      </c>
      <c r="V90" s="130">
        <f>$M$90/$N$90</f>
        <v>6.2851504358971564</v>
      </c>
      <c r="W90" s="130">
        <f>$N$90/$K$90</f>
        <v>9.9498611914304466E-2</v>
      </c>
      <c r="X90" s="130">
        <f>$M$90/$L$90</f>
        <v>2.6462204259466814E-4</v>
      </c>
      <c r="Y90" s="130">
        <f>$O$90/$L$90</f>
        <v>32.917932927988289</v>
      </c>
      <c r="Z90" s="130" t="e">
        <f>$I$90/$I$90</f>
        <v>#VALUE!</v>
      </c>
    </row>
    <row r="91" spans="1:26">
      <c r="A91" s="130" t="s">
        <v>376</v>
      </c>
      <c r="B91" s="130">
        <f>$C$4</f>
        <v>1.43</v>
      </c>
      <c r="C91" s="130">
        <f>$D$4</f>
        <v>88</v>
      </c>
      <c r="D91" s="130">
        <f>$E$4</f>
        <v>9</v>
      </c>
      <c r="E91" s="130">
        <v>0</v>
      </c>
      <c r="F91" s="130">
        <v>35</v>
      </c>
      <c r="G91" s="130">
        <f>$G$4</f>
        <v>2</v>
      </c>
      <c r="H91" s="130">
        <f>$F$4</f>
        <v>0</v>
      </c>
      <c r="I91" s="130" t="s">
        <v>16</v>
      </c>
      <c r="J91" s="130">
        <f>GasModel($I$91,"He_Weiss",$D$91,$F$91,$B$91,$C$91,$G$91,$H$91,$B$11)</f>
        <v>2.5442961065799917E-8</v>
      </c>
      <c r="K91" s="130">
        <f>GasModel($I$91,"Ne_Weiss",$D$91,$F$91,$B$91,$C$91,$G$91,$H$91,$B$12)</f>
        <v>1.1345157667880241E-7</v>
      </c>
      <c r="L91" s="130">
        <f>GasModel($I$91,"Ar_Weiss",$D$91,$F$91,$B$91,$C$91,$G$91,$H$91,$B$13)</f>
        <v>2.6552971331522554E-4</v>
      </c>
      <c r="M91" s="130">
        <f>GasModel($I$91,"Kr_Weiss",$D$91,$F$91,$B$91,$C$91,$G$91,$H$91,$B$14)</f>
        <v>7.0396371916793879E-8</v>
      </c>
      <c r="N91" s="130">
        <f>GasModel($I$91,"Xe_Clvr",$D$91,$F$91,$B$91,$C$91,$G$91,$H$91,$B$15)</f>
        <v>1.126346207266442E-8</v>
      </c>
      <c r="O91" s="130">
        <f>GasModel($I$91,"N2_Weiss",$D$91,$F$91,$B$91,$C$91,$G$91,$H$91,$B$16)</f>
        <v>8.7804749725398611E-3</v>
      </c>
      <c r="P91" s="130">
        <f>GasModel($I$91,"O2_B&amp;K",$D$91,$F$91,$B$91,$C$91,$G$91,$H$91,$B$17)</f>
        <v>5.3577415974189434E-3</v>
      </c>
      <c r="Q91" s="130">
        <f>GasModel($I$91,"CO2_Weiss_F",$D$91,$F$91,$B$91,$C$91,$G$91,$H$91,$B$18)</f>
        <v>4.0655581518685808E-4</v>
      </c>
      <c r="R91" s="130">
        <f>GasModel($I$91,"CH4_Wies",$D$91,$F$91,$B$91,$C$91,$G$91,$H$91,$B$19)</f>
        <v>4.1909469119139871E-8</v>
      </c>
      <c r="S91" s="130">
        <f>GasModel($I$91,"H2_Wies",$D$91,$F$91,$B$91,$C$91,$G$91,$H$91,$B$20)</f>
        <v>6.768843774280249E-9</v>
      </c>
      <c r="T91" s="130">
        <f>GasModel($I$91,"N2O_Weiss_F",$D$91,$F$91,$B$91,$C$91,$G$91,$H$91,$B$21)</f>
        <v>2.7605927953353338E-7</v>
      </c>
      <c r="U91" s="130">
        <f>$L$91/$K$91</f>
        <v>2340.4673702065684</v>
      </c>
      <c r="V91" s="130">
        <f>$M$91/$N$91</f>
        <v>6.2499763804985511</v>
      </c>
      <c r="W91" s="130">
        <f>$N$91/$K$91</f>
        <v>9.9279907802012193E-2</v>
      </c>
      <c r="X91" s="130">
        <f>$M$91/$L$91</f>
        <v>2.6511673980991464E-4</v>
      </c>
      <c r="Y91" s="130">
        <f>$O$91/$L$91</f>
        <v>33.067768058469809</v>
      </c>
      <c r="Z91" s="130" t="e">
        <f>$I$91/$I$91</f>
        <v>#VALUE!</v>
      </c>
    </row>
    <row r="92" spans="1:26">
      <c r="A92" s="130" t="s">
        <v>376</v>
      </c>
      <c r="B92" s="130">
        <f>$C$4</f>
        <v>1.43</v>
      </c>
      <c r="C92" s="130">
        <f>$D$4</f>
        <v>88</v>
      </c>
      <c r="D92" s="130">
        <f>$E$4</f>
        <v>9</v>
      </c>
      <c r="E92" s="130">
        <v>0</v>
      </c>
      <c r="F92" s="130">
        <v>40</v>
      </c>
      <c r="G92" s="130">
        <f>$G$4</f>
        <v>2</v>
      </c>
      <c r="H92" s="130">
        <f>$F$4</f>
        <v>0</v>
      </c>
      <c r="I92" s="130" t="s">
        <v>16</v>
      </c>
      <c r="J92" s="130">
        <f>GasModel($I$92,"He_Weiss",$D$92,$F$92,$B$92,$C$92,$G$92,$H$92,$B$11)</f>
        <v>2.5156492038274512E-8</v>
      </c>
      <c r="K92" s="130">
        <f>GasModel($I$92,"Ne_Weiss",$D$92,$F$92,$B$92,$C$92,$G$92,$H$92,$B$12)</f>
        <v>1.1196182601721295E-7</v>
      </c>
      <c r="L92" s="130">
        <f>GasModel($I$92,"Ar_Weiss",$D$92,$F$92,$B$92,$C$92,$G$92,$H$92,$B$13)</f>
        <v>2.5960282000609845E-4</v>
      </c>
      <c r="M92" s="130">
        <f>GasModel($I$92,"Kr_Weiss",$D$92,$F$92,$B$92,$C$92,$G$92,$H$92,$B$14)</f>
        <v>6.8867776337968965E-8</v>
      </c>
      <c r="N92" s="130">
        <f>GasModel($I$92,"Xe_Clvr",$D$92,$F$92,$B$92,$C$92,$G$92,$H$92,$B$15)</f>
        <v>1.1067059271591949E-8</v>
      </c>
      <c r="O92" s="130">
        <f>GasModel($I$92,"N2_Weiss",$D$92,$F$92,$B$92,$C$92,$G$92,$H$92,$B$16)</f>
        <v>8.6260058812182763E-3</v>
      </c>
      <c r="P92" s="130">
        <f>GasModel($I$92,"O2_B&amp;K",$D$92,$F$92,$B$92,$C$92,$G$92,$H$92,$B$17)</f>
        <v>5.2396347190216156E-3</v>
      </c>
      <c r="Q92" s="130">
        <f>GasModel($I$92,"CO2_Weiss_F",$D$92,$F$92,$B$92,$C$92,$G$92,$H$92,$B$18)</f>
        <v>4.0500643443250578E-4</v>
      </c>
      <c r="R92" s="130">
        <f>GasModel($I$92,"CH4_Wies",$D$92,$F$92,$B$92,$C$92,$G$92,$H$92,$B$19)</f>
        <v>4.0970173554197102E-8</v>
      </c>
      <c r="S92" s="130">
        <f>GasModel($I$92,"H2_Wies",$D$92,$F$92,$B$92,$C$92,$G$92,$H$92,$B$20)</f>
        <v>6.6479692877578737E-9</v>
      </c>
      <c r="T92" s="130">
        <f>GasModel($I$92,"N2O_Weiss_F",$D$92,$F$92,$B$92,$C$92,$G$92,$H$92,$B$21)</f>
        <v>2.746970661818955E-7</v>
      </c>
      <c r="U92" s="130">
        <f>$L$92/$K$92</f>
        <v>2318.6726158448619</v>
      </c>
      <c r="V92" s="130">
        <f>$M$92/$N$92</f>
        <v>6.2227710765718731</v>
      </c>
      <c r="W92" s="130">
        <f>$N$92/$K$92</f>
        <v>9.8846720040904876E-2</v>
      </c>
      <c r="X92" s="130">
        <f>$M$92/$L$92</f>
        <v>2.652813106435098E-4</v>
      </c>
      <c r="Y92" s="130">
        <f>$O$92/$L$92</f>
        <v>33.2277048493373</v>
      </c>
      <c r="Z92" s="130" t="e">
        <f>$I$92/$I$92</f>
        <v>#VALUE!</v>
      </c>
    </row>
    <row r="93" spans="1:26">
      <c r="A93" s="130" t="s">
        <v>376</v>
      </c>
      <c r="B93" s="130">
        <f>$C$4</f>
        <v>1.43</v>
      </c>
      <c r="C93" s="130">
        <f>$D$4</f>
        <v>88</v>
      </c>
      <c r="D93" s="130">
        <f>$E$4</f>
        <v>9</v>
      </c>
      <c r="E93" s="130">
        <v>0</v>
      </c>
      <c r="F93" s="130">
        <v>45</v>
      </c>
      <c r="G93" s="130">
        <f>$G$4</f>
        <v>2</v>
      </c>
      <c r="H93" s="130">
        <f>$F$4</f>
        <v>0</v>
      </c>
      <c r="I93" s="130" t="s">
        <v>16</v>
      </c>
      <c r="J93" s="130">
        <f>GasModel($I$93,"He_Weiss",$D$93,$F$93,$B$93,$C$93,$G$93,$H$93,$B$11)</f>
        <v>2.4928047478757847E-8</v>
      </c>
      <c r="K93" s="130">
        <f>GasModel($I$93,"Ne_Weiss",$D$93,$F$93,$B$93,$C$93,$G$93,$H$93,$B$12)</f>
        <v>1.1076710557162587E-7</v>
      </c>
      <c r="L93" s="130">
        <f>GasModel($I$93,"Ar_Weiss",$D$93,$F$93,$B$93,$C$93,$G$93,$H$93,$B$13)</f>
        <v>2.5457772937972732E-4</v>
      </c>
      <c r="M93" s="130">
        <f>GasModel($I$93,"Kr_Weiss",$D$93,$F$93,$B$93,$C$93,$G$93,$H$93,$B$14)</f>
        <v>6.7518521025446782E-8</v>
      </c>
      <c r="N93" s="130">
        <f>GasModel($I$93,"Xe_Clvr",$D$93,$F$93,$B$93,$C$93,$G$93,$H$93,$B$15)</f>
        <v>1.088678790058459E-8</v>
      </c>
      <c r="O93" s="130">
        <f>GasModel($I$93,"N2_Weiss",$D$93,$F$93,$B$93,$C$93,$G$93,$H$93,$B$16)</f>
        <v>8.499986977867878E-3</v>
      </c>
      <c r="P93" s="130">
        <f>GasModel($I$93,"O2_B&amp;K",$D$93,$F$93,$B$93,$C$93,$G$93,$H$93,$B$17)</f>
        <v>5.1400023720451094E-3</v>
      </c>
      <c r="Q93" s="130">
        <f>GasModel($I$93,"CO2_Weiss_F",$D$93,$F$93,$B$93,$C$93,$G$93,$H$93,$B$18)</f>
        <v>4.0348117510967553E-4</v>
      </c>
      <c r="R93" s="130">
        <f>GasModel($I$93,"CH4_Wies",$D$93,$F$93,$B$93,$C$93,$G$93,$H$93,$B$19)</f>
        <v>4.0172070785115514E-8</v>
      </c>
      <c r="S93" s="130">
        <f>GasModel($I$93,"H2_Wies",$D$93,$F$93,$B$93,$C$93,$G$93,$H$93,$B$20)</f>
        <v>6.5492317985581323E-9</v>
      </c>
      <c r="T93" s="130">
        <f>GasModel($I$93,"N2O_Weiss_F",$D$93,$F$93,$B$93,$C$93,$G$93,$H$93,$B$21)</f>
        <v>2.7336250786373792E-7</v>
      </c>
      <c r="U93" s="130">
        <f>$L$93/$K$93</f>
        <v>2298.3152630553163</v>
      </c>
      <c r="V93" s="130">
        <f>$M$93/$N$93</f>
        <v>6.2018771415415586</v>
      </c>
      <c r="W93" s="130">
        <f>$N$93/$K$93</f>
        <v>9.8285387565217305E-2</v>
      </c>
      <c r="X93" s="130">
        <f>$M$93/$L$93</f>
        <v>2.6521770458851242E-4</v>
      </c>
      <c r="Y93" s="130">
        <f>$O$93/$L$93</f>
        <v>33.388572514091855</v>
      </c>
      <c r="Z93" s="130" t="e">
        <f>$I$93/$I$93</f>
        <v>#VALUE!</v>
      </c>
    </row>
    <row r="94" spans="1:26">
      <c r="A94" s="130" t="s">
        <v>376</v>
      </c>
      <c r="B94" s="130">
        <f>$C$4</f>
        <v>1.43</v>
      </c>
      <c r="C94" s="130">
        <f>$D$4</f>
        <v>88</v>
      </c>
      <c r="D94" s="130">
        <f>$E$4</f>
        <v>9</v>
      </c>
      <c r="E94" s="130">
        <v>0</v>
      </c>
      <c r="F94" s="130">
        <v>50</v>
      </c>
      <c r="G94" s="130">
        <f>$G$4</f>
        <v>2</v>
      </c>
      <c r="H94" s="130">
        <f>$F$4</f>
        <v>0</v>
      </c>
      <c r="I94" s="130" t="s">
        <v>16</v>
      </c>
      <c r="J94" s="130">
        <f>GasModel($I$94,"He_Weiss",$D$94,$F$94,$B$94,$C$94,$G$94,$H$94,$B$11)</f>
        <v>2.4741619278536721E-8</v>
      </c>
      <c r="K94" s="130">
        <f>GasModel($I$94,"Ne_Weiss",$D$94,$F$94,$B$94,$C$94,$G$94,$H$94,$B$12)</f>
        <v>1.0978767004658784E-7</v>
      </c>
      <c r="L94" s="130">
        <f>GasModel($I$94,"Ar_Weiss",$D$94,$F$94,$B$94,$C$94,$G$94,$H$94,$B$13)</f>
        <v>2.5026317279471091E-4</v>
      </c>
      <c r="M94" s="130">
        <f>GasModel($I$94,"Kr_Weiss",$D$94,$F$94,$B$94,$C$94,$G$94,$H$94,$B$14)</f>
        <v>6.6318793571833865E-8</v>
      </c>
      <c r="N94" s="130">
        <f>GasModel($I$94,"Xe_Clvr",$D$94,$F$94,$B$94,$C$94,$G$94,$H$94,$B$15)</f>
        <v>1.0720738939313185E-8</v>
      </c>
      <c r="O94" s="130">
        <f>GasModel($I$94,"N2_Weiss",$D$94,$F$94,$B$94,$C$94,$G$94,$H$94,$B$16)</f>
        <v>8.3952210980387902E-3</v>
      </c>
      <c r="P94" s="130">
        <f>GasModel($I$94,"O2_B&amp;K",$D$94,$F$94,$B$94,$C$94,$G$94,$H$94,$B$17)</f>
        <v>5.0548242501736885E-3</v>
      </c>
      <c r="Q94" s="130">
        <f>GasModel($I$94,"CO2_Weiss_F",$D$94,$F$94,$B$94,$C$94,$G$94,$H$94,$B$18)</f>
        <v>4.0197947826998227E-4</v>
      </c>
      <c r="R94" s="130">
        <f>GasModel($I$94,"CH4_Wies",$D$94,$F$94,$B$94,$C$94,$G$94,$H$94,$B$19)</f>
        <v>3.9485550606542482E-8</v>
      </c>
      <c r="S94" s="130">
        <f>GasModel($I$94,"H2_Wies",$D$94,$F$94,$B$94,$C$94,$G$94,$H$94,$B$20)</f>
        <v>6.4670601884084627E-9</v>
      </c>
      <c r="T94" s="130">
        <f>GasModel($I$94,"N2O_Weiss_F",$D$94,$F$94,$B$94,$C$94,$G$94,$H$94,$B$21)</f>
        <v>2.720547708819361E-7</v>
      </c>
      <c r="U94" s="130">
        <f>$L$94/$K$94</f>
        <v>2279.5198467051264</v>
      </c>
      <c r="V94" s="130">
        <f>$M$94/$N$94</f>
        <v>6.1860282157082844</v>
      </c>
      <c r="W94" s="130">
        <f>$N$94/$K$94</f>
        <v>9.7649753699699554E-2</v>
      </c>
      <c r="X94" s="130">
        <f>$M$94/$L$94</f>
        <v>2.6499621510926301E-4</v>
      </c>
      <c r="Y94" s="130">
        <f>$O$94/$L$94</f>
        <v>33.545571265195022</v>
      </c>
      <c r="Z94" s="130" t="e">
        <f>$I$94/$I$94</f>
        <v>#VALUE!</v>
      </c>
    </row>
    <row r="95" spans="1:26">
      <c r="A95" s="130" t="s">
        <v>376</v>
      </c>
      <c r="B95" s="130">
        <f>$C$4</f>
        <v>1.43</v>
      </c>
      <c r="C95" s="130">
        <f>$D$4</f>
        <v>88</v>
      </c>
      <c r="D95" s="130">
        <f>$E$4</f>
        <v>9</v>
      </c>
      <c r="E95" s="130">
        <v>0</v>
      </c>
      <c r="F95" s="130">
        <v>75</v>
      </c>
      <c r="G95" s="130">
        <f>$G$4</f>
        <v>2</v>
      </c>
      <c r="H95" s="130">
        <f>$F$4</f>
        <v>0</v>
      </c>
      <c r="I95" s="130" t="s">
        <v>16</v>
      </c>
      <c r="J95" s="130">
        <f>GasModel($I$95,"He_Weiss",$D$95,$F$95,$B$95,$C$95,$G$95,$H$95,$B$11)</f>
        <v>2.4161804026327205E-8</v>
      </c>
      <c r="K95" s="130">
        <f>GasModel($I$95,"Ne_Weiss",$D$95,$F$95,$B$95,$C$95,$G$95,$H$95,$B$12)</f>
        <v>1.0671564431688236E-7</v>
      </c>
      <c r="L95" s="130">
        <f>GasModel($I$95,"Ar_Weiss",$D$95,$F$95,$B$95,$C$95,$G$95,$H$95,$B$13)</f>
        <v>2.3545141200413244E-4</v>
      </c>
      <c r="M95" s="130">
        <f>GasModel($I$95,"Kr_Weiss",$D$95,$F$95,$B$95,$C$95,$G$95,$H$95,$B$14)</f>
        <v>6.1881835408850636E-8</v>
      </c>
      <c r="N95" s="130">
        <f>GasModel($I$95,"Xe_Clvr",$D$95,$F$95,$B$95,$C$95,$G$95,$H$95,$B$15)</f>
        <v>1.0054626426701678E-8</v>
      </c>
      <c r="O95" s="130">
        <f>GasModel($I$95,"N2_Weiss",$D$95,$F$95,$B$95,$C$95,$G$95,$H$95,$B$16)</f>
        <v>8.0578198486950352E-3</v>
      </c>
      <c r="P95" s="130">
        <f>GasModel($I$95,"O2_B&amp;K",$D$95,$F$95,$B$95,$C$95,$G$95,$H$95,$B$17)</f>
        <v>4.7649580979128251E-3</v>
      </c>
      <c r="Q95" s="130">
        <f>GasModel($I$95,"CO2_Weiss_F",$D$95,$F$95,$B$95,$C$95,$G$95,$H$95,$B$18)</f>
        <v>3.9480603203734461E-4</v>
      </c>
      <c r="R95" s="130">
        <f>GasModel($I$95,"CH4_Wies",$D$95,$F$95,$B$95,$C$95,$G$95,$H$95,$B$19)</f>
        <v>3.7119794926121563E-8</v>
      </c>
      <c r="S95" s="130">
        <f>GasModel($I$95,"H2_Wies",$D$95,$F$95,$B$95,$C$95,$G$95,$H$95,$B$20)</f>
        <v>6.2018914400456903E-9</v>
      </c>
      <c r="T95" s="130">
        <f>GasModel($I$95,"N2O_Weiss_F",$D$95,$F$95,$B$95,$C$95,$G$95,$H$95,$B$21)</f>
        <v>2.658914601348143E-7</v>
      </c>
      <c r="U95" s="130">
        <f>$L$95/$K$95</f>
        <v>2206.3439105983466</v>
      </c>
      <c r="V95" s="130">
        <f>$M$95/$N$95</f>
        <v>6.1545633604559855</v>
      </c>
      <c r="W95" s="130">
        <f>$N$95/$K$95</f>
        <v>9.4218860702798016E-2</v>
      </c>
      <c r="X95" s="130">
        <f>$M$95/$L$95</f>
        <v>2.6282210364389122E-4</v>
      </c>
      <c r="Y95" s="130">
        <f>$O$95/$L$95</f>
        <v>34.222856342664919</v>
      </c>
      <c r="Z95" s="130" t="e">
        <f>$I$95/$I$95</f>
        <v>#VALUE!</v>
      </c>
    </row>
    <row r="96" spans="1:26">
      <c r="A96" s="130" t="s">
        <v>376</v>
      </c>
      <c r="B96" s="130">
        <f>$C$4</f>
        <v>1.43</v>
      </c>
      <c r="C96" s="130">
        <f>$D$4</f>
        <v>88</v>
      </c>
      <c r="D96" s="130">
        <f>$E$4</f>
        <v>9</v>
      </c>
      <c r="E96" s="130">
        <v>0</v>
      </c>
      <c r="F96" s="130">
        <v>100</v>
      </c>
      <c r="G96" s="130">
        <f>$G$4</f>
        <v>2</v>
      </c>
      <c r="H96" s="130">
        <f>$F$4</f>
        <v>0</v>
      </c>
      <c r="I96" s="130" t="s">
        <v>16</v>
      </c>
      <c r="J96" s="130">
        <f>GasModel($I$96,"He_Weiss",$D$96,$F$96,$B$96,$C$96,$G$96,$H$96,$B$11)</f>
        <v>2.3859756867515734E-8</v>
      </c>
      <c r="K96" s="130">
        <f>GasModel($I$96,"Ne_Weiss",$D$96,$F$96,$B$96,$C$96,$G$96,$H$96,$B$12)</f>
        <v>1.050996260219066E-7</v>
      </c>
      <c r="L96" s="130">
        <f>GasModel($I$96,"Ar_Weiss",$D$96,$F$96,$B$96,$C$96,$G$96,$H$96,$B$13)</f>
        <v>2.2677427099302046E-4</v>
      </c>
      <c r="M96" s="130">
        <f>GasModel($I$96,"Kr_Weiss",$D$96,$F$96,$B$96,$C$96,$G$96,$H$96,$B$14)</f>
        <v>5.9026856740555529E-8</v>
      </c>
      <c r="N96" s="130">
        <f>GasModel($I$96,"Xe_Clvr",$D$96,$F$96,$B$96,$C$96,$G$96,$H$96,$B$15)</f>
        <v>9.5769456948415838E-9</v>
      </c>
      <c r="O96" s="130">
        <f>GasModel($I$96,"N2_Weiss",$D$96,$F$96,$B$96,$C$96,$G$96,$H$96,$B$16)</f>
        <v>7.8747726668174887E-3</v>
      </c>
      <c r="P96" s="130">
        <f>GasModel($I$96,"O2_B&amp;K",$D$96,$F$96,$B$96,$C$96,$G$96,$H$96,$B$17)</f>
        <v>4.5969565756720553E-3</v>
      </c>
      <c r="Q96" s="130">
        <f>GasModel($I$96,"CO2_Weiss_F",$D$96,$F$96,$B$96,$C$96,$G$96,$H$96,$B$18)</f>
        <v>3.8814694011416487E-4</v>
      </c>
      <c r="R96" s="130">
        <f>GasModel($I$96,"CH4_Wies",$D$96,$F$96,$B$96,$C$96,$G$96,$H$96,$B$19)</f>
        <v>3.5727395022931157E-8</v>
      </c>
      <c r="S96" s="130">
        <f>GasModel($I$96,"H2_Wies",$D$96,$F$96,$B$96,$C$96,$G$96,$H$96,$B$20)</f>
        <v>6.0576906045966784E-9</v>
      </c>
      <c r="T96" s="130">
        <f>GasModel($I$96,"N2O_Weiss_F",$D$96,$F$96,$B$96,$C$96,$G$96,$H$96,$B$21)</f>
        <v>2.6029093338070902E-7</v>
      </c>
      <c r="U96" s="130">
        <f>$L$96/$K$96</f>
        <v>2157.7076872352754</v>
      </c>
      <c r="V96" s="130">
        <f>$M$96/$N$96</f>
        <v>6.1634323323300331</v>
      </c>
      <c r="W96" s="130">
        <f>$N$96/$K$96</f>
        <v>9.1122547789517339E-2</v>
      </c>
      <c r="X96" s="130">
        <f>$M$96/$L$96</f>
        <v>2.6028903756181507E-4</v>
      </c>
      <c r="Y96" s="130">
        <f>$O$96/$L$96</f>
        <v>34.725159218171868</v>
      </c>
      <c r="Z96" s="130" t="e">
        <f>$I$96/$I$96</f>
        <v>#VALUE!</v>
      </c>
    </row>
    <row r="97" spans="1:26">
      <c r="A97" s="130" t="s">
        <v>376</v>
      </c>
      <c r="B97" s="130">
        <f>$C$4</f>
        <v>1.43</v>
      </c>
      <c r="C97" s="130">
        <f>$D$4</f>
        <v>88</v>
      </c>
      <c r="D97" s="130">
        <f>$E$4</f>
        <v>9</v>
      </c>
      <c r="E97" s="130">
        <v>0</v>
      </c>
      <c r="F97" s="130">
        <v>200</v>
      </c>
      <c r="G97" s="130">
        <f>$G$4</f>
        <v>2</v>
      </c>
      <c r="H97" s="130">
        <f>$F$4</f>
        <v>0</v>
      </c>
      <c r="I97" s="130" t="s">
        <v>16</v>
      </c>
      <c r="J97" s="130">
        <f>GasModel($I$97,"He_Weiss",$D$97,$F$97,$B$97,$C$97,$G$97,$H$97,$B$11)</f>
        <v>2.3390538215809399E-8</v>
      </c>
      <c r="K97" s="130">
        <f>GasModel($I$97,"Ne_Weiss",$D$97,$F$97,$B$97,$C$97,$G$97,$H$97,$B$12)</f>
        <v>1.0256756936687855E-7</v>
      </c>
      <c r="L97" s="130">
        <f>GasModel($I$97,"Ar_Weiss",$D$97,$F$97,$B$97,$C$97,$G$97,$H$97,$B$13)</f>
        <v>2.1172190878343119E-4</v>
      </c>
      <c r="M97" s="130">
        <f>GasModel($I$97,"Kr_Weiss",$D$97,$F$97,$B$97,$C$97,$G$97,$H$97,$B$14)</f>
        <v>5.3549011452531937E-8</v>
      </c>
      <c r="N97" s="130">
        <f>GasModel($I$97,"Xe_Clvr",$D$97,$F$97,$B$97,$C$97,$G$97,$H$97,$B$15)</f>
        <v>8.5292361496733776E-9</v>
      </c>
      <c r="O97" s="130">
        <f>GasModel($I$97,"N2_Weiss",$D$97,$F$97,$B$97,$C$97,$G$97,$H$97,$B$16)</f>
        <v>7.5798795079621206E-3</v>
      </c>
      <c r="P97" s="130">
        <f>GasModel($I$97,"O2_B&amp;K",$D$97,$F$97,$B$97,$C$97,$G$97,$H$97,$B$17)</f>
        <v>4.3086390057386868E-3</v>
      </c>
      <c r="Q97" s="130">
        <f>GasModel($I$97,"CO2_Weiss_F",$D$97,$F$97,$B$97,$C$97,$G$97,$H$97,$B$18)</f>
        <v>3.6568646606129231E-4</v>
      </c>
      <c r="R97" s="130">
        <f>GasModel($I$97,"CH4_Wies",$D$97,$F$97,$B$97,$C$97,$G$97,$H$97,$B$19)</f>
        <v>3.3300545061745015E-8</v>
      </c>
      <c r="S97" s="130">
        <f>GasModel($I$97,"H2_Wies",$D$97,$F$97,$B$97,$C$97,$G$97,$H$97,$B$20)</f>
        <v>5.8248730005065134E-9</v>
      </c>
      <c r="T97" s="130">
        <f>GasModel($I$97,"N2O_Weiss_F",$D$97,$F$97,$B$97,$C$97,$G$97,$H$97,$B$21)</f>
        <v>2.4221306734161988E-7</v>
      </c>
      <c r="U97" s="130">
        <f>$L$97/$K$97</f>
        <v>2064.2188373023987</v>
      </c>
      <c r="V97" s="130">
        <f>$M$97/$N$97</f>
        <v>6.2782892292860915</v>
      </c>
      <c r="W97" s="130">
        <f>$N$97/$K$97</f>
        <v>8.3157241634193052E-2</v>
      </c>
      <c r="X97" s="130">
        <f>$M$97/$L$97</f>
        <v>2.529214466288741E-4</v>
      </c>
      <c r="Y97" s="130">
        <f>$O$97/$L$97</f>
        <v>35.8011107660829</v>
      </c>
      <c r="Z97" s="130" t="e">
        <f>$I$97/$I$97</f>
        <v>#VALUE!</v>
      </c>
    </row>
    <row r="98" spans="1:26">
      <c r="A98" s="130" t="s">
        <v>377</v>
      </c>
      <c r="B98" s="130">
        <f>$C$4</f>
        <v>1.43</v>
      </c>
      <c r="C98" s="130">
        <f>$D$4</f>
        <v>88</v>
      </c>
      <c r="D98" s="130">
        <f>$E$4</f>
        <v>9</v>
      </c>
      <c r="E98" s="130">
        <v>0</v>
      </c>
      <c r="F98" s="130">
        <f>$I$4</f>
        <v>20</v>
      </c>
      <c r="G98" s="130">
        <f>$G$4</f>
        <v>2</v>
      </c>
      <c r="H98" s="130">
        <v>0</v>
      </c>
      <c r="I98" s="130" t="s">
        <v>16</v>
      </c>
      <c r="J98" s="130">
        <f>GasModel($I$98,"He_Weiss",$D$98,$F$98,$B$98,$C$98,$G$98,$H$98,$B$11)</f>
        <v>2.7007656237026694E-8</v>
      </c>
      <c r="K98" s="130">
        <f>GasModel($I$98,"Ne_Weiss",$D$98,$F$98,$B$98,$C$98,$G$98,$H$98,$B$12)</f>
        <v>1.2142683236031447E-7</v>
      </c>
      <c r="L98" s="130">
        <f>GasModel($I$98,"Ar_Weiss",$D$98,$F$98,$B$98,$C$98,$G$98,$H$98,$B$13)</f>
        <v>2.920429514378525E-4</v>
      </c>
      <c r="M98" s="130">
        <f>GasModel($I$98,"Kr_Weiss",$D$98,$F$98,$B$98,$C$98,$G$98,$H$98,$B$14)</f>
        <v>7.6504806350245311E-8</v>
      </c>
      <c r="N98" s="130">
        <f>GasModel($I$98,"Xe_Clvr",$D$98,$F$98,$B$98,$C$98,$G$98,$H$98,$B$15)</f>
        <v>1.1974468602316624E-8</v>
      </c>
      <c r="O98" s="130">
        <f>GasModel($I$98,"N2_Weiss",$D$98,$F$98,$B$98,$C$98,$G$98,$H$98,$B$16)</f>
        <v>9.560259764809162E-3</v>
      </c>
      <c r="P98" s="130">
        <f>GasModel($I$98,"O2_B&amp;K",$D$98,$F$98,$B$98,$C$98,$G$98,$H$98,$B$17)</f>
        <v>5.894093869520888E-3</v>
      </c>
      <c r="Q98" s="130">
        <f>GasModel($I$98,"CO2_Weiss_F",$D$98,$F$98,$B$98,$C$98,$G$98,$H$98,$B$18)</f>
        <v>4.1135454715358389E-4</v>
      </c>
      <c r="R98" s="130">
        <f>GasModel($I$98,"CH4_Wies",$D$98,$F$98,$B$98,$C$98,$G$98,$H$98,$B$19)</f>
        <v>4.6084531624424772E-8</v>
      </c>
      <c r="S98" s="130">
        <f>GasModel($I$98,"H2_Wies",$D$98,$F$98,$B$98,$C$98,$G$98,$H$98,$B$20)</f>
        <v>7.3764588527389034E-9</v>
      </c>
      <c r="T98" s="130">
        <f>GasModel($I$98,"N2O_Weiss_F",$D$98,$F$98,$B$98,$C$98,$G$98,$H$98,$B$21)</f>
        <v>2.8032072166941197E-7</v>
      </c>
      <c r="U98" s="130">
        <f>$L$98/$K$98</f>
        <v>2405.0940452046243</v>
      </c>
      <c r="V98" s="130">
        <f>$M$98/$N$98</f>
        <v>6.3889938577687211</v>
      </c>
      <c r="W98" s="130">
        <f>$N$98/$K$98</f>
        <v>9.8614683176320758E-2</v>
      </c>
      <c r="X98" s="130">
        <f>$M$98/$L$98</f>
        <v>2.61964228116376E-4</v>
      </c>
      <c r="Y98" s="130">
        <f>$O$98/$L$98</f>
        <v>32.73580039422253</v>
      </c>
      <c r="Z98" s="130" t="e">
        <f>$I$98/$I$98</f>
        <v>#VALUE!</v>
      </c>
    </row>
    <row r="99" spans="1:26">
      <c r="A99" s="130" t="s">
        <v>377</v>
      </c>
      <c r="B99" s="130">
        <f>$C$4</f>
        <v>1.43</v>
      </c>
      <c r="C99" s="130">
        <f>$D$4</f>
        <v>88</v>
      </c>
      <c r="D99" s="130">
        <f>$E$4</f>
        <v>9</v>
      </c>
      <c r="E99" s="130">
        <v>0</v>
      </c>
      <c r="F99" s="130">
        <f>$I$4</f>
        <v>20</v>
      </c>
      <c r="G99" s="130">
        <f>$G$4</f>
        <v>2</v>
      </c>
      <c r="H99" s="130">
        <v>1</v>
      </c>
      <c r="I99" s="130" t="s">
        <v>16</v>
      </c>
      <c r="J99" s="130">
        <f>GasModel($I$99,"He_Weiss",$D$99,$F$99,$B$99,$C$99,$G$99,$H$99,$B$11)</f>
        <v>2.7007656237026694E-8</v>
      </c>
      <c r="K99" s="130">
        <f>GasModel($I$99,"Ne_Weiss",$D$99,$F$99,$B$99,$C$99,$G$99,$H$99,$B$12)</f>
        <v>1.2142683236031447E-7</v>
      </c>
      <c r="L99" s="130">
        <f>GasModel($I$99,"Ar_Weiss",$D$99,$F$99,$B$99,$C$99,$G$99,$H$99,$B$13)</f>
        <v>2.920429514378525E-4</v>
      </c>
      <c r="M99" s="130">
        <f>GasModel($I$99,"Kr_Weiss",$D$99,$F$99,$B$99,$C$99,$G$99,$H$99,$B$14)</f>
        <v>7.6504806350245311E-8</v>
      </c>
      <c r="N99" s="130">
        <f>GasModel($I$99,"Xe_Clvr",$D$99,$F$99,$B$99,$C$99,$G$99,$H$99,$B$15)</f>
        <v>1.1974468602316624E-8</v>
      </c>
      <c r="O99" s="130">
        <f>GasModel($I$99,"N2_Weiss",$D$99,$F$99,$B$99,$C$99,$G$99,$H$99,$B$16)</f>
        <v>1.0359620276399889E-2</v>
      </c>
      <c r="P99" s="130">
        <f>GasModel($I$99,"O2_B&amp;K",$D$99,$F$99,$B$99,$C$99,$G$99,$H$99,$B$17)</f>
        <v>5.894093869520888E-3</v>
      </c>
      <c r="Q99" s="130">
        <f>GasModel($I$99,"CO2_Weiss_F",$D$99,$F$99,$B$99,$C$99,$G$99,$H$99,$B$18)</f>
        <v>4.1135454715358389E-4</v>
      </c>
      <c r="R99" s="130">
        <f>GasModel($I$99,"CH4_Wies",$D$99,$F$99,$B$99,$C$99,$G$99,$H$99,$B$19)</f>
        <v>4.6084531624424772E-8</v>
      </c>
      <c r="S99" s="130">
        <f>GasModel($I$99,"H2_Wies",$D$99,$F$99,$B$99,$C$99,$G$99,$H$99,$B$20)</f>
        <v>7.3764588527389034E-9</v>
      </c>
      <c r="T99" s="130">
        <f>GasModel($I$99,"N2O_Weiss_F",$D$99,$F$99,$B$99,$C$99,$G$99,$H$99,$B$21)</f>
        <v>2.8032072166941197E-7</v>
      </c>
      <c r="U99" s="130">
        <f>$L$99/$K$99</f>
        <v>2405.0940452046243</v>
      </c>
      <c r="V99" s="130">
        <f>$M$99/$N$99</f>
        <v>6.3889938577687211</v>
      </c>
      <c r="W99" s="130">
        <f>$N$99/$K$99</f>
        <v>9.8614683176320758E-2</v>
      </c>
      <c r="X99" s="130">
        <f>$M$99/$L$99</f>
        <v>2.61964228116376E-4</v>
      </c>
      <c r="Y99" s="130">
        <f>$O$99/$L$99</f>
        <v>35.47293377701822</v>
      </c>
      <c r="Z99" s="130" t="e">
        <f>$I$99/$I$99</f>
        <v>#VALUE!</v>
      </c>
    </row>
    <row r="100" spans="1:26">
      <c r="A100" s="130" t="s">
        <v>377</v>
      </c>
      <c r="B100" s="130">
        <f>$C$4</f>
        <v>1.43</v>
      </c>
      <c r="C100" s="130">
        <f>$D$4</f>
        <v>88</v>
      </c>
      <c r="D100" s="130">
        <f>$E$4</f>
        <v>9</v>
      </c>
      <c r="E100" s="130">
        <v>0</v>
      </c>
      <c r="F100" s="130">
        <f>$I$4</f>
        <v>20</v>
      </c>
      <c r="G100" s="130">
        <f>$G$4</f>
        <v>2</v>
      </c>
      <c r="H100" s="130">
        <v>2</v>
      </c>
      <c r="I100" s="130" t="s">
        <v>16</v>
      </c>
      <c r="J100" s="130">
        <f>GasModel($I$100,"He_Weiss",$D$100,$F$100,$B$100,$C$100,$G$100,$H$100,$B$11)</f>
        <v>2.7007656237026694E-8</v>
      </c>
      <c r="K100" s="130">
        <f>GasModel($I$100,"Ne_Weiss",$D$100,$F$100,$B$100,$C$100,$G$100,$H$100,$B$12)</f>
        <v>1.2142683236031447E-7</v>
      </c>
      <c r="L100" s="130">
        <f>GasModel($I$100,"Ar_Weiss",$D$100,$F$100,$B$100,$C$100,$G$100,$H$100,$B$13)</f>
        <v>2.920429514378525E-4</v>
      </c>
      <c r="M100" s="130">
        <f>GasModel($I$100,"Kr_Weiss",$D$100,$F$100,$B$100,$C$100,$G$100,$H$100,$B$14)</f>
        <v>7.6504806350245311E-8</v>
      </c>
      <c r="N100" s="130">
        <f>GasModel($I$100,"Xe_Clvr",$D$100,$F$100,$B$100,$C$100,$G$100,$H$100,$B$15)</f>
        <v>1.1974468602316624E-8</v>
      </c>
      <c r="O100" s="130">
        <f>GasModel($I$100,"N2_Weiss",$D$100,$F$100,$B$100,$C$100,$G$100,$H$100,$B$16)</f>
        <v>1.1158980787990618E-2</v>
      </c>
      <c r="P100" s="130">
        <f>GasModel($I$100,"O2_B&amp;K",$D$100,$F$100,$B$100,$C$100,$G$100,$H$100,$B$17)</f>
        <v>5.894093869520888E-3</v>
      </c>
      <c r="Q100" s="130">
        <f>GasModel($I$100,"CO2_Weiss_F",$D$100,$F$100,$B$100,$C$100,$G$100,$H$100,$B$18)</f>
        <v>4.1135454715358389E-4</v>
      </c>
      <c r="R100" s="130">
        <f>GasModel($I$100,"CH4_Wies",$D$100,$F$100,$B$100,$C$100,$G$100,$H$100,$B$19)</f>
        <v>4.6084531624424772E-8</v>
      </c>
      <c r="S100" s="130">
        <f>GasModel($I$100,"H2_Wies",$D$100,$F$100,$B$100,$C$100,$G$100,$H$100,$B$20)</f>
        <v>7.3764588527389034E-9</v>
      </c>
      <c r="T100" s="130">
        <f>GasModel($I$100,"N2O_Weiss_F",$D$100,$F$100,$B$100,$C$100,$G$100,$H$100,$B$21)</f>
        <v>2.8032072166941197E-7</v>
      </c>
      <c r="U100" s="130">
        <f>$L$100/$K$100</f>
        <v>2405.0940452046243</v>
      </c>
      <c r="V100" s="130">
        <f>$M$100/$N$100</f>
        <v>6.3889938577687211</v>
      </c>
      <c r="W100" s="130">
        <f>$N$100/$K$100</f>
        <v>9.8614683176320758E-2</v>
      </c>
      <c r="X100" s="130">
        <f>$M$100/$L$100</f>
        <v>2.61964228116376E-4</v>
      </c>
      <c r="Y100" s="130">
        <f>$O$100/$L$100</f>
        <v>38.210067159813917</v>
      </c>
      <c r="Z100" s="130" t="e">
        <f>$I$100/$I$100</f>
        <v>#VALUE!</v>
      </c>
    </row>
    <row r="101" spans="1:26">
      <c r="A101" s="130" t="s">
        <v>377</v>
      </c>
      <c r="B101" s="130">
        <f>$C$4</f>
        <v>1.43</v>
      </c>
      <c r="C101" s="130">
        <f>$D$4</f>
        <v>88</v>
      </c>
      <c r="D101" s="130">
        <f>$E$4</f>
        <v>9</v>
      </c>
      <c r="E101" s="130">
        <v>0</v>
      </c>
      <c r="F101" s="130">
        <f>$I$4</f>
        <v>20</v>
      </c>
      <c r="G101" s="130">
        <f>$G$4</f>
        <v>2</v>
      </c>
      <c r="H101" s="130">
        <v>3</v>
      </c>
      <c r="I101" s="130" t="s">
        <v>16</v>
      </c>
      <c r="J101" s="130">
        <f>GasModel($I$101,"He_Weiss",$D$101,$F$101,$B$101,$C$101,$G$101,$H$101,$B$11)</f>
        <v>2.7007656237026694E-8</v>
      </c>
      <c r="K101" s="130">
        <f>GasModel($I$101,"Ne_Weiss",$D$101,$F$101,$B$101,$C$101,$G$101,$H$101,$B$12)</f>
        <v>1.2142683236031447E-7</v>
      </c>
      <c r="L101" s="130">
        <f>GasModel($I$101,"Ar_Weiss",$D$101,$F$101,$B$101,$C$101,$G$101,$H$101,$B$13)</f>
        <v>2.920429514378525E-4</v>
      </c>
      <c r="M101" s="130">
        <f>GasModel($I$101,"Kr_Weiss",$D$101,$F$101,$B$101,$C$101,$G$101,$H$101,$B$14)</f>
        <v>7.6504806350245311E-8</v>
      </c>
      <c r="N101" s="130">
        <f>GasModel($I$101,"Xe_Clvr",$D$101,$F$101,$B$101,$C$101,$G$101,$H$101,$B$15)</f>
        <v>1.1974468602316624E-8</v>
      </c>
      <c r="O101" s="130">
        <f>GasModel($I$101,"N2_Weiss",$D$101,$F$101,$B$101,$C$101,$G$101,$H$101,$B$16)</f>
        <v>1.1958341299581345E-2</v>
      </c>
      <c r="P101" s="130">
        <f>GasModel($I$101,"O2_B&amp;K",$D$101,$F$101,$B$101,$C$101,$G$101,$H$101,$B$17)</f>
        <v>5.894093869520888E-3</v>
      </c>
      <c r="Q101" s="130">
        <f>GasModel($I$101,"CO2_Weiss_F",$D$101,$F$101,$B$101,$C$101,$G$101,$H$101,$B$18)</f>
        <v>4.1135454715358389E-4</v>
      </c>
      <c r="R101" s="130">
        <f>GasModel($I$101,"CH4_Wies",$D$101,$F$101,$B$101,$C$101,$G$101,$H$101,$B$19)</f>
        <v>4.6084531624424772E-8</v>
      </c>
      <c r="S101" s="130">
        <f>GasModel($I$101,"H2_Wies",$D$101,$F$101,$B$101,$C$101,$G$101,$H$101,$B$20)</f>
        <v>7.3764588527389034E-9</v>
      </c>
      <c r="T101" s="130">
        <f>GasModel($I$101,"N2O_Weiss_F",$D$101,$F$101,$B$101,$C$101,$G$101,$H$101,$B$21)</f>
        <v>2.8032072166941197E-7</v>
      </c>
      <c r="U101" s="130">
        <f>$L$101/$K$101</f>
        <v>2405.0940452046243</v>
      </c>
      <c r="V101" s="130">
        <f>$M$101/$N$101</f>
        <v>6.3889938577687211</v>
      </c>
      <c r="W101" s="130">
        <f>$N$101/$K$101</f>
        <v>9.8614683176320758E-2</v>
      </c>
      <c r="X101" s="130">
        <f>$M$101/$L$101</f>
        <v>2.61964228116376E-4</v>
      </c>
      <c r="Y101" s="130">
        <f>$O$101/$L$101</f>
        <v>40.947200542609608</v>
      </c>
      <c r="Z101" s="130" t="e">
        <f>$I$101/$I$101</f>
        <v>#VALUE!</v>
      </c>
    </row>
    <row r="102" spans="1:26">
      <c r="A102" s="130" t="s">
        <v>377</v>
      </c>
      <c r="B102" s="130">
        <f>$C$4</f>
        <v>1.43</v>
      </c>
      <c r="C102" s="130">
        <f>$D$4</f>
        <v>88</v>
      </c>
      <c r="D102" s="130">
        <f>$E$4</f>
        <v>9</v>
      </c>
      <c r="E102" s="130">
        <v>0</v>
      </c>
      <c r="F102" s="130">
        <f>$I$4</f>
        <v>20</v>
      </c>
      <c r="G102" s="130">
        <f>$G$4</f>
        <v>2</v>
      </c>
      <c r="H102" s="130">
        <v>4</v>
      </c>
      <c r="I102" s="130" t="s">
        <v>16</v>
      </c>
      <c r="J102" s="130">
        <f>GasModel($I$102,"He_Weiss",$D$102,$F$102,$B$102,$C$102,$G$102,$H$102,$B$11)</f>
        <v>2.7007656237026694E-8</v>
      </c>
      <c r="K102" s="130">
        <f>GasModel($I$102,"Ne_Weiss",$D$102,$F$102,$B$102,$C$102,$G$102,$H$102,$B$12)</f>
        <v>1.2142683236031447E-7</v>
      </c>
      <c r="L102" s="130">
        <f>GasModel($I$102,"Ar_Weiss",$D$102,$F$102,$B$102,$C$102,$G$102,$H$102,$B$13)</f>
        <v>2.920429514378525E-4</v>
      </c>
      <c r="M102" s="130">
        <f>GasModel($I$102,"Kr_Weiss",$D$102,$F$102,$B$102,$C$102,$G$102,$H$102,$B$14)</f>
        <v>7.6504806350245311E-8</v>
      </c>
      <c r="N102" s="130">
        <f>GasModel($I$102,"Xe_Clvr",$D$102,$F$102,$B$102,$C$102,$G$102,$H$102,$B$15)</f>
        <v>1.1974468602316624E-8</v>
      </c>
      <c r="O102" s="130">
        <f>GasModel($I$102,"N2_Weiss",$D$102,$F$102,$B$102,$C$102,$G$102,$H$102,$B$16)</f>
        <v>1.2757701811172074E-2</v>
      </c>
      <c r="P102" s="130">
        <f>GasModel($I$102,"O2_B&amp;K",$D$102,$F$102,$B$102,$C$102,$G$102,$H$102,$B$17)</f>
        <v>5.894093869520888E-3</v>
      </c>
      <c r="Q102" s="130">
        <f>GasModel($I$102,"CO2_Weiss_F",$D$102,$F$102,$B$102,$C$102,$G$102,$H$102,$B$18)</f>
        <v>4.1135454715358389E-4</v>
      </c>
      <c r="R102" s="130">
        <f>GasModel($I$102,"CH4_Wies",$D$102,$F$102,$B$102,$C$102,$G$102,$H$102,$B$19)</f>
        <v>4.6084531624424772E-8</v>
      </c>
      <c r="S102" s="130">
        <f>GasModel($I$102,"H2_Wies",$D$102,$F$102,$B$102,$C$102,$G$102,$H$102,$B$20)</f>
        <v>7.3764588527389034E-9</v>
      </c>
      <c r="T102" s="130">
        <f>GasModel($I$102,"N2O_Weiss_F",$D$102,$F$102,$B$102,$C$102,$G$102,$H$102,$B$21)</f>
        <v>2.8032072166941197E-7</v>
      </c>
      <c r="U102" s="130">
        <f>$L$102/$K$102</f>
        <v>2405.0940452046243</v>
      </c>
      <c r="V102" s="130">
        <f>$M$102/$N$102</f>
        <v>6.3889938577687211</v>
      </c>
      <c r="W102" s="130">
        <f>$N$102/$K$102</f>
        <v>9.8614683176320758E-2</v>
      </c>
      <c r="X102" s="130">
        <f>$M$102/$L$102</f>
        <v>2.61964228116376E-4</v>
      </c>
      <c r="Y102" s="130">
        <f>$O$102/$L$102</f>
        <v>43.684333925405305</v>
      </c>
      <c r="Z102" s="130" t="e">
        <f>$I$102/$I$102</f>
        <v>#VALUE!</v>
      </c>
    </row>
    <row r="103" spans="1:26">
      <c r="A103" s="130" t="s">
        <v>377</v>
      </c>
      <c r="B103" s="130">
        <f>$C$4</f>
        <v>1.43</v>
      </c>
      <c r="C103" s="130">
        <f>$D$4</f>
        <v>88</v>
      </c>
      <c r="D103" s="130">
        <f>$E$4</f>
        <v>9</v>
      </c>
      <c r="E103" s="130">
        <v>0</v>
      </c>
      <c r="F103" s="130">
        <f>$I$4</f>
        <v>20</v>
      </c>
      <c r="G103" s="130">
        <f>$G$4</f>
        <v>2</v>
      </c>
      <c r="H103" s="130">
        <v>5</v>
      </c>
      <c r="I103" s="130" t="s">
        <v>16</v>
      </c>
      <c r="J103" s="130">
        <f>GasModel($I$103,"He_Weiss",$D$103,$F$103,$B$103,$C$103,$G$103,$H$103,$B$11)</f>
        <v>2.7007656237026694E-8</v>
      </c>
      <c r="K103" s="130">
        <f>GasModel($I$103,"Ne_Weiss",$D$103,$F$103,$B$103,$C$103,$G$103,$H$103,$B$12)</f>
        <v>1.2142683236031447E-7</v>
      </c>
      <c r="L103" s="130">
        <f>GasModel($I$103,"Ar_Weiss",$D$103,$F$103,$B$103,$C$103,$G$103,$H$103,$B$13)</f>
        <v>2.920429514378525E-4</v>
      </c>
      <c r="M103" s="130">
        <f>GasModel($I$103,"Kr_Weiss",$D$103,$F$103,$B$103,$C$103,$G$103,$H$103,$B$14)</f>
        <v>7.6504806350245311E-8</v>
      </c>
      <c r="N103" s="130">
        <f>GasModel($I$103,"Xe_Clvr",$D$103,$F$103,$B$103,$C$103,$G$103,$H$103,$B$15)</f>
        <v>1.1974468602316624E-8</v>
      </c>
      <c r="O103" s="130">
        <f>GasModel($I$103,"N2_Weiss",$D$103,$F$103,$B$103,$C$103,$G$103,$H$103,$B$16)</f>
        <v>1.3557062322762801E-2</v>
      </c>
      <c r="P103" s="130">
        <f>GasModel($I$103,"O2_B&amp;K",$D$103,$F$103,$B$103,$C$103,$G$103,$H$103,$B$17)</f>
        <v>5.894093869520888E-3</v>
      </c>
      <c r="Q103" s="130">
        <f>GasModel($I$103,"CO2_Weiss_F",$D$103,$F$103,$B$103,$C$103,$G$103,$H$103,$B$18)</f>
        <v>4.1135454715358389E-4</v>
      </c>
      <c r="R103" s="130">
        <f>GasModel($I$103,"CH4_Wies",$D$103,$F$103,$B$103,$C$103,$G$103,$H$103,$B$19)</f>
        <v>4.6084531624424772E-8</v>
      </c>
      <c r="S103" s="130">
        <f>GasModel($I$103,"H2_Wies",$D$103,$F$103,$B$103,$C$103,$G$103,$H$103,$B$20)</f>
        <v>7.3764588527389034E-9</v>
      </c>
      <c r="T103" s="130">
        <f>GasModel($I$103,"N2O_Weiss_F",$D$103,$F$103,$B$103,$C$103,$G$103,$H$103,$B$21)</f>
        <v>2.8032072166941197E-7</v>
      </c>
      <c r="U103" s="130">
        <f>$L$103/$K$103</f>
        <v>2405.0940452046243</v>
      </c>
      <c r="V103" s="130">
        <f>$M$103/$N$103</f>
        <v>6.3889938577687211</v>
      </c>
      <c r="W103" s="130">
        <f>$N$103/$K$103</f>
        <v>9.8614683176320758E-2</v>
      </c>
      <c r="X103" s="130">
        <f>$M$103/$L$103</f>
        <v>2.61964228116376E-4</v>
      </c>
      <c r="Y103" s="130">
        <f>$O$103/$L$103</f>
        <v>46.421467308200995</v>
      </c>
      <c r="Z103" s="130" t="e">
        <f>$I$103/$I$103</f>
        <v>#VALUE!</v>
      </c>
    </row>
    <row r="104" spans="1:26">
      <c r="A104" s="130" t="s">
        <v>377</v>
      </c>
      <c r="B104" s="130">
        <f>$C$4</f>
        <v>1.43</v>
      </c>
      <c r="C104" s="130">
        <f>$D$4</f>
        <v>88</v>
      </c>
      <c r="D104" s="130">
        <f>$E$4</f>
        <v>9</v>
      </c>
      <c r="E104" s="130">
        <v>0</v>
      </c>
      <c r="F104" s="130">
        <f>$I$4</f>
        <v>20</v>
      </c>
      <c r="G104" s="130">
        <f>$G$4</f>
        <v>2</v>
      </c>
      <c r="H104" s="130">
        <v>10</v>
      </c>
      <c r="I104" s="130" t="s">
        <v>16</v>
      </c>
      <c r="J104" s="130">
        <f>GasModel($I$104,"He_Weiss",$D$104,$F$104,$B$104,$C$104,$G$104,$H$104,$B$11)</f>
        <v>2.7007656237026694E-8</v>
      </c>
      <c r="K104" s="130">
        <f>GasModel($I$104,"Ne_Weiss",$D$104,$F$104,$B$104,$C$104,$G$104,$H$104,$B$12)</f>
        <v>1.2142683236031447E-7</v>
      </c>
      <c r="L104" s="130">
        <f>GasModel($I$104,"Ar_Weiss",$D$104,$F$104,$B$104,$C$104,$G$104,$H$104,$B$13)</f>
        <v>2.920429514378525E-4</v>
      </c>
      <c r="M104" s="130">
        <f>GasModel($I$104,"Kr_Weiss",$D$104,$F$104,$B$104,$C$104,$G$104,$H$104,$B$14)</f>
        <v>7.6504806350245311E-8</v>
      </c>
      <c r="N104" s="130">
        <f>GasModel($I$104,"Xe_Clvr",$D$104,$F$104,$B$104,$C$104,$G$104,$H$104,$B$15)</f>
        <v>1.1974468602316624E-8</v>
      </c>
      <c r="O104" s="130">
        <f>GasModel($I$104,"N2_Weiss",$D$104,$F$104,$B$104,$C$104,$G$104,$H$104,$B$16)</f>
        <v>1.755386488071644E-2</v>
      </c>
      <c r="P104" s="130">
        <f>GasModel($I$104,"O2_B&amp;K",$D$104,$F$104,$B$104,$C$104,$G$104,$H$104,$B$17)</f>
        <v>5.894093869520888E-3</v>
      </c>
      <c r="Q104" s="130">
        <f>GasModel($I$104,"CO2_Weiss_F",$D$104,$F$104,$B$104,$C$104,$G$104,$H$104,$B$18)</f>
        <v>4.1135454715358389E-4</v>
      </c>
      <c r="R104" s="130">
        <f>GasModel($I$104,"CH4_Wies",$D$104,$F$104,$B$104,$C$104,$G$104,$H$104,$B$19)</f>
        <v>4.6084531624424772E-8</v>
      </c>
      <c r="S104" s="130">
        <f>GasModel($I$104,"H2_Wies",$D$104,$F$104,$B$104,$C$104,$G$104,$H$104,$B$20)</f>
        <v>7.3764588527389034E-9</v>
      </c>
      <c r="T104" s="130">
        <f>GasModel($I$104,"N2O_Weiss_F",$D$104,$F$104,$B$104,$C$104,$G$104,$H$104,$B$21)</f>
        <v>2.8032072166941197E-7</v>
      </c>
      <c r="U104" s="130">
        <f>$L$104/$K$104</f>
        <v>2405.0940452046243</v>
      </c>
      <c r="V104" s="130">
        <f>$M$104/$N$104</f>
        <v>6.3889938577687211</v>
      </c>
      <c r="W104" s="130">
        <f>$N$104/$K$104</f>
        <v>9.8614683176320758E-2</v>
      </c>
      <c r="X104" s="130">
        <f>$M$104/$L$104</f>
        <v>2.61964228116376E-4</v>
      </c>
      <c r="Y104" s="130">
        <f>$O$104/$L$104</f>
        <v>60.107134222179468</v>
      </c>
      <c r="Z104" s="130" t="e">
        <f>$I$104/$I$104</f>
        <v>#VALUE!</v>
      </c>
    </row>
    <row r="105" spans="1:26" ht="16.2">
      <c r="A105" s="121" t="s">
        <v>380</v>
      </c>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c r="A106" s="123"/>
      <c r="B106" s="123"/>
      <c r="C106" s="123"/>
      <c r="D106" s="123"/>
      <c r="E106" s="123"/>
      <c r="F106" s="123"/>
      <c r="G106" s="123"/>
      <c r="H106" s="123"/>
      <c r="I106" s="123"/>
      <c r="J106" s="125" t="s">
        <v>369</v>
      </c>
      <c r="K106" s="129"/>
      <c r="L106" s="129"/>
      <c r="M106" s="129"/>
      <c r="N106" s="129"/>
      <c r="O106" s="129"/>
      <c r="P106" s="129"/>
      <c r="Q106" s="129"/>
      <c r="R106" s="129"/>
      <c r="S106" s="129"/>
      <c r="T106" s="129"/>
      <c r="U106" s="129"/>
      <c r="V106" s="129"/>
      <c r="W106" s="129"/>
      <c r="X106" s="129"/>
      <c r="Y106" s="129"/>
      <c r="Z106" s="129"/>
    </row>
    <row r="107" spans="1:26" ht="39.6">
      <c r="A107" s="127" t="s">
        <v>363</v>
      </c>
      <c r="B107" s="127" t="s">
        <v>357</v>
      </c>
      <c r="C107" s="127" t="s">
        <v>358</v>
      </c>
      <c r="D107" s="127" t="s">
        <v>359</v>
      </c>
      <c r="E107" s="127" t="s">
        <v>364</v>
      </c>
      <c r="F107" s="127" t="s">
        <v>365</v>
      </c>
      <c r="G107" s="127" t="s">
        <v>147</v>
      </c>
      <c r="H107" s="127" t="s">
        <v>366</v>
      </c>
      <c r="I107" s="127" t="s">
        <v>367</v>
      </c>
      <c r="J107" s="127" t="s">
        <v>64</v>
      </c>
      <c r="K107" s="127" t="s">
        <v>73</v>
      </c>
      <c r="L107" s="127" t="s">
        <v>82</v>
      </c>
      <c r="M107" s="127" t="s">
        <v>89</v>
      </c>
      <c r="N107" s="127" t="s">
        <v>94</v>
      </c>
      <c r="O107" s="127" t="s">
        <v>98</v>
      </c>
      <c r="P107" s="127" t="s">
        <v>102</v>
      </c>
      <c r="Q107" s="127" t="s">
        <v>77</v>
      </c>
      <c r="R107" s="127" t="s">
        <v>110</v>
      </c>
      <c r="S107" s="127" t="s">
        <v>118</v>
      </c>
      <c r="T107" s="127" t="s">
        <v>78</v>
      </c>
      <c r="U107" s="127" t="s">
        <v>347</v>
      </c>
      <c r="V107" s="127" t="s">
        <v>348</v>
      </c>
      <c r="W107" s="127" t="s">
        <v>349</v>
      </c>
      <c r="X107" s="127" t="s">
        <v>350</v>
      </c>
      <c r="Y107" s="127" t="s">
        <v>351</v>
      </c>
      <c r="Z107" s="127" t="s">
        <v>352</v>
      </c>
    </row>
    <row r="108" spans="1:26">
      <c r="A108" s="130" t="s">
        <v>370</v>
      </c>
      <c r="B108" s="130">
        <f>$N$4</f>
        <v>1.43</v>
      </c>
      <c r="C108" s="130">
        <f>$O$4</f>
        <v>88</v>
      </c>
      <c r="D108" s="130">
        <v>0</v>
      </c>
      <c r="E108" s="130">
        <v>0</v>
      </c>
      <c r="F108" s="130">
        <v>0</v>
      </c>
      <c r="G108" s="130">
        <v>0</v>
      </c>
      <c r="H108" s="130">
        <v>0</v>
      </c>
      <c r="I108" s="130" t="s">
        <v>10</v>
      </c>
      <c r="J108" s="130">
        <f>GasModel($I$108,"He_Weiss",$D$108,$E$108,$B$108,$C$108,$G$108,$H$108,$M$11)</f>
        <v>4.8104914916998761E-8</v>
      </c>
      <c r="K108" s="130">
        <f>GasModel($I$108,"Ne_Weiss",$D$108,$E$108,$B$108,$C$108,$G$108,$H$108,$M$12)</f>
        <v>2.2041943710782614E-7</v>
      </c>
      <c r="L108" s="130">
        <f>GasModel($I$108,"Ar_Weiss",$D$108,$E$108,$B$108,$C$108,$G$108,$H$108,$M$13)</f>
        <v>4.8733421027253145E-4</v>
      </c>
      <c r="M108" s="130">
        <f>GasModel($I$108,"Kr_Weiss",$D$108,$E$108,$B$108,$C$108,$G$108,$H$108,$M$14)</f>
        <v>1.2144620723174379E-7</v>
      </c>
      <c r="N108" s="130">
        <f>GasModel($I$108,"Xe_Clvr",$D$108,$E$108,$B$108,$C$108,$G$108,$H$108,$M$15)</f>
        <v>1.8810999385485821E-8</v>
      </c>
      <c r="O108" s="130">
        <f>GasModel($I$108,"N2_Weiss",$D$108,$E$108,$B$108,$C$108,$G$108,$H$108,$M$16)</f>
        <v>1.8019366085406677E-2</v>
      </c>
      <c r="P108" s="130">
        <f>GasModel($I$108,"O2_B&amp;K",$D$108,$E$108,$B$108,$C$108,$G$108,$H$108,$M$17)</f>
        <v>1.0023571365648217E-2</v>
      </c>
      <c r="Q108" s="130">
        <f>GasModel($I$108,"CO2_Weiss_F",$D$108,$E$108,$B$108,$C$108,$G$108,$H$108,$M$18)</f>
        <v>5.8718800905651995E-4</v>
      </c>
      <c r="R108" s="130">
        <f>GasModel($I$108,"CH4_Wies",$D$108,$E$108,$B$108,$C$108,$G$108,$H$108,$M$19)</f>
        <v>7.8785792602646592E-8</v>
      </c>
      <c r="S108" s="130">
        <f>GasModel($I$108,"H2_Wies",$D$108,$E$108,$B$108,$C$108,$G$108,$H$108,$M$20)</f>
        <v>1.2462354018088878E-8</v>
      </c>
      <c r="T108" s="130">
        <f>GasModel($I$108,"N2O_Weiss_F",$D$108,$E$108,$B$108,$C$108,$G$108,$H$108,$M$21)</f>
        <v>4.1007705249191304E-7</v>
      </c>
      <c r="U108" s="130">
        <f>$L$108/$K$108</f>
        <v>2210.9402721781489</v>
      </c>
      <c r="V108" s="130">
        <f>$M$108/$N$108</f>
        <v>6.4561273297073827</v>
      </c>
      <c r="W108" s="130">
        <f>$N$108/$K$108</f>
        <v>8.5341835694298318E-2</v>
      </c>
      <c r="X108" s="130">
        <f>$M$108/$L$108</f>
        <v>2.4920517515859917E-4</v>
      </c>
      <c r="Y108" s="130">
        <f>$O$108/$L$108</f>
        <v>36.975376867816692</v>
      </c>
      <c r="Z108" s="130" t="e">
        <f>$I$108/$I$108</f>
        <v>#VALUE!</v>
      </c>
    </row>
    <row r="109" spans="1:26">
      <c r="A109" s="130" t="s">
        <v>370</v>
      </c>
      <c r="B109" s="130">
        <f>$N$4</f>
        <v>1.43</v>
      </c>
      <c r="C109" s="130">
        <f>$O$4</f>
        <v>88</v>
      </c>
      <c r="D109" s="130">
        <v>0</v>
      </c>
      <c r="E109" s="130">
        <v>2</v>
      </c>
      <c r="F109" s="130">
        <v>0</v>
      </c>
      <c r="G109" s="130">
        <v>0</v>
      </c>
      <c r="H109" s="130">
        <v>0</v>
      </c>
      <c r="I109" s="130" t="s">
        <v>10</v>
      </c>
      <c r="J109" s="130">
        <f>GasModel($I$109,"He_Weiss",$D$109,$E$109,$B$109,$C$109,$G$109,$H$109,$M$11)</f>
        <v>5.8584914916998759E-8</v>
      </c>
      <c r="K109" s="130">
        <f>GasModel($I$109,"Ne_Weiss",$D$109,$E$109,$B$109,$C$109,$G$109,$H$109,$M$12)</f>
        <v>2.5677943710782615E-7</v>
      </c>
      <c r="L109" s="130">
        <f>GasModel($I$109,"Ar_Weiss",$D$109,$E$109,$B$109,$C$109,$G$109,$H$109,$M$13)</f>
        <v>5.0601421027253143E-4</v>
      </c>
      <c r="M109" s="130">
        <f>GasModel($I$109,"Kr_Weiss",$D$109,$E$109,$B$109,$C$109,$G$109,$H$109,$M$14)</f>
        <v>1.2372620723174378E-7</v>
      </c>
      <c r="N109" s="130">
        <f>GasModel($I$109,"Xe_Clvr",$D$109,$E$109,$B$109,$C$109,$G$109,$H$109,$M$15)</f>
        <v>1.898499938548582E-8</v>
      </c>
      <c r="O109" s="130">
        <f>GasModel($I$109,"N2_Weiss",$D$109,$E$109,$B$109,$C$109,$G$109,$H$109,$M$16)</f>
        <v>1.9581046085406676E-2</v>
      </c>
      <c r="P109" s="130">
        <f>GasModel($I$109,"O2_B&amp;K",$D$109,$E$109,$B$109,$C$109,$G$109,$H$109,$M$17)</f>
        <v>1.0442571365648216E-2</v>
      </c>
      <c r="Q109" s="130">
        <f>GasModel($I$109,"CO2_Weiss_F",$D$109,$E$109,$B$109,$C$109,$G$109,$H$109,$M$18)</f>
        <v>5.8788800905651992E-4</v>
      </c>
      <c r="R109" s="130">
        <f>GasModel($I$109,"CH4_Wies",$D$109,$E$109,$B$109,$C$109,$G$109,$H$109,$M$19)</f>
        <v>8.1605792602646587E-8</v>
      </c>
      <c r="S109" s="130">
        <f>GasModel($I$109,"H2_Wies",$D$109,$E$109,$B$109,$C$109,$G$109,$H$109,$M$20)</f>
        <v>1.3622354018088878E-8</v>
      </c>
      <c r="T109" s="130">
        <f>GasModel($I$109,"N2O_Weiss_F",$D$109,$E$109,$B$109,$C$109,$G$109,$H$109,$M$21)</f>
        <v>4.1071705249191302E-7</v>
      </c>
      <c r="U109" s="130">
        <f>$L$109/$K$109</f>
        <v>1970.6181147988391</v>
      </c>
      <c r="V109" s="130">
        <f>$M$109/$N$109</f>
        <v>6.5170508947360535</v>
      </c>
      <c r="W109" s="130">
        <f>$N$109/$K$109</f>
        <v>7.3935045575762706E-2</v>
      </c>
      <c r="X109" s="130">
        <f>$M$109/$L$109</f>
        <v>2.4451132936584286E-4</v>
      </c>
      <c r="Y109" s="130">
        <f>$O$109/$L$109</f>
        <v>38.696632797843023</v>
      </c>
      <c r="Z109" s="130" t="e">
        <f>$I$109/$I$109</f>
        <v>#VALUE!</v>
      </c>
    </row>
    <row r="110" spans="1:26">
      <c r="A110" s="130" t="s">
        <v>370</v>
      </c>
      <c r="B110" s="130">
        <f>$N$4</f>
        <v>1.43</v>
      </c>
      <c r="C110" s="130">
        <f>$O$4</f>
        <v>88</v>
      </c>
      <c r="D110" s="130">
        <v>0</v>
      </c>
      <c r="E110" s="130">
        <v>4</v>
      </c>
      <c r="F110" s="130">
        <v>0</v>
      </c>
      <c r="G110" s="130">
        <v>0</v>
      </c>
      <c r="H110" s="130">
        <v>0</v>
      </c>
      <c r="I110" s="130" t="s">
        <v>10</v>
      </c>
      <c r="J110" s="130">
        <f>GasModel($I$110,"He_Weiss",$D$110,$E$110,$B$110,$C$110,$G$110,$H$110,$M$11)</f>
        <v>6.9064914916998764E-8</v>
      </c>
      <c r="K110" s="130">
        <f>GasModel($I$110,"Ne_Weiss",$D$110,$E$110,$B$110,$C$110,$G$110,$H$110,$M$12)</f>
        <v>2.9313943710782614E-7</v>
      </c>
      <c r="L110" s="130">
        <f>GasModel($I$110,"Ar_Weiss",$D$110,$E$110,$B$110,$C$110,$G$110,$H$110,$M$13)</f>
        <v>5.246942102725314E-4</v>
      </c>
      <c r="M110" s="130">
        <f>GasModel($I$110,"Kr_Weiss",$D$110,$E$110,$B$110,$C$110,$G$110,$H$110,$M$14)</f>
        <v>1.260062072317438E-7</v>
      </c>
      <c r="N110" s="130">
        <f>GasModel($I$110,"Xe_Clvr",$D$110,$E$110,$B$110,$C$110,$G$110,$H$110,$M$15)</f>
        <v>1.9158999385485822E-8</v>
      </c>
      <c r="O110" s="130">
        <f>GasModel($I$110,"N2_Weiss",$D$110,$E$110,$B$110,$C$110,$G$110,$H$110,$M$16)</f>
        <v>2.1142726085406675E-2</v>
      </c>
      <c r="P110" s="130">
        <f>GasModel($I$110,"O2_B&amp;K",$D$110,$E$110,$B$110,$C$110,$G$110,$H$110,$M$17)</f>
        <v>1.0861571365648217E-2</v>
      </c>
      <c r="Q110" s="130">
        <f>GasModel($I$110,"CO2_Weiss_F",$D$110,$E$110,$B$110,$C$110,$G$110,$H$110,$M$18)</f>
        <v>5.8858800905651999E-4</v>
      </c>
      <c r="R110" s="130">
        <f>GasModel($I$110,"CH4_Wies",$D$110,$E$110,$B$110,$C$110,$G$110,$H$110,$M$19)</f>
        <v>8.4425792602646595E-8</v>
      </c>
      <c r="S110" s="130">
        <f>GasModel($I$110,"H2_Wies",$D$110,$E$110,$B$110,$C$110,$G$110,$H$110,$M$20)</f>
        <v>1.4782354018088878E-8</v>
      </c>
      <c r="T110" s="130">
        <f>GasModel($I$110,"N2O_Weiss_F",$D$110,$E$110,$B$110,$C$110,$G$110,$H$110,$M$21)</f>
        <v>4.1135705249191306E-7</v>
      </c>
      <c r="U110" s="130">
        <f>$L$110/$K$110</f>
        <v>1789.9134127064997</v>
      </c>
      <c r="V110" s="130">
        <f>$M$110/$N$110</f>
        <v>6.5768678570552925</v>
      </c>
      <c r="W110" s="130">
        <f>$N$110/$K$110</f>
        <v>6.5357972896831776E-2</v>
      </c>
      <c r="X110" s="130">
        <f>$M$110/$L$110</f>
        <v>2.4015170124765608E-4</v>
      </c>
      <c r="Y110" s="130">
        <f>$O$110/$L$110</f>
        <v>40.295329491867143</v>
      </c>
      <c r="Z110" s="130" t="e">
        <f>$I$110/$I$110</f>
        <v>#VALUE!</v>
      </c>
    </row>
    <row r="111" spans="1:26">
      <c r="A111" s="130" t="s">
        <v>370</v>
      </c>
      <c r="B111" s="130">
        <f>$N$4</f>
        <v>1.43</v>
      </c>
      <c r="C111" s="130">
        <f>$O$4</f>
        <v>88</v>
      </c>
      <c r="D111" s="130">
        <v>0</v>
      </c>
      <c r="E111" s="130">
        <v>6</v>
      </c>
      <c r="F111" s="130">
        <v>0</v>
      </c>
      <c r="G111" s="130">
        <v>0</v>
      </c>
      <c r="H111" s="130">
        <v>0</v>
      </c>
      <c r="I111" s="130" t="s">
        <v>10</v>
      </c>
      <c r="J111" s="130">
        <f>GasModel($I$111,"He_Weiss",$D$111,$E$111,$B$111,$C$111,$G$111,$H$111,$M$11)</f>
        <v>7.9544914916998763E-8</v>
      </c>
      <c r="K111" s="130">
        <f>GasModel($I$111,"Ne_Weiss",$D$111,$E$111,$B$111,$C$111,$G$111,$H$111,$M$12)</f>
        <v>3.2949943710782613E-7</v>
      </c>
      <c r="L111" s="130">
        <f>GasModel($I$111,"Ar_Weiss",$D$111,$E$111,$B$111,$C$111,$G$111,$H$111,$M$13)</f>
        <v>5.4337421027253149E-4</v>
      </c>
      <c r="M111" s="130">
        <f>GasModel($I$111,"Kr_Weiss",$D$111,$E$111,$B$111,$C$111,$G$111,$H$111,$M$14)</f>
        <v>1.2828620723174379E-7</v>
      </c>
      <c r="N111" s="130">
        <f>GasModel($I$111,"Xe_Clvr",$D$111,$E$111,$B$111,$C$111,$G$111,$H$111,$M$15)</f>
        <v>1.9332999385485821E-8</v>
      </c>
      <c r="O111" s="130">
        <f>GasModel($I$111,"N2_Weiss",$D$111,$E$111,$B$111,$C$111,$G$111,$H$111,$M$16)</f>
        <v>2.2704406085406678E-2</v>
      </c>
      <c r="P111" s="130">
        <f>GasModel($I$111,"O2_B&amp;K",$D$111,$E$111,$B$111,$C$111,$G$111,$H$111,$M$17)</f>
        <v>1.1280571365648216E-2</v>
      </c>
      <c r="Q111" s="130">
        <f>GasModel($I$111,"CO2_Weiss_F",$D$111,$E$111,$B$111,$C$111,$G$111,$H$111,$M$18)</f>
        <v>5.8928800905651995E-4</v>
      </c>
      <c r="R111" s="130">
        <f>GasModel($I$111,"CH4_Wies",$D$111,$E$111,$B$111,$C$111,$G$111,$H$111,$M$19)</f>
        <v>8.724579260264659E-8</v>
      </c>
      <c r="S111" s="130">
        <f>GasModel($I$111,"H2_Wies",$D$111,$E$111,$B$111,$C$111,$G$111,$H$111,$M$20)</f>
        <v>1.5942354018088877E-8</v>
      </c>
      <c r="T111" s="130">
        <f>GasModel($I$111,"N2O_Weiss_F",$D$111,$E$111,$B$111,$C$111,$G$111,$H$111,$M$21)</f>
        <v>4.1199705249191304E-7</v>
      </c>
      <c r="U111" s="130">
        <f>$L$111/$K$111</f>
        <v>1649.089950022332</v>
      </c>
      <c r="V111" s="130">
        <f>$M$111/$N$111</f>
        <v>6.635608095454355</v>
      </c>
      <c r="W111" s="130">
        <f>$N$111/$K$111</f>
        <v>5.867384647203281E-2</v>
      </c>
      <c r="X111" s="130">
        <f>$M$111/$L$111</f>
        <v>2.3609182181723594E-4</v>
      </c>
      <c r="Y111" s="130">
        <f>$O$111/$L$111</f>
        <v>41.784106893882935</v>
      </c>
      <c r="Z111" s="130" t="e">
        <f>$I$111/$I$111</f>
        <v>#VALUE!</v>
      </c>
    </row>
    <row r="112" spans="1:26">
      <c r="A112" s="130" t="s">
        <v>370</v>
      </c>
      <c r="B112" s="130">
        <f>$N$4</f>
        <v>1.43</v>
      </c>
      <c r="C112" s="130">
        <f>$O$4</f>
        <v>88</v>
      </c>
      <c r="D112" s="130">
        <v>0</v>
      </c>
      <c r="E112" s="130">
        <v>8</v>
      </c>
      <c r="F112" s="130">
        <v>0</v>
      </c>
      <c r="G112" s="130">
        <v>0</v>
      </c>
      <c r="H112" s="130">
        <v>0</v>
      </c>
      <c r="I112" s="130" t="s">
        <v>10</v>
      </c>
      <c r="J112" s="130">
        <f>GasModel($I$112,"He_Weiss",$D$112,$E$112,$B$112,$C$112,$G$112,$H$112,$M$11)</f>
        <v>9.0024914916998762E-8</v>
      </c>
      <c r="K112" s="130">
        <f>GasModel($I$112,"Ne_Weiss",$D$112,$E$112,$B$112,$C$112,$G$112,$H$112,$M$12)</f>
        <v>3.6585943710782612E-7</v>
      </c>
      <c r="L112" s="130">
        <f>GasModel($I$112,"Ar_Weiss",$D$112,$E$112,$B$112,$C$112,$G$112,$H$112,$M$13)</f>
        <v>5.6205421027253147E-4</v>
      </c>
      <c r="M112" s="130">
        <f>GasModel($I$112,"Kr_Weiss",$D$112,$E$112,$B$112,$C$112,$G$112,$H$112,$M$14)</f>
        <v>1.3056620723174378E-7</v>
      </c>
      <c r="N112" s="130">
        <f>GasModel($I$112,"Xe_Clvr",$D$112,$E$112,$B$112,$C$112,$G$112,$H$112,$M$15)</f>
        <v>1.950699938548582E-8</v>
      </c>
      <c r="O112" s="130">
        <f>GasModel($I$112,"N2_Weiss",$D$112,$E$112,$B$112,$C$112,$G$112,$H$112,$M$16)</f>
        <v>2.4266086085406677E-2</v>
      </c>
      <c r="P112" s="130">
        <f>GasModel($I$112,"O2_B&amp;K",$D$112,$E$112,$B$112,$C$112,$G$112,$H$112,$M$17)</f>
        <v>1.1699571365648217E-2</v>
      </c>
      <c r="Q112" s="130">
        <f>GasModel($I$112,"CO2_Weiss_F",$D$112,$E$112,$B$112,$C$112,$G$112,$H$112,$M$18)</f>
        <v>5.8998800905651991E-4</v>
      </c>
      <c r="R112" s="130">
        <f>GasModel($I$112,"CH4_Wies",$D$112,$E$112,$B$112,$C$112,$G$112,$H$112,$M$19)</f>
        <v>9.0065792602646598E-8</v>
      </c>
      <c r="S112" s="130">
        <f>GasModel($I$112,"H2_Wies",$D$112,$E$112,$B$112,$C$112,$G$112,$H$112,$M$20)</f>
        <v>1.7102354018088879E-8</v>
      </c>
      <c r="T112" s="130">
        <f>GasModel($I$112,"N2O_Weiss_F",$D$112,$E$112,$B$112,$C$112,$G$112,$H$112,$M$21)</f>
        <v>4.1263705249191303E-7</v>
      </c>
      <c r="U112" s="130">
        <f>$L$112/$K$112</f>
        <v>1536.2572432616596</v>
      </c>
      <c r="V112" s="130">
        <f>$M$112/$N$112</f>
        <v>6.6933004226622144</v>
      </c>
      <c r="W112" s="130">
        <f>$N$112/$K$112</f>
        <v>5.3318289504000728E-2</v>
      </c>
      <c r="X112" s="130">
        <f>$M$112/$L$112</f>
        <v>2.3230180442636349E-4</v>
      </c>
      <c r="Y112" s="130">
        <f>$O$112/$L$112</f>
        <v>43.173924582186523</v>
      </c>
      <c r="Z112" s="130" t="e">
        <f>$I$112/$I$112</f>
        <v>#VALUE!</v>
      </c>
    </row>
    <row r="113" spans="1:26">
      <c r="A113" s="130" t="s">
        <v>370</v>
      </c>
      <c r="B113" s="130">
        <f>$N$4</f>
        <v>1.43</v>
      </c>
      <c r="C113" s="130">
        <f>$O$4</f>
        <v>88</v>
      </c>
      <c r="D113" s="130">
        <v>0</v>
      </c>
      <c r="E113" s="130">
        <v>10</v>
      </c>
      <c r="F113" s="130">
        <v>0</v>
      </c>
      <c r="G113" s="130">
        <v>0</v>
      </c>
      <c r="H113" s="130">
        <v>0</v>
      </c>
      <c r="I113" s="130" t="s">
        <v>10</v>
      </c>
      <c r="J113" s="130">
        <f>GasModel($I$113,"He_Weiss",$D$113,$E$113,$B$113,$C$113,$G$113,$H$113,$M$11)</f>
        <v>1.0050491491699876E-7</v>
      </c>
      <c r="K113" s="130">
        <f>GasModel($I$113,"Ne_Weiss",$D$113,$E$113,$B$113,$C$113,$G$113,$H$113,$M$12)</f>
        <v>4.0221943710782616E-7</v>
      </c>
      <c r="L113" s="130">
        <f>GasModel($I$113,"Ar_Weiss",$D$113,$E$113,$B$113,$C$113,$G$113,$H$113,$M$13)</f>
        <v>5.8073421027253144E-4</v>
      </c>
      <c r="M113" s="130">
        <f>GasModel($I$113,"Kr_Weiss",$D$113,$E$113,$B$113,$C$113,$G$113,$H$113,$M$14)</f>
        <v>1.328462072317438E-7</v>
      </c>
      <c r="N113" s="130">
        <f>GasModel($I$113,"Xe_Clvr",$D$113,$E$113,$B$113,$C$113,$G$113,$H$113,$M$15)</f>
        <v>1.9680999385485822E-8</v>
      </c>
      <c r="O113" s="130">
        <f>GasModel($I$113,"N2_Weiss",$D$113,$E$113,$B$113,$C$113,$G$113,$H$113,$M$16)</f>
        <v>2.5827766085406677E-2</v>
      </c>
      <c r="P113" s="130">
        <f>GasModel($I$113,"O2_B&amp;K",$D$113,$E$113,$B$113,$C$113,$G$113,$H$113,$M$17)</f>
        <v>1.2118571365648216E-2</v>
      </c>
      <c r="Q113" s="130">
        <f>GasModel($I$113,"CO2_Weiss_F",$D$113,$E$113,$B$113,$C$113,$G$113,$H$113,$M$18)</f>
        <v>5.9068800905651999E-4</v>
      </c>
      <c r="R113" s="130">
        <f>GasModel($I$113,"CH4_Wies",$D$113,$E$113,$B$113,$C$113,$G$113,$H$113,$M$19)</f>
        <v>9.2885792602646593E-8</v>
      </c>
      <c r="S113" s="130">
        <f>GasModel($I$113,"H2_Wies",$D$113,$E$113,$B$113,$C$113,$G$113,$H$113,$M$20)</f>
        <v>1.8262354018088877E-8</v>
      </c>
      <c r="T113" s="130">
        <f>GasModel($I$113,"N2O_Weiss_F",$D$113,$E$113,$B$113,$C$113,$G$113,$H$113,$M$21)</f>
        <v>4.1327705249191301E-7</v>
      </c>
      <c r="U113" s="130">
        <f>$L$113/$K$113</f>
        <v>1443.8243324298855</v>
      </c>
      <c r="V113" s="130">
        <f>$M$113/$N$113</f>
        <v>6.7499726324728258</v>
      </c>
      <c r="W113" s="130">
        <f>$N$113/$K$113</f>
        <v>4.8931000269412092E-2</v>
      </c>
      <c r="X113" s="130">
        <f>$M$113/$L$113</f>
        <v>2.2875560778380991E-4</v>
      </c>
      <c r="Y113" s="130">
        <f>$O$113/$L$113</f>
        <v>44.474332024087275</v>
      </c>
      <c r="Z113" s="130" t="e">
        <f>$I$113/$I$113</f>
        <v>#VALUE!</v>
      </c>
    </row>
    <row r="114" spans="1:26">
      <c r="A114" s="130" t="s">
        <v>371</v>
      </c>
      <c r="B114" s="130">
        <f>$N$4</f>
        <v>1.43</v>
      </c>
      <c r="C114" s="130">
        <f>$O$4</f>
        <v>88</v>
      </c>
      <c r="D114" s="130">
        <v>40</v>
      </c>
      <c r="E114" s="130">
        <v>0</v>
      </c>
      <c r="F114" s="130">
        <v>0</v>
      </c>
      <c r="G114" s="130">
        <v>0</v>
      </c>
      <c r="H114" s="130">
        <v>0</v>
      </c>
      <c r="I114" s="130" t="s">
        <v>10</v>
      </c>
      <c r="J114" s="130">
        <f>GasModel($I$114,"He_Weiss",$D$114,$E$114,$B$114,$C$114,$G$114,$H$114,$M$11)</f>
        <v>4.1812659089858178E-8</v>
      </c>
      <c r="K114" s="130">
        <f>GasModel($I$114,"Ne_Weiss",$D$114,$E$114,$B$114,$C$114,$G$114,$H$114,$M$12)</f>
        <v>1.5886348798794054E-7</v>
      </c>
      <c r="L114" s="130">
        <f>GasModel($I$114,"Ar_Weiss",$D$114,$E$114,$B$114,$C$114,$G$114,$H$114,$M$13)</f>
        <v>2.1727559466486548E-4</v>
      </c>
      <c r="M114" s="130">
        <f>GasModel($I$114,"Kr_Weiss",$D$114,$E$114,$B$114,$C$114,$G$114,$H$114,$M$14)</f>
        <v>4.4206395020568768E-8</v>
      </c>
      <c r="N114" s="130">
        <f>GasModel($I$114,"Xe_Clvr",$D$114,$E$114,$B$114,$C$114,$G$114,$H$114,$M$15)</f>
        <v>5.4793827320240007E-9</v>
      </c>
      <c r="O114" s="130">
        <f>GasModel($I$114,"N2_Weiss",$D$114,$E$114,$B$114,$C$114,$G$114,$H$114,$M$16)</f>
        <v>8.5988303053085042E-3</v>
      </c>
      <c r="P114" s="130">
        <f>GasModel($I$114,"O2_B&amp;K",$D$114,$E$114,$B$114,$C$114,$G$114,$H$114,$M$17)</f>
        <v>4.4388469151295656E-3</v>
      </c>
      <c r="Q114" s="130">
        <f>GasModel($I$114,"CO2_Weiss_F",$D$114,$E$114,$B$114,$C$114,$G$114,$H$114,$M$18)</f>
        <v>1.6911578076576086E-4</v>
      </c>
      <c r="R114" s="130">
        <f>GasModel($I$114,"CH4_Wies",$D$114,$E$114,$B$114,$C$114,$G$114,$H$114,$M$19)</f>
        <v>3.2042221840427835E-8</v>
      </c>
      <c r="S114" s="130">
        <f>GasModel($I$114,"H2_Wies",$D$114,$E$114,$B$114,$C$114,$G$114,$H$114,$M$20)</f>
        <v>8.7105065434792063E-9</v>
      </c>
      <c r="T114" s="130">
        <f>GasModel($I$114,"N2O_Weiss_F",$D$114,$E$114,$B$114,$C$114,$G$114,$H$114,$M$21)</f>
        <v>1.1056577730285161E-7</v>
      </c>
      <c r="U114" s="130">
        <f>$L$114/$K$114</f>
        <v>1367.687424069142</v>
      </c>
      <c r="V114" s="130">
        <f>$M$114/$N$114</f>
        <v>8.0677691598738885</v>
      </c>
      <c r="W114" s="130">
        <f>$N$114/$K$114</f>
        <v>3.4491139540131117E-2</v>
      </c>
      <c r="X114" s="130">
        <f>$M$114/$L$114</f>
        <v>2.0345771041959163E-4</v>
      </c>
      <c r="Y114" s="130">
        <f>$O$114/$L$114</f>
        <v>39.575684137795974</v>
      </c>
      <c r="Z114" s="130" t="e">
        <f>$I$114/$I$114</f>
        <v>#VALUE!</v>
      </c>
    </row>
    <row r="115" spans="1:26">
      <c r="A115" s="130" t="s">
        <v>371</v>
      </c>
      <c r="B115" s="130">
        <f>$N$4</f>
        <v>1.43</v>
      </c>
      <c r="C115" s="130">
        <f>$O$4</f>
        <v>88</v>
      </c>
      <c r="D115" s="130">
        <v>40</v>
      </c>
      <c r="E115" s="130">
        <v>2</v>
      </c>
      <c r="F115" s="130">
        <v>0</v>
      </c>
      <c r="G115" s="130">
        <v>0</v>
      </c>
      <c r="H115" s="130">
        <v>0</v>
      </c>
      <c r="I115" s="130" t="s">
        <v>10</v>
      </c>
      <c r="J115" s="130">
        <f>GasModel($I$115,"He_Weiss",$D$115,$E$115,$B$115,$C$115,$G$115,$H$115,$M$11)</f>
        <v>5.2292659089858176E-8</v>
      </c>
      <c r="K115" s="130">
        <f>GasModel($I$115,"Ne_Weiss",$D$115,$E$115,$B$115,$C$115,$G$115,$H$115,$M$12)</f>
        <v>1.9522348798794055E-7</v>
      </c>
      <c r="L115" s="130">
        <f>GasModel($I$115,"Ar_Weiss",$D$115,$E$115,$B$115,$C$115,$G$115,$H$115,$M$13)</f>
        <v>2.3595559466486549E-4</v>
      </c>
      <c r="M115" s="130">
        <f>GasModel($I$115,"Kr_Weiss",$D$115,$E$115,$B$115,$C$115,$G$115,$H$115,$M$14)</f>
        <v>4.6486395020568766E-8</v>
      </c>
      <c r="N115" s="130">
        <f>GasModel($I$115,"Xe_Clvr",$D$115,$E$115,$B$115,$C$115,$G$115,$H$115,$M$15)</f>
        <v>5.6533827320240003E-9</v>
      </c>
      <c r="O115" s="130">
        <f>GasModel($I$115,"N2_Weiss",$D$115,$E$115,$B$115,$C$115,$G$115,$H$115,$M$16)</f>
        <v>1.0160510305308504E-2</v>
      </c>
      <c r="P115" s="130">
        <f>GasModel($I$115,"O2_B&amp;K",$D$115,$E$115,$B$115,$C$115,$G$115,$H$115,$M$17)</f>
        <v>4.8578469151295657E-3</v>
      </c>
      <c r="Q115" s="130">
        <f>GasModel($I$115,"CO2_Weiss_F",$D$115,$E$115,$B$115,$C$115,$G$115,$H$115,$M$18)</f>
        <v>1.6981578076576085E-4</v>
      </c>
      <c r="R115" s="130">
        <f>GasModel($I$115,"CH4_Wies",$D$115,$E$115,$B$115,$C$115,$G$115,$H$115,$M$19)</f>
        <v>3.4862221840427836E-8</v>
      </c>
      <c r="S115" s="130">
        <f>GasModel($I$115,"H2_Wies",$D$115,$E$115,$B$115,$C$115,$G$115,$H$115,$M$20)</f>
        <v>9.8705065434792064E-9</v>
      </c>
      <c r="T115" s="130">
        <f>GasModel($I$115,"N2O_Weiss_F",$D$115,$E$115,$B$115,$C$115,$G$115,$H$115,$M$21)</f>
        <v>1.1120577730285161E-7</v>
      </c>
      <c r="U115" s="130">
        <f>$L$115/$K$115</f>
        <v>1208.6434736758779</v>
      </c>
      <c r="V115" s="130">
        <f>$M$115/$N$115</f>
        <v>8.2227574576267735</v>
      </c>
      <c r="W115" s="130">
        <f>$N$115/$K$115</f>
        <v>2.8958517186073552E-2</v>
      </c>
      <c r="X115" s="130">
        <f>$M$115/$L$115</f>
        <v>1.9701331975872295E-4</v>
      </c>
      <c r="Y115" s="130">
        <f>$O$115/$L$115</f>
        <v>43.061112069581434</v>
      </c>
      <c r="Z115" s="130" t="e">
        <f>$I$115/$I$115</f>
        <v>#VALUE!</v>
      </c>
    </row>
    <row r="116" spans="1:26">
      <c r="A116" s="130" t="s">
        <v>371</v>
      </c>
      <c r="B116" s="130">
        <f>$N$4</f>
        <v>1.43</v>
      </c>
      <c r="C116" s="130">
        <f>$O$4</f>
        <v>88</v>
      </c>
      <c r="D116" s="130">
        <v>40</v>
      </c>
      <c r="E116" s="130">
        <v>4</v>
      </c>
      <c r="F116" s="130">
        <v>0</v>
      </c>
      <c r="G116" s="130">
        <v>0</v>
      </c>
      <c r="H116" s="130">
        <v>0</v>
      </c>
      <c r="I116" s="130" t="s">
        <v>10</v>
      </c>
      <c r="J116" s="130">
        <f>GasModel($I$116,"He_Weiss",$D$116,$E$116,$B$116,$C$116,$G$116,$H$116,$M$11)</f>
        <v>6.2772659089858175E-8</v>
      </c>
      <c r="K116" s="130">
        <f>GasModel($I$116,"Ne_Weiss",$D$116,$E$116,$B$116,$C$116,$G$116,$H$116,$M$12)</f>
        <v>2.3158348798794054E-7</v>
      </c>
      <c r="L116" s="130">
        <f>GasModel($I$116,"Ar_Weiss",$D$116,$E$116,$B$116,$C$116,$G$116,$H$116,$M$13)</f>
        <v>2.5463559466486549E-4</v>
      </c>
      <c r="M116" s="130">
        <f>GasModel($I$116,"Kr_Weiss",$D$116,$E$116,$B$116,$C$116,$G$116,$H$116,$M$14)</f>
        <v>4.8766395020568771E-8</v>
      </c>
      <c r="N116" s="130">
        <f>GasModel($I$116,"Xe_Clvr",$D$116,$E$116,$B$116,$C$116,$G$116,$H$116,$M$15)</f>
        <v>5.8273827320240007E-9</v>
      </c>
      <c r="O116" s="130">
        <f>GasModel($I$116,"N2_Weiss",$D$116,$E$116,$B$116,$C$116,$G$116,$H$116,$M$16)</f>
        <v>1.1722190305308505E-2</v>
      </c>
      <c r="P116" s="130">
        <f>GasModel($I$116,"O2_B&amp;K",$D$116,$E$116,$B$116,$C$116,$G$116,$H$116,$M$17)</f>
        <v>5.2768469151295658E-3</v>
      </c>
      <c r="Q116" s="130">
        <f>GasModel($I$116,"CO2_Weiss_F",$D$116,$E$116,$B$116,$C$116,$G$116,$H$116,$M$18)</f>
        <v>1.7051578076576087E-4</v>
      </c>
      <c r="R116" s="130">
        <f>GasModel($I$116,"CH4_Wies",$D$116,$E$116,$B$116,$C$116,$G$116,$H$116,$M$19)</f>
        <v>3.7682221840427838E-8</v>
      </c>
      <c r="S116" s="130">
        <f>GasModel($I$116,"H2_Wies",$D$116,$E$116,$B$116,$C$116,$G$116,$H$116,$M$20)</f>
        <v>1.1030506543479207E-8</v>
      </c>
      <c r="T116" s="130">
        <f>GasModel($I$116,"N2O_Weiss_F",$D$116,$E$116,$B$116,$C$116,$G$116,$H$116,$M$21)</f>
        <v>1.1184577730285161E-7</v>
      </c>
      <c r="U116" s="130">
        <f>$L$116/$K$116</f>
        <v>1099.541236196103</v>
      </c>
      <c r="V116" s="130">
        <f>$M$116/$N$116</f>
        <v>8.368490154692644</v>
      </c>
      <c r="W116" s="130">
        <f>$N$116/$K$116</f>
        <v>2.5163204780504281E-2</v>
      </c>
      <c r="X116" s="130">
        <f>$M$116/$L$116</f>
        <v>1.915144466929373E-4</v>
      </c>
      <c r="Y116" s="130">
        <f>$O$116/$L$116</f>
        <v>46.035159855543668</v>
      </c>
      <c r="Z116" s="130" t="e">
        <f>$I$116/$I$116</f>
        <v>#VALUE!</v>
      </c>
    </row>
    <row r="117" spans="1:26">
      <c r="A117" s="130" t="s">
        <v>371</v>
      </c>
      <c r="B117" s="130">
        <f>$N$4</f>
        <v>1.43</v>
      </c>
      <c r="C117" s="130">
        <f>$O$4</f>
        <v>88</v>
      </c>
      <c r="D117" s="130">
        <v>40</v>
      </c>
      <c r="E117" s="130">
        <v>6</v>
      </c>
      <c r="F117" s="130">
        <v>0</v>
      </c>
      <c r="G117" s="130">
        <v>0</v>
      </c>
      <c r="H117" s="130">
        <v>0</v>
      </c>
      <c r="I117" s="130" t="s">
        <v>10</v>
      </c>
      <c r="J117" s="130">
        <f>GasModel($I$117,"He_Weiss",$D$117,$E$117,$B$117,$C$117,$G$117,$H$117,$M$11)</f>
        <v>7.3252659089858186E-8</v>
      </c>
      <c r="K117" s="130">
        <f>GasModel($I$117,"Ne_Weiss",$D$117,$E$117,$B$117,$C$117,$G$117,$H$117,$M$12)</f>
        <v>2.6794348798794053E-7</v>
      </c>
      <c r="L117" s="130">
        <f>GasModel($I$117,"Ar_Weiss",$D$117,$E$117,$B$117,$C$117,$G$117,$H$117,$M$13)</f>
        <v>2.7331559466486547E-4</v>
      </c>
      <c r="M117" s="130">
        <f>GasModel($I$117,"Kr_Weiss",$D$117,$E$117,$B$117,$C$117,$G$117,$H$117,$M$14)</f>
        <v>5.1046395020568769E-8</v>
      </c>
      <c r="N117" s="130">
        <f>GasModel($I$117,"Xe_Clvr",$D$117,$E$117,$B$117,$C$117,$G$117,$H$117,$M$15)</f>
        <v>6.0013827320240003E-9</v>
      </c>
      <c r="O117" s="130">
        <f>GasModel($I$117,"N2_Weiss",$D$117,$E$117,$B$117,$C$117,$G$117,$H$117,$M$16)</f>
        <v>1.3283870305308504E-2</v>
      </c>
      <c r="P117" s="130">
        <f>GasModel($I$117,"O2_B&amp;K",$D$117,$E$117,$B$117,$C$117,$G$117,$H$117,$M$17)</f>
        <v>5.6958469151295659E-3</v>
      </c>
      <c r="Q117" s="130">
        <f>GasModel($I$117,"CO2_Weiss_F",$D$117,$E$117,$B$117,$C$117,$G$117,$H$117,$M$18)</f>
        <v>1.7121578076576086E-4</v>
      </c>
      <c r="R117" s="130">
        <f>GasModel($I$117,"CH4_Wies",$D$117,$E$117,$B$117,$C$117,$G$117,$H$117,$M$19)</f>
        <v>4.0502221840427833E-8</v>
      </c>
      <c r="S117" s="130">
        <f>GasModel($I$117,"H2_Wies",$D$117,$E$117,$B$117,$C$117,$G$117,$H$117,$M$20)</f>
        <v>1.2190506543479207E-8</v>
      </c>
      <c r="T117" s="130">
        <f>GasModel($I$117,"N2O_Weiss_F",$D$117,$E$117,$B$117,$C$117,$G$117,$H$117,$M$21)</f>
        <v>1.124857773028516E-7</v>
      </c>
      <c r="U117" s="130">
        <f>$L$117/$K$117</f>
        <v>1020.04940189913</v>
      </c>
      <c r="V117" s="130">
        <f>$M$117/$N$117</f>
        <v>8.5057723028028054</v>
      </c>
      <c r="W117" s="130">
        <f>$N$117/$K$117</f>
        <v>2.239794210745703E-2</v>
      </c>
      <c r="X117" s="130">
        <f>$M$117/$L$117</f>
        <v>1.8676722447235738E-4</v>
      </c>
      <c r="Y117" s="130">
        <f>$O$117/$L$117</f>
        <v>48.602679702916113</v>
      </c>
      <c r="Z117" s="130" t="e">
        <f>$I$117/$I$117</f>
        <v>#VALUE!</v>
      </c>
    </row>
    <row r="118" spans="1:26">
      <c r="A118" s="130" t="s">
        <v>371</v>
      </c>
      <c r="B118" s="130">
        <f>$N$4</f>
        <v>1.43</v>
      </c>
      <c r="C118" s="130">
        <f>$O$4</f>
        <v>88</v>
      </c>
      <c r="D118" s="130">
        <v>40</v>
      </c>
      <c r="E118" s="130">
        <v>8</v>
      </c>
      <c r="F118" s="130">
        <v>0</v>
      </c>
      <c r="G118" s="130">
        <v>0</v>
      </c>
      <c r="H118" s="130">
        <v>0</v>
      </c>
      <c r="I118" s="130" t="s">
        <v>10</v>
      </c>
      <c r="J118" s="130">
        <f>GasModel($I$118,"He_Weiss",$D$118,$E$118,$B$118,$C$118,$G$118,$H$118,$M$11)</f>
        <v>8.3732659089858185E-8</v>
      </c>
      <c r="K118" s="130">
        <f>GasModel($I$118,"Ne_Weiss",$D$118,$E$118,$B$118,$C$118,$G$118,$H$118,$M$12)</f>
        <v>3.0430348798794052E-7</v>
      </c>
      <c r="L118" s="130">
        <f>GasModel($I$118,"Ar_Weiss",$D$118,$E$118,$B$118,$C$118,$G$118,$H$118,$M$13)</f>
        <v>2.919955946648655E-4</v>
      </c>
      <c r="M118" s="130">
        <f>GasModel($I$118,"Kr_Weiss",$D$118,$E$118,$B$118,$C$118,$G$118,$H$118,$M$14)</f>
        <v>5.3326395020568766E-8</v>
      </c>
      <c r="N118" s="130">
        <f>GasModel($I$118,"Xe_Clvr",$D$118,$E$118,$B$118,$C$118,$G$118,$H$118,$M$15)</f>
        <v>6.1753827320240007E-9</v>
      </c>
      <c r="O118" s="130">
        <f>GasModel($I$118,"N2_Weiss",$D$118,$E$118,$B$118,$C$118,$G$118,$H$118,$M$16)</f>
        <v>1.4845550305308503E-2</v>
      </c>
      <c r="P118" s="130">
        <f>GasModel($I$118,"O2_B&amp;K",$D$118,$E$118,$B$118,$C$118,$G$118,$H$118,$M$17)</f>
        <v>6.114846915129566E-3</v>
      </c>
      <c r="Q118" s="130">
        <f>GasModel($I$118,"CO2_Weiss_F",$D$118,$E$118,$B$118,$C$118,$G$118,$H$118,$M$18)</f>
        <v>1.7191578076576085E-4</v>
      </c>
      <c r="R118" s="130">
        <f>GasModel($I$118,"CH4_Wies",$D$118,$E$118,$B$118,$C$118,$G$118,$H$118,$M$19)</f>
        <v>4.3322221840427834E-8</v>
      </c>
      <c r="S118" s="130">
        <f>GasModel($I$118,"H2_Wies",$D$118,$E$118,$B$118,$C$118,$G$118,$H$118,$M$20)</f>
        <v>1.3350506543479205E-8</v>
      </c>
      <c r="T118" s="130">
        <f>GasModel($I$118,"N2O_Weiss_F",$D$118,$E$118,$B$118,$C$118,$G$118,$H$118,$M$21)</f>
        <v>1.1312577730285162E-7</v>
      </c>
      <c r="U118" s="130">
        <f>$L$118/$K$118</f>
        <v>959.55388679750274</v>
      </c>
      <c r="V118" s="130">
        <f>$M$118/$N$118</f>
        <v>8.6353182198783127</v>
      </c>
      <c r="W118" s="130">
        <f>$N$118/$K$118</f>
        <v>2.0293499666585255E-2</v>
      </c>
      <c r="X118" s="130">
        <f>$M$118/$L$118</f>
        <v>1.826273957378484E-4</v>
      </c>
      <c r="Y118" s="130">
        <f>$O$118/$L$118</f>
        <v>50.841692739739131</v>
      </c>
      <c r="Z118" s="130" t="e">
        <f>$I$118/$I$118</f>
        <v>#VALUE!</v>
      </c>
    </row>
    <row r="119" spans="1:26">
      <c r="A119" s="130" t="s">
        <v>371</v>
      </c>
      <c r="B119" s="130">
        <f>$N$4</f>
        <v>1.43</v>
      </c>
      <c r="C119" s="130">
        <f>$O$4</f>
        <v>88</v>
      </c>
      <c r="D119" s="130">
        <v>40</v>
      </c>
      <c r="E119" s="130">
        <v>10</v>
      </c>
      <c r="F119" s="130">
        <v>0</v>
      </c>
      <c r="G119" s="130">
        <v>0</v>
      </c>
      <c r="H119" s="130">
        <v>0</v>
      </c>
      <c r="I119" s="130" t="s">
        <v>10</v>
      </c>
      <c r="J119" s="130">
        <f>GasModel($I$119,"He_Weiss",$D$119,$E$119,$B$119,$C$119,$G$119,$H$119,$M$11)</f>
        <v>9.4212659089858184E-8</v>
      </c>
      <c r="K119" s="130">
        <f>GasModel($I$119,"Ne_Weiss",$D$119,$E$119,$B$119,$C$119,$G$119,$H$119,$M$12)</f>
        <v>3.4066348798794056E-7</v>
      </c>
      <c r="L119" s="130">
        <f>GasModel($I$119,"Ar_Weiss",$D$119,$E$119,$B$119,$C$119,$G$119,$H$119,$M$13)</f>
        <v>3.1067559466486548E-4</v>
      </c>
      <c r="M119" s="130">
        <f>GasModel($I$119,"Kr_Weiss",$D$119,$E$119,$B$119,$C$119,$G$119,$H$119,$M$14)</f>
        <v>5.5606395020568771E-8</v>
      </c>
      <c r="N119" s="130">
        <f>GasModel($I$119,"Xe_Clvr",$D$119,$E$119,$B$119,$C$119,$G$119,$H$119,$M$15)</f>
        <v>6.3493827320240003E-9</v>
      </c>
      <c r="O119" s="130">
        <f>GasModel($I$119,"N2_Weiss",$D$119,$E$119,$B$119,$C$119,$G$119,$H$119,$M$16)</f>
        <v>1.6407230305308503E-2</v>
      </c>
      <c r="P119" s="130">
        <f>GasModel($I$119,"O2_B&amp;K",$D$119,$E$119,$B$119,$C$119,$G$119,$H$119,$M$17)</f>
        <v>6.5338469151295653E-3</v>
      </c>
      <c r="Q119" s="130">
        <f>GasModel($I$119,"CO2_Weiss_F",$D$119,$E$119,$B$119,$C$119,$G$119,$H$119,$M$18)</f>
        <v>1.7261578076576087E-4</v>
      </c>
      <c r="R119" s="130">
        <f>GasModel($I$119,"CH4_Wies",$D$119,$E$119,$B$119,$C$119,$G$119,$H$119,$M$19)</f>
        <v>4.6142221840427835E-8</v>
      </c>
      <c r="S119" s="130">
        <f>GasModel($I$119,"H2_Wies",$D$119,$E$119,$B$119,$C$119,$G$119,$H$119,$M$20)</f>
        <v>1.4510506543479207E-8</v>
      </c>
      <c r="T119" s="130">
        <f>GasModel($I$119,"N2O_Weiss_F",$D$119,$E$119,$B$119,$C$119,$G$119,$H$119,$M$21)</f>
        <v>1.1376577730285161E-7</v>
      </c>
      <c r="U119" s="130">
        <f>$L$119/$K$119</f>
        <v>911.97209451417154</v>
      </c>
      <c r="V119" s="130">
        <f>$M$119/$N$119</f>
        <v>8.7577639224849584</v>
      </c>
      <c r="W119" s="130">
        <f>$N$119/$K$119</f>
        <v>1.8638283690234417E-2</v>
      </c>
      <c r="X119" s="130">
        <f>$M$119/$L$119</f>
        <v>1.7898539819503027E-4</v>
      </c>
      <c r="Y119" s="130">
        <f>$O$119/$L$119</f>
        <v>52.811455380032164</v>
      </c>
      <c r="Z119" s="130" t="e">
        <f>$I$119/$I$119</f>
        <v>#VALUE!</v>
      </c>
    </row>
    <row r="120" spans="1:26">
      <c r="A120" s="130" t="s">
        <v>372</v>
      </c>
      <c r="B120" s="130">
        <f>$N$4</f>
        <v>1.43</v>
      </c>
      <c r="C120" s="130">
        <f>$O$4</f>
        <v>88</v>
      </c>
      <c r="D120" s="130">
        <v>0</v>
      </c>
      <c r="E120" s="130">
        <v>0</v>
      </c>
      <c r="F120" s="130">
        <v>0</v>
      </c>
      <c r="G120" s="130">
        <v>0</v>
      </c>
      <c r="H120" s="130">
        <v>0</v>
      </c>
      <c r="I120" s="130" t="s">
        <v>10</v>
      </c>
      <c r="J120" s="130">
        <f>GasModel($I$120,"He_Weiss",$D$120,$E$120,$B$120,$C$120,$G$120,$H$120,$M$11)</f>
        <v>4.8104914916998761E-8</v>
      </c>
      <c r="K120" s="130">
        <f>GasModel($I$120,"Ne_Weiss",$D$120,$E$120,$B$120,$C$120,$G$120,$H$120,$M$12)</f>
        <v>2.2041943710782614E-7</v>
      </c>
      <c r="L120" s="130">
        <f>GasModel($I$120,"Ar_Weiss",$D$120,$E$120,$B$120,$C$120,$G$120,$H$120,$M$13)</f>
        <v>4.8733421027253145E-4</v>
      </c>
      <c r="M120" s="130">
        <f>GasModel($I$120,"Kr_Weiss",$D$120,$E$120,$B$120,$C$120,$G$120,$H$120,$M$14)</f>
        <v>1.2144620723174379E-7</v>
      </c>
      <c r="N120" s="130">
        <f>GasModel($I$120,"Xe_Clvr",$D$120,$E$120,$B$120,$C$120,$G$120,$H$120,$M$15)</f>
        <v>1.8810999385485821E-8</v>
      </c>
      <c r="O120" s="130">
        <f>GasModel($I$120,"N2_Weiss",$D$120,$E$120,$B$120,$C$120,$G$120,$H$120,$M$16)</f>
        <v>1.8019366085406677E-2</v>
      </c>
      <c r="P120" s="130">
        <f>GasModel($I$120,"O2_B&amp;K",$D$120,$E$120,$B$120,$C$120,$G$120,$H$120,$M$17)</f>
        <v>1.0023571365648217E-2</v>
      </c>
      <c r="Q120" s="130">
        <f>GasModel($I$120,"CO2_Weiss_F",$D$120,$E$120,$B$120,$C$120,$G$120,$H$120,$M$18)</f>
        <v>5.8718800905651995E-4</v>
      </c>
      <c r="R120" s="130">
        <f>GasModel($I$120,"CH4_Wies",$D$120,$E$120,$B$120,$C$120,$G$120,$H$120,$M$19)</f>
        <v>7.8785792602646592E-8</v>
      </c>
      <c r="S120" s="130">
        <f>GasModel($I$120,"H2_Wies",$D$120,$E$120,$B$120,$C$120,$G$120,$H$120,$M$20)</f>
        <v>1.2462354018088878E-8</v>
      </c>
      <c r="T120" s="130">
        <f>GasModel($I$120,"N2O_Weiss_F",$D$120,$E$120,$B$120,$C$120,$G$120,$H$120,$M$21)</f>
        <v>4.1007705249191304E-7</v>
      </c>
      <c r="U120" s="130">
        <f>$L$120/$K$120</f>
        <v>2210.9402721781489</v>
      </c>
      <c r="V120" s="130">
        <f>$M$120/$N$120</f>
        <v>6.4561273297073827</v>
      </c>
      <c r="W120" s="130">
        <f>$N$120/$K$120</f>
        <v>8.5341835694298318E-2</v>
      </c>
      <c r="X120" s="130">
        <f>$M$120/$L$120</f>
        <v>2.4920517515859917E-4</v>
      </c>
      <c r="Y120" s="130">
        <f>$O$120/$L$120</f>
        <v>36.975376867816692</v>
      </c>
      <c r="Z120" s="130" t="e">
        <f>$I$120/$I$120</f>
        <v>#VALUE!</v>
      </c>
    </row>
    <row r="121" spans="1:26">
      <c r="A121" s="130" t="s">
        <v>372</v>
      </c>
      <c r="B121" s="130">
        <f>$N$4</f>
        <v>1.43</v>
      </c>
      <c r="C121" s="130">
        <f>$O$4</f>
        <v>88</v>
      </c>
      <c r="D121" s="130">
        <v>5</v>
      </c>
      <c r="E121" s="130">
        <v>0</v>
      </c>
      <c r="F121" s="130">
        <v>0</v>
      </c>
      <c r="G121" s="130">
        <v>0</v>
      </c>
      <c r="H121" s="130">
        <v>0</v>
      </c>
      <c r="I121" s="130" t="s">
        <v>10</v>
      </c>
      <c r="J121" s="130">
        <f>GasModel($I$121,"He_Weiss",$D$121,$E$121,$B$121,$C$121,$G$121,$H$121,$M$11)</f>
        <v>4.6711651354432082E-8</v>
      </c>
      <c r="K121" s="130">
        <f>GasModel($I$121,"Ne_Weiss",$D$121,$E$121,$B$121,$C$121,$G$121,$H$121,$M$12)</f>
        <v>2.0814500949811728E-7</v>
      </c>
      <c r="L121" s="130">
        <f>GasModel($I$121,"Ar_Weiss",$D$121,$E$121,$B$121,$C$121,$G$121,$H$121,$M$13)</f>
        <v>4.2681931689627609E-4</v>
      </c>
      <c r="M121" s="130">
        <f>GasModel($I$121,"Kr_Weiss",$D$121,$E$121,$B$121,$C$121,$G$121,$H$121,$M$14)</f>
        <v>1.0343243579446915E-7</v>
      </c>
      <c r="N121" s="130">
        <f>GasModel($I$121,"Xe_Clvr",$D$121,$E$121,$B$121,$C$121,$G$121,$H$121,$M$15)</f>
        <v>1.5460244609633504E-8</v>
      </c>
      <c r="O121" s="130">
        <f>GasModel($I$121,"N2_Weiss",$D$121,$E$121,$B$121,$C$121,$G$121,$H$121,$M$16)</f>
        <v>1.5903390989818744E-2</v>
      </c>
      <c r="P121" s="130">
        <f>GasModel($I$121,"O2_B&amp;K",$D$121,$E$121,$B$121,$C$121,$G$121,$H$121,$M$17)</f>
        <v>8.7582233864339741E-3</v>
      </c>
      <c r="Q121" s="130">
        <f>GasModel($I$121,"CO2_Weiss_F",$D$121,$E$121,$B$121,$C$121,$G$121,$H$121,$M$18)</f>
        <v>4.8350455521118958E-4</v>
      </c>
      <c r="R121" s="130">
        <f>GasModel($I$121,"CH4_Wies",$D$121,$E$121,$B$121,$C$121,$G$121,$H$121,$M$19)</f>
        <v>6.7708715086709333E-8</v>
      </c>
      <c r="S121" s="130">
        <f>GasModel($I$121,"H2_Wies",$D$121,$E$121,$B$121,$C$121,$G$121,$H$121,$M$20)</f>
        <v>1.1661287577112349E-8</v>
      </c>
      <c r="T121" s="130">
        <f>GasModel($I$121,"N2O_Weiss_F",$D$121,$E$121,$B$121,$C$121,$G$121,$H$121,$M$21)</f>
        <v>3.3395388073425833E-7</v>
      </c>
      <c r="U121" s="130">
        <f>$L$121/$K$121</f>
        <v>2050.5863576812626</v>
      </c>
      <c r="V121" s="130">
        <f>$M$121/$N$121</f>
        <v>6.6902198772468902</v>
      </c>
      <c r="W121" s="130">
        <f>$N$121/$K$121</f>
        <v>7.4276316530055189E-2</v>
      </c>
      <c r="X121" s="130">
        <f>$M$121/$L$121</f>
        <v>2.4233307092707073E-4</v>
      </c>
      <c r="Y121" s="130">
        <f>$O$121/$L$121</f>
        <v>37.260241887514013</v>
      </c>
      <c r="Z121" s="130" t="e">
        <f>$I$121/$I$121</f>
        <v>#VALUE!</v>
      </c>
    </row>
    <row r="122" spans="1:26">
      <c r="A122" s="130" t="s">
        <v>372</v>
      </c>
      <c r="B122" s="130">
        <f>$N$4</f>
        <v>1.43</v>
      </c>
      <c r="C122" s="130">
        <f>$O$4</f>
        <v>88</v>
      </c>
      <c r="D122" s="130">
        <v>10</v>
      </c>
      <c r="E122" s="130">
        <v>0</v>
      </c>
      <c r="F122" s="130">
        <v>0</v>
      </c>
      <c r="G122" s="130">
        <v>0</v>
      </c>
      <c r="H122" s="130">
        <v>0</v>
      </c>
      <c r="I122" s="130" t="s">
        <v>10</v>
      </c>
      <c r="J122" s="130">
        <f>GasModel($I$122,"He_Weiss",$D$122,$E$122,$B$122,$C$122,$G$122,$H$122,$M$11)</f>
        <v>4.5597937370564472E-8</v>
      </c>
      <c r="K122" s="130">
        <f>GasModel($I$122,"Ne_Weiss",$D$122,$E$122,$B$122,$C$122,$G$122,$H$122,$M$12)</f>
        <v>1.9787639441899273E-7</v>
      </c>
      <c r="L122" s="130">
        <f>GasModel($I$122,"Ar_Weiss",$D$122,$E$122,$B$122,$C$122,$G$122,$H$122,$M$13)</f>
        <v>3.7816672172583815E-4</v>
      </c>
      <c r="M122" s="130">
        <f>GasModel($I$122,"Kr_Weiss",$D$122,$E$122,$B$122,$C$122,$G$122,$H$122,$M$14)</f>
        <v>8.9120714132768023E-8</v>
      </c>
      <c r="N122" s="130">
        <f>GasModel($I$122,"Xe_Clvr",$D$122,$E$122,$B$122,$C$122,$G$122,$H$122,$M$15)</f>
        <v>1.28926275898025E-8</v>
      </c>
      <c r="O122" s="130">
        <f>GasModel($I$122,"N2_Weiss",$D$122,$E$122,$B$122,$C$122,$G$122,$H$122,$M$16)</f>
        <v>1.4203013095269931E-2</v>
      </c>
      <c r="P122" s="130">
        <f>GasModel($I$122,"O2_B&amp;K",$D$122,$E$122,$B$122,$C$122,$G$122,$H$122,$M$17)</f>
        <v>7.7461620779183202E-3</v>
      </c>
      <c r="Q122" s="130">
        <f>GasModel($I$122,"CO2_Weiss_F",$D$122,$E$122,$B$122,$C$122,$G$122,$H$122,$M$18)</f>
        <v>4.0373895592482969E-4</v>
      </c>
      <c r="R122" s="130">
        <f>GasModel($I$122,"CH4_Wies",$D$122,$E$122,$B$122,$C$122,$G$122,$H$122,$M$19)</f>
        <v>5.915382179192014E-8</v>
      </c>
      <c r="S122" s="130">
        <f>GasModel($I$122,"H2_Wies",$D$122,$E$122,$B$122,$C$122,$G$122,$H$122,$M$20)</f>
        <v>1.1022234611119995E-8</v>
      </c>
      <c r="T122" s="130">
        <f>GasModel($I$122,"N2O_Weiss_F",$D$122,$E$122,$B$122,$C$122,$G$122,$H$122,$M$21)</f>
        <v>2.7604929740775587E-7</v>
      </c>
      <c r="U122" s="130">
        <f>$L$122/$K$122</f>
        <v>1911.1259978039132</v>
      </c>
      <c r="V122" s="130">
        <f>$M$122/$N$122</f>
        <v>6.9125330357993571</v>
      </c>
      <c r="W122" s="130">
        <f>$N$122/$K$122</f>
        <v>6.5154955080205509E-2</v>
      </c>
      <c r="X122" s="130">
        <f>$M$122/$L$122</f>
        <v>2.356651418878111E-4</v>
      </c>
      <c r="Y122" s="130">
        <f>$O$122/$L$122</f>
        <v>37.557543483603446</v>
      </c>
      <c r="Z122" s="130" t="e">
        <f>$I$122/$I$122</f>
        <v>#VALUE!</v>
      </c>
    </row>
    <row r="123" spans="1:26">
      <c r="A123" s="130" t="s">
        <v>372</v>
      </c>
      <c r="B123" s="130">
        <f>$N$4</f>
        <v>1.43</v>
      </c>
      <c r="C123" s="130">
        <f>$O$4</f>
        <v>88</v>
      </c>
      <c r="D123" s="130">
        <v>15</v>
      </c>
      <c r="E123" s="130">
        <v>0</v>
      </c>
      <c r="F123" s="130">
        <v>0</v>
      </c>
      <c r="G123" s="130">
        <v>0</v>
      </c>
      <c r="H123" s="130">
        <v>0</v>
      </c>
      <c r="I123" s="130" t="s">
        <v>10</v>
      </c>
      <c r="J123" s="130">
        <f>GasModel($I$123,"He_Weiss",$D$123,$E$123,$B$123,$C$123,$G$123,$H$123,$M$11)</f>
        <v>4.4698738751133516E-8</v>
      </c>
      <c r="K123" s="130">
        <f>GasModel($I$123,"Ne_Weiss",$D$123,$E$123,$B$123,$C$123,$G$123,$H$123,$M$12)</f>
        <v>1.891653113967977E-7</v>
      </c>
      <c r="L123" s="130">
        <f>GasModel($I$123,"Ar_Weiss",$D$123,$E$123,$B$123,$C$123,$G$123,$H$123,$M$13)</f>
        <v>3.3848059252795508E-4</v>
      </c>
      <c r="M123" s="130">
        <f>GasModel($I$123,"Kr_Weiss",$D$123,$E$123,$B$123,$C$123,$G$123,$H$123,$M$14)</f>
        <v>7.7608133833010802E-8</v>
      </c>
      <c r="N123" s="130">
        <f>GasModel($I$123,"Xe_Clvr",$D$123,$E$123,$B$123,$C$123,$G$123,$H$123,$M$15)</f>
        <v>1.0895419670269124E-8</v>
      </c>
      <c r="O123" s="130">
        <f>GasModel($I$123,"N2_Weiss",$D$123,$E$123,$B$123,$C$123,$G$123,$H$123,$M$16)</f>
        <v>1.2817158877212681E-2</v>
      </c>
      <c r="P123" s="130">
        <f>GasModel($I$123,"O2_B&amp;K",$D$123,$E$123,$B$123,$C$123,$G$123,$H$123,$M$17)</f>
        <v>6.9263117064847397E-3</v>
      </c>
      <c r="Q123" s="130">
        <f>GasModel($I$123,"CO2_Weiss_F",$D$123,$E$123,$B$123,$C$123,$G$123,$H$123,$M$18)</f>
        <v>3.4133106285812479E-4</v>
      </c>
      <c r="R123" s="130">
        <f>GasModel($I$123,"CH4_Wies",$D$123,$E$123,$B$123,$C$123,$G$123,$H$123,$M$19)</f>
        <v>5.2381553938754458E-8</v>
      </c>
      <c r="S123" s="130">
        <f>GasModel($I$123,"H2_Wies",$D$123,$E$123,$B$123,$C$123,$G$123,$H$123,$M$20)</f>
        <v>1.0500815054181149E-8</v>
      </c>
      <c r="T123" s="130">
        <f>GasModel($I$123,"N2O_Weiss_F",$D$123,$E$123,$B$123,$C$123,$G$123,$H$123,$M$21)</f>
        <v>2.3122508037506876E-7</v>
      </c>
      <c r="U123" s="130">
        <f>$L$123/$K$123</f>
        <v>1789.3375377790596</v>
      </c>
      <c r="V123" s="130">
        <f>$M$123/$N$123</f>
        <v>7.1230054630005659</v>
      </c>
      <c r="W123" s="130">
        <f>$N$123/$K$123</f>
        <v>5.7597344829330946E-2</v>
      </c>
      <c r="X123" s="130">
        <f>$M$123/$L$123</f>
        <v>2.2928385126423799E-4</v>
      </c>
      <c r="Y123" s="130">
        <f>$O$123/$L$123</f>
        <v>37.866746750492389</v>
      </c>
      <c r="Z123" s="130" t="e">
        <f>$I$123/$I$123</f>
        <v>#VALUE!</v>
      </c>
    </row>
    <row r="124" spans="1:26">
      <c r="A124" s="130" t="s">
        <v>372</v>
      </c>
      <c r="B124" s="130">
        <f>$N$4</f>
        <v>1.43</v>
      </c>
      <c r="C124" s="130">
        <f>$O$4</f>
        <v>88</v>
      </c>
      <c r="D124" s="130">
        <v>20</v>
      </c>
      <c r="E124" s="130">
        <v>0</v>
      </c>
      <c r="F124" s="130">
        <v>0</v>
      </c>
      <c r="G124" s="130">
        <v>0</v>
      </c>
      <c r="H124" s="130">
        <v>0</v>
      </c>
      <c r="I124" s="130" t="s">
        <v>10</v>
      </c>
      <c r="J124" s="130">
        <f>GasModel($I$124,"He_Weiss",$D$124,$E$124,$B$124,$C$124,$G$124,$H$124,$M$11)</f>
        <v>4.3960557270554923E-8</v>
      </c>
      <c r="K124" s="130">
        <f>GasModel($I$124,"Ne_Weiss",$D$124,$E$124,$B$124,$C$124,$G$124,$H$124,$M$12)</f>
        <v>1.8166062486654436E-7</v>
      </c>
      <c r="L124" s="130">
        <f>GasModel($I$124,"Ar_Weiss",$D$124,$E$124,$B$124,$C$124,$G$124,$H$124,$M$13)</f>
        <v>3.0565933040989319E-4</v>
      </c>
      <c r="M124" s="130">
        <f>GasModel($I$124,"Kr_Weiss",$D$124,$E$124,$B$124,$C$124,$G$124,$H$124,$M$14)</f>
        <v>6.8239502837068307E-8</v>
      </c>
      <c r="N124" s="130">
        <f>GasModel($I$124,"Xe_Clvr",$D$124,$E$124,$B$124,$C$124,$G$124,$H$124,$M$15)</f>
        <v>9.3192281633113061E-9</v>
      </c>
      <c r="O124" s="130">
        <f>GasModel($I$124,"N2_Weiss",$D$124,$E$124,$B$124,$C$124,$G$124,$H$124,$M$16)</f>
        <v>1.1672324471118883E-2</v>
      </c>
      <c r="P124" s="130">
        <f>GasModel($I$124,"O2_B&amp;K",$D$124,$E$124,$B$124,$C$124,$G$124,$H$124,$M$17)</f>
        <v>6.2526853850270476E-3</v>
      </c>
      <c r="Q124" s="130">
        <f>GasModel($I$124,"CO2_Weiss_F",$D$124,$E$124,$B$124,$C$124,$G$124,$H$124,$M$18)</f>
        <v>2.9172875150340952E-4</v>
      </c>
      <c r="R124" s="130">
        <f>GasModel($I$124,"CH4_Wies",$D$124,$E$124,$B$124,$C$124,$G$124,$H$124,$M$19)</f>
        <v>4.6888379964248034E-8</v>
      </c>
      <c r="S124" s="130">
        <f>GasModel($I$124,"H2_Wies",$D$124,$E$124,$B$124,$C$124,$G$124,$H$124,$M$20)</f>
        <v>1.0063489476275788E-8</v>
      </c>
      <c r="T124" s="130">
        <f>GasModel($I$124,"N2O_Weiss_F",$D$124,$E$124,$B$124,$C$124,$G$124,$H$124,$M$21)</f>
        <v>1.9595547356906136E-7</v>
      </c>
      <c r="U124" s="130">
        <f>$L$124/$K$124</f>
        <v>1682.5843830188494</v>
      </c>
      <c r="V124" s="130">
        <f>$M$124/$N$124</f>
        <v>7.3224414770441095</v>
      </c>
      <c r="W124" s="130">
        <f>$N$124/$K$124</f>
        <v>5.1300209773899041E-2</v>
      </c>
      <c r="X124" s="130">
        <f>$M$124/$L$124</f>
        <v>2.2325345915519162E-4</v>
      </c>
      <c r="Y124" s="130">
        <f>$O$124/$L$124</f>
        <v>38.187365180268316</v>
      </c>
      <c r="Z124" s="130" t="e">
        <f>$I$124/$I$124</f>
        <v>#VALUE!</v>
      </c>
    </row>
    <row r="125" spans="1:26">
      <c r="A125" s="130" t="s">
        <v>372</v>
      </c>
      <c r="B125" s="130">
        <f>$N$4</f>
        <v>1.43</v>
      </c>
      <c r="C125" s="130">
        <f>$O$4</f>
        <v>88</v>
      </c>
      <c r="D125" s="130">
        <v>25</v>
      </c>
      <c r="E125" s="130">
        <v>0</v>
      </c>
      <c r="F125" s="130">
        <v>0</v>
      </c>
      <c r="G125" s="130">
        <v>0</v>
      </c>
      <c r="H125" s="130">
        <v>0</v>
      </c>
      <c r="I125" s="130" t="s">
        <v>10</v>
      </c>
      <c r="J125" s="130">
        <f>GasModel($I$125,"He_Weiss",$D$125,$E$125,$B$125,$C$125,$G$125,$H$125,$M$11)</f>
        <v>4.3338547876361582E-8</v>
      </c>
      <c r="K125" s="130">
        <f>GasModel($I$125,"Ne_Weiss",$D$125,$E$125,$B$125,$C$125,$G$125,$H$125,$M$12)</f>
        <v>1.7508313673698116E-7</v>
      </c>
      <c r="L125" s="130">
        <f>GasModel($I$125,"Ar_Weiss",$D$125,$E$125,$B$125,$C$125,$G$125,$H$125,$M$13)</f>
        <v>2.7815381973873724E-4</v>
      </c>
      <c r="M125" s="130">
        <f>GasModel($I$125,"Kr_Weiss",$D$125,$E$125,$B$125,$C$125,$G$125,$H$125,$M$14)</f>
        <v>6.0532720134254914E-8</v>
      </c>
      <c r="N125" s="130">
        <f>GasModel($I$125,"Xe_Clvr",$D$125,$E$125,$B$125,$C$125,$G$125,$H$125,$M$15)</f>
        <v>8.0573930444482344E-9</v>
      </c>
      <c r="O125" s="130">
        <f>GasModel($I$125,"N2_Weiss",$D$125,$E$125,$B$125,$C$125,$G$125,$H$125,$M$16)</f>
        <v>1.0714194614386087E-2</v>
      </c>
      <c r="P125" s="130">
        <f>GasModel($I$125,"O2_B&amp;K",$D$125,$E$125,$B$125,$C$125,$G$125,$H$125,$M$17)</f>
        <v>5.690538762669858E-3</v>
      </c>
      <c r="Q125" s="130">
        <f>GasModel($I$125,"CO2_Weiss_F",$D$125,$E$125,$B$125,$C$125,$G$125,$H$125,$M$18)</f>
        <v>2.5171773089271998E-4</v>
      </c>
      <c r="R125" s="130">
        <f>GasModel($I$125,"CH4_Wies",$D$125,$E$125,$B$125,$C$125,$G$125,$H$125,$M$19)</f>
        <v>4.2323724408169071E-8</v>
      </c>
      <c r="S125" s="130">
        <f>GasModel($I$125,"H2_Wies",$D$125,$E$125,$B$125,$C$125,$G$125,$H$125,$M$20)</f>
        <v>9.6842983130878585E-9</v>
      </c>
      <c r="T125" s="130">
        <f>GasModel($I$125,"N2O_Weiss_F",$D$125,$E$125,$B$125,$C$125,$G$125,$H$125,$M$21)</f>
        <v>1.6777674093863013E-7</v>
      </c>
      <c r="U125" s="130">
        <f>$L$125/$K$125</f>
        <v>1588.6956615164722</v>
      </c>
      <c r="V125" s="130">
        <f>$M$125/$N$125</f>
        <v>7.5126929765407962</v>
      </c>
      <c r="W125" s="130">
        <f>$N$125/$K$125</f>
        <v>4.6020383199739348E-2</v>
      </c>
      <c r="X125" s="130">
        <f>$M$125/$L$125</f>
        <v>2.1762318486624326E-4</v>
      </c>
      <c r="Y125" s="130">
        <f>$O$125/$L$125</f>
        <v>38.518955534925446</v>
      </c>
      <c r="Z125" s="130" t="e">
        <f>$I$125/$I$125</f>
        <v>#VALUE!</v>
      </c>
    </row>
    <row r="126" spans="1:26">
      <c r="A126" s="130" t="s">
        <v>372</v>
      </c>
      <c r="B126" s="130">
        <f>$N$4</f>
        <v>1.43</v>
      </c>
      <c r="C126" s="130">
        <f>$O$4</f>
        <v>88</v>
      </c>
      <c r="D126" s="130">
        <v>30</v>
      </c>
      <c r="E126" s="130">
        <v>0</v>
      </c>
      <c r="F126" s="130">
        <v>0</v>
      </c>
      <c r="G126" s="130">
        <v>0</v>
      </c>
      <c r="H126" s="130">
        <v>0</v>
      </c>
      <c r="I126" s="130" t="s">
        <v>10</v>
      </c>
      <c r="J126" s="130">
        <f>GasModel($I$126,"He_Weiss",$D$126,$E$126,$B$126,$C$126,$G$126,$H$126,$M$11)</f>
        <v>4.2794502627207119E-8</v>
      </c>
      <c r="K126" s="130">
        <f>GasModel($I$126,"Ne_Weiss",$D$126,$E$126,$B$126,$C$126,$G$126,$H$126,$M$12)</f>
        <v>1.6920787688267299E-7</v>
      </c>
      <c r="L126" s="130">
        <f>GasModel($I$126,"Ar_Weiss",$D$126,$E$126,$B$126,$C$126,$G$126,$H$126,$M$13)</f>
        <v>2.5480569211253047E-4</v>
      </c>
      <c r="M126" s="130">
        <f>GasModel($I$126,"Kr_Weiss",$D$126,$E$126,$B$126,$C$126,$G$126,$H$126,$M$14)</f>
        <v>5.4128393065246574E-8</v>
      </c>
      <c r="N126" s="130">
        <f>GasModel($I$126,"Xe_Clvr",$D$126,$E$126,$B$126,$C$126,$G$126,$H$126,$M$15)</f>
        <v>7.0325100457793078E-9</v>
      </c>
      <c r="O126" s="130">
        <f>GasModel($I$126,"N2_Weiss",$D$126,$E$126,$B$126,$C$126,$G$126,$H$126,$M$16)</f>
        <v>9.9020328835805003E-3</v>
      </c>
      <c r="P126" s="130">
        <f>GasModel($I$126,"O2_B&amp;K",$D$126,$E$126,$B$126,$C$126,$G$126,$H$126,$M$17)</f>
        <v>5.2134896661286956E-3</v>
      </c>
      <c r="Q126" s="130">
        <f>GasModel($I$126,"CO2_Weiss_F",$D$126,$E$126,$B$126,$C$126,$G$126,$H$126,$M$18)</f>
        <v>2.1899161816483196E-4</v>
      </c>
      <c r="R126" s="130">
        <f>GasModel($I$126,"CH4_Wies",$D$126,$E$126,$B$126,$C$126,$G$126,$H$126,$M$19)</f>
        <v>3.8438904551378281E-8</v>
      </c>
      <c r="S126" s="130">
        <f>GasModel($I$126,"H2_Wies",$D$126,$E$126,$B$126,$C$126,$G$126,$H$126,$M$20)</f>
        <v>9.3427617603915117E-9</v>
      </c>
      <c r="T126" s="130">
        <f>GasModel($I$126,"N2O_Weiss_F",$D$126,$E$126,$B$126,$C$126,$G$126,$H$126,$M$21)</f>
        <v>1.4493811993059479E-7</v>
      </c>
      <c r="U126" s="130">
        <f>$L$126/$K$126</f>
        <v>1505.8737028490118</v>
      </c>
      <c r="V126" s="130">
        <f>$M$126/$N$126</f>
        <v>7.6968810158661256</v>
      </c>
      <c r="W126" s="130">
        <f>$N$126/$K$126</f>
        <v>4.1561363308491708E-2</v>
      </c>
      <c r="X126" s="130">
        <f>$M$126/$L$126</f>
        <v>2.1243007805862404E-4</v>
      </c>
      <c r="Y126" s="130">
        <f>$O$126/$L$126</f>
        <v>38.86111335066817</v>
      </c>
      <c r="Z126" s="130" t="e">
        <f>$I$126/$I$126</f>
        <v>#VALUE!</v>
      </c>
    </row>
    <row r="127" spans="1:26">
      <c r="A127" s="130" t="s">
        <v>372</v>
      </c>
      <c r="B127" s="130">
        <f>$N$4</f>
        <v>1.43</v>
      </c>
      <c r="C127" s="130">
        <f>$O$4</f>
        <v>88</v>
      </c>
      <c r="D127" s="130">
        <v>35</v>
      </c>
      <c r="E127" s="130">
        <v>0</v>
      </c>
      <c r="F127" s="130">
        <v>0</v>
      </c>
      <c r="G127" s="130">
        <v>0</v>
      </c>
      <c r="H127" s="130">
        <v>0</v>
      </c>
      <c r="I127" s="130" t="s">
        <v>10</v>
      </c>
      <c r="J127" s="130">
        <f>GasModel($I$127,"He_Weiss",$D$127,$E$127,$B$127,$C$127,$G$127,$H$127,$M$11)</f>
        <v>4.2295445354891772E-8</v>
      </c>
      <c r="K127" s="130">
        <f>GasModel($I$127,"Ne_Weiss",$D$127,$E$127,$B$127,$C$127,$G$127,$H$127,$M$12)</f>
        <v>1.6385153951314518E-7</v>
      </c>
      <c r="L127" s="130">
        <f>GasModel($I$127,"Ar_Weiss",$D$127,$E$127,$B$127,$C$127,$G$127,$H$127,$M$13)</f>
        <v>2.3473728740215643E-4</v>
      </c>
      <c r="M127" s="130">
        <f>GasModel($I$127,"Kr_Weiss",$D$127,$E$127,$B$127,$C$127,$G$127,$H$127,$M$14)</f>
        <v>4.8755303333734789E-8</v>
      </c>
      <c r="N127" s="130">
        <f>GasModel($I$127,"Xe_Clvr",$D$127,$E$127,$B$127,$C$127,$G$127,$H$127,$M$15)</f>
        <v>6.1874667127165314E-9</v>
      </c>
      <c r="O127" s="130">
        <f>GasModel($I$127,"N2_Weiss",$D$127,$E$127,$B$127,$C$127,$G$127,$H$127,$M$16)</f>
        <v>9.2048633393642734E-3</v>
      </c>
      <c r="P127" s="130">
        <f>GasModel($I$127,"O2_B&amp;K",$D$127,$E$127,$B$127,$C$127,$G$127,$H$127,$M$17)</f>
        <v>4.8014021222393495E-3</v>
      </c>
      <c r="Q127" s="130">
        <f>GasModel($I$127,"CO2_Weiss_F",$D$127,$E$127,$B$127,$C$127,$G$127,$H$127,$M$18)</f>
        <v>1.9187087572415911E-4</v>
      </c>
      <c r="R127" s="130">
        <f>GasModel($I$127,"CH4_Wies",$D$127,$E$127,$B$127,$C$127,$G$127,$H$127,$M$19)</f>
        <v>3.5055005126867235E-8</v>
      </c>
      <c r="S127" s="130">
        <f>GasModel($I$127,"H2_Wies",$D$127,$E$127,$B$127,$C$127,$G$127,$H$127,$M$20)</f>
        <v>9.0225274763174525E-9</v>
      </c>
      <c r="T127" s="130">
        <f>GasModel($I$127,"N2O_Weiss_F",$D$127,$E$127,$B$127,$C$127,$G$127,$H$127,$M$21)</f>
        <v>1.2617610422959568E-7</v>
      </c>
      <c r="U127" s="130">
        <f>$L$127/$K$127</f>
        <v>1432.6217995853763</v>
      </c>
      <c r="V127" s="130">
        <f>$M$127/$N$127</f>
        <v>7.8796873740803317</v>
      </c>
      <c r="W127" s="130">
        <f>$N$127/$K$127</f>
        <v>3.7762640077117701E-2</v>
      </c>
      <c r="X127" s="130">
        <f>$M$127/$L$127</f>
        <v>2.0770157086379834E-4</v>
      </c>
      <c r="Y127" s="130">
        <f>$O$127/$L$127</f>
        <v>39.213468985838304</v>
      </c>
      <c r="Z127" s="130" t="e">
        <f>$I$127/$I$127</f>
        <v>#VALUE!</v>
      </c>
    </row>
    <row r="128" spans="1:26">
      <c r="A128" s="130" t="s">
        <v>372</v>
      </c>
      <c r="B128" s="130">
        <f>$N$4</f>
        <v>1.43</v>
      </c>
      <c r="C128" s="130">
        <f>$O$4</f>
        <v>88</v>
      </c>
      <c r="D128" s="130">
        <v>40</v>
      </c>
      <c r="E128" s="130">
        <v>0</v>
      </c>
      <c r="F128" s="130">
        <v>0</v>
      </c>
      <c r="G128" s="130">
        <v>0</v>
      </c>
      <c r="H128" s="130">
        <v>0</v>
      </c>
      <c r="I128" s="130" t="s">
        <v>10</v>
      </c>
      <c r="J128" s="130">
        <f>GasModel($I$128,"He_Weiss",$D$128,$E$128,$B$128,$C$128,$G$128,$H$128,$M$11)</f>
        <v>4.1812659089858178E-8</v>
      </c>
      <c r="K128" s="130">
        <f>GasModel($I$128,"Ne_Weiss",$D$128,$E$128,$B$128,$C$128,$G$128,$H$128,$M$12)</f>
        <v>1.5886348798794054E-7</v>
      </c>
      <c r="L128" s="130">
        <f>GasModel($I$128,"Ar_Weiss",$D$128,$E$128,$B$128,$C$128,$G$128,$H$128,$M$13)</f>
        <v>2.1727559466486548E-4</v>
      </c>
      <c r="M128" s="130">
        <f>GasModel($I$128,"Kr_Weiss",$D$128,$E$128,$B$128,$C$128,$G$128,$H$128,$M$14)</f>
        <v>4.4206395020568768E-8</v>
      </c>
      <c r="N128" s="130">
        <f>GasModel($I$128,"Xe_Clvr",$D$128,$E$128,$B$128,$C$128,$G$128,$H$128,$M$15)</f>
        <v>5.4793827320240007E-9</v>
      </c>
      <c r="O128" s="130">
        <f>GasModel($I$128,"N2_Weiss",$D$128,$E$128,$B$128,$C$128,$G$128,$H$128,$M$16)</f>
        <v>8.5988303053085042E-3</v>
      </c>
      <c r="P128" s="130">
        <f>GasModel($I$128,"O2_B&amp;K",$D$128,$E$128,$B$128,$C$128,$G$128,$H$128,$M$17)</f>
        <v>4.4388469151295656E-3</v>
      </c>
      <c r="Q128" s="130">
        <f>GasModel($I$128,"CO2_Weiss_F",$D$128,$E$128,$B$128,$C$128,$G$128,$H$128,$M$18)</f>
        <v>1.6911578076576086E-4</v>
      </c>
      <c r="R128" s="130">
        <f>GasModel($I$128,"CH4_Wies",$D$128,$E$128,$B$128,$C$128,$G$128,$H$128,$M$19)</f>
        <v>3.2042221840427835E-8</v>
      </c>
      <c r="S128" s="130">
        <f>GasModel($I$128,"H2_Wies",$D$128,$E$128,$B$128,$C$128,$G$128,$H$128,$M$20)</f>
        <v>8.7105065434792063E-9</v>
      </c>
      <c r="T128" s="130">
        <f>GasModel($I$128,"N2O_Weiss_F",$D$128,$E$128,$B$128,$C$128,$G$128,$H$128,$M$21)</f>
        <v>1.1056577730285161E-7</v>
      </c>
      <c r="U128" s="130">
        <f>$L$128/$K$128</f>
        <v>1367.687424069142</v>
      </c>
      <c r="V128" s="130">
        <f>$M$128/$N$128</f>
        <v>8.0677691598738885</v>
      </c>
      <c r="W128" s="130">
        <f>$N$128/$K$128</f>
        <v>3.4491139540131117E-2</v>
      </c>
      <c r="X128" s="130">
        <f>$M$128/$L$128</f>
        <v>2.0345771041959163E-4</v>
      </c>
      <c r="Y128" s="130">
        <f>$O$128/$L$128</f>
        <v>39.575684137795974</v>
      </c>
      <c r="Z128" s="130" t="e">
        <f>$I$128/$I$128</f>
        <v>#VALUE!</v>
      </c>
    </row>
    <row r="129" spans="1:26">
      <c r="A129" s="130" t="s">
        <v>373</v>
      </c>
      <c r="B129" s="130">
        <f>$N$4</f>
        <v>1.43</v>
      </c>
      <c r="C129" s="130">
        <f>$O$4</f>
        <v>88</v>
      </c>
      <c r="D129" s="130">
        <v>0</v>
      </c>
      <c r="E129" s="130">
        <v>10</v>
      </c>
      <c r="F129" s="130">
        <v>0</v>
      </c>
      <c r="G129" s="130">
        <v>0</v>
      </c>
      <c r="H129" s="130">
        <v>0</v>
      </c>
      <c r="I129" s="130" t="s">
        <v>10</v>
      </c>
      <c r="J129" s="130">
        <f>GasModel($I$129,"He_Weiss",$D$129,$E$129,$B$129,$C$129,$G$129,$H$129,$M$11)</f>
        <v>1.0050491491699876E-7</v>
      </c>
      <c r="K129" s="130">
        <f>GasModel($I$129,"Ne_Weiss",$D$129,$E$129,$B$129,$C$129,$G$129,$H$129,$M$12)</f>
        <v>4.0221943710782616E-7</v>
      </c>
      <c r="L129" s="130">
        <f>GasModel($I$129,"Ar_Weiss",$D$129,$E$129,$B$129,$C$129,$G$129,$H$129,$M$13)</f>
        <v>5.8073421027253144E-4</v>
      </c>
      <c r="M129" s="130">
        <f>GasModel($I$129,"Kr_Weiss",$D$129,$E$129,$B$129,$C$129,$G$129,$H$129,$M$14)</f>
        <v>1.328462072317438E-7</v>
      </c>
      <c r="N129" s="130">
        <f>GasModel($I$129,"Xe_Clvr",$D$129,$E$129,$B$129,$C$129,$G$129,$H$129,$M$15)</f>
        <v>1.9680999385485822E-8</v>
      </c>
      <c r="O129" s="130">
        <f>GasModel($I$129,"N2_Weiss",$D$129,$E$129,$B$129,$C$129,$G$129,$H$129,$M$16)</f>
        <v>2.5827766085406677E-2</v>
      </c>
      <c r="P129" s="130">
        <f>GasModel($I$129,"O2_B&amp;K",$D$129,$E$129,$B$129,$C$129,$G$129,$H$129,$M$17)</f>
        <v>1.2118571365648216E-2</v>
      </c>
      <c r="Q129" s="130">
        <f>GasModel($I$129,"CO2_Weiss_F",$D$129,$E$129,$B$129,$C$129,$G$129,$H$129,$M$18)</f>
        <v>5.9068800905651999E-4</v>
      </c>
      <c r="R129" s="130">
        <f>GasModel($I$129,"CH4_Wies",$D$129,$E$129,$B$129,$C$129,$G$129,$H$129,$M$19)</f>
        <v>9.2885792602646593E-8</v>
      </c>
      <c r="S129" s="130">
        <f>GasModel($I$129,"H2_Wies",$D$129,$E$129,$B$129,$C$129,$G$129,$H$129,$M$20)</f>
        <v>1.8262354018088877E-8</v>
      </c>
      <c r="T129" s="130">
        <f>GasModel($I$129,"N2O_Weiss_F",$D$129,$E$129,$B$129,$C$129,$G$129,$H$129,$M$21)</f>
        <v>4.1327705249191301E-7</v>
      </c>
      <c r="U129" s="130">
        <f>$L$129/$K$129</f>
        <v>1443.8243324298855</v>
      </c>
      <c r="V129" s="130">
        <f>$M$129/$N$129</f>
        <v>6.7499726324728258</v>
      </c>
      <c r="W129" s="130">
        <f>$N$129/$K$129</f>
        <v>4.8931000269412092E-2</v>
      </c>
      <c r="X129" s="130">
        <f>$M$129/$L$129</f>
        <v>2.2875560778380991E-4</v>
      </c>
      <c r="Y129" s="130">
        <f>$O$129/$L$129</f>
        <v>44.474332024087275</v>
      </c>
      <c r="Z129" s="130" t="e">
        <f>$I$129/$I$129</f>
        <v>#VALUE!</v>
      </c>
    </row>
    <row r="130" spans="1:26">
      <c r="A130" s="130" t="s">
        <v>373</v>
      </c>
      <c r="B130" s="130">
        <f>$N$4</f>
        <v>1.43</v>
      </c>
      <c r="C130" s="130">
        <f>$O$4</f>
        <v>88</v>
      </c>
      <c r="D130" s="130">
        <v>5</v>
      </c>
      <c r="E130" s="130">
        <v>10</v>
      </c>
      <c r="F130" s="130">
        <v>0</v>
      </c>
      <c r="G130" s="130">
        <v>0</v>
      </c>
      <c r="H130" s="130">
        <v>0</v>
      </c>
      <c r="I130" s="130" t="s">
        <v>10</v>
      </c>
      <c r="J130" s="130">
        <f>GasModel($I$130,"He_Weiss",$D$130,$E$130,$B$130,$C$130,$G$130,$H$130,$M$11)</f>
        <v>9.9111651354432082E-8</v>
      </c>
      <c r="K130" s="130">
        <f>GasModel($I$130,"Ne_Weiss",$D$130,$E$130,$B$130,$C$130,$G$130,$H$130,$M$12)</f>
        <v>3.8994500949811728E-7</v>
      </c>
      <c r="L130" s="130">
        <f>GasModel($I$130,"Ar_Weiss",$D$130,$E$130,$B$130,$C$130,$G$130,$H$130,$M$13)</f>
        <v>5.2021931689627608E-4</v>
      </c>
      <c r="M130" s="130">
        <f>GasModel($I$130,"Kr_Weiss",$D$130,$E$130,$B$130,$C$130,$G$130,$H$130,$M$14)</f>
        <v>1.1483243579446915E-7</v>
      </c>
      <c r="N130" s="130">
        <f>GasModel($I$130,"Xe_Clvr",$D$130,$E$130,$B$130,$C$130,$G$130,$H$130,$M$15)</f>
        <v>1.6330244609633504E-8</v>
      </c>
      <c r="O130" s="130">
        <f>GasModel($I$130,"N2_Weiss",$D$130,$E$130,$B$130,$C$130,$G$130,$H$130,$M$16)</f>
        <v>2.3711790989818744E-2</v>
      </c>
      <c r="P130" s="130">
        <f>GasModel($I$130,"O2_B&amp;K",$D$130,$E$130,$B$130,$C$130,$G$130,$H$130,$M$17)</f>
        <v>1.0853223386433974E-2</v>
      </c>
      <c r="Q130" s="130">
        <f>GasModel($I$130,"CO2_Weiss_F",$D$130,$E$130,$B$130,$C$130,$G$130,$H$130,$M$18)</f>
        <v>4.8700455521118955E-4</v>
      </c>
      <c r="R130" s="130">
        <f>GasModel($I$130,"CH4_Wies",$D$130,$E$130,$B$130,$C$130,$G$130,$H$130,$M$19)</f>
        <v>8.1808715086709333E-8</v>
      </c>
      <c r="S130" s="130">
        <f>GasModel($I$130,"H2_Wies",$D$130,$E$130,$B$130,$C$130,$G$130,$H$130,$M$20)</f>
        <v>1.7461287577112348E-8</v>
      </c>
      <c r="T130" s="130">
        <f>GasModel($I$130,"N2O_Weiss_F",$D$130,$E$130,$B$130,$C$130,$G$130,$H$130,$M$21)</f>
        <v>3.3715388073425831E-7</v>
      </c>
      <c r="U130" s="130">
        <f>$L$130/$K$130</f>
        <v>1334.0837918808852</v>
      </c>
      <c r="V130" s="130">
        <f>$M$130/$N$130</f>
        <v>7.031887062287324</v>
      </c>
      <c r="W130" s="130">
        <f>$N$130/$K$130</f>
        <v>4.1878326973979002E-2</v>
      </c>
      <c r="X130" s="130">
        <f>$M$130/$L$130</f>
        <v>2.2073850790389817E-4</v>
      </c>
      <c r="Y130" s="130">
        <f>$O$130/$L$130</f>
        <v>45.580373930148617</v>
      </c>
      <c r="Z130" s="130" t="e">
        <f>$I$130/$I$130</f>
        <v>#VALUE!</v>
      </c>
    </row>
    <row r="131" spans="1:26">
      <c r="A131" s="130" t="s">
        <v>373</v>
      </c>
      <c r="B131" s="130">
        <f>$N$4</f>
        <v>1.43</v>
      </c>
      <c r="C131" s="130">
        <f>$O$4</f>
        <v>88</v>
      </c>
      <c r="D131" s="130">
        <v>10</v>
      </c>
      <c r="E131" s="130">
        <v>10</v>
      </c>
      <c r="F131" s="130">
        <v>0</v>
      </c>
      <c r="G131" s="130">
        <v>0</v>
      </c>
      <c r="H131" s="130">
        <v>0</v>
      </c>
      <c r="I131" s="130" t="s">
        <v>10</v>
      </c>
      <c r="J131" s="130">
        <f>GasModel($I$131,"He_Weiss",$D$131,$E$131,$B$131,$C$131,$G$131,$H$131,$M$11)</f>
        <v>9.7997937370564472E-8</v>
      </c>
      <c r="K131" s="130">
        <f>GasModel($I$131,"Ne_Weiss",$D$131,$E$131,$B$131,$C$131,$G$131,$H$131,$M$12)</f>
        <v>3.7967639441899275E-7</v>
      </c>
      <c r="L131" s="130">
        <f>GasModel($I$131,"Ar_Weiss",$D$131,$E$131,$B$131,$C$131,$G$131,$H$131,$M$13)</f>
        <v>4.7156672172583814E-4</v>
      </c>
      <c r="M131" s="130">
        <f>GasModel($I$131,"Kr_Weiss",$D$131,$E$131,$B$131,$C$131,$G$131,$H$131,$M$14)</f>
        <v>1.0052071413276802E-7</v>
      </c>
      <c r="N131" s="130">
        <f>GasModel($I$131,"Xe_Clvr",$D$131,$E$131,$B$131,$C$131,$G$131,$H$131,$M$15)</f>
        <v>1.37626275898025E-8</v>
      </c>
      <c r="O131" s="130">
        <f>GasModel($I$131,"N2_Weiss",$D$131,$E$131,$B$131,$C$131,$G$131,$H$131,$M$16)</f>
        <v>2.2011413095269931E-2</v>
      </c>
      <c r="P131" s="130">
        <f>GasModel($I$131,"O2_B&amp;K",$D$131,$E$131,$B$131,$C$131,$G$131,$H$131,$M$17)</f>
        <v>9.8411620779183199E-3</v>
      </c>
      <c r="Q131" s="130">
        <f>GasModel($I$131,"CO2_Weiss_F",$D$131,$E$131,$B$131,$C$131,$G$131,$H$131,$M$18)</f>
        <v>4.0723895592482967E-4</v>
      </c>
      <c r="R131" s="130">
        <f>GasModel($I$131,"CH4_Wies",$D$131,$E$131,$B$131,$C$131,$G$131,$H$131,$M$19)</f>
        <v>7.3253821791920141E-8</v>
      </c>
      <c r="S131" s="130">
        <f>GasModel($I$131,"H2_Wies",$D$131,$E$131,$B$131,$C$131,$G$131,$H$131,$M$20)</f>
        <v>1.6822234611119996E-8</v>
      </c>
      <c r="T131" s="130">
        <f>GasModel($I$131,"N2O_Weiss_F",$D$131,$E$131,$B$131,$C$131,$G$131,$H$131,$M$21)</f>
        <v>2.7924929740775584E-7</v>
      </c>
      <c r="U131" s="130">
        <f>$L$131/$K$131</f>
        <v>1242.0227558457048</v>
      </c>
      <c r="V131" s="130">
        <f>$M$131/$N$131</f>
        <v>7.3038897170515193</v>
      </c>
      <c r="W131" s="130">
        <f>$N$131/$K$131</f>
        <v>3.6248309855720764E-2</v>
      </c>
      <c r="X131" s="130">
        <f>$M$131/$L$131</f>
        <v>2.1316329058353119E-4</v>
      </c>
      <c r="Y131" s="130">
        <f>$O$131/$L$131</f>
        <v>46.677197692646004</v>
      </c>
      <c r="Z131" s="130" t="e">
        <f>$I$131/$I$131</f>
        <v>#VALUE!</v>
      </c>
    </row>
    <row r="132" spans="1:26">
      <c r="A132" s="130" t="s">
        <v>373</v>
      </c>
      <c r="B132" s="130">
        <f>$N$4</f>
        <v>1.43</v>
      </c>
      <c r="C132" s="130">
        <f>$O$4</f>
        <v>88</v>
      </c>
      <c r="D132" s="130">
        <v>15</v>
      </c>
      <c r="E132" s="130">
        <v>10</v>
      </c>
      <c r="F132" s="130">
        <v>0</v>
      </c>
      <c r="G132" s="130">
        <v>0</v>
      </c>
      <c r="H132" s="130">
        <v>0</v>
      </c>
      <c r="I132" s="130" t="s">
        <v>10</v>
      </c>
      <c r="J132" s="130">
        <f>GasModel($I$132,"He_Weiss",$D$132,$E$132,$B$132,$C$132,$G$132,$H$132,$M$11)</f>
        <v>9.7098738751133509E-8</v>
      </c>
      <c r="K132" s="130">
        <f>GasModel($I$132,"Ne_Weiss",$D$132,$E$132,$B$132,$C$132,$G$132,$H$132,$M$12)</f>
        <v>3.709653113967977E-7</v>
      </c>
      <c r="L132" s="130">
        <f>GasModel($I$132,"Ar_Weiss",$D$132,$E$132,$B$132,$C$132,$G$132,$H$132,$M$13)</f>
        <v>4.3188059252795508E-4</v>
      </c>
      <c r="M132" s="130">
        <f>GasModel($I$132,"Kr_Weiss",$D$132,$E$132,$B$132,$C$132,$G$132,$H$132,$M$14)</f>
        <v>8.9008133833010798E-8</v>
      </c>
      <c r="N132" s="130">
        <f>GasModel($I$132,"Xe_Clvr",$D$132,$E$132,$B$132,$C$132,$G$132,$H$132,$M$15)</f>
        <v>1.1765419670269125E-8</v>
      </c>
      <c r="O132" s="130">
        <f>GasModel($I$132,"N2_Weiss",$D$132,$E$132,$B$132,$C$132,$G$132,$H$132,$M$16)</f>
        <v>2.062555887721268E-2</v>
      </c>
      <c r="P132" s="130">
        <f>GasModel($I$132,"O2_B&amp;K",$D$132,$E$132,$B$132,$C$132,$G$132,$H$132,$M$17)</f>
        <v>9.0213117064847394E-3</v>
      </c>
      <c r="Q132" s="130">
        <f>GasModel($I$132,"CO2_Weiss_F",$D$132,$E$132,$B$132,$C$132,$G$132,$H$132,$M$18)</f>
        <v>3.4483106285812477E-4</v>
      </c>
      <c r="R132" s="130">
        <f>GasModel($I$132,"CH4_Wies",$D$132,$E$132,$B$132,$C$132,$G$132,$H$132,$M$19)</f>
        <v>6.6481553938754458E-8</v>
      </c>
      <c r="S132" s="130">
        <f>GasModel($I$132,"H2_Wies",$D$132,$E$132,$B$132,$C$132,$G$132,$H$132,$M$20)</f>
        <v>1.6300815054181149E-8</v>
      </c>
      <c r="T132" s="130">
        <f>GasModel($I$132,"N2O_Weiss_F",$D$132,$E$132,$B$132,$C$132,$G$132,$H$132,$M$21)</f>
        <v>2.3442508037506877E-7</v>
      </c>
      <c r="U132" s="130">
        <f>$L$132/$K$132</f>
        <v>1164.207485874603</v>
      </c>
      <c r="V132" s="130">
        <f>$M$132/$N$132</f>
        <v>7.5652323782322677</v>
      </c>
      <c r="W132" s="130">
        <f>$N$132/$K$132</f>
        <v>3.1715686908753614E-2</v>
      </c>
      <c r="X132" s="130">
        <f>$M$132/$L$132</f>
        <v>2.0609431257842274E-4</v>
      </c>
      <c r="Y132" s="130">
        <f>$O$132/$L$132</f>
        <v>47.757549734948121</v>
      </c>
      <c r="Z132" s="130" t="e">
        <f>$I$132/$I$132</f>
        <v>#VALUE!</v>
      </c>
    </row>
    <row r="133" spans="1:26">
      <c r="A133" s="130" t="s">
        <v>373</v>
      </c>
      <c r="B133" s="130">
        <f>$N$4</f>
        <v>1.43</v>
      </c>
      <c r="C133" s="130">
        <f>$O$4</f>
        <v>88</v>
      </c>
      <c r="D133" s="130">
        <v>20</v>
      </c>
      <c r="E133" s="130">
        <v>10</v>
      </c>
      <c r="F133" s="130">
        <v>0</v>
      </c>
      <c r="G133" s="130">
        <v>0</v>
      </c>
      <c r="H133" s="130">
        <v>0</v>
      </c>
      <c r="I133" s="130" t="s">
        <v>10</v>
      </c>
      <c r="J133" s="130">
        <f>GasModel($I$133,"He_Weiss",$D$133,$E$133,$B$133,$C$133,$G$133,$H$133,$M$11)</f>
        <v>9.6360557270554929E-8</v>
      </c>
      <c r="K133" s="130">
        <f>GasModel($I$133,"Ne_Weiss",$D$133,$E$133,$B$133,$C$133,$G$133,$H$133,$M$12)</f>
        <v>3.6346062486654434E-7</v>
      </c>
      <c r="L133" s="130">
        <f>GasModel($I$133,"Ar_Weiss",$D$133,$E$133,$B$133,$C$133,$G$133,$H$133,$M$13)</f>
        <v>3.9905933040989319E-4</v>
      </c>
      <c r="M133" s="130">
        <f>GasModel($I$133,"Kr_Weiss",$D$133,$E$133,$B$133,$C$133,$G$133,$H$133,$M$14)</f>
        <v>7.9639502837068303E-8</v>
      </c>
      <c r="N133" s="130">
        <f>GasModel($I$133,"Xe_Clvr",$D$133,$E$133,$B$133,$C$133,$G$133,$H$133,$M$15)</f>
        <v>1.0189228163311307E-8</v>
      </c>
      <c r="O133" s="130">
        <f>GasModel($I$133,"N2_Weiss",$D$133,$E$133,$B$133,$C$133,$G$133,$H$133,$M$16)</f>
        <v>1.9480724471118885E-2</v>
      </c>
      <c r="P133" s="130">
        <f>GasModel($I$133,"O2_B&amp;K",$D$133,$E$133,$B$133,$C$133,$G$133,$H$133,$M$17)</f>
        <v>8.3476853850270472E-3</v>
      </c>
      <c r="Q133" s="130">
        <f>GasModel($I$133,"CO2_Weiss_F",$D$133,$E$133,$B$133,$C$133,$G$133,$H$133,$M$18)</f>
        <v>2.952287515034095E-4</v>
      </c>
      <c r="R133" s="130">
        <f>GasModel($I$133,"CH4_Wies",$D$133,$E$133,$B$133,$C$133,$G$133,$H$133,$M$19)</f>
        <v>6.0988379964248028E-8</v>
      </c>
      <c r="S133" s="130">
        <f>GasModel($I$133,"H2_Wies",$D$133,$E$133,$B$133,$C$133,$G$133,$H$133,$M$20)</f>
        <v>1.5863489476275788E-8</v>
      </c>
      <c r="T133" s="130">
        <f>GasModel($I$133,"N2O_Weiss_F",$D$133,$E$133,$B$133,$C$133,$G$133,$H$133,$M$21)</f>
        <v>1.9915547356906136E-7</v>
      </c>
      <c r="U133" s="130">
        <f>$L$133/$K$133</f>
        <v>1097.9437746700073</v>
      </c>
      <c r="V133" s="130">
        <f>$M$133/$N$133</f>
        <v>7.8160486310267263</v>
      </c>
      <c r="W133" s="130">
        <f>$N$133/$K$133</f>
        <v>2.8033925730063861E-2</v>
      </c>
      <c r="X133" s="130">
        <f>$M$133/$L$133</f>
        <v>1.9956807614363186E-4</v>
      </c>
      <c r="Y133" s="130">
        <f>$O$133/$L$133</f>
        <v>48.816611933642271</v>
      </c>
      <c r="Z133" s="130" t="e">
        <f>$I$133/$I$133</f>
        <v>#VALUE!</v>
      </c>
    </row>
    <row r="134" spans="1:26">
      <c r="A134" s="130" t="s">
        <v>373</v>
      </c>
      <c r="B134" s="130">
        <f>$N$4</f>
        <v>1.43</v>
      </c>
      <c r="C134" s="130">
        <f>$O$4</f>
        <v>88</v>
      </c>
      <c r="D134" s="130">
        <v>25</v>
      </c>
      <c r="E134" s="130">
        <v>10</v>
      </c>
      <c r="F134" s="130">
        <v>0</v>
      </c>
      <c r="G134" s="130">
        <v>0</v>
      </c>
      <c r="H134" s="130">
        <v>0</v>
      </c>
      <c r="I134" s="130" t="s">
        <v>10</v>
      </c>
      <c r="J134" s="130">
        <f>GasModel($I$134,"He_Weiss",$D$134,$E$134,$B$134,$C$134,$G$134,$H$134,$M$11)</f>
        <v>9.5738547876361575E-8</v>
      </c>
      <c r="K134" s="130">
        <f>GasModel($I$134,"Ne_Weiss",$D$134,$E$134,$B$134,$C$134,$G$134,$H$134,$M$12)</f>
        <v>3.5688313673698118E-7</v>
      </c>
      <c r="L134" s="130">
        <f>GasModel($I$134,"Ar_Weiss",$D$134,$E$134,$B$134,$C$134,$G$134,$H$134,$M$13)</f>
        <v>3.7155381973873723E-4</v>
      </c>
      <c r="M134" s="130">
        <f>GasModel($I$134,"Kr_Weiss",$D$134,$E$134,$B$134,$C$134,$G$134,$H$134,$M$14)</f>
        <v>7.193272013425491E-8</v>
      </c>
      <c r="N134" s="130">
        <f>GasModel($I$134,"Xe_Clvr",$D$134,$E$134,$B$134,$C$134,$G$134,$H$134,$M$15)</f>
        <v>8.9273930444482349E-9</v>
      </c>
      <c r="O134" s="130">
        <f>GasModel($I$134,"N2_Weiss",$D$134,$E$134,$B$134,$C$134,$G$134,$H$134,$M$16)</f>
        <v>1.8522594614386087E-2</v>
      </c>
      <c r="P134" s="130">
        <f>GasModel($I$134,"O2_B&amp;K",$D$134,$E$134,$B$134,$C$134,$G$134,$H$134,$M$17)</f>
        <v>7.7855387626698577E-3</v>
      </c>
      <c r="Q134" s="130">
        <f>GasModel($I$134,"CO2_Weiss_F",$D$134,$E$134,$B$134,$C$134,$G$134,$H$134,$M$18)</f>
        <v>2.5521773089271996E-4</v>
      </c>
      <c r="R134" s="130">
        <f>GasModel($I$134,"CH4_Wies",$D$134,$E$134,$B$134,$C$134,$G$134,$H$134,$M$19)</f>
        <v>5.6423724408169071E-8</v>
      </c>
      <c r="S134" s="130">
        <f>GasModel($I$134,"H2_Wies",$D$134,$E$134,$B$134,$C$134,$G$134,$H$134,$M$20)</f>
        <v>1.5484298313087859E-8</v>
      </c>
      <c r="T134" s="130">
        <f>GasModel($I$134,"N2O_Weiss_F",$D$134,$E$134,$B$134,$C$134,$G$134,$H$134,$M$21)</f>
        <v>1.7097674093863013E-7</v>
      </c>
      <c r="U134" s="130">
        <f>$L$134/$K$134</f>
        <v>1041.1078067063959</v>
      </c>
      <c r="V134" s="130">
        <f>$M$134/$N$134</f>
        <v>8.0575280797106181</v>
      </c>
      <c r="W134" s="130">
        <f>$N$134/$K$134</f>
        <v>2.5014891782425747E-2</v>
      </c>
      <c r="X134" s="130">
        <f>$M$134/$L$134</f>
        <v>1.9359973256319991E-4</v>
      </c>
      <c r="Y134" s="130">
        <f>$O$134/$L$134</f>
        <v>49.851713615568492</v>
      </c>
      <c r="Z134" s="130" t="e">
        <f>$I$134/$I$134</f>
        <v>#VALUE!</v>
      </c>
    </row>
    <row r="135" spans="1:26">
      <c r="A135" s="130" t="s">
        <v>373</v>
      </c>
      <c r="B135" s="130">
        <f>$N$4</f>
        <v>1.43</v>
      </c>
      <c r="C135" s="130">
        <f>$O$4</f>
        <v>88</v>
      </c>
      <c r="D135" s="130">
        <v>30</v>
      </c>
      <c r="E135" s="130">
        <v>10</v>
      </c>
      <c r="F135" s="130">
        <v>0</v>
      </c>
      <c r="G135" s="130">
        <v>0</v>
      </c>
      <c r="H135" s="130">
        <v>0</v>
      </c>
      <c r="I135" s="130" t="s">
        <v>10</v>
      </c>
      <c r="J135" s="130">
        <f>GasModel($I$135,"He_Weiss",$D$135,$E$135,$B$135,$C$135,$G$135,$H$135,$M$11)</f>
        <v>9.5194502627207112E-8</v>
      </c>
      <c r="K135" s="130">
        <f>GasModel($I$135,"Ne_Weiss",$D$135,$E$135,$B$135,$C$135,$G$135,$H$135,$M$12)</f>
        <v>3.5100787688267301E-7</v>
      </c>
      <c r="L135" s="130">
        <f>GasModel($I$135,"Ar_Weiss",$D$135,$E$135,$B$135,$C$135,$G$135,$H$135,$M$13)</f>
        <v>3.4820569211253046E-4</v>
      </c>
      <c r="M135" s="130">
        <f>GasModel($I$135,"Kr_Weiss",$D$135,$E$135,$B$135,$C$135,$G$135,$H$135,$M$14)</f>
        <v>6.5528393065246576E-8</v>
      </c>
      <c r="N135" s="130">
        <f>GasModel($I$135,"Xe_Clvr",$D$135,$E$135,$B$135,$C$135,$G$135,$H$135,$M$15)</f>
        <v>7.9025100457793075E-9</v>
      </c>
      <c r="O135" s="130">
        <f>GasModel($I$135,"N2_Weiss",$D$135,$E$135,$B$135,$C$135,$G$135,$H$135,$M$16)</f>
        <v>1.7710432883580499E-2</v>
      </c>
      <c r="P135" s="130">
        <f>GasModel($I$135,"O2_B&amp;K",$D$135,$E$135,$B$135,$C$135,$G$135,$H$135,$M$17)</f>
        <v>7.3084896661286952E-3</v>
      </c>
      <c r="Q135" s="130">
        <f>GasModel($I$135,"CO2_Weiss_F",$D$135,$E$135,$B$135,$C$135,$G$135,$H$135,$M$18)</f>
        <v>2.2249161816483197E-4</v>
      </c>
      <c r="R135" s="130">
        <f>GasModel($I$135,"CH4_Wies",$D$135,$E$135,$B$135,$C$135,$G$135,$H$135,$M$19)</f>
        <v>5.2538904551378281E-8</v>
      </c>
      <c r="S135" s="130">
        <f>GasModel($I$135,"H2_Wies",$D$135,$E$135,$B$135,$C$135,$G$135,$H$135,$M$20)</f>
        <v>1.5142761760391511E-8</v>
      </c>
      <c r="T135" s="130">
        <f>GasModel($I$135,"N2O_Weiss_F",$D$135,$E$135,$B$135,$C$135,$G$135,$H$135,$M$21)</f>
        <v>1.4813811993059479E-7</v>
      </c>
      <c r="U135" s="130">
        <f>$L$135/$K$135</f>
        <v>992.0167467607024</v>
      </c>
      <c r="V135" s="130">
        <f>$M$135/$N$135</f>
        <v>8.2920986731608117</v>
      </c>
      <c r="W135" s="130">
        <f>$N$135/$K$135</f>
        <v>2.2513768397342204E-2</v>
      </c>
      <c r="X135" s="130">
        <f>$M$135/$L$135</f>
        <v>1.8818874748339728E-4</v>
      </c>
      <c r="Y135" s="130">
        <f>$O$135/$L$135</f>
        <v>50.861985558400853</v>
      </c>
      <c r="Z135" s="130" t="e">
        <f>$I$135/$I$135</f>
        <v>#VALUE!</v>
      </c>
    </row>
    <row r="136" spans="1:26">
      <c r="A136" s="130" t="s">
        <v>373</v>
      </c>
      <c r="B136" s="130">
        <f>$N$4</f>
        <v>1.43</v>
      </c>
      <c r="C136" s="130">
        <f>$O$4</f>
        <v>88</v>
      </c>
      <c r="D136" s="130">
        <v>35</v>
      </c>
      <c r="E136" s="130">
        <v>10</v>
      </c>
      <c r="F136" s="130">
        <v>0</v>
      </c>
      <c r="G136" s="130">
        <v>0</v>
      </c>
      <c r="H136" s="130">
        <v>0</v>
      </c>
      <c r="I136" s="130" t="s">
        <v>10</v>
      </c>
      <c r="J136" s="130">
        <f>GasModel($I$136,"He_Weiss",$D$136,$E$136,$B$136,$C$136,$G$136,$H$136,$M$11)</f>
        <v>9.4695445354891772E-8</v>
      </c>
      <c r="K136" s="130">
        <f>GasModel($I$136,"Ne_Weiss",$D$136,$E$136,$B$136,$C$136,$G$136,$H$136,$M$12)</f>
        <v>3.4565153951314516E-7</v>
      </c>
      <c r="L136" s="130">
        <f>GasModel($I$136,"Ar_Weiss",$D$136,$E$136,$B$136,$C$136,$G$136,$H$136,$M$13)</f>
        <v>3.2813728740215643E-4</v>
      </c>
      <c r="M136" s="130">
        <f>GasModel($I$136,"Kr_Weiss",$D$136,$E$136,$B$136,$C$136,$G$136,$H$136,$M$14)</f>
        <v>6.0155303333734792E-8</v>
      </c>
      <c r="N136" s="130">
        <f>GasModel($I$136,"Xe_Clvr",$D$136,$E$136,$B$136,$C$136,$G$136,$H$136,$M$15)</f>
        <v>7.0574667127165311E-9</v>
      </c>
      <c r="O136" s="130">
        <f>GasModel($I$136,"N2_Weiss",$D$136,$E$136,$B$136,$C$136,$G$136,$H$136,$M$16)</f>
        <v>1.7013263339364273E-2</v>
      </c>
      <c r="P136" s="130">
        <f>GasModel($I$136,"O2_B&amp;K",$D$136,$E$136,$B$136,$C$136,$G$136,$H$136,$M$17)</f>
        <v>6.89640212223935E-3</v>
      </c>
      <c r="Q136" s="130">
        <f>GasModel($I$136,"CO2_Weiss_F",$D$136,$E$136,$B$136,$C$136,$G$136,$H$136,$M$18)</f>
        <v>1.9537087572415912E-4</v>
      </c>
      <c r="R136" s="130">
        <f>GasModel($I$136,"CH4_Wies",$D$136,$E$136,$B$136,$C$136,$G$136,$H$136,$M$19)</f>
        <v>4.9155005126867236E-8</v>
      </c>
      <c r="S136" s="130">
        <f>GasModel($I$136,"H2_Wies",$D$136,$E$136,$B$136,$C$136,$G$136,$H$136,$M$20)</f>
        <v>1.4822527476317452E-8</v>
      </c>
      <c r="T136" s="130">
        <f>GasModel($I$136,"N2O_Weiss_F",$D$136,$E$136,$B$136,$C$136,$G$136,$H$136,$M$21)</f>
        <v>1.2937610422959568E-7</v>
      </c>
      <c r="U136" s="130">
        <f>$L$136/$K$136</f>
        <v>949.32974366132498</v>
      </c>
      <c r="V136" s="130">
        <f>$M$136/$N$136</f>
        <v>8.5236396829677794</v>
      </c>
      <c r="W136" s="130">
        <f>$N$136/$K$136</f>
        <v>2.0417865699823203E-2</v>
      </c>
      <c r="X136" s="130">
        <f>$M$136/$L$136</f>
        <v>1.8332358327814794E-4</v>
      </c>
      <c r="Y136" s="130">
        <f>$O$136/$L$136</f>
        <v>51.848003846369537</v>
      </c>
      <c r="Z136" s="130" t="e">
        <f>$I$136/$I$136</f>
        <v>#VALUE!</v>
      </c>
    </row>
    <row r="137" spans="1:26">
      <c r="A137" s="130" t="s">
        <v>373</v>
      </c>
      <c r="B137" s="130">
        <f>$N$4</f>
        <v>1.43</v>
      </c>
      <c r="C137" s="130">
        <f>$O$4</f>
        <v>88</v>
      </c>
      <c r="D137" s="130">
        <v>40</v>
      </c>
      <c r="E137" s="130">
        <v>10</v>
      </c>
      <c r="F137" s="130">
        <v>0</v>
      </c>
      <c r="G137" s="130">
        <v>0</v>
      </c>
      <c r="H137" s="130">
        <v>0</v>
      </c>
      <c r="I137" s="130" t="s">
        <v>10</v>
      </c>
      <c r="J137" s="130">
        <f>GasModel($I$137,"He_Weiss",$D$137,$E$137,$B$137,$C$137,$G$137,$H$137,$M$11)</f>
        <v>9.4212659089858184E-8</v>
      </c>
      <c r="K137" s="130">
        <f>GasModel($I$137,"Ne_Weiss",$D$137,$E$137,$B$137,$C$137,$G$137,$H$137,$M$12)</f>
        <v>3.4066348798794056E-7</v>
      </c>
      <c r="L137" s="130">
        <f>GasModel($I$137,"Ar_Weiss",$D$137,$E$137,$B$137,$C$137,$G$137,$H$137,$M$13)</f>
        <v>3.1067559466486548E-4</v>
      </c>
      <c r="M137" s="130">
        <f>GasModel($I$137,"Kr_Weiss",$D$137,$E$137,$B$137,$C$137,$G$137,$H$137,$M$14)</f>
        <v>5.5606395020568771E-8</v>
      </c>
      <c r="N137" s="130">
        <f>GasModel($I$137,"Xe_Clvr",$D$137,$E$137,$B$137,$C$137,$G$137,$H$137,$M$15)</f>
        <v>6.3493827320240003E-9</v>
      </c>
      <c r="O137" s="130">
        <f>GasModel($I$137,"N2_Weiss",$D$137,$E$137,$B$137,$C$137,$G$137,$H$137,$M$16)</f>
        <v>1.6407230305308503E-2</v>
      </c>
      <c r="P137" s="130">
        <f>GasModel($I$137,"O2_B&amp;K",$D$137,$E$137,$B$137,$C$137,$G$137,$H$137,$M$17)</f>
        <v>6.5338469151295653E-3</v>
      </c>
      <c r="Q137" s="130">
        <f>GasModel($I$137,"CO2_Weiss_F",$D$137,$E$137,$B$137,$C$137,$G$137,$H$137,$M$18)</f>
        <v>1.7261578076576087E-4</v>
      </c>
      <c r="R137" s="130">
        <f>GasModel($I$137,"CH4_Wies",$D$137,$E$137,$B$137,$C$137,$G$137,$H$137,$M$19)</f>
        <v>4.6142221840427835E-8</v>
      </c>
      <c r="S137" s="130">
        <f>GasModel($I$137,"H2_Wies",$D$137,$E$137,$B$137,$C$137,$G$137,$H$137,$M$20)</f>
        <v>1.4510506543479207E-8</v>
      </c>
      <c r="T137" s="130">
        <f>GasModel($I$137,"N2O_Weiss_F",$D$137,$E$137,$B$137,$C$137,$G$137,$H$137,$M$21)</f>
        <v>1.1376577730285161E-7</v>
      </c>
      <c r="U137" s="130">
        <f>$L$137/$K$137</f>
        <v>911.97209451417154</v>
      </c>
      <c r="V137" s="130">
        <f>$M$137/$N$137</f>
        <v>8.7577639224849584</v>
      </c>
      <c r="W137" s="130">
        <f>$N$137/$K$137</f>
        <v>1.8638283690234417E-2</v>
      </c>
      <c r="X137" s="130">
        <f>$M$137/$L$137</f>
        <v>1.7898539819503027E-4</v>
      </c>
      <c r="Y137" s="130">
        <f>$O$137/$L$137</f>
        <v>52.811455380032164</v>
      </c>
      <c r="Z137" s="130" t="e">
        <f>$I$137/$I$137</f>
        <v>#VALUE!</v>
      </c>
    </row>
    <row r="138" spans="1:26">
      <c r="A138" s="130" t="s">
        <v>374</v>
      </c>
      <c r="B138" s="130">
        <f>$N$4</f>
        <v>1.43</v>
      </c>
      <c r="C138" s="130">
        <f>$O$4</f>
        <v>88</v>
      </c>
      <c r="D138" s="130">
        <f>$P$4</f>
        <v>9</v>
      </c>
      <c r="E138" s="130">
        <v>0</v>
      </c>
      <c r="F138" s="130">
        <v>0</v>
      </c>
      <c r="G138" s="130">
        <v>0</v>
      </c>
      <c r="H138" s="130">
        <f>$Q$4</f>
        <v>0</v>
      </c>
      <c r="I138" s="130" t="s">
        <v>10</v>
      </c>
      <c r="J138" s="130">
        <f>GasModel($I$138,"He_Weiss",$D$138,$E$138,$B$138,$C$138,$G$138,$H$138,$M$11)</f>
        <v>4.5801625813110745E-8</v>
      </c>
      <c r="K138" s="130">
        <f>GasModel($I$138,"Ne_Weiss",$D$138,$E$138,$B$138,$C$138,$G$138,$H$138,$M$12)</f>
        <v>1.9979275997402081E-7</v>
      </c>
      <c r="L138" s="130">
        <f>GasModel($I$138,"Ar_Weiss",$D$138,$E$138,$B$138,$C$138,$G$138,$H$138,$M$13)</f>
        <v>3.8710057276987686E-4</v>
      </c>
      <c r="M138" s="130">
        <f>GasModel($I$138,"Kr_Weiss",$D$138,$E$138,$B$138,$C$138,$G$138,$H$138,$M$14)</f>
        <v>9.1734378529226385E-8</v>
      </c>
      <c r="N138" s="130">
        <f>GasModel($I$138,"Xe_Clvr",$D$138,$E$138,$B$138,$C$138,$G$138,$H$138,$M$15)</f>
        <v>1.3354784764069788E-8</v>
      </c>
      <c r="O138" s="130">
        <f>GasModel($I$138,"N2_Weiss",$D$138,$E$138,$B$138,$C$138,$G$138,$H$138,$M$16)</f>
        <v>1.4515154556488738E-2</v>
      </c>
      <c r="P138" s="130">
        <f>GasModel($I$138,"O2_B&amp;K",$D$138,$E$138,$B$138,$C$138,$G$138,$H$138,$M$17)</f>
        <v>7.9314883396750802E-3</v>
      </c>
      <c r="Q138" s="130">
        <f>GasModel($I$138,"CO2_Weiss_F",$D$138,$E$138,$B$138,$C$138,$G$138,$H$138,$M$18)</f>
        <v>4.1812776237247669E-4</v>
      </c>
      <c r="R138" s="130">
        <f>GasModel($I$138,"CH4_Wies",$D$138,$E$138,$B$138,$C$138,$G$138,$H$138,$M$19)</f>
        <v>6.0702595230347074E-8</v>
      </c>
      <c r="S138" s="130">
        <f>GasModel($I$138,"H2_Wies",$D$138,$E$138,$B$138,$C$138,$G$138,$H$138,$M$20)</f>
        <v>1.113939618025171E-8</v>
      </c>
      <c r="T138" s="130">
        <f>GasModel($I$138,"N2O_Weiss_F",$D$138,$E$138,$B$138,$C$138,$G$138,$H$138,$M$21)</f>
        <v>2.8644696785132585E-7</v>
      </c>
      <c r="U138" s="130">
        <f>$L$138/$K$138</f>
        <v>1937.5105124941056</v>
      </c>
      <c r="V138" s="130">
        <f>$M$138/$N$138</f>
        <v>6.8690271052538403</v>
      </c>
      <c r="W138" s="130">
        <f>$N$138/$K$138</f>
        <v>6.6843186739130686E-2</v>
      </c>
      <c r="X138" s="130">
        <f>$M$138/$L$138</f>
        <v>2.3697815240320127E-4</v>
      </c>
      <c r="Y138" s="130">
        <f>$O$138/$L$138</f>
        <v>37.497114645494705</v>
      </c>
      <c r="Z138" s="130" t="e">
        <f>$I$138/$I$138</f>
        <v>#VALUE!</v>
      </c>
    </row>
    <row r="139" spans="1:26">
      <c r="A139" s="130" t="s">
        <v>374</v>
      </c>
      <c r="B139" s="130">
        <f>$N$4</f>
        <v>1.43</v>
      </c>
      <c r="C139" s="130">
        <f>$O$4</f>
        <v>88</v>
      </c>
      <c r="D139" s="130">
        <f>$P$4</f>
        <v>9</v>
      </c>
      <c r="E139" s="130">
        <v>1</v>
      </c>
      <c r="F139" s="130">
        <v>0</v>
      </c>
      <c r="G139" s="130">
        <v>0</v>
      </c>
      <c r="H139" s="130">
        <f>$Q$4</f>
        <v>0</v>
      </c>
      <c r="I139" s="130" t="s">
        <v>10</v>
      </c>
      <c r="J139" s="130">
        <f>GasModel($I$139,"He_Weiss",$D$139,$E$139,$B$139,$C$139,$G$139,$H$139,$M$11)</f>
        <v>5.1041625813110744E-8</v>
      </c>
      <c r="K139" s="130">
        <f>GasModel($I$139,"Ne_Weiss",$D$139,$E$139,$B$139,$C$139,$G$139,$H$139,$M$12)</f>
        <v>2.179727599740208E-7</v>
      </c>
      <c r="L139" s="130">
        <f>GasModel($I$139,"Ar_Weiss",$D$139,$E$139,$B$139,$C$139,$G$139,$H$139,$M$13)</f>
        <v>3.9644057276987685E-4</v>
      </c>
      <c r="M139" s="130">
        <f>GasModel($I$139,"Kr_Weiss",$D$139,$E$139,$B$139,$C$139,$G$139,$H$139,$M$14)</f>
        <v>9.287437852922638E-8</v>
      </c>
      <c r="N139" s="130">
        <f>GasModel($I$139,"Xe_Clvr",$D$139,$E$139,$B$139,$C$139,$G$139,$H$139,$M$15)</f>
        <v>1.3441784764069787E-8</v>
      </c>
      <c r="O139" s="130">
        <f>GasModel($I$139,"N2_Weiss",$D$139,$E$139,$B$139,$C$139,$G$139,$H$139,$M$16)</f>
        <v>1.5295994556488737E-2</v>
      </c>
      <c r="P139" s="130">
        <f>GasModel($I$139,"O2_B&amp;K",$D$139,$E$139,$B$139,$C$139,$G$139,$H$139,$M$17)</f>
        <v>8.1409883396750798E-3</v>
      </c>
      <c r="Q139" s="130">
        <f>GasModel($I$139,"CO2_Weiss_F",$D$139,$E$139,$B$139,$C$139,$G$139,$H$139,$M$18)</f>
        <v>4.1847776237247667E-4</v>
      </c>
      <c r="R139" s="130">
        <f>GasModel($I$139,"CH4_Wies",$D$139,$E$139,$B$139,$C$139,$G$139,$H$139,$M$19)</f>
        <v>6.2112595230347071E-8</v>
      </c>
      <c r="S139" s="130">
        <f>GasModel($I$139,"H2_Wies",$D$139,$E$139,$B$139,$C$139,$G$139,$H$139,$M$20)</f>
        <v>1.1719396180251709E-8</v>
      </c>
      <c r="T139" s="130">
        <f>GasModel($I$139,"N2O_Weiss_F",$D$139,$E$139,$B$139,$C$139,$G$139,$H$139,$M$21)</f>
        <v>2.8676696785132584E-7</v>
      </c>
      <c r="U139" s="130">
        <f>$L$139/$K$139</f>
        <v>1818.761999513732</v>
      </c>
      <c r="V139" s="130">
        <f>$M$139/$N$139</f>
        <v>6.9093784909785061</v>
      </c>
      <c r="W139" s="130">
        <f>$N$139/$K$139</f>
        <v>6.1667268725100574E-2</v>
      </c>
      <c r="X139" s="130">
        <f>$M$139/$L$139</f>
        <v>2.3427061937764245E-4</v>
      </c>
      <c r="Y139" s="130">
        <f>$O$139/$L$139</f>
        <v>38.583322714972603</v>
      </c>
      <c r="Z139" s="130" t="e">
        <f>$I$139/$I$139</f>
        <v>#VALUE!</v>
      </c>
    </row>
    <row r="140" spans="1:26">
      <c r="A140" s="130" t="s">
        <v>374</v>
      </c>
      <c r="B140" s="130">
        <f>$N$4</f>
        <v>1.43</v>
      </c>
      <c r="C140" s="130">
        <f>$O$4</f>
        <v>88</v>
      </c>
      <c r="D140" s="130">
        <f>$P$4</f>
        <v>9</v>
      </c>
      <c r="E140" s="130">
        <v>2</v>
      </c>
      <c r="F140" s="130">
        <v>0</v>
      </c>
      <c r="G140" s="130">
        <v>0</v>
      </c>
      <c r="H140" s="130">
        <f>$Q$4</f>
        <v>0</v>
      </c>
      <c r="I140" s="130" t="s">
        <v>10</v>
      </c>
      <c r="J140" s="130">
        <f>GasModel($I$140,"He_Weiss",$D$140,$E$140,$B$140,$C$140,$G$140,$H$140,$M$11)</f>
        <v>5.6281625813110744E-8</v>
      </c>
      <c r="K140" s="130">
        <f>GasModel($I$140,"Ne_Weiss",$D$140,$E$140,$B$140,$C$140,$G$140,$H$140,$M$12)</f>
        <v>2.3615275997402082E-7</v>
      </c>
      <c r="L140" s="130">
        <f>GasModel($I$140,"Ar_Weiss",$D$140,$E$140,$B$140,$C$140,$G$140,$H$140,$M$13)</f>
        <v>4.0578057276987684E-4</v>
      </c>
      <c r="M140" s="130">
        <f>GasModel($I$140,"Kr_Weiss",$D$140,$E$140,$B$140,$C$140,$G$140,$H$140,$M$14)</f>
        <v>9.4014378529226389E-8</v>
      </c>
      <c r="N140" s="130">
        <f>GasModel($I$140,"Xe_Clvr",$D$140,$E$140,$B$140,$C$140,$G$140,$H$140,$M$15)</f>
        <v>1.3528784764069788E-8</v>
      </c>
      <c r="O140" s="130">
        <f>GasModel($I$140,"N2_Weiss",$D$140,$E$140,$B$140,$C$140,$G$140,$H$140,$M$16)</f>
        <v>1.6076834556488739E-2</v>
      </c>
      <c r="P140" s="130">
        <f>GasModel($I$140,"O2_B&amp;K",$D$140,$E$140,$B$140,$C$140,$G$140,$H$140,$M$17)</f>
        <v>8.3504883396750794E-3</v>
      </c>
      <c r="Q140" s="130">
        <f>GasModel($I$140,"CO2_Weiss_F",$D$140,$E$140,$B$140,$C$140,$G$140,$H$140,$M$18)</f>
        <v>4.1882776237247671E-4</v>
      </c>
      <c r="R140" s="130">
        <f>GasModel($I$140,"CH4_Wies",$D$140,$E$140,$B$140,$C$140,$G$140,$H$140,$M$19)</f>
        <v>6.3522595230347069E-8</v>
      </c>
      <c r="S140" s="130">
        <f>GasModel($I$140,"H2_Wies",$D$140,$E$140,$B$140,$C$140,$G$140,$H$140,$M$20)</f>
        <v>1.229939618025171E-8</v>
      </c>
      <c r="T140" s="130">
        <f>GasModel($I$140,"N2O_Weiss_F",$D$140,$E$140,$B$140,$C$140,$G$140,$H$140,$M$21)</f>
        <v>2.8708696785132584E-7</v>
      </c>
      <c r="U140" s="130">
        <f>$L$140/$K$140</f>
        <v>1718.2969735967379</v>
      </c>
      <c r="V140" s="130">
        <f>$M$140/$N$140</f>
        <v>6.9492108987433232</v>
      </c>
      <c r="W140" s="130">
        <f>$N$140/$K$140</f>
        <v>5.7288277153983255E-2</v>
      </c>
      <c r="X140" s="130">
        <f>$M$140/$L$140</f>
        <v>2.3168772690984173E-4</v>
      </c>
      <c r="Y140" s="130">
        <f>$O$140/$L$140</f>
        <v>39.619527486857066</v>
      </c>
      <c r="Z140" s="130" t="e">
        <f>$I$140/$I$140</f>
        <v>#VALUE!</v>
      </c>
    </row>
    <row r="141" spans="1:26">
      <c r="A141" s="130" t="s">
        <v>374</v>
      </c>
      <c r="B141" s="130">
        <f>$N$4</f>
        <v>1.43</v>
      </c>
      <c r="C141" s="130">
        <f>$O$4</f>
        <v>88</v>
      </c>
      <c r="D141" s="130">
        <f>$P$4</f>
        <v>9</v>
      </c>
      <c r="E141" s="130">
        <v>3</v>
      </c>
      <c r="F141" s="130">
        <v>0</v>
      </c>
      <c r="G141" s="130">
        <v>0</v>
      </c>
      <c r="H141" s="130">
        <f>$Q$4</f>
        <v>0</v>
      </c>
      <c r="I141" s="130" t="s">
        <v>10</v>
      </c>
      <c r="J141" s="130">
        <f>GasModel($I$141,"He_Weiss",$D$141,$E$141,$B$141,$C$141,$G$141,$H$141,$M$11)</f>
        <v>6.152162581311075E-8</v>
      </c>
      <c r="K141" s="130">
        <f>GasModel($I$141,"Ne_Weiss",$D$141,$E$141,$B$141,$C$141,$G$141,$H$141,$M$12)</f>
        <v>2.5433275997402079E-7</v>
      </c>
      <c r="L141" s="130">
        <f>GasModel($I$141,"Ar_Weiss",$D$141,$E$141,$B$141,$C$141,$G$141,$H$141,$M$13)</f>
        <v>4.1512057276987688E-4</v>
      </c>
      <c r="M141" s="130">
        <f>GasModel($I$141,"Kr_Weiss",$D$141,$E$141,$B$141,$C$141,$G$141,$H$141,$M$14)</f>
        <v>9.5154378529226385E-8</v>
      </c>
      <c r="N141" s="130">
        <f>GasModel($I$141,"Xe_Clvr",$D$141,$E$141,$B$141,$C$141,$G$141,$H$141,$M$15)</f>
        <v>1.3615784764069787E-8</v>
      </c>
      <c r="O141" s="130">
        <f>GasModel($I$141,"N2_Weiss",$D$141,$E$141,$B$141,$C$141,$G$141,$H$141,$M$16)</f>
        <v>1.6857674556488737E-2</v>
      </c>
      <c r="P141" s="130">
        <f>GasModel($I$141,"O2_B&amp;K",$D$141,$E$141,$B$141,$C$141,$G$141,$H$141,$M$17)</f>
        <v>8.5599883396750807E-3</v>
      </c>
      <c r="Q141" s="130">
        <f>GasModel($I$141,"CO2_Weiss_F",$D$141,$E$141,$B$141,$C$141,$G$141,$H$141,$M$18)</f>
        <v>4.1917776237247669E-4</v>
      </c>
      <c r="R141" s="130">
        <f>GasModel($I$141,"CH4_Wies",$D$141,$E$141,$B$141,$C$141,$G$141,$H$141,$M$19)</f>
        <v>6.4932595230347079E-8</v>
      </c>
      <c r="S141" s="130">
        <f>GasModel($I$141,"H2_Wies",$D$141,$E$141,$B$141,$C$141,$G$141,$H$141,$M$20)</f>
        <v>1.2879396180251709E-8</v>
      </c>
      <c r="T141" s="130">
        <f>GasModel($I$141,"N2O_Weiss_F",$D$141,$E$141,$B$141,$C$141,$G$141,$H$141,$M$21)</f>
        <v>2.8740696785132583E-7</v>
      </c>
      <c r="U141" s="130">
        <f>$L$141/$K$141</f>
        <v>1632.1946603036117</v>
      </c>
      <c r="V141" s="130">
        <f>$M$141/$N$141</f>
        <v>6.9885342767995207</v>
      </c>
      <c r="W141" s="130">
        <f>$N$141/$K$141</f>
        <v>5.3535316352720713E-2</v>
      </c>
      <c r="X141" s="130">
        <f>$M$141/$L$141</f>
        <v>2.2922106195390961E-4</v>
      </c>
      <c r="Y141" s="130">
        <f>$O$141/$L$141</f>
        <v>40.609104106805688</v>
      </c>
      <c r="Z141" s="130" t="e">
        <f>$I$141/$I$141</f>
        <v>#VALUE!</v>
      </c>
    </row>
    <row r="142" spans="1:26">
      <c r="A142" s="130" t="s">
        <v>374</v>
      </c>
      <c r="B142" s="130">
        <f>$N$4</f>
        <v>1.43</v>
      </c>
      <c r="C142" s="130">
        <f>$O$4</f>
        <v>88</v>
      </c>
      <c r="D142" s="130">
        <f>$P$4</f>
        <v>9</v>
      </c>
      <c r="E142" s="130">
        <v>4</v>
      </c>
      <c r="F142" s="130">
        <v>0</v>
      </c>
      <c r="G142" s="130">
        <v>0</v>
      </c>
      <c r="H142" s="130">
        <f>$Q$4</f>
        <v>0</v>
      </c>
      <c r="I142" s="130" t="s">
        <v>10</v>
      </c>
      <c r="J142" s="130">
        <f>GasModel($I$142,"He_Weiss",$D$142,$E$142,$B$142,$C$142,$G$142,$H$142,$M$11)</f>
        <v>6.6761625813110749E-8</v>
      </c>
      <c r="K142" s="130">
        <f>GasModel($I$142,"Ne_Weiss",$D$142,$E$142,$B$142,$C$142,$G$142,$H$142,$M$12)</f>
        <v>2.7251275997402081E-7</v>
      </c>
      <c r="L142" s="130">
        <f>GasModel($I$142,"Ar_Weiss",$D$142,$E$142,$B$142,$C$142,$G$142,$H$142,$M$13)</f>
        <v>4.2446057276987687E-4</v>
      </c>
      <c r="M142" s="130">
        <f>GasModel($I$142,"Kr_Weiss",$D$142,$E$142,$B$142,$C$142,$G$142,$H$142,$M$14)</f>
        <v>9.6294378529226381E-8</v>
      </c>
      <c r="N142" s="130">
        <f>GasModel($I$142,"Xe_Clvr",$D$142,$E$142,$B$142,$C$142,$G$142,$H$142,$M$15)</f>
        <v>1.3702784764069787E-8</v>
      </c>
      <c r="O142" s="130">
        <f>GasModel($I$142,"N2_Weiss",$D$142,$E$142,$B$142,$C$142,$G$142,$H$142,$M$16)</f>
        <v>1.7638514556488738E-2</v>
      </c>
      <c r="P142" s="130">
        <f>GasModel($I$142,"O2_B&amp;K",$D$142,$E$142,$B$142,$C$142,$G$142,$H$142,$M$17)</f>
        <v>8.7694883396750804E-3</v>
      </c>
      <c r="Q142" s="130">
        <f>GasModel($I$142,"CO2_Weiss_F",$D$142,$E$142,$B$142,$C$142,$G$142,$H$142,$M$18)</f>
        <v>4.1952776237247667E-4</v>
      </c>
      <c r="R142" s="130">
        <f>GasModel($I$142,"CH4_Wies",$D$142,$E$142,$B$142,$C$142,$G$142,$H$142,$M$19)</f>
        <v>6.6342595230347077E-8</v>
      </c>
      <c r="S142" s="130">
        <f>GasModel($I$142,"H2_Wies",$D$142,$E$142,$B$142,$C$142,$G$142,$H$142,$M$20)</f>
        <v>1.345939618025171E-8</v>
      </c>
      <c r="T142" s="130">
        <f>GasModel($I$142,"N2O_Weiss_F",$D$142,$E$142,$B$142,$C$142,$G$142,$H$142,$M$21)</f>
        <v>2.8772696785132587E-7</v>
      </c>
      <c r="U142" s="130">
        <f>$L$142/$K$142</f>
        <v>1557.5805434224128</v>
      </c>
      <c r="V142" s="130">
        <f>$M$142/$N$142</f>
        <v>7.0273583207495793</v>
      </c>
      <c r="W142" s="130">
        <f>$N$142/$K$142</f>
        <v>5.0283094139797715E-2</v>
      </c>
      <c r="X142" s="130">
        <f>$M$142/$L$142</f>
        <v>2.2686295196004645E-4</v>
      </c>
      <c r="Y142" s="130">
        <f>$O$142/$L$142</f>
        <v>41.55513064826291</v>
      </c>
      <c r="Z142" s="130" t="e">
        <f>$I$142/$I$142</f>
        <v>#VALUE!</v>
      </c>
    </row>
    <row r="143" spans="1:26">
      <c r="A143" s="130" t="s">
        <v>374</v>
      </c>
      <c r="B143" s="130">
        <f>$N$4</f>
        <v>1.43</v>
      </c>
      <c r="C143" s="130">
        <f>$O$4</f>
        <v>88</v>
      </c>
      <c r="D143" s="130">
        <f>$P$4</f>
        <v>9</v>
      </c>
      <c r="E143" s="130">
        <v>5</v>
      </c>
      <c r="F143" s="130">
        <v>0</v>
      </c>
      <c r="G143" s="130">
        <v>0</v>
      </c>
      <c r="H143" s="130">
        <f>$Q$4</f>
        <v>0</v>
      </c>
      <c r="I143" s="130" t="s">
        <v>10</v>
      </c>
      <c r="J143" s="130">
        <f>GasModel($I$143,"He_Weiss",$D$143,$E$143,$B$143,$C$143,$G$143,$H$143,$M$11)</f>
        <v>7.2001625813110748E-8</v>
      </c>
      <c r="K143" s="130">
        <f>GasModel($I$143,"Ne_Weiss",$D$143,$E$143,$B$143,$C$143,$G$143,$H$143,$M$12)</f>
        <v>2.9069275997402078E-7</v>
      </c>
      <c r="L143" s="130">
        <f>GasModel($I$143,"Ar_Weiss",$D$143,$E$143,$B$143,$C$143,$G$143,$H$143,$M$13)</f>
        <v>4.3380057276987686E-4</v>
      </c>
      <c r="M143" s="130">
        <f>GasModel($I$143,"Kr_Weiss",$D$143,$E$143,$B$143,$C$143,$G$143,$H$143,$M$14)</f>
        <v>9.7434378529226389E-8</v>
      </c>
      <c r="N143" s="130">
        <f>GasModel($I$143,"Xe_Clvr",$D$143,$E$143,$B$143,$C$143,$G$143,$H$143,$M$15)</f>
        <v>1.3789784764069788E-8</v>
      </c>
      <c r="O143" s="130">
        <f>GasModel($I$143,"N2_Weiss",$D$143,$E$143,$B$143,$C$143,$G$143,$H$143,$M$16)</f>
        <v>1.8419354556488736E-2</v>
      </c>
      <c r="P143" s="130">
        <f>GasModel($I$143,"O2_B&amp;K",$D$143,$E$143,$B$143,$C$143,$G$143,$H$143,$M$17)</f>
        <v>8.97898833967508E-3</v>
      </c>
      <c r="Q143" s="130">
        <f>GasModel($I$143,"CO2_Weiss_F",$D$143,$E$143,$B$143,$C$143,$G$143,$H$143,$M$18)</f>
        <v>4.198777623724767E-4</v>
      </c>
      <c r="R143" s="130">
        <f>GasModel($I$143,"CH4_Wies",$D$143,$E$143,$B$143,$C$143,$G$143,$H$143,$M$19)</f>
        <v>6.7752595230347074E-8</v>
      </c>
      <c r="S143" s="130">
        <f>GasModel($I$143,"H2_Wies",$D$143,$E$143,$B$143,$C$143,$G$143,$H$143,$M$20)</f>
        <v>1.4039396180251709E-8</v>
      </c>
      <c r="T143" s="130">
        <f>GasModel($I$143,"N2O_Weiss_F",$D$143,$E$143,$B$143,$C$143,$G$143,$H$143,$M$21)</f>
        <v>2.8804696785132587E-7</v>
      </c>
      <c r="U143" s="130">
        <f>$L$143/$K$143</f>
        <v>1492.299198675074</v>
      </c>
      <c r="V143" s="130">
        <f>$M$143/$N$143</f>
        <v>7.0656924815170585</v>
      </c>
      <c r="W143" s="130">
        <f>$N$143/$K$143</f>
        <v>4.7437661554770687E-2</v>
      </c>
      <c r="X143" s="130">
        <f>$M$143/$L$143</f>
        <v>2.2460638515780273E-4</v>
      </c>
      <c r="Y143" s="130">
        <f>$O$143/$L$143</f>
        <v>42.460420093220719</v>
      </c>
      <c r="Z143" s="130" t="e">
        <f>$I$143/$I$143</f>
        <v>#VALUE!</v>
      </c>
    </row>
    <row r="144" spans="1:26">
      <c r="A144" s="130" t="s">
        <v>374</v>
      </c>
      <c r="B144" s="130">
        <f>$N$4</f>
        <v>1.43</v>
      </c>
      <c r="C144" s="130">
        <f>$O$4</f>
        <v>88</v>
      </c>
      <c r="D144" s="130">
        <f>$P$4</f>
        <v>9</v>
      </c>
      <c r="E144" s="130">
        <v>10</v>
      </c>
      <c r="F144" s="130">
        <v>0</v>
      </c>
      <c r="G144" s="130">
        <v>0</v>
      </c>
      <c r="H144" s="130">
        <f>$Q$4</f>
        <v>0</v>
      </c>
      <c r="I144" s="130" t="s">
        <v>10</v>
      </c>
      <c r="J144" s="130">
        <f>GasModel($I$144,"He_Weiss",$D$144,$E$144,$B$144,$C$144,$G$144,$H$144,$M$11)</f>
        <v>9.8201625813110745E-8</v>
      </c>
      <c r="K144" s="130">
        <f>GasModel($I$144,"Ne_Weiss",$D$144,$E$144,$B$144,$C$144,$G$144,$H$144,$M$12)</f>
        <v>3.8159275997402084E-7</v>
      </c>
      <c r="L144" s="130">
        <f>GasModel($I$144,"Ar_Weiss",$D$144,$E$144,$B$144,$C$144,$G$144,$H$144,$M$13)</f>
        <v>4.8050057276987685E-4</v>
      </c>
      <c r="M144" s="130">
        <f>GasModel($I$144,"Kr_Weiss",$D$144,$E$144,$B$144,$C$144,$G$144,$H$144,$M$14)</f>
        <v>1.0313437852922638E-7</v>
      </c>
      <c r="N144" s="130">
        <f>GasModel($I$144,"Xe_Clvr",$D$144,$E$144,$B$144,$C$144,$G$144,$H$144,$M$15)</f>
        <v>1.4224784764069788E-8</v>
      </c>
      <c r="O144" s="130">
        <f>GasModel($I$144,"N2_Weiss",$D$144,$E$144,$B$144,$C$144,$G$144,$H$144,$M$16)</f>
        <v>2.2323554556488739E-2</v>
      </c>
      <c r="P144" s="130">
        <f>GasModel($I$144,"O2_B&amp;K",$D$144,$E$144,$B$144,$C$144,$G$144,$H$144,$M$17)</f>
        <v>1.002648833967508E-2</v>
      </c>
      <c r="Q144" s="130">
        <f>GasModel($I$144,"CO2_Weiss_F",$D$144,$E$144,$B$144,$C$144,$G$144,$H$144,$M$18)</f>
        <v>4.2162776237247667E-4</v>
      </c>
      <c r="R144" s="130">
        <f>GasModel($I$144,"CH4_Wies",$D$144,$E$144,$B$144,$C$144,$G$144,$H$144,$M$19)</f>
        <v>7.4802595230347074E-8</v>
      </c>
      <c r="S144" s="130">
        <f>GasModel($I$144,"H2_Wies",$D$144,$E$144,$B$144,$C$144,$G$144,$H$144,$M$20)</f>
        <v>1.6939396180251709E-8</v>
      </c>
      <c r="T144" s="130">
        <f>GasModel($I$144,"N2O_Weiss_F",$D$144,$E$144,$B$144,$C$144,$G$144,$H$144,$M$21)</f>
        <v>2.8964696785132583E-7</v>
      </c>
      <c r="U144" s="130">
        <f>$L$144/$K$144</f>
        <v>1259.1972992427575</v>
      </c>
      <c r="V144" s="130">
        <f>$M$144/$N$144</f>
        <v>7.2503296351964677</v>
      </c>
      <c r="W144" s="130">
        <f>$N$144/$K$144</f>
        <v>3.727739689043949E-2</v>
      </c>
      <c r="X144" s="130">
        <f>$M$144/$L$144</f>
        <v>2.1463944971949052E-4</v>
      </c>
      <c r="Y144" s="130">
        <f>$O$144/$L$144</f>
        <v>46.458955142973409</v>
      </c>
      <c r="Z144" s="130" t="e">
        <f>$I$144/$I$144</f>
        <v>#VALUE!</v>
      </c>
    </row>
    <row r="145" spans="1:26">
      <c r="A145" s="130" t="s">
        <v>375</v>
      </c>
      <c r="B145" s="130">
        <f>$N$4</f>
        <v>1.43</v>
      </c>
      <c r="C145" s="130">
        <f>$O$4</f>
        <v>88</v>
      </c>
      <c r="D145" s="130">
        <f>$P$4</f>
        <v>9</v>
      </c>
      <c r="E145" s="130">
        <f>$S$4</f>
        <v>3</v>
      </c>
      <c r="F145" s="130">
        <v>0</v>
      </c>
      <c r="G145" s="130">
        <v>0</v>
      </c>
      <c r="H145" s="130">
        <v>0</v>
      </c>
      <c r="I145" s="130" t="s">
        <v>10</v>
      </c>
      <c r="J145" s="130">
        <f>GasModel($I$145,"He_Weiss",$D$145,$E$145,$B$145,$C$145,$G$145,$H$145,$M$11)</f>
        <v>6.152162581311075E-8</v>
      </c>
      <c r="K145" s="130">
        <f>GasModel($I$145,"Ne_Weiss",$D$145,$E$145,$B$145,$C$145,$G$145,$H$145,$M$12)</f>
        <v>2.5433275997402079E-7</v>
      </c>
      <c r="L145" s="130">
        <f>GasModel($I$145,"Ar_Weiss",$D$145,$E$145,$B$145,$C$145,$G$145,$H$145,$M$13)</f>
        <v>4.1512057276987688E-4</v>
      </c>
      <c r="M145" s="130">
        <f>GasModel($I$145,"Kr_Weiss",$D$145,$E$145,$B$145,$C$145,$G$145,$H$145,$M$14)</f>
        <v>9.5154378529226385E-8</v>
      </c>
      <c r="N145" s="130">
        <f>GasModel($I$145,"Xe_Clvr",$D$145,$E$145,$B$145,$C$145,$G$145,$H$145,$M$15)</f>
        <v>1.3615784764069787E-8</v>
      </c>
      <c r="O145" s="130">
        <f>GasModel($I$145,"N2_Weiss",$D$145,$E$145,$B$145,$C$145,$G$145,$H$145,$M$16)</f>
        <v>1.6857674556488737E-2</v>
      </c>
      <c r="P145" s="130">
        <f>GasModel($I$145,"O2_B&amp;K",$D$145,$E$145,$B$145,$C$145,$G$145,$H$145,$M$17)</f>
        <v>8.5599883396750807E-3</v>
      </c>
      <c r="Q145" s="130">
        <f>GasModel($I$145,"CO2_Weiss_F",$D$145,$E$145,$B$145,$C$145,$G$145,$H$145,$M$18)</f>
        <v>4.1917776237247669E-4</v>
      </c>
      <c r="R145" s="130">
        <f>GasModel($I$145,"CH4_Wies",$D$145,$E$145,$B$145,$C$145,$G$145,$H$145,$M$19)</f>
        <v>6.4932595230347079E-8</v>
      </c>
      <c r="S145" s="130">
        <f>GasModel($I$145,"H2_Wies",$D$145,$E$145,$B$145,$C$145,$G$145,$H$145,$M$20)</f>
        <v>1.2879396180251709E-8</v>
      </c>
      <c r="T145" s="130">
        <f>GasModel($I$145,"N2O_Weiss_F",$D$145,$E$145,$B$145,$C$145,$G$145,$H$145,$M$21)</f>
        <v>2.8740696785132583E-7</v>
      </c>
      <c r="U145" s="130">
        <f>$L$145/$K$145</f>
        <v>1632.1946603036117</v>
      </c>
      <c r="V145" s="130">
        <f>$M$145/$N$145</f>
        <v>6.9885342767995207</v>
      </c>
      <c r="W145" s="130">
        <f>$N$145/$K$145</f>
        <v>5.3535316352720713E-2</v>
      </c>
      <c r="X145" s="130">
        <f>$M$145/$L$145</f>
        <v>2.2922106195390961E-4</v>
      </c>
      <c r="Y145" s="130">
        <f>$O$145/$L$145</f>
        <v>40.609104106805688</v>
      </c>
      <c r="Z145" s="130" t="e">
        <f>$I$145/$I$145</f>
        <v>#VALUE!</v>
      </c>
    </row>
    <row r="146" spans="1:26">
      <c r="A146" s="130" t="s">
        <v>375</v>
      </c>
      <c r="B146" s="130">
        <f>$N$4</f>
        <v>1.43</v>
      </c>
      <c r="C146" s="130">
        <f>$O$4</f>
        <v>88</v>
      </c>
      <c r="D146" s="130">
        <f>$P$4</f>
        <v>9</v>
      </c>
      <c r="E146" s="130">
        <f>$S$4</f>
        <v>3</v>
      </c>
      <c r="F146" s="130">
        <v>0</v>
      </c>
      <c r="G146" s="130">
        <v>0</v>
      </c>
      <c r="H146" s="130">
        <v>1</v>
      </c>
      <c r="I146" s="130" t="s">
        <v>10</v>
      </c>
      <c r="J146" s="130">
        <f>GasModel($I$146,"He_Weiss",$D$146,$E$146,$B$146,$C$146,$G$146,$H$146,$M$11)</f>
        <v>6.152162581311075E-8</v>
      </c>
      <c r="K146" s="130">
        <f>GasModel($I$146,"Ne_Weiss",$D$146,$E$146,$B$146,$C$146,$G$146,$H$146,$M$12)</f>
        <v>2.5433275997402079E-7</v>
      </c>
      <c r="L146" s="130">
        <f>GasModel($I$146,"Ar_Weiss",$D$146,$E$146,$B$146,$C$146,$G$146,$H$146,$M$13)</f>
        <v>4.1512057276987688E-4</v>
      </c>
      <c r="M146" s="130">
        <f>GasModel($I$146,"Kr_Weiss",$D$146,$E$146,$B$146,$C$146,$G$146,$H$146,$M$14)</f>
        <v>9.5154378529226385E-8</v>
      </c>
      <c r="N146" s="130">
        <f>GasModel($I$146,"Xe_Clvr",$D$146,$E$146,$B$146,$C$146,$G$146,$H$146,$M$15)</f>
        <v>1.3615784764069787E-8</v>
      </c>
      <c r="O146" s="130">
        <f>GasModel($I$146,"N2_Weiss",$D$146,$E$146,$B$146,$C$146,$G$146,$H$146,$M$16)</f>
        <v>1.7657035068079467E-2</v>
      </c>
      <c r="P146" s="130">
        <f>GasModel($I$146,"O2_B&amp;K",$D$146,$E$146,$B$146,$C$146,$G$146,$H$146,$M$17)</f>
        <v>8.5599883396750807E-3</v>
      </c>
      <c r="Q146" s="130">
        <f>GasModel($I$146,"CO2_Weiss_F",$D$146,$E$146,$B$146,$C$146,$G$146,$H$146,$M$18)</f>
        <v>4.1917776237247669E-4</v>
      </c>
      <c r="R146" s="130">
        <f>GasModel($I$146,"CH4_Wies",$D$146,$E$146,$B$146,$C$146,$G$146,$H$146,$M$19)</f>
        <v>6.4932595230347079E-8</v>
      </c>
      <c r="S146" s="130">
        <f>GasModel($I$146,"H2_Wies",$D$146,$E$146,$B$146,$C$146,$G$146,$H$146,$M$20)</f>
        <v>1.2879396180251709E-8</v>
      </c>
      <c r="T146" s="130">
        <f>GasModel($I$146,"N2O_Weiss_F",$D$146,$E$146,$B$146,$C$146,$G$146,$H$146,$M$21)</f>
        <v>2.8740696785132583E-7</v>
      </c>
      <c r="U146" s="130">
        <f>$L$146/$K$146</f>
        <v>1632.1946603036117</v>
      </c>
      <c r="V146" s="130">
        <f>$M$146/$N$146</f>
        <v>6.9885342767995207</v>
      </c>
      <c r="W146" s="130">
        <f>$N$146/$K$146</f>
        <v>5.3535316352720713E-2</v>
      </c>
      <c r="X146" s="130">
        <f>$M$146/$L$146</f>
        <v>2.2922106195390961E-4</v>
      </c>
      <c r="Y146" s="130">
        <f>$O$146/$L$146</f>
        <v>42.534714553565834</v>
      </c>
      <c r="Z146" s="130" t="e">
        <f>$I$146/$I$146</f>
        <v>#VALUE!</v>
      </c>
    </row>
    <row r="147" spans="1:26">
      <c r="A147" s="130" t="s">
        <v>375</v>
      </c>
      <c r="B147" s="130">
        <f>$N$4</f>
        <v>1.43</v>
      </c>
      <c r="C147" s="130">
        <f>$O$4</f>
        <v>88</v>
      </c>
      <c r="D147" s="130">
        <f>$P$4</f>
        <v>9</v>
      </c>
      <c r="E147" s="130">
        <f>$S$4</f>
        <v>3</v>
      </c>
      <c r="F147" s="130">
        <v>0</v>
      </c>
      <c r="G147" s="130">
        <v>0</v>
      </c>
      <c r="H147" s="130">
        <v>2</v>
      </c>
      <c r="I147" s="130" t="s">
        <v>10</v>
      </c>
      <c r="J147" s="130">
        <f>GasModel($I$147,"He_Weiss",$D$147,$E$147,$B$147,$C$147,$G$147,$H$147,$M$11)</f>
        <v>6.152162581311075E-8</v>
      </c>
      <c r="K147" s="130">
        <f>GasModel($I$147,"Ne_Weiss",$D$147,$E$147,$B$147,$C$147,$G$147,$H$147,$M$12)</f>
        <v>2.5433275997402079E-7</v>
      </c>
      <c r="L147" s="130">
        <f>GasModel($I$147,"Ar_Weiss",$D$147,$E$147,$B$147,$C$147,$G$147,$H$147,$M$13)</f>
        <v>4.1512057276987688E-4</v>
      </c>
      <c r="M147" s="130">
        <f>GasModel($I$147,"Kr_Weiss",$D$147,$E$147,$B$147,$C$147,$G$147,$H$147,$M$14)</f>
        <v>9.5154378529226385E-8</v>
      </c>
      <c r="N147" s="130">
        <f>GasModel($I$147,"Xe_Clvr",$D$147,$E$147,$B$147,$C$147,$G$147,$H$147,$M$15)</f>
        <v>1.3615784764069787E-8</v>
      </c>
      <c r="O147" s="130">
        <f>GasModel($I$147,"N2_Weiss",$D$147,$E$147,$B$147,$C$147,$G$147,$H$147,$M$16)</f>
        <v>1.8456395579670194E-2</v>
      </c>
      <c r="P147" s="130">
        <f>GasModel($I$147,"O2_B&amp;K",$D$147,$E$147,$B$147,$C$147,$G$147,$H$147,$M$17)</f>
        <v>8.5599883396750807E-3</v>
      </c>
      <c r="Q147" s="130">
        <f>GasModel($I$147,"CO2_Weiss_F",$D$147,$E$147,$B$147,$C$147,$G$147,$H$147,$M$18)</f>
        <v>4.1917776237247669E-4</v>
      </c>
      <c r="R147" s="130">
        <f>GasModel($I$147,"CH4_Wies",$D$147,$E$147,$B$147,$C$147,$G$147,$H$147,$M$19)</f>
        <v>6.4932595230347079E-8</v>
      </c>
      <c r="S147" s="130">
        <f>GasModel($I$147,"H2_Wies",$D$147,$E$147,$B$147,$C$147,$G$147,$H$147,$M$20)</f>
        <v>1.2879396180251709E-8</v>
      </c>
      <c r="T147" s="130">
        <f>GasModel($I$147,"N2O_Weiss_F",$D$147,$E$147,$B$147,$C$147,$G$147,$H$147,$M$21)</f>
        <v>2.8740696785132583E-7</v>
      </c>
      <c r="U147" s="130">
        <f>$L$147/$K$147</f>
        <v>1632.1946603036117</v>
      </c>
      <c r="V147" s="130">
        <f>$M$147/$N$147</f>
        <v>6.9885342767995207</v>
      </c>
      <c r="W147" s="130">
        <f>$N$147/$K$147</f>
        <v>5.3535316352720713E-2</v>
      </c>
      <c r="X147" s="130">
        <f>$M$147/$L$147</f>
        <v>2.2922106195390961E-4</v>
      </c>
      <c r="Y147" s="130">
        <f>$O$147/$L$147</f>
        <v>44.460325000325973</v>
      </c>
      <c r="Z147" s="130" t="e">
        <f>$I$147/$I$147</f>
        <v>#VALUE!</v>
      </c>
    </row>
    <row r="148" spans="1:26">
      <c r="A148" s="130" t="s">
        <v>375</v>
      </c>
      <c r="B148" s="130">
        <f>$N$4</f>
        <v>1.43</v>
      </c>
      <c r="C148" s="130">
        <f>$O$4</f>
        <v>88</v>
      </c>
      <c r="D148" s="130">
        <f>$P$4</f>
        <v>9</v>
      </c>
      <c r="E148" s="130">
        <f>$S$4</f>
        <v>3</v>
      </c>
      <c r="F148" s="130">
        <v>0</v>
      </c>
      <c r="G148" s="130">
        <v>0</v>
      </c>
      <c r="H148" s="130">
        <v>3</v>
      </c>
      <c r="I148" s="130" t="s">
        <v>10</v>
      </c>
      <c r="J148" s="130">
        <f>GasModel($I$148,"He_Weiss",$D$148,$E$148,$B$148,$C$148,$G$148,$H$148,$M$11)</f>
        <v>6.152162581311075E-8</v>
      </c>
      <c r="K148" s="130">
        <f>GasModel($I$148,"Ne_Weiss",$D$148,$E$148,$B$148,$C$148,$G$148,$H$148,$M$12)</f>
        <v>2.5433275997402079E-7</v>
      </c>
      <c r="L148" s="130">
        <f>GasModel($I$148,"Ar_Weiss",$D$148,$E$148,$B$148,$C$148,$G$148,$H$148,$M$13)</f>
        <v>4.1512057276987688E-4</v>
      </c>
      <c r="M148" s="130">
        <f>GasModel($I$148,"Kr_Weiss",$D$148,$E$148,$B$148,$C$148,$G$148,$H$148,$M$14)</f>
        <v>9.5154378529226385E-8</v>
      </c>
      <c r="N148" s="130">
        <f>GasModel($I$148,"Xe_Clvr",$D$148,$E$148,$B$148,$C$148,$G$148,$H$148,$M$15)</f>
        <v>1.3615784764069787E-8</v>
      </c>
      <c r="O148" s="130">
        <f>GasModel($I$148,"N2_Weiss",$D$148,$E$148,$B$148,$C$148,$G$148,$H$148,$M$16)</f>
        <v>1.9255756091260921E-2</v>
      </c>
      <c r="P148" s="130">
        <f>GasModel($I$148,"O2_B&amp;K",$D$148,$E$148,$B$148,$C$148,$G$148,$H$148,$M$17)</f>
        <v>8.5599883396750807E-3</v>
      </c>
      <c r="Q148" s="130">
        <f>GasModel($I$148,"CO2_Weiss_F",$D$148,$E$148,$B$148,$C$148,$G$148,$H$148,$M$18)</f>
        <v>4.1917776237247669E-4</v>
      </c>
      <c r="R148" s="130">
        <f>GasModel($I$148,"CH4_Wies",$D$148,$E$148,$B$148,$C$148,$G$148,$H$148,$M$19)</f>
        <v>6.4932595230347079E-8</v>
      </c>
      <c r="S148" s="130">
        <f>GasModel($I$148,"H2_Wies",$D$148,$E$148,$B$148,$C$148,$G$148,$H$148,$M$20)</f>
        <v>1.2879396180251709E-8</v>
      </c>
      <c r="T148" s="130">
        <f>GasModel($I$148,"N2O_Weiss_F",$D$148,$E$148,$B$148,$C$148,$G$148,$H$148,$M$21)</f>
        <v>2.8740696785132583E-7</v>
      </c>
      <c r="U148" s="130">
        <f>$L$148/$K$148</f>
        <v>1632.1946603036117</v>
      </c>
      <c r="V148" s="130">
        <f>$M$148/$N$148</f>
        <v>6.9885342767995207</v>
      </c>
      <c r="W148" s="130">
        <f>$N$148/$K$148</f>
        <v>5.3535316352720713E-2</v>
      </c>
      <c r="X148" s="130">
        <f>$M$148/$L$148</f>
        <v>2.2922106195390961E-4</v>
      </c>
      <c r="Y148" s="130">
        <f>$O$148/$L$148</f>
        <v>46.385935447086112</v>
      </c>
      <c r="Z148" s="130" t="e">
        <f>$I$148/$I$148</f>
        <v>#VALUE!</v>
      </c>
    </row>
    <row r="149" spans="1:26">
      <c r="A149" s="130" t="s">
        <v>375</v>
      </c>
      <c r="B149" s="130">
        <f>$N$4</f>
        <v>1.43</v>
      </c>
      <c r="C149" s="130">
        <f>$O$4</f>
        <v>88</v>
      </c>
      <c r="D149" s="130">
        <f>$P$4</f>
        <v>9</v>
      </c>
      <c r="E149" s="130">
        <f>$S$4</f>
        <v>3</v>
      </c>
      <c r="F149" s="130">
        <v>0</v>
      </c>
      <c r="G149" s="130">
        <v>0</v>
      </c>
      <c r="H149" s="130">
        <v>4</v>
      </c>
      <c r="I149" s="130" t="s">
        <v>10</v>
      </c>
      <c r="J149" s="130">
        <f>GasModel($I$149,"He_Weiss",$D$149,$E$149,$B$149,$C$149,$G$149,$H$149,$M$11)</f>
        <v>6.152162581311075E-8</v>
      </c>
      <c r="K149" s="130">
        <f>GasModel($I$149,"Ne_Weiss",$D$149,$E$149,$B$149,$C$149,$G$149,$H$149,$M$12)</f>
        <v>2.5433275997402079E-7</v>
      </c>
      <c r="L149" s="130">
        <f>GasModel($I$149,"Ar_Weiss",$D$149,$E$149,$B$149,$C$149,$G$149,$H$149,$M$13)</f>
        <v>4.1512057276987688E-4</v>
      </c>
      <c r="M149" s="130">
        <f>GasModel($I$149,"Kr_Weiss",$D$149,$E$149,$B$149,$C$149,$G$149,$H$149,$M$14)</f>
        <v>9.5154378529226385E-8</v>
      </c>
      <c r="N149" s="130">
        <f>GasModel($I$149,"Xe_Clvr",$D$149,$E$149,$B$149,$C$149,$G$149,$H$149,$M$15)</f>
        <v>1.3615784764069787E-8</v>
      </c>
      <c r="O149" s="130">
        <f>GasModel($I$149,"N2_Weiss",$D$149,$E$149,$B$149,$C$149,$G$149,$H$149,$M$16)</f>
        <v>2.0055116602851648E-2</v>
      </c>
      <c r="P149" s="130">
        <f>GasModel($I$149,"O2_B&amp;K",$D$149,$E$149,$B$149,$C$149,$G$149,$H$149,$M$17)</f>
        <v>8.5599883396750807E-3</v>
      </c>
      <c r="Q149" s="130">
        <f>GasModel($I$149,"CO2_Weiss_F",$D$149,$E$149,$B$149,$C$149,$G$149,$H$149,$M$18)</f>
        <v>4.1917776237247669E-4</v>
      </c>
      <c r="R149" s="130">
        <f>GasModel($I$149,"CH4_Wies",$D$149,$E$149,$B$149,$C$149,$G$149,$H$149,$M$19)</f>
        <v>6.4932595230347079E-8</v>
      </c>
      <c r="S149" s="130">
        <f>GasModel($I$149,"H2_Wies",$D$149,$E$149,$B$149,$C$149,$G$149,$H$149,$M$20)</f>
        <v>1.2879396180251709E-8</v>
      </c>
      <c r="T149" s="130">
        <f>GasModel($I$149,"N2O_Weiss_F",$D$149,$E$149,$B$149,$C$149,$G$149,$H$149,$M$21)</f>
        <v>2.8740696785132583E-7</v>
      </c>
      <c r="U149" s="130">
        <f>$L$149/$K$149</f>
        <v>1632.1946603036117</v>
      </c>
      <c r="V149" s="130">
        <f>$M$149/$N$149</f>
        <v>6.9885342767995207</v>
      </c>
      <c r="W149" s="130">
        <f>$N$149/$K$149</f>
        <v>5.3535316352720713E-2</v>
      </c>
      <c r="X149" s="130">
        <f>$M$149/$L$149</f>
        <v>2.2922106195390961E-4</v>
      </c>
      <c r="Y149" s="130">
        <f>$O$149/$L$149</f>
        <v>48.311545893846251</v>
      </c>
      <c r="Z149" s="130" t="e">
        <f>$I$149/$I$149</f>
        <v>#VALUE!</v>
      </c>
    </row>
    <row r="150" spans="1:26">
      <c r="A150" s="130" t="s">
        <v>375</v>
      </c>
      <c r="B150" s="130">
        <f>$N$4</f>
        <v>1.43</v>
      </c>
      <c r="C150" s="130">
        <f>$O$4</f>
        <v>88</v>
      </c>
      <c r="D150" s="130">
        <f>$P$4</f>
        <v>9</v>
      </c>
      <c r="E150" s="130">
        <f>$S$4</f>
        <v>3</v>
      </c>
      <c r="F150" s="130">
        <v>0</v>
      </c>
      <c r="G150" s="130">
        <v>0</v>
      </c>
      <c r="H150" s="130">
        <v>5</v>
      </c>
      <c r="I150" s="130" t="s">
        <v>10</v>
      </c>
      <c r="J150" s="130">
        <f>GasModel($I$150,"He_Weiss",$D$150,$E$150,$B$150,$C$150,$G$150,$H$150,$M$11)</f>
        <v>6.152162581311075E-8</v>
      </c>
      <c r="K150" s="130">
        <f>GasModel($I$150,"Ne_Weiss",$D$150,$E$150,$B$150,$C$150,$G$150,$H$150,$M$12)</f>
        <v>2.5433275997402079E-7</v>
      </c>
      <c r="L150" s="130">
        <f>GasModel($I$150,"Ar_Weiss",$D$150,$E$150,$B$150,$C$150,$G$150,$H$150,$M$13)</f>
        <v>4.1512057276987688E-4</v>
      </c>
      <c r="M150" s="130">
        <f>GasModel($I$150,"Kr_Weiss",$D$150,$E$150,$B$150,$C$150,$G$150,$H$150,$M$14)</f>
        <v>9.5154378529226385E-8</v>
      </c>
      <c r="N150" s="130">
        <f>GasModel($I$150,"Xe_Clvr",$D$150,$E$150,$B$150,$C$150,$G$150,$H$150,$M$15)</f>
        <v>1.3615784764069787E-8</v>
      </c>
      <c r="O150" s="130">
        <f>GasModel($I$150,"N2_Weiss",$D$150,$E$150,$B$150,$C$150,$G$150,$H$150,$M$16)</f>
        <v>2.0854477114442375E-2</v>
      </c>
      <c r="P150" s="130">
        <f>GasModel($I$150,"O2_B&amp;K",$D$150,$E$150,$B$150,$C$150,$G$150,$H$150,$M$17)</f>
        <v>8.5599883396750807E-3</v>
      </c>
      <c r="Q150" s="130">
        <f>GasModel($I$150,"CO2_Weiss_F",$D$150,$E$150,$B$150,$C$150,$G$150,$H$150,$M$18)</f>
        <v>4.1917776237247669E-4</v>
      </c>
      <c r="R150" s="130">
        <f>GasModel($I$150,"CH4_Wies",$D$150,$E$150,$B$150,$C$150,$G$150,$H$150,$M$19)</f>
        <v>6.4932595230347079E-8</v>
      </c>
      <c r="S150" s="130">
        <f>GasModel($I$150,"H2_Wies",$D$150,$E$150,$B$150,$C$150,$G$150,$H$150,$M$20)</f>
        <v>1.2879396180251709E-8</v>
      </c>
      <c r="T150" s="130">
        <f>GasModel($I$150,"N2O_Weiss_F",$D$150,$E$150,$B$150,$C$150,$G$150,$H$150,$M$21)</f>
        <v>2.8740696785132583E-7</v>
      </c>
      <c r="U150" s="130">
        <f>$L$150/$K$150</f>
        <v>1632.1946603036117</v>
      </c>
      <c r="V150" s="130">
        <f>$M$150/$N$150</f>
        <v>6.9885342767995207</v>
      </c>
      <c r="W150" s="130">
        <f>$N$150/$K$150</f>
        <v>5.3535316352720713E-2</v>
      </c>
      <c r="X150" s="130">
        <f>$M$150/$L$150</f>
        <v>2.2922106195390961E-4</v>
      </c>
      <c r="Y150" s="130">
        <f>$O$150/$L$150</f>
        <v>50.23715634060639</v>
      </c>
      <c r="Z150" s="130" t="e">
        <f>$I$150/$I$150</f>
        <v>#VALUE!</v>
      </c>
    </row>
    <row r="151" spans="1:26">
      <c r="A151" s="130" t="s">
        <v>375</v>
      </c>
      <c r="B151" s="130">
        <f>$N$4</f>
        <v>1.43</v>
      </c>
      <c r="C151" s="130">
        <f>$O$4</f>
        <v>88</v>
      </c>
      <c r="D151" s="130">
        <f>$P$4</f>
        <v>9</v>
      </c>
      <c r="E151" s="130">
        <f>$S$4</f>
        <v>3</v>
      </c>
      <c r="F151" s="130">
        <v>0</v>
      </c>
      <c r="G151" s="130">
        <v>0</v>
      </c>
      <c r="H151" s="130">
        <v>10</v>
      </c>
      <c r="I151" s="130" t="s">
        <v>10</v>
      </c>
      <c r="J151" s="130">
        <f>GasModel($I$151,"He_Weiss",$D$151,$E$151,$B$151,$C$151,$G$151,$H$151,$M$11)</f>
        <v>6.152162581311075E-8</v>
      </c>
      <c r="K151" s="130">
        <f>GasModel($I$151,"Ne_Weiss",$D$151,$E$151,$B$151,$C$151,$G$151,$H$151,$M$12)</f>
        <v>2.5433275997402079E-7</v>
      </c>
      <c r="L151" s="130">
        <f>GasModel($I$151,"Ar_Weiss",$D$151,$E$151,$B$151,$C$151,$G$151,$H$151,$M$13)</f>
        <v>4.1512057276987688E-4</v>
      </c>
      <c r="M151" s="130">
        <f>GasModel($I$151,"Kr_Weiss",$D$151,$E$151,$B$151,$C$151,$G$151,$H$151,$M$14)</f>
        <v>9.5154378529226385E-8</v>
      </c>
      <c r="N151" s="130">
        <f>GasModel($I$151,"Xe_Clvr",$D$151,$E$151,$B$151,$C$151,$G$151,$H$151,$M$15)</f>
        <v>1.3615784764069787E-8</v>
      </c>
      <c r="O151" s="130">
        <f>GasModel($I$151,"N2_Weiss",$D$151,$E$151,$B$151,$C$151,$G$151,$H$151,$M$16)</f>
        <v>2.4851279672396018E-2</v>
      </c>
      <c r="P151" s="130">
        <f>GasModel($I$151,"O2_B&amp;K",$D$151,$E$151,$B$151,$C$151,$G$151,$H$151,$M$17)</f>
        <v>8.5599883396750807E-3</v>
      </c>
      <c r="Q151" s="130">
        <f>GasModel($I$151,"CO2_Weiss_F",$D$151,$E$151,$B$151,$C$151,$G$151,$H$151,$M$18)</f>
        <v>4.1917776237247669E-4</v>
      </c>
      <c r="R151" s="130">
        <f>GasModel($I$151,"CH4_Wies",$D$151,$E$151,$B$151,$C$151,$G$151,$H$151,$M$19)</f>
        <v>6.4932595230347079E-8</v>
      </c>
      <c r="S151" s="130">
        <f>GasModel($I$151,"H2_Wies",$D$151,$E$151,$B$151,$C$151,$G$151,$H$151,$M$20)</f>
        <v>1.2879396180251709E-8</v>
      </c>
      <c r="T151" s="130">
        <f>GasModel($I$151,"N2O_Weiss_F",$D$151,$E$151,$B$151,$C$151,$G$151,$H$151,$M$21)</f>
        <v>2.8740696785132583E-7</v>
      </c>
      <c r="U151" s="130">
        <f>$L$151/$K$151</f>
        <v>1632.1946603036117</v>
      </c>
      <c r="V151" s="130">
        <f>$M$151/$N$151</f>
        <v>6.9885342767995207</v>
      </c>
      <c r="W151" s="130">
        <f>$N$151/$K$151</f>
        <v>5.3535316352720713E-2</v>
      </c>
      <c r="X151" s="130">
        <f>$M$151/$L$151</f>
        <v>2.2922106195390961E-4</v>
      </c>
      <c r="Y151" s="130">
        <f>$O$151/$L$151</f>
        <v>59.865208574407092</v>
      </c>
      <c r="Z151" s="130" t="e">
        <f>$I$151/$I$151</f>
        <v>#VALUE!</v>
      </c>
    </row>
    <row r="152" spans="1:26">
      <c r="A152" s="130" t="s">
        <v>376</v>
      </c>
      <c r="B152" s="130">
        <f>$N$4</f>
        <v>1.43</v>
      </c>
      <c r="C152" s="130">
        <f>$O$4</f>
        <v>88</v>
      </c>
      <c r="D152" s="130">
        <f>$P$4</f>
        <v>9</v>
      </c>
      <c r="E152" s="130">
        <v>0</v>
      </c>
      <c r="F152" s="130">
        <v>0</v>
      </c>
      <c r="G152" s="130">
        <f>$R$4</f>
        <v>2</v>
      </c>
      <c r="H152" s="130">
        <f>$Q$4</f>
        <v>0</v>
      </c>
      <c r="I152" s="130" t="s">
        <v>16</v>
      </c>
      <c r="J152" s="130">
        <f>GasModel($I$152,"He_Weiss",$D$152,$F$152,$B$152,$C$152,$G$152,$H$152,$M$11)</f>
        <v>4.5801625813110745E-8</v>
      </c>
      <c r="K152" s="130">
        <f>GasModel($I$152,"Ne_Weiss",$D$152,$F$152,$B$152,$C$152,$G$152,$H$152,$M$12)</f>
        <v>1.9979275997402081E-7</v>
      </c>
      <c r="L152" s="130">
        <f>GasModel($I$152,"Ar_Weiss",$D$152,$F$152,$B$152,$C$152,$G$152,$H$152,$M$13)</f>
        <v>3.8710057276987686E-4</v>
      </c>
      <c r="M152" s="130">
        <f>GasModel($I$152,"Kr_Weiss",$D$152,$F$152,$B$152,$C$152,$G$152,$H$152,$M$14)</f>
        <v>9.1734378529226385E-8</v>
      </c>
      <c r="N152" s="130">
        <f>GasModel($I$152,"Xe_Clvr",$D$152,$F$152,$B$152,$C$152,$G$152,$H$152,$M$15)</f>
        <v>1.3354784764069788E-8</v>
      </c>
      <c r="O152" s="130">
        <f>GasModel($I$152,"N2_Weiss",$D$152,$F$152,$B$152,$C$152,$G$152,$H$152,$M$16)</f>
        <v>1.4515154556488738E-2</v>
      </c>
      <c r="P152" s="130">
        <f>GasModel($I$152,"O2_B&amp;K",$D$152,$F$152,$B$152,$C$152,$G$152,$H$152,$M$17)</f>
        <v>7.9314883396750802E-3</v>
      </c>
      <c r="Q152" s="130">
        <f>GasModel($I$152,"CO2_Weiss_F",$D$152,$F$152,$B$152,$C$152,$G$152,$H$152,$M$18)</f>
        <v>4.1812776237247669E-4</v>
      </c>
      <c r="R152" s="130">
        <f>GasModel($I$152,"CH4_Wies",$D$152,$F$152,$B$152,$C$152,$G$152,$H$152,$M$19)</f>
        <v>6.0702595230347074E-8</v>
      </c>
      <c r="S152" s="130">
        <f>GasModel($I$152,"H2_Wies",$D$152,$F$152,$B$152,$C$152,$G$152,$H$152,$M$20)</f>
        <v>1.113939618025171E-8</v>
      </c>
      <c r="T152" s="130">
        <f>GasModel($I$152,"N2O_Weiss_F",$D$152,$F$152,$B$152,$C$152,$G$152,$H$152,$M$21)</f>
        <v>2.8644696785132585E-7</v>
      </c>
      <c r="U152" s="130">
        <f>$L$152/$K$152</f>
        <v>1937.5105124941056</v>
      </c>
      <c r="V152" s="130">
        <f>$M$152/$N$152</f>
        <v>6.8690271052538403</v>
      </c>
      <c r="W152" s="130">
        <f>$N$152/$K$152</f>
        <v>6.6843186739130686E-2</v>
      </c>
      <c r="X152" s="130">
        <f>$M$152/$L$152</f>
        <v>2.3697815240320127E-4</v>
      </c>
      <c r="Y152" s="130">
        <f>$O$152/$L$152</f>
        <v>37.497114645494705</v>
      </c>
      <c r="Z152" s="130" t="e">
        <f>$I$152/$I$152</f>
        <v>#VALUE!</v>
      </c>
    </row>
    <row r="153" spans="1:26">
      <c r="A153" s="130" t="s">
        <v>376</v>
      </c>
      <c r="B153" s="130">
        <f>$N$4</f>
        <v>1.43</v>
      </c>
      <c r="C153" s="130">
        <f>$O$4</f>
        <v>88</v>
      </c>
      <c r="D153" s="130">
        <f>$P$4</f>
        <v>9</v>
      </c>
      <c r="E153" s="130">
        <v>0</v>
      </c>
      <c r="F153" s="130">
        <v>4</v>
      </c>
      <c r="G153" s="130">
        <f>$R$4</f>
        <v>2</v>
      </c>
      <c r="H153" s="130">
        <f>$Q$4</f>
        <v>0</v>
      </c>
      <c r="I153" s="130" t="s">
        <v>16</v>
      </c>
      <c r="J153" s="130">
        <f>GasModel($I$153,"He_Weiss",$D$153,$F$153,$B$153,$C$153,$G$153,$H$153,$M$11)</f>
        <v>3.485789251879097E-8</v>
      </c>
      <c r="K153" s="130">
        <f>GasModel($I$153,"Ne_Weiss",$D$153,$F$153,$B$153,$C$153,$G$153,$H$153,$M$12)</f>
        <v>1.5770831379804344E-7</v>
      </c>
      <c r="L153" s="130">
        <f>GasModel($I$153,"Ar_Weiss",$D$153,$F$153,$B$153,$C$153,$G$153,$H$153,$M$13)</f>
        <v>3.5578521297128038E-4</v>
      </c>
      <c r="M153" s="130">
        <f>GasModel($I$153,"Kr_Weiss",$D$153,$F$153,$B$153,$C$153,$G$153,$H$153,$M$14)</f>
        <v>8.7586727508085531E-8</v>
      </c>
      <c r="N153" s="130">
        <f>GasModel($I$153,"Xe_Clvr",$D$153,$F$153,$B$153,$C$153,$G$153,$H$153,$M$15)</f>
        <v>1.3024022804796123E-8</v>
      </c>
      <c r="O153" s="130">
        <f>GasModel($I$153,"N2_Weiss",$D$153,$F$153,$B$153,$C$153,$G$153,$H$153,$M$16)</f>
        <v>1.2331534141472516E-2</v>
      </c>
      <c r="P153" s="130">
        <f>GasModel($I$153,"O2_B&amp;K",$D$153,$F$153,$B$153,$C$153,$G$153,$H$153,$M$17)</f>
        <v>7.2396751421299971E-3</v>
      </c>
      <c r="Q153" s="130">
        <f>GasModel($I$153,"CO2_Weiss_F",$D$153,$F$153,$B$153,$C$153,$G$153,$H$153,$M$18)</f>
        <v>4.1673707513430999E-4</v>
      </c>
      <c r="R153" s="130">
        <f>GasModel($I$153,"CH4_Wies",$D$153,$F$153,$B$153,$C$153,$G$153,$H$153,$M$19)</f>
        <v>5.5946408877193456E-8</v>
      </c>
      <c r="S153" s="130">
        <f>GasModel($I$153,"H2_Wies",$D$153,$F$153,$B$153,$C$153,$G$153,$H$153,$M$20)</f>
        <v>9.5016022594344112E-9</v>
      </c>
      <c r="T153" s="130">
        <f>GasModel($I$153,"N2O_Weiss_F",$D$153,$F$153,$B$153,$C$153,$G$153,$H$153,$M$21)</f>
        <v>2.8517830598626553E-7</v>
      </c>
      <c r="U153" s="130">
        <f>$L$153/$K$153</f>
        <v>2255.9699257636366</v>
      </c>
      <c r="V153" s="130">
        <f>$M$153/$N$153</f>
        <v>6.7250133711245912</v>
      </c>
      <c r="W153" s="130">
        <f>$N$153/$K$153</f>
        <v>8.2582981779098202E-2</v>
      </c>
      <c r="X153" s="130">
        <f>$M$153/$L$153</f>
        <v>2.4617866149247663E-4</v>
      </c>
      <c r="Y153" s="130">
        <f>$O$153/$L$153</f>
        <v>34.660052447058668</v>
      </c>
      <c r="Z153" s="130" t="e">
        <f>$I$153/$I$153</f>
        <v>#VALUE!</v>
      </c>
    </row>
    <row r="154" spans="1:26">
      <c r="A154" s="130" t="s">
        <v>376</v>
      </c>
      <c r="B154" s="130">
        <f>$N$4</f>
        <v>1.43</v>
      </c>
      <c r="C154" s="130">
        <f>$O$4</f>
        <v>88</v>
      </c>
      <c r="D154" s="130">
        <f>$P$4</f>
        <v>9</v>
      </c>
      <c r="E154" s="130">
        <v>0</v>
      </c>
      <c r="F154" s="130">
        <v>6</v>
      </c>
      <c r="G154" s="130">
        <f>$R$4</f>
        <v>2</v>
      </c>
      <c r="H154" s="130">
        <f>$Q$4</f>
        <v>0</v>
      </c>
      <c r="I154" s="130" t="s">
        <v>16</v>
      </c>
      <c r="J154" s="130">
        <f>GasModel($I$154,"He_Weiss",$D$154,$F$154,$B$154,$C$154,$G$154,$H$154,$M$11)</f>
        <v>3.2551887370290286E-8</v>
      </c>
      <c r="K154" s="130">
        <f>GasModel($I$154,"Ne_Weiss",$D$154,$F$154,$B$154,$C$154,$G$154,$H$154,$M$12)</f>
        <v>1.4764956020349932E-7</v>
      </c>
      <c r="L154" s="130">
        <f>GasModel($I$154,"Ar_Weiss",$D$154,$F$154,$B$154,$C$154,$G$154,$H$154,$M$13)</f>
        <v>3.4364312013374538E-4</v>
      </c>
      <c r="M154" s="130">
        <f>GasModel($I$154,"Kr_Weiss",$D$154,$F$154,$B$154,$C$154,$G$154,$H$154,$M$14)</f>
        <v>8.5782029733033052E-8</v>
      </c>
      <c r="N154" s="130">
        <f>GasModel($I$154,"Xe_Clvr",$D$154,$F$154,$B$154,$C$154,$G$154,$H$154,$M$15)</f>
        <v>1.2870632958131268E-8</v>
      </c>
      <c r="O154" s="130">
        <f>GasModel($I$154,"N2_Weiss",$D$154,$F$154,$B$154,$C$154,$G$154,$H$154,$M$16)</f>
        <v>1.1668036620824263E-2</v>
      </c>
      <c r="P154" s="130">
        <f>GasModel($I$154,"O2_B&amp;K",$D$154,$F$154,$B$154,$C$154,$G$154,$H$154,$M$17)</f>
        <v>6.9770206768179025E-3</v>
      </c>
      <c r="Q154" s="130">
        <f>GasModel($I$154,"CO2_Weiss_F",$D$154,$F$154,$B$154,$C$154,$G$154,$H$154,$M$18)</f>
        <v>4.1604864662585955E-4</v>
      </c>
      <c r="R154" s="130">
        <f>GasModel($I$154,"CH4_Wies",$D$154,$F$154,$B$154,$C$154,$G$154,$H$154,$M$19)</f>
        <v>5.4086687141667726E-8</v>
      </c>
      <c r="S154" s="130">
        <f>GasModel($I$154,"H2_Wies",$D$154,$F$154,$B$154,$C$154,$G$154,$H$154,$M$20)</f>
        <v>8.9976065690837615E-9</v>
      </c>
      <c r="T154" s="130">
        <f>GasModel($I$154,"N2O_Weiss_F",$D$154,$F$154,$B$154,$C$154,$G$154,$H$154,$M$21)</f>
        <v>2.8455236616684299E-7</v>
      </c>
      <c r="U154" s="130">
        <f>$L$154/$K$154</f>
        <v>2327.4239331300155</v>
      </c>
      <c r="V154" s="130">
        <f>$M$154/$N$154</f>
        <v>6.6649425876789241</v>
      </c>
      <c r="W154" s="130">
        <f>$N$154/$K$154</f>
        <v>8.7170140841545368E-2</v>
      </c>
      <c r="X154" s="130">
        <f>$M$154/$L$154</f>
        <v>2.4962533718017349E-4</v>
      </c>
      <c r="Y154" s="130">
        <f>$O$154/$L$154</f>
        <v>33.953936328721149</v>
      </c>
      <c r="Z154" s="130" t="e">
        <f>$I$154/$I$154</f>
        <v>#VALUE!</v>
      </c>
    </row>
    <row r="155" spans="1:26">
      <c r="A155" s="130" t="s">
        <v>376</v>
      </c>
      <c r="B155" s="130">
        <f>$N$4</f>
        <v>1.43</v>
      </c>
      <c r="C155" s="130">
        <f>$O$4</f>
        <v>88</v>
      </c>
      <c r="D155" s="130">
        <f>$P$4</f>
        <v>9</v>
      </c>
      <c r="E155" s="130">
        <v>0</v>
      </c>
      <c r="F155" s="130">
        <v>8</v>
      </c>
      <c r="G155" s="130">
        <f>$R$4</f>
        <v>2</v>
      </c>
      <c r="H155" s="130">
        <f>$Q$4</f>
        <v>0</v>
      </c>
      <c r="I155" s="130" t="s">
        <v>16</v>
      </c>
      <c r="J155" s="130">
        <f>GasModel($I$155,"He_Weiss",$D$155,$F$155,$B$155,$C$155,$G$155,$H$155,$M$11)</f>
        <v>3.0991535751038787E-8</v>
      </c>
      <c r="K155" s="130">
        <f>GasModel($I$155,"Ne_Weiss",$D$155,$F$155,$B$155,$C$155,$G$155,$H$155,$M$12)</f>
        <v>1.4057231534986828E-7</v>
      </c>
      <c r="L155" s="130">
        <f>GasModel($I$155,"Ar_Weiss",$D$155,$F$155,$B$155,$C$155,$G$155,$H$155,$M$13)</f>
        <v>3.3319196591831109E-4</v>
      </c>
      <c r="M155" s="130">
        <f>GasModel($I$155,"Kr_Weiss",$D$155,$F$155,$B$155,$C$155,$G$155,$H$155,$M$14)</f>
        <v>8.4126992669217114E-8</v>
      </c>
      <c r="N155" s="130">
        <f>GasModel($I$155,"Xe_Clvr",$D$155,$F$155,$B$155,$C$155,$G$155,$H$155,$M$15)</f>
        <v>1.2724482610447836E-8</v>
      </c>
      <c r="O155" s="130">
        <f>GasModel($I$155,"N2_Weiss",$D$155,$F$155,$B$155,$C$155,$G$155,$H$155,$M$16)</f>
        <v>1.1157997038296973E-2</v>
      </c>
      <c r="P155" s="130">
        <f>GasModel($I$155,"O2_B&amp;K",$D$155,$F$155,$B$155,$C$155,$G$155,$H$155,$M$17)</f>
        <v>6.7533797568395861E-3</v>
      </c>
      <c r="Q155" s="130">
        <f>GasModel($I$155,"CO2_Weiss_F",$D$155,$F$155,$B$155,$C$155,$G$155,$H$155,$M$18)</f>
        <v>4.1536476726427847E-4</v>
      </c>
      <c r="R155" s="130">
        <f>GasModel($I$155,"CH4_Wies",$D$155,$F$155,$B$155,$C$155,$G$155,$H$155,$M$19)</f>
        <v>5.2478911206278242E-8</v>
      </c>
      <c r="S155" s="130">
        <f>GasModel($I$155,"H2_Wies",$D$155,$F$155,$B$155,$C$155,$G$155,$H$155,$M$20)</f>
        <v>8.6081363026282974E-9</v>
      </c>
      <c r="T155" s="130">
        <f>GasModel($I$155,"N2O_Weiss_F",$D$155,$F$155,$B$155,$C$155,$G$155,$H$155,$M$21)</f>
        <v>2.8393192218924893E-7</v>
      </c>
      <c r="U155" s="130">
        <f>$L$155/$K$155</f>
        <v>2370.253097767044</v>
      </c>
      <c r="V155" s="130">
        <f>$M$155/$N$155</f>
        <v>6.6114273754550936</v>
      </c>
      <c r="W155" s="130">
        <f>$N$155/$K$155</f>
        <v>9.0519122337695476E-2</v>
      </c>
      <c r="X155" s="130">
        <f>$M$155/$L$155</f>
        <v>2.524880587602241E-4</v>
      </c>
      <c r="Y155" s="130">
        <f>$O$155/$L$155</f>
        <v>33.48819353295147</v>
      </c>
      <c r="Z155" s="130" t="e">
        <f>$I$155/$I$155</f>
        <v>#VALUE!</v>
      </c>
    </row>
    <row r="156" spans="1:26">
      <c r="A156" s="130" t="s">
        <v>376</v>
      </c>
      <c r="B156" s="130">
        <f>$N$4</f>
        <v>1.43</v>
      </c>
      <c r="C156" s="130">
        <f>$O$4</f>
        <v>88</v>
      </c>
      <c r="D156" s="130">
        <f>$P$4</f>
        <v>9</v>
      </c>
      <c r="E156" s="130">
        <v>0</v>
      </c>
      <c r="F156" s="130">
        <v>10</v>
      </c>
      <c r="G156" s="130">
        <f>$R$4</f>
        <v>2</v>
      </c>
      <c r="H156" s="130">
        <f>$Q$4</f>
        <v>0</v>
      </c>
      <c r="I156" s="130" t="s">
        <v>16</v>
      </c>
      <c r="J156" s="130">
        <f>GasModel($I$156,"He_Weiss",$D$156,$F$156,$B$156,$C$156,$G$156,$H$156,$M$11)</f>
        <v>2.9865508393068464E-8</v>
      </c>
      <c r="K156" s="130">
        <f>GasModel($I$156,"Ne_Weiss",$D$156,$F$156,$B$156,$C$156,$G$156,$H$156,$M$12)</f>
        <v>1.3532206325269289E-7</v>
      </c>
      <c r="L156" s="130">
        <f>GasModel($I$156,"Ar_Weiss",$D$156,$F$156,$B$156,$C$156,$G$156,$H$156,$M$13)</f>
        <v>3.2410151820854951E-4</v>
      </c>
      <c r="M156" s="130">
        <f>GasModel($I$156,"Kr_Weiss",$D$156,$F$156,$B$156,$C$156,$G$156,$H$156,$M$14)</f>
        <v>8.2603740823218099E-8</v>
      </c>
      <c r="N156" s="130">
        <f>GasModel($I$156,"Xe_Clvr",$D$156,$F$156,$B$156,$C$156,$G$156,$H$156,$M$15)</f>
        <v>1.2585071056564883E-8</v>
      </c>
      <c r="O156" s="130">
        <f>GasModel($I$156,"N2_Weiss",$D$156,$F$156,$B$156,$C$156,$G$156,$H$156,$M$16)</f>
        <v>1.0753694853421465E-2</v>
      </c>
      <c r="P156" s="130">
        <f>GasModel($I$156,"O2_B&amp;K",$D$156,$F$156,$B$156,$C$156,$G$156,$H$156,$M$17)</f>
        <v>6.5606609622125608E-3</v>
      </c>
      <c r="Q156" s="130">
        <f>GasModel($I$156,"CO2_Weiss_F",$D$156,$F$156,$B$156,$C$156,$G$156,$H$156,$M$18)</f>
        <v>4.1468539210680235E-4</v>
      </c>
      <c r="R156" s="130">
        <f>GasModel($I$156,"CH4_Wies",$D$156,$F$156,$B$156,$C$156,$G$156,$H$156,$M$19)</f>
        <v>5.1075130581759084E-8</v>
      </c>
      <c r="S156" s="130">
        <f>GasModel($I$156,"H2_Wies",$D$156,$F$156,$B$156,$C$156,$G$156,$H$156,$M$20)</f>
        <v>8.2981378929463548E-9</v>
      </c>
      <c r="T156" s="130">
        <f>GasModel($I$156,"N2O_Weiss_F",$D$156,$F$156,$B$156,$C$156,$G$156,$H$156,$M$21)</f>
        <v>2.8331690198842917E-7</v>
      </c>
      <c r="U156" s="130">
        <f>$L$156/$K$156</f>
        <v>2395.038254799148</v>
      </c>
      <c r="V156" s="130">
        <f>$M$156/$N$156</f>
        <v>6.563629275666953</v>
      </c>
      <c r="W156" s="130">
        <f>$N$156/$K$156</f>
        <v>9.3000880669874372E-2</v>
      </c>
      <c r="X156" s="130">
        <f>$M$156/$L$156</f>
        <v>2.5486995951085024E-4</v>
      </c>
      <c r="Y156" s="130">
        <f>$O$156/$L$156</f>
        <v>33.180019991457698</v>
      </c>
      <c r="Z156" s="130" t="e">
        <f>$I$156/$I$156</f>
        <v>#VALUE!</v>
      </c>
    </row>
    <row r="157" spans="1:26">
      <c r="A157" s="130" t="s">
        <v>376</v>
      </c>
      <c r="B157" s="130">
        <f>$N$4</f>
        <v>1.43</v>
      </c>
      <c r="C157" s="130">
        <f>$O$4</f>
        <v>88</v>
      </c>
      <c r="D157" s="130">
        <f>$P$4</f>
        <v>9</v>
      </c>
      <c r="E157" s="130">
        <v>0</v>
      </c>
      <c r="F157" s="130">
        <v>15</v>
      </c>
      <c r="G157" s="130">
        <f>$R$4</f>
        <v>2</v>
      </c>
      <c r="H157" s="130">
        <f>$Q$4</f>
        <v>0</v>
      </c>
      <c r="I157" s="130" t="s">
        <v>16</v>
      </c>
      <c r="J157" s="130">
        <f>GasModel($I$157,"He_Weiss",$D$157,$F$157,$B$157,$C$157,$G$157,$H$157,$M$11)</f>
        <v>2.8067739325793756E-8</v>
      </c>
      <c r="K157" s="130">
        <f>GasModel($I$157,"Ne_Weiss",$D$157,$F$157,$B$157,$C$157,$G$157,$H$157,$M$12)</f>
        <v>1.2667948167698676E-7</v>
      </c>
      <c r="L157" s="130">
        <f>GasModel($I$157,"Ar_Weiss",$D$157,$F$157,$B$157,$C$157,$G$157,$H$157,$M$13)</f>
        <v>3.0582866553930673E-4</v>
      </c>
      <c r="M157" s="130">
        <f>GasModel($I$157,"Kr_Weiss",$D$157,$F$157,$B$157,$C$157,$G$157,$H$157,$M$14)</f>
        <v>7.9278225640952729E-8</v>
      </c>
      <c r="N157" s="130">
        <f>GasModel($I$157,"Xe_Clvr",$D$157,$F$157,$B$157,$C$157,$G$157,$H$157,$M$15)</f>
        <v>1.2263132457153983E-8</v>
      </c>
      <c r="O157" s="130">
        <f>GasModel($I$157,"N2_Weiss",$D$157,$F$157,$B$157,$C$157,$G$157,$H$157,$M$16)</f>
        <v>1.0034168512850038E-2</v>
      </c>
      <c r="P157" s="130">
        <f>GasModel($I$157,"O2_B&amp;K",$D$157,$F$157,$B$157,$C$157,$G$157,$H$157,$M$17)</f>
        <v>6.1782633862335476E-3</v>
      </c>
      <c r="Q157" s="130">
        <f>GasModel($I$157,"CO2_Weiss_F",$D$157,$F$157,$B$157,$C$157,$G$157,$H$157,$M$18)</f>
        <v>4.1300637046751674E-4</v>
      </c>
      <c r="R157" s="130">
        <f>GasModel($I$157,"CH4_Wies",$D$157,$F$157,$B$157,$C$157,$G$157,$H$157,$M$19)</f>
        <v>4.8238250169422007E-8</v>
      </c>
      <c r="S157" s="130">
        <f>GasModel($I$157,"H2_Wies",$D$157,$F$157,$B$157,$C$157,$G$157,$H$157,$M$20)</f>
        <v>7.7436429500116741E-9</v>
      </c>
      <c r="T157" s="130">
        <f>GasModel($I$157,"N2O_Weiss_F",$D$157,$F$157,$B$157,$C$157,$G$157,$H$157,$M$21)</f>
        <v>2.8180261882905564E-7</v>
      </c>
      <c r="U157" s="130">
        <f>$L$157/$K$157</f>
        <v>2414.1925866031161</v>
      </c>
      <c r="V157" s="130">
        <f>$M$157/$N$157</f>
        <v>6.4647614235548714</v>
      </c>
      <c r="W157" s="130">
        <f>$N$157/$K$157</f>
        <v>9.6804409797184743E-2</v>
      </c>
      <c r="X157" s="130">
        <f>$M$157/$L$157</f>
        <v>2.5922431274109415E-4</v>
      </c>
      <c r="Y157" s="130">
        <f>$O$157/$L$157</f>
        <v>32.809771102246117</v>
      </c>
      <c r="Z157" s="130" t="e">
        <f>$I$157/$I$157</f>
        <v>#VALUE!</v>
      </c>
    </row>
    <row r="158" spans="1:26">
      <c r="A158" s="130" t="s">
        <v>376</v>
      </c>
      <c r="B158" s="130">
        <f>$N$4</f>
        <v>1.43</v>
      </c>
      <c r="C158" s="130">
        <f>$O$4</f>
        <v>88</v>
      </c>
      <c r="D158" s="130">
        <f>$P$4</f>
        <v>9</v>
      </c>
      <c r="E158" s="130">
        <v>0</v>
      </c>
      <c r="F158" s="130">
        <v>20</v>
      </c>
      <c r="G158" s="130">
        <f>$R$4</f>
        <v>2</v>
      </c>
      <c r="H158" s="130">
        <f>$Q$4</f>
        <v>0</v>
      </c>
      <c r="I158" s="130" t="s">
        <v>16</v>
      </c>
      <c r="J158" s="130">
        <f>GasModel($I$158,"He_Weiss",$D$158,$F$158,$B$158,$C$158,$G$158,$H$158,$M$11)</f>
        <v>2.7007656237026694E-8</v>
      </c>
      <c r="K158" s="130">
        <f>GasModel($I$158,"Ne_Weiss",$D$158,$F$158,$B$158,$C$158,$G$158,$H$158,$M$12)</f>
        <v>1.2142683236031447E-7</v>
      </c>
      <c r="L158" s="130">
        <f>GasModel($I$158,"Ar_Weiss",$D$158,$F$158,$B$158,$C$158,$G$158,$H$158,$M$13)</f>
        <v>2.920429514378525E-4</v>
      </c>
      <c r="M158" s="130">
        <f>GasModel($I$158,"Kr_Weiss",$D$158,$F$158,$B$158,$C$158,$G$158,$H$158,$M$14)</f>
        <v>7.6504806350245311E-8</v>
      </c>
      <c r="N158" s="130">
        <f>GasModel($I$158,"Xe_Clvr",$D$158,$F$158,$B$158,$C$158,$G$158,$H$158,$M$15)</f>
        <v>1.1974468602316624E-8</v>
      </c>
      <c r="O158" s="130">
        <f>GasModel($I$158,"N2_Weiss",$D$158,$F$158,$B$158,$C$158,$G$158,$H$158,$M$16)</f>
        <v>9.560259764809162E-3</v>
      </c>
      <c r="P158" s="130">
        <f>GasModel($I$158,"O2_B&amp;K",$D$158,$F$158,$B$158,$C$158,$G$158,$H$158,$M$17)</f>
        <v>5.894093869520888E-3</v>
      </c>
      <c r="Q158" s="130">
        <f>GasModel($I$158,"CO2_Weiss_F",$D$158,$F$158,$B$158,$C$158,$G$158,$H$158,$M$18)</f>
        <v>4.1135454715358389E-4</v>
      </c>
      <c r="R158" s="130">
        <f>GasModel($I$158,"CH4_Wies",$D$158,$F$158,$B$158,$C$158,$G$158,$H$158,$M$19)</f>
        <v>4.6084531624424772E-8</v>
      </c>
      <c r="S158" s="130">
        <f>GasModel($I$158,"H2_Wies",$D$158,$F$158,$B$158,$C$158,$G$158,$H$158,$M$20)</f>
        <v>7.3764588527389034E-9</v>
      </c>
      <c r="T158" s="130">
        <f>GasModel($I$158,"N2O_Weiss_F",$D$158,$F$158,$B$158,$C$158,$G$158,$H$158,$M$21)</f>
        <v>2.8032072166941197E-7</v>
      </c>
      <c r="U158" s="130">
        <f>$L$158/$K$158</f>
        <v>2405.0940452046243</v>
      </c>
      <c r="V158" s="130">
        <f>$M$158/$N$158</f>
        <v>6.3889938577687211</v>
      </c>
      <c r="W158" s="130">
        <f>$N$158/$K$158</f>
        <v>9.8614683176320758E-2</v>
      </c>
      <c r="X158" s="130">
        <f>$M$158/$L$158</f>
        <v>2.61964228116376E-4</v>
      </c>
      <c r="Y158" s="130">
        <f>$O$158/$L$158</f>
        <v>32.73580039422253</v>
      </c>
      <c r="Z158" s="130" t="e">
        <f>$I$158/$I$158</f>
        <v>#VALUE!</v>
      </c>
    </row>
    <row r="159" spans="1:26">
      <c r="A159" s="130" t="s">
        <v>376</v>
      </c>
      <c r="B159" s="130">
        <f>$N$4</f>
        <v>1.43</v>
      </c>
      <c r="C159" s="130">
        <f>$O$4</f>
        <v>88</v>
      </c>
      <c r="D159" s="130">
        <f>$P$4</f>
        <v>9</v>
      </c>
      <c r="E159" s="130">
        <v>0</v>
      </c>
      <c r="F159" s="130">
        <v>25</v>
      </c>
      <c r="G159" s="130">
        <f>$R$4</f>
        <v>2</v>
      </c>
      <c r="H159" s="130">
        <f>$Q$4</f>
        <v>0</v>
      </c>
      <c r="I159" s="130" t="s">
        <v>16</v>
      </c>
      <c r="J159" s="130">
        <f>GasModel($I$159,"He_Weiss",$D$159,$F$159,$B$159,$C$159,$G$159,$H$159,$M$11)</f>
        <v>2.6308509213523447E-8</v>
      </c>
      <c r="K159" s="130">
        <f>GasModel($I$159,"Ne_Weiss",$D$159,$F$159,$B$159,$C$159,$G$159,$H$159,$M$12)</f>
        <v>1.1789665396921605E-7</v>
      </c>
      <c r="L159" s="130">
        <f>GasModel($I$159,"Ar_Weiss",$D$159,$F$159,$B$159,$C$159,$G$159,$H$159,$M$13)</f>
        <v>2.8127230543991246E-4</v>
      </c>
      <c r="M159" s="130">
        <f>GasModel($I$159,"Kr_Weiss",$D$159,$F$159,$B$159,$C$159,$G$159,$H$159,$M$14)</f>
        <v>7.4156533958684046E-8</v>
      </c>
      <c r="N159" s="130">
        <f>GasModel($I$159,"Xe_Clvr",$D$159,$F$159,$B$159,$C$159,$G$159,$H$159,$M$15)</f>
        <v>1.171417420320043E-8</v>
      </c>
      <c r="O159" s="130">
        <f>GasModel($I$159,"N2_Weiss",$D$159,$F$159,$B$159,$C$159,$G$159,$H$159,$M$16)</f>
        <v>9.2245386818466963E-3</v>
      </c>
      <c r="P159" s="130">
        <f>GasModel($I$159,"O2_B&amp;K",$D$159,$F$159,$B$159,$C$159,$G$159,$H$159,$M$17)</f>
        <v>5.6746118832623448E-3</v>
      </c>
      <c r="Q159" s="130">
        <f>GasModel($I$159,"CO2_Weiss_F",$D$159,$F$159,$B$159,$C$159,$G$159,$H$159,$M$18)</f>
        <v>4.0972926659976945E-4</v>
      </c>
      <c r="R159" s="130">
        <f>GasModel($I$159,"CH4_Wies",$D$159,$F$159,$B$159,$C$159,$G$159,$H$159,$M$19)</f>
        <v>4.4393722085627392E-8</v>
      </c>
      <c r="S159" s="130">
        <f>GasModel($I$159,"H2_Wies",$D$159,$F$159,$B$159,$C$159,$G$159,$H$159,$M$20)</f>
        <v>7.1153883479386503E-9</v>
      </c>
      <c r="T159" s="130">
        <f>GasModel($I$159,"N2O_Weiss_F",$D$159,$F$159,$B$159,$C$159,$G$159,$H$159,$M$21)</f>
        <v>2.7887018254218339E-7</v>
      </c>
      <c r="U159" s="130">
        <f>$L$159/$K$159</f>
        <v>2385.7530809428686</v>
      </c>
      <c r="V159" s="130">
        <f>$M$159/$N$159</f>
        <v>6.3304960872464857</v>
      </c>
      <c r="W159" s="130">
        <f>$N$159/$K$159</f>
        <v>9.9359683322811809E-2</v>
      </c>
      <c r="X159" s="130">
        <f>$M$159/$L$159</f>
        <v>2.6364676693890125E-4</v>
      </c>
      <c r="Y159" s="130">
        <f>$O$159/$L$159</f>
        <v>32.795758784070237</v>
      </c>
      <c r="Z159" s="130" t="e">
        <f>$I$159/$I$159</f>
        <v>#VALUE!</v>
      </c>
    </row>
    <row r="160" spans="1:26">
      <c r="A160" s="130" t="s">
        <v>376</v>
      </c>
      <c r="B160" s="130">
        <f>$N$4</f>
        <v>1.43</v>
      </c>
      <c r="C160" s="130">
        <f>$O$4</f>
        <v>88</v>
      </c>
      <c r="D160" s="130">
        <f>$P$4</f>
        <v>9</v>
      </c>
      <c r="E160" s="130">
        <v>0</v>
      </c>
      <c r="F160" s="130">
        <v>30</v>
      </c>
      <c r="G160" s="130">
        <f>$R$4</f>
        <v>2</v>
      </c>
      <c r="H160" s="130">
        <f>$Q$4</f>
        <v>0</v>
      </c>
      <c r="I160" s="130" t="s">
        <v>16</v>
      </c>
      <c r="J160" s="130">
        <f>GasModel($I$160,"He_Weiss",$D$160,$F$160,$B$160,$C$160,$G$160,$H$160,$M$11)</f>
        <v>2.581277772957458E-8</v>
      </c>
      <c r="K160" s="130">
        <f>GasModel($I$160,"Ne_Weiss",$D$160,$F$160,$B$160,$C$160,$G$160,$H$160,$M$12)</f>
        <v>1.1536103629689092E-7</v>
      </c>
      <c r="L160" s="130">
        <f>GasModel($I$160,"Ar_Weiss",$D$160,$F$160,$B$160,$C$160,$G$160,$H$160,$M$13)</f>
        <v>2.7262509527962422E-4</v>
      </c>
      <c r="M160" s="130">
        <f>GasModel($I$160,"Kr_Weiss",$D$160,$F$160,$B$160,$C$160,$G$160,$H$160,$M$14)</f>
        <v>7.2142609575460179E-8</v>
      </c>
      <c r="N160" s="130">
        <f>GasModel($I$160,"Xe_Clvr",$D$160,$F$160,$B$160,$C$160,$G$160,$H$160,$M$15)</f>
        <v>1.1478262980536341E-8</v>
      </c>
      <c r="O160" s="130">
        <f>GasModel($I$160,"N2_Weiss",$D$160,$F$160,$B$160,$C$160,$G$160,$H$160,$M$16)</f>
        <v>8.9742546009010868E-3</v>
      </c>
      <c r="P160" s="130">
        <f>GasModel($I$160,"O2_B&amp;K",$D$160,$F$160,$B$160,$C$160,$G$160,$H$160,$M$17)</f>
        <v>5.4999866170226883E-3</v>
      </c>
      <c r="Q160" s="130">
        <f>GasModel($I$160,"CO2_Weiss_F",$D$160,$F$160,$B$160,$C$160,$G$160,$H$160,$M$18)</f>
        <v>4.0812989414116445E-4</v>
      </c>
      <c r="R160" s="130">
        <f>GasModel($I$160,"CH4_Wies",$D$160,$F$160,$B$160,$C$160,$G$160,$H$160,$M$19)</f>
        <v>4.3031061049053927E-8</v>
      </c>
      <c r="S160" s="130">
        <f>GasModel($I$160,"H2_Wies",$D$160,$F$160,$B$160,$C$160,$G$160,$H$160,$M$20)</f>
        <v>6.9202398644858338E-9</v>
      </c>
      <c r="T160" s="130">
        <f>GasModel($I$160,"N2O_Weiss_F",$D$160,$F$160,$B$160,$C$160,$G$160,$H$160,$M$21)</f>
        <v>2.7745001652966139E-7</v>
      </c>
      <c r="U160" s="130">
        <f>$L$160/$K$160</f>
        <v>2363.2337575227875</v>
      </c>
      <c r="V160" s="130">
        <f>$M$160/$N$160</f>
        <v>6.2851504358971564</v>
      </c>
      <c r="W160" s="130">
        <f>$N$160/$K$160</f>
        <v>9.9498611914304466E-2</v>
      </c>
      <c r="X160" s="130">
        <f>$M$160/$L$160</f>
        <v>2.6462204259466814E-4</v>
      </c>
      <c r="Y160" s="130">
        <f>$O$160/$L$160</f>
        <v>32.917932927988289</v>
      </c>
      <c r="Z160" s="130" t="e">
        <f>$I$160/$I$160</f>
        <v>#VALUE!</v>
      </c>
    </row>
    <row r="161" spans="1:26">
      <c r="A161" s="130" t="s">
        <v>376</v>
      </c>
      <c r="B161" s="130">
        <f>$N$4</f>
        <v>1.43</v>
      </c>
      <c r="C161" s="130">
        <f>$O$4</f>
        <v>88</v>
      </c>
      <c r="D161" s="130">
        <f>$P$4</f>
        <v>9</v>
      </c>
      <c r="E161" s="130">
        <v>0</v>
      </c>
      <c r="F161" s="130">
        <v>35</v>
      </c>
      <c r="G161" s="130">
        <f>$R$4</f>
        <v>2</v>
      </c>
      <c r="H161" s="130">
        <f>$Q$4</f>
        <v>0</v>
      </c>
      <c r="I161" s="130" t="s">
        <v>16</v>
      </c>
      <c r="J161" s="130">
        <f>GasModel($I$161,"He_Weiss",$D$161,$F$161,$B$161,$C$161,$G$161,$H$161,$M$11)</f>
        <v>2.5442961065799917E-8</v>
      </c>
      <c r="K161" s="130">
        <f>GasModel($I$161,"Ne_Weiss",$D$161,$F$161,$B$161,$C$161,$G$161,$H$161,$M$12)</f>
        <v>1.1345157667880241E-7</v>
      </c>
      <c r="L161" s="130">
        <f>GasModel($I$161,"Ar_Weiss",$D$161,$F$161,$B$161,$C$161,$G$161,$H$161,$M$13)</f>
        <v>2.6552971331522554E-4</v>
      </c>
      <c r="M161" s="130">
        <f>GasModel($I$161,"Kr_Weiss",$D$161,$F$161,$B$161,$C$161,$G$161,$H$161,$M$14)</f>
        <v>7.0396371916793879E-8</v>
      </c>
      <c r="N161" s="130">
        <f>GasModel($I$161,"Xe_Clvr",$D$161,$F$161,$B$161,$C$161,$G$161,$H$161,$M$15)</f>
        <v>1.126346207266442E-8</v>
      </c>
      <c r="O161" s="130">
        <f>GasModel($I$161,"N2_Weiss",$D$161,$F$161,$B$161,$C$161,$G$161,$H$161,$M$16)</f>
        <v>8.7804749725398611E-3</v>
      </c>
      <c r="P161" s="130">
        <f>GasModel($I$161,"O2_B&amp;K",$D$161,$F$161,$B$161,$C$161,$G$161,$H$161,$M$17)</f>
        <v>5.3577415974189434E-3</v>
      </c>
      <c r="Q161" s="130">
        <f>GasModel($I$161,"CO2_Weiss_F",$D$161,$F$161,$B$161,$C$161,$G$161,$H$161,$M$18)</f>
        <v>4.0655581518685808E-4</v>
      </c>
      <c r="R161" s="130">
        <f>GasModel($I$161,"CH4_Wies",$D$161,$F$161,$B$161,$C$161,$G$161,$H$161,$M$19)</f>
        <v>4.1909469119139871E-8</v>
      </c>
      <c r="S161" s="130">
        <f>GasModel($I$161,"H2_Wies",$D$161,$F$161,$B$161,$C$161,$G$161,$H$161,$M$20)</f>
        <v>6.768843774280249E-9</v>
      </c>
      <c r="T161" s="130">
        <f>GasModel($I$161,"N2O_Weiss_F",$D$161,$F$161,$B$161,$C$161,$G$161,$H$161,$M$21)</f>
        <v>2.7605927953353338E-7</v>
      </c>
      <c r="U161" s="130">
        <f>$L$161/$K$161</f>
        <v>2340.4673702065684</v>
      </c>
      <c r="V161" s="130">
        <f>$M$161/$N$161</f>
        <v>6.2499763804985511</v>
      </c>
      <c r="W161" s="130">
        <f>$N$161/$K$161</f>
        <v>9.9279907802012193E-2</v>
      </c>
      <c r="X161" s="130">
        <f>$M$161/$L$161</f>
        <v>2.6511673980991464E-4</v>
      </c>
      <c r="Y161" s="130">
        <f>$O$161/$L$161</f>
        <v>33.067768058469809</v>
      </c>
      <c r="Z161" s="130" t="e">
        <f>$I$161/$I$161</f>
        <v>#VALUE!</v>
      </c>
    </row>
    <row r="162" spans="1:26">
      <c r="A162" s="130" t="s">
        <v>376</v>
      </c>
      <c r="B162" s="130">
        <f>$N$4</f>
        <v>1.43</v>
      </c>
      <c r="C162" s="130">
        <f>$O$4</f>
        <v>88</v>
      </c>
      <c r="D162" s="130">
        <f>$P$4</f>
        <v>9</v>
      </c>
      <c r="E162" s="130">
        <v>0</v>
      </c>
      <c r="F162" s="130">
        <v>40</v>
      </c>
      <c r="G162" s="130">
        <f>$R$4</f>
        <v>2</v>
      </c>
      <c r="H162" s="130">
        <f>$Q$4</f>
        <v>0</v>
      </c>
      <c r="I162" s="130" t="s">
        <v>16</v>
      </c>
      <c r="J162" s="130">
        <f>GasModel($I$162,"He_Weiss",$D$162,$F$162,$B$162,$C$162,$G$162,$H$162,$M$11)</f>
        <v>2.5156492038274512E-8</v>
      </c>
      <c r="K162" s="130">
        <f>GasModel($I$162,"Ne_Weiss",$D$162,$F$162,$B$162,$C$162,$G$162,$H$162,$M$12)</f>
        <v>1.1196182601721295E-7</v>
      </c>
      <c r="L162" s="130">
        <f>GasModel($I$162,"Ar_Weiss",$D$162,$F$162,$B$162,$C$162,$G$162,$H$162,$M$13)</f>
        <v>2.5960282000609845E-4</v>
      </c>
      <c r="M162" s="130">
        <f>GasModel($I$162,"Kr_Weiss",$D$162,$F$162,$B$162,$C$162,$G$162,$H$162,$M$14)</f>
        <v>6.8867776337968965E-8</v>
      </c>
      <c r="N162" s="130">
        <f>GasModel($I$162,"Xe_Clvr",$D$162,$F$162,$B$162,$C$162,$G$162,$H$162,$M$15)</f>
        <v>1.1067059271591949E-8</v>
      </c>
      <c r="O162" s="130">
        <f>GasModel($I$162,"N2_Weiss",$D$162,$F$162,$B$162,$C$162,$G$162,$H$162,$M$16)</f>
        <v>8.6260058812182763E-3</v>
      </c>
      <c r="P162" s="130">
        <f>GasModel($I$162,"O2_B&amp;K",$D$162,$F$162,$B$162,$C$162,$G$162,$H$162,$M$17)</f>
        <v>5.2396347190216156E-3</v>
      </c>
      <c r="Q162" s="130">
        <f>GasModel($I$162,"CO2_Weiss_F",$D$162,$F$162,$B$162,$C$162,$G$162,$H$162,$M$18)</f>
        <v>4.0500643443250578E-4</v>
      </c>
      <c r="R162" s="130">
        <f>GasModel($I$162,"CH4_Wies",$D$162,$F$162,$B$162,$C$162,$G$162,$H$162,$M$19)</f>
        <v>4.0970173554197102E-8</v>
      </c>
      <c r="S162" s="130">
        <f>GasModel($I$162,"H2_Wies",$D$162,$F$162,$B$162,$C$162,$G$162,$H$162,$M$20)</f>
        <v>6.6479692877578737E-9</v>
      </c>
      <c r="T162" s="130">
        <f>GasModel($I$162,"N2O_Weiss_F",$D$162,$F$162,$B$162,$C$162,$G$162,$H$162,$M$21)</f>
        <v>2.746970661818955E-7</v>
      </c>
      <c r="U162" s="130">
        <f>$L$162/$K$162</f>
        <v>2318.6726158448619</v>
      </c>
      <c r="V162" s="130">
        <f>$M$162/$N$162</f>
        <v>6.2227710765718731</v>
      </c>
      <c r="W162" s="130">
        <f>$N$162/$K$162</f>
        <v>9.8846720040904876E-2</v>
      </c>
      <c r="X162" s="130">
        <f>$M$162/$L$162</f>
        <v>2.652813106435098E-4</v>
      </c>
      <c r="Y162" s="130">
        <f>$O$162/$L$162</f>
        <v>33.2277048493373</v>
      </c>
      <c r="Z162" s="130" t="e">
        <f>$I$162/$I$162</f>
        <v>#VALUE!</v>
      </c>
    </row>
    <row r="163" spans="1:26">
      <c r="A163" s="130" t="s">
        <v>376</v>
      </c>
      <c r="B163" s="130">
        <f>$N$4</f>
        <v>1.43</v>
      </c>
      <c r="C163" s="130">
        <f>$O$4</f>
        <v>88</v>
      </c>
      <c r="D163" s="130">
        <f>$P$4</f>
        <v>9</v>
      </c>
      <c r="E163" s="130">
        <v>0</v>
      </c>
      <c r="F163" s="130">
        <v>45</v>
      </c>
      <c r="G163" s="130">
        <f>$R$4</f>
        <v>2</v>
      </c>
      <c r="H163" s="130">
        <f>$Q$4</f>
        <v>0</v>
      </c>
      <c r="I163" s="130" t="s">
        <v>16</v>
      </c>
      <c r="J163" s="130">
        <f>GasModel($I$163,"He_Weiss",$D$163,$F$163,$B$163,$C$163,$G$163,$H$163,$M$11)</f>
        <v>2.4928047478757847E-8</v>
      </c>
      <c r="K163" s="130">
        <f>GasModel($I$163,"Ne_Weiss",$D$163,$F$163,$B$163,$C$163,$G$163,$H$163,$M$12)</f>
        <v>1.1076710557162587E-7</v>
      </c>
      <c r="L163" s="130">
        <f>GasModel($I$163,"Ar_Weiss",$D$163,$F$163,$B$163,$C$163,$G$163,$H$163,$M$13)</f>
        <v>2.5457772937972732E-4</v>
      </c>
      <c r="M163" s="130">
        <f>GasModel($I$163,"Kr_Weiss",$D$163,$F$163,$B$163,$C$163,$G$163,$H$163,$M$14)</f>
        <v>6.7518521025446782E-8</v>
      </c>
      <c r="N163" s="130">
        <f>GasModel($I$163,"Xe_Clvr",$D$163,$F$163,$B$163,$C$163,$G$163,$H$163,$M$15)</f>
        <v>1.088678790058459E-8</v>
      </c>
      <c r="O163" s="130">
        <f>GasModel($I$163,"N2_Weiss",$D$163,$F$163,$B$163,$C$163,$G$163,$H$163,$M$16)</f>
        <v>8.499986977867878E-3</v>
      </c>
      <c r="P163" s="130">
        <f>GasModel($I$163,"O2_B&amp;K",$D$163,$F$163,$B$163,$C$163,$G$163,$H$163,$M$17)</f>
        <v>5.1400023720451094E-3</v>
      </c>
      <c r="Q163" s="130">
        <f>GasModel($I$163,"CO2_Weiss_F",$D$163,$F$163,$B$163,$C$163,$G$163,$H$163,$M$18)</f>
        <v>4.0348117510967553E-4</v>
      </c>
      <c r="R163" s="130">
        <f>GasModel($I$163,"CH4_Wies",$D$163,$F$163,$B$163,$C$163,$G$163,$H$163,$M$19)</f>
        <v>4.0172070785115514E-8</v>
      </c>
      <c r="S163" s="130">
        <f>GasModel($I$163,"H2_Wies",$D$163,$F$163,$B$163,$C$163,$G$163,$H$163,$M$20)</f>
        <v>6.5492317985581323E-9</v>
      </c>
      <c r="T163" s="130">
        <f>GasModel($I$163,"N2O_Weiss_F",$D$163,$F$163,$B$163,$C$163,$G$163,$H$163,$M$21)</f>
        <v>2.7336250786373792E-7</v>
      </c>
      <c r="U163" s="130">
        <f>$L$163/$K$163</f>
        <v>2298.3152630553163</v>
      </c>
      <c r="V163" s="130">
        <f>$M$163/$N$163</f>
        <v>6.2018771415415586</v>
      </c>
      <c r="W163" s="130">
        <f>$N$163/$K$163</f>
        <v>9.8285387565217305E-2</v>
      </c>
      <c r="X163" s="130">
        <f>$M$163/$L$163</f>
        <v>2.6521770458851242E-4</v>
      </c>
      <c r="Y163" s="130">
        <f>$O$163/$L$163</f>
        <v>33.388572514091855</v>
      </c>
      <c r="Z163" s="130" t="e">
        <f>$I$163/$I$163</f>
        <v>#VALUE!</v>
      </c>
    </row>
    <row r="164" spans="1:26">
      <c r="A164" s="130" t="s">
        <v>376</v>
      </c>
      <c r="B164" s="130">
        <f>$N$4</f>
        <v>1.43</v>
      </c>
      <c r="C164" s="130">
        <f>$O$4</f>
        <v>88</v>
      </c>
      <c r="D164" s="130">
        <f>$P$4</f>
        <v>9</v>
      </c>
      <c r="E164" s="130">
        <v>0</v>
      </c>
      <c r="F164" s="130">
        <v>50</v>
      </c>
      <c r="G164" s="130">
        <f>$R$4</f>
        <v>2</v>
      </c>
      <c r="H164" s="130">
        <f>$Q$4</f>
        <v>0</v>
      </c>
      <c r="I164" s="130" t="s">
        <v>16</v>
      </c>
      <c r="J164" s="130">
        <f>GasModel($I$164,"He_Weiss",$D$164,$F$164,$B$164,$C$164,$G$164,$H$164,$M$11)</f>
        <v>2.4741619278536721E-8</v>
      </c>
      <c r="K164" s="130">
        <f>GasModel($I$164,"Ne_Weiss",$D$164,$F$164,$B$164,$C$164,$G$164,$H$164,$M$12)</f>
        <v>1.0978767004658784E-7</v>
      </c>
      <c r="L164" s="130">
        <f>GasModel($I$164,"Ar_Weiss",$D$164,$F$164,$B$164,$C$164,$G$164,$H$164,$M$13)</f>
        <v>2.5026317279471091E-4</v>
      </c>
      <c r="M164" s="130">
        <f>GasModel($I$164,"Kr_Weiss",$D$164,$F$164,$B$164,$C$164,$G$164,$H$164,$M$14)</f>
        <v>6.6318793571833865E-8</v>
      </c>
      <c r="N164" s="130">
        <f>GasModel($I$164,"Xe_Clvr",$D$164,$F$164,$B$164,$C$164,$G$164,$H$164,$M$15)</f>
        <v>1.0720738939313185E-8</v>
      </c>
      <c r="O164" s="130">
        <f>GasModel($I$164,"N2_Weiss",$D$164,$F$164,$B$164,$C$164,$G$164,$H$164,$M$16)</f>
        <v>8.3952210980387902E-3</v>
      </c>
      <c r="P164" s="130">
        <f>GasModel($I$164,"O2_B&amp;K",$D$164,$F$164,$B$164,$C$164,$G$164,$H$164,$M$17)</f>
        <v>5.0548242501736885E-3</v>
      </c>
      <c r="Q164" s="130">
        <f>GasModel($I$164,"CO2_Weiss_F",$D$164,$F$164,$B$164,$C$164,$G$164,$H$164,$M$18)</f>
        <v>4.0197947826998227E-4</v>
      </c>
      <c r="R164" s="130">
        <f>GasModel($I$164,"CH4_Wies",$D$164,$F$164,$B$164,$C$164,$G$164,$H$164,$M$19)</f>
        <v>3.9485550606542482E-8</v>
      </c>
      <c r="S164" s="130">
        <f>GasModel($I$164,"H2_Wies",$D$164,$F$164,$B$164,$C$164,$G$164,$H$164,$M$20)</f>
        <v>6.4670601884084627E-9</v>
      </c>
      <c r="T164" s="130">
        <f>GasModel($I$164,"N2O_Weiss_F",$D$164,$F$164,$B$164,$C$164,$G$164,$H$164,$M$21)</f>
        <v>2.720547708819361E-7</v>
      </c>
      <c r="U164" s="130">
        <f>$L$164/$K$164</f>
        <v>2279.5198467051264</v>
      </c>
      <c r="V164" s="130">
        <f>$M$164/$N$164</f>
        <v>6.1860282157082844</v>
      </c>
      <c r="W164" s="130">
        <f>$N$164/$K$164</f>
        <v>9.7649753699699554E-2</v>
      </c>
      <c r="X164" s="130">
        <f>$M$164/$L$164</f>
        <v>2.6499621510926301E-4</v>
      </c>
      <c r="Y164" s="130">
        <f>$O$164/$L$164</f>
        <v>33.545571265195022</v>
      </c>
      <c r="Z164" s="130" t="e">
        <f>$I$164/$I$164</f>
        <v>#VALUE!</v>
      </c>
    </row>
    <row r="165" spans="1:26">
      <c r="A165" s="130" t="s">
        <v>376</v>
      </c>
      <c r="B165" s="130">
        <f>$N$4</f>
        <v>1.43</v>
      </c>
      <c r="C165" s="130">
        <f>$O$4</f>
        <v>88</v>
      </c>
      <c r="D165" s="130">
        <f>$P$4</f>
        <v>9</v>
      </c>
      <c r="E165" s="130">
        <v>0</v>
      </c>
      <c r="F165" s="130">
        <v>75</v>
      </c>
      <c r="G165" s="130">
        <f>$R$4</f>
        <v>2</v>
      </c>
      <c r="H165" s="130">
        <f>$Q$4</f>
        <v>0</v>
      </c>
      <c r="I165" s="130" t="s">
        <v>16</v>
      </c>
      <c r="J165" s="130">
        <f>GasModel($I$165,"He_Weiss",$D$165,$F$165,$B$165,$C$165,$G$165,$H$165,$M$11)</f>
        <v>2.4161804026327205E-8</v>
      </c>
      <c r="K165" s="130">
        <f>GasModel($I$165,"Ne_Weiss",$D$165,$F$165,$B$165,$C$165,$G$165,$H$165,$M$12)</f>
        <v>1.0671564431688236E-7</v>
      </c>
      <c r="L165" s="130">
        <f>GasModel($I$165,"Ar_Weiss",$D$165,$F$165,$B$165,$C$165,$G$165,$H$165,$M$13)</f>
        <v>2.3545141200413244E-4</v>
      </c>
      <c r="M165" s="130">
        <f>GasModel($I$165,"Kr_Weiss",$D$165,$F$165,$B$165,$C$165,$G$165,$H$165,$M$14)</f>
        <v>6.1881835408850636E-8</v>
      </c>
      <c r="N165" s="130">
        <f>GasModel($I$165,"Xe_Clvr",$D$165,$F$165,$B$165,$C$165,$G$165,$H$165,$M$15)</f>
        <v>1.0054626426701678E-8</v>
      </c>
      <c r="O165" s="130">
        <f>GasModel($I$165,"N2_Weiss",$D$165,$F$165,$B$165,$C$165,$G$165,$H$165,$M$16)</f>
        <v>8.0578198486950352E-3</v>
      </c>
      <c r="P165" s="130">
        <f>GasModel($I$165,"O2_B&amp;K",$D$165,$F$165,$B$165,$C$165,$G$165,$H$165,$M$17)</f>
        <v>4.7649580979128251E-3</v>
      </c>
      <c r="Q165" s="130">
        <f>GasModel($I$165,"CO2_Weiss_F",$D$165,$F$165,$B$165,$C$165,$G$165,$H$165,$M$18)</f>
        <v>3.9480603203734461E-4</v>
      </c>
      <c r="R165" s="130">
        <f>GasModel($I$165,"CH4_Wies",$D$165,$F$165,$B$165,$C$165,$G$165,$H$165,$M$19)</f>
        <v>3.7119794926121563E-8</v>
      </c>
      <c r="S165" s="130">
        <f>GasModel($I$165,"H2_Wies",$D$165,$F$165,$B$165,$C$165,$G$165,$H$165,$M$20)</f>
        <v>6.2018914400456903E-9</v>
      </c>
      <c r="T165" s="130">
        <f>GasModel($I$165,"N2O_Weiss_F",$D$165,$F$165,$B$165,$C$165,$G$165,$H$165,$M$21)</f>
        <v>2.658914601348143E-7</v>
      </c>
      <c r="U165" s="130">
        <f>$L$165/$K$165</f>
        <v>2206.3439105983466</v>
      </c>
      <c r="V165" s="130">
        <f>$M$165/$N$165</f>
        <v>6.1545633604559855</v>
      </c>
      <c r="W165" s="130">
        <f>$N$165/$K$165</f>
        <v>9.4218860702798016E-2</v>
      </c>
      <c r="X165" s="130">
        <f>$M$165/$L$165</f>
        <v>2.6282210364389122E-4</v>
      </c>
      <c r="Y165" s="130">
        <f>$O$165/$L$165</f>
        <v>34.222856342664919</v>
      </c>
      <c r="Z165" s="130" t="e">
        <f>$I$165/$I$165</f>
        <v>#VALUE!</v>
      </c>
    </row>
    <row r="166" spans="1:26">
      <c r="A166" s="130" t="s">
        <v>376</v>
      </c>
      <c r="B166" s="130">
        <f>$N$4</f>
        <v>1.43</v>
      </c>
      <c r="C166" s="130">
        <f>$O$4</f>
        <v>88</v>
      </c>
      <c r="D166" s="130">
        <f>$P$4</f>
        <v>9</v>
      </c>
      <c r="E166" s="130">
        <v>0</v>
      </c>
      <c r="F166" s="130">
        <v>100</v>
      </c>
      <c r="G166" s="130">
        <f>$R$4</f>
        <v>2</v>
      </c>
      <c r="H166" s="130">
        <f>$Q$4</f>
        <v>0</v>
      </c>
      <c r="I166" s="130" t="s">
        <v>16</v>
      </c>
      <c r="J166" s="130">
        <f>GasModel($I$166,"He_Weiss",$D$166,$F$166,$B$166,$C$166,$G$166,$H$166,$M$11)</f>
        <v>2.3859756867515734E-8</v>
      </c>
      <c r="K166" s="130">
        <f>GasModel($I$166,"Ne_Weiss",$D$166,$F$166,$B$166,$C$166,$G$166,$H$166,$M$12)</f>
        <v>1.050996260219066E-7</v>
      </c>
      <c r="L166" s="130">
        <f>GasModel($I$166,"Ar_Weiss",$D$166,$F$166,$B$166,$C$166,$G$166,$H$166,$M$13)</f>
        <v>2.2677427099302046E-4</v>
      </c>
      <c r="M166" s="130">
        <f>GasModel($I$166,"Kr_Weiss",$D$166,$F$166,$B$166,$C$166,$G$166,$H$166,$M$14)</f>
        <v>5.9026856740555529E-8</v>
      </c>
      <c r="N166" s="130">
        <f>GasModel($I$166,"Xe_Clvr",$D$166,$F$166,$B$166,$C$166,$G$166,$H$166,$M$15)</f>
        <v>9.5769456948415838E-9</v>
      </c>
      <c r="O166" s="130">
        <f>GasModel($I$166,"N2_Weiss",$D$166,$F$166,$B$166,$C$166,$G$166,$H$166,$M$16)</f>
        <v>7.8747726668174887E-3</v>
      </c>
      <c r="P166" s="130">
        <f>GasModel($I$166,"O2_B&amp;K",$D$166,$F$166,$B$166,$C$166,$G$166,$H$166,$M$17)</f>
        <v>4.5969565756720553E-3</v>
      </c>
      <c r="Q166" s="130">
        <f>GasModel($I$166,"CO2_Weiss_F",$D$166,$F$166,$B$166,$C$166,$G$166,$H$166,$M$18)</f>
        <v>3.8814694011416487E-4</v>
      </c>
      <c r="R166" s="130">
        <f>GasModel($I$166,"CH4_Wies",$D$166,$F$166,$B$166,$C$166,$G$166,$H$166,$M$19)</f>
        <v>3.5727395022931157E-8</v>
      </c>
      <c r="S166" s="130">
        <f>GasModel($I$166,"H2_Wies",$D$166,$F$166,$B$166,$C$166,$G$166,$H$166,$M$20)</f>
        <v>6.0576906045966784E-9</v>
      </c>
      <c r="T166" s="130">
        <f>GasModel($I$166,"N2O_Weiss_F",$D$166,$F$166,$B$166,$C$166,$G$166,$H$166,$M$21)</f>
        <v>2.6029093338070902E-7</v>
      </c>
      <c r="U166" s="130">
        <f>$L$166/$K$166</f>
        <v>2157.7076872352754</v>
      </c>
      <c r="V166" s="130">
        <f>$M$166/$N$166</f>
        <v>6.1634323323300331</v>
      </c>
      <c r="W166" s="130">
        <f>$N$166/$K$166</f>
        <v>9.1122547789517339E-2</v>
      </c>
      <c r="X166" s="130">
        <f>$M$166/$L$166</f>
        <v>2.6028903756181507E-4</v>
      </c>
      <c r="Y166" s="130">
        <f>$O$166/$L$166</f>
        <v>34.725159218171868</v>
      </c>
      <c r="Z166" s="130" t="e">
        <f>$I$166/$I$166</f>
        <v>#VALUE!</v>
      </c>
    </row>
    <row r="167" spans="1:26">
      <c r="A167" s="130" t="s">
        <v>376</v>
      </c>
      <c r="B167" s="130">
        <f>$N$4</f>
        <v>1.43</v>
      </c>
      <c r="C167" s="130">
        <f>$O$4</f>
        <v>88</v>
      </c>
      <c r="D167" s="130">
        <f>$P$4</f>
        <v>9</v>
      </c>
      <c r="E167" s="130">
        <v>0</v>
      </c>
      <c r="F167" s="130">
        <v>200</v>
      </c>
      <c r="G167" s="130">
        <f>$R$4</f>
        <v>2</v>
      </c>
      <c r="H167" s="130">
        <f>$Q$4</f>
        <v>0</v>
      </c>
      <c r="I167" s="130" t="s">
        <v>16</v>
      </c>
      <c r="J167" s="130">
        <f>GasModel($I$167,"He_Weiss",$D$167,$F$167,$B$167,$C$167,$G$167,$H$167,$M$11)</f>
        <v>2.3390538215809399E-8</v>
      </c>
      <c r="K167" s="130">
        <f>GasModel($I$167,"Ne_Weiss",$D$167,$F$167,$B$167,$C$167,$G$167,$H$167,$M$12)</f>
        <v>1.0256756936687855E-7</v>
      </c>
      <c r="L167" s="130">
        <f>GasModel($I$167,"Ar_Weiss",$D$167,$F$167,$B$167,$C$167,$G$167,$H$167,$M$13)</f>
        <v>2.1172190878343119E-4</v>
      </c>
      <c r="M167" s="130">
        <f>GasModel($I$167,"Kr_Weiss",$D$167,$F$167,$B$167,$C$167,$G$167,$H$167,$M$14)</f>
        <v>5.3549011452531937E-8</v>
      </c>
      <c r="N167" s="130">
        <f>GasModel($I$167,"Xe_Clvr",$D$167,$F$167,$B$167,$C$167,$G$167,$H$167,$M$15)</f>
        <v>8.5292361496733776E-9</v>
      </c>
      <c r="O167" s="130">
        <f>GasModel($I$167,"N2_Weiss",$D$167,$F$167,$B$167,$C$167,$G$167,$H$167,$M$16)</f>
        <v>7.5798795079621206E-3</v>
      </c>
      <c r="P167" s="130">
        <f>GasModel($I$167,"O2_B&amp;K",$D$167,$F$167,$B$167,$C$167,$G$167,$H$167,$M$17)</f>
        <v>4.3086390057386868E-3</v>
      </c>
      <c r="Q167" s="130">
        <f>GasModel($I$167,"CO2_Weiss_F",$D$167,$F$167,$B$167,$C$167,$G$167,$H$167,$M$18)</f>
        <v>3.6568646606129231E-4</v>
      </c>
      <c r="R167" s="130">
        <f>GasModel($I$167,"CH4_Wies",$D$167,$F$167,$B$167,$C$167,$G$167,$H$167,$M$19)</f>
        <v>3.3300545061745015E-8</v>
      </c>
      <c r="S167" s="130">
        <f>GasModel($I$167,"H2_Wies",$D$167,$F$167,$B$167,$C$167,$G$167,$H$167,$M$20)</f>
        <v>5.8248730005065134E-9</v>
      </c>
      <c r="T167" s="130">
        <f>GasModel($I$167,"N2O_Weiss_F",$D$167,$F$167,$B$167,$C$167,$G$167,$H$167,$M$21)</f>
        <v>2.4221306734161988E-7</v>
      </c>
      <c r="U167" s="130">
        <f>$L$167/$K$167</f>
        <v>2064.2188373023987</v>
      </c>
      <c r="V167" s="130">
        <f>$M$167/$N$167</f>
        <v>6.2782892292860915</v>
      </c>
      <c r="W167" s="130">
        <f>$N$167/$K$167</f>
        <v>8.3157241634193052E-2</v>
      </c>
      <c r="X167" s="130">
        <f>$M$167/$L$167</f>
        <v>2.529214466288741E-4</v>
      </c>
      <c r="Y167" s="130">
        <f>$O$167/$L$167</f>
        <v>35.8011107660829</v>
      </c>
      <c r="Z167" s="130" t="e">
        <f>$I$167/$I$167</f>
        <v>#VALUE!</v>
      </c>
    </row>
    <row r="168" spans="1:26">
      <c r="A168" s="130" t="s">
        <v>377</v>
      </c>
      <c r="B168" s="130">
        <f>$N$4</f>
        <v>1.43</v>
      </c>
      <c r="C168" s="130">
        <f>$O$4</f>
        <v>88</v>
      </c>
      <c r="D168" s="130">
        <f>$P$4</f>
        <v>9</v>
      </c>
      <c r="E168" s="130">
        <v>0</v>
      </c>
      <c r="F168" s="130">
        <f>$T$4</f>
        <v>20</v>
      </c>
      <c r="G168" s="130">
        <f>$R$4</f>
        <v>2</v>
      </c>
      <c r="H168" s="130">
        <v>0</v>
      </c>
      <c r="I168" s="130" t="s">
        <v>16</v>
      </c>
      <c r="J168" s="130">
        <f>GasModel($I$168,"He_Weiss",$D$168,$F$168,$B$168,$C$168,$G$168,$H$168,$M$11)</f>
        <v>2.7007656237026694E-8</v>
      </c>
      <c r="K168" s="130">
        <f>GasModel($I$168,"Ne_Weiss",$D$168,$F$168,$B$168,$C$168,$G$168,$H$168,$M$12)</f>
        <v>1.2142683236031447E-7</v>
      </c>
      <c r="L168" s="130">
        <f>GasModel($I$168,"Ar_Weiss",$D$168,$F$168,$B$168,$C$168,$G$168,$H$168,$M$13)</f>
        <v>2.920429514378525E-4</v>
      </c>
      <c r="M168" s="130">
        <f>GasModel($I$168,"Kr_Weiss",$D$168,$F$168,$B$168,$C$168,$G$168,$H$168,$M$14)</f>
        <v>7.6504806350245311E-8</v>
      </c>
      <c r="N168" s="130">
        <f>GasModel($I$168,"Xe_Clvr",$D$168,$F$168,$B$168,$C$168,$G$168,$H$168,$M$15)</f>
        <v>1.1974468602316624E-8</v>
      </c>
      <c r="O168" s="130">
        <f>GasModel($I$168,"N2_Weiss",$D$168,$F$168,$B$168,$C$168,$G$168,$H$168,$M$16)</f>
        <v>9.560259764809162E-3</v>
      </c>
      <c r="P168" s="130">
        <f>GasModel($I$168,"O2_B&amp;K",$D$168,$F$168,$B$168,$C$168,$G$168,$H$168,$M$17)</f>
        <v>5.894093869520888E-3</v>
      </c>
      <c r="Q168" s="130">
        <f>GasModel($I$168,"CO2_Weiss_F",$D$168,$F$168,$B$168,$C$168,$G$168,$H$168,$M$18)</f>
        <v>4.1135454715358389E-4</v>
      </c>
      <c r="R168" s="130">
        <f>GasModel($I$168,"CH4_Wies",$D$168,$F$168,$B$168,$C$168,$G$168,$H$168,$M$19)</f>
        <v>4.6084531624424772E-8</v>
      </c>
      <c r="S168" s="130">
        <f>GasModel($I$168,"H2_Wies",$D$168,$F$168,$B$168,$C$168,$G$168,$H$168,$M$20)</f>
        <v>7.3764588527389034E-9</v>
      </c>
      <c r="T168" s="130">
        <f>GasModel($I$168,"N2O_Weiss_F",$D$168,$F$168,$B$168,$C$168,$G$168,$H$168,$M$21)</f>
        <v>2.8032072166941197E-7</v>
      </c>
      <c r="U168" s="130">
        <f>$L$168/$K$168</f>
        <v>2405.0940452046243</v>
      </c>
      <c r="V168" s="130">
        <f>$M$168/$N$168</f>
        <v>6.3889938577687211</v>
      </c>
      <c r="W168" s="130">
        <f>$N$168/$K$168</f>
        <v>9.8614683176320758E-2</v>
      </c>
      <c r="X168" s="130">
        <f>$M$168/$L$168</f>
        <v>2.61964228116376E-4</v>
      </c>
      <c r="Y168" s="130">
        <f>$O$168/$L$168</f>
        <v>32.73580039422253</v>
      </c>
      <c r="Z168" s="130" t="e">
        <f>$I$168/$I$168</f>
        <v>#VALUE!</v>
      </c>
    </row>
    <row r="169" spans="1:26">
      <c r="A169" s="130" t="s">
        <v>377</v>
      </c>
      <c r="B169" s="130">
        <f>$N$4</f>
        <v>1.43</v>
      </c>
      <c r="C169" s="130">
        <f>$O$4</f>
        <v>88</v>
      </c>
      <c r="D169" s="130">
        <f>$P$4</f>
        <v>9</v>
      </c>
      <c r="E169" s="130">
        <v>0</v>
      </c>
      <c r="F169" s="130">
        <f>$T$4</f>
        <v>20</v>
      </c>
      <c r="G169" s="130">
        <f>$R$4</f>
        <v>2</v>
      </c>
      <c r="H169" s="130">
        <v>1</v>
      </c>
      <c r="I169" s="130" t="s">
        <v>16</v>
      </c>
      <c r="J169" s="130">
        <f>GasModel($I$169,"He_Weiss",$D$169,$F$169,$B$169,$C$169,$G$169,$H$169,$M$11)</f>
        <v>2.7007656237026694E-8</v>
      </c>
      <c r="K169" s="130">
        <f>GasModel($I$169,"Ne_Weiss",$D$169,$F$169,$B$169,$C$169,$G$169,$H$169,$M$12)</f>
        <v>1.2142683236031447E-7</v>
      </c>
      <c r="L169" s="130">
        <f>GasModel($I$169,"Ar_Weiss",$D$169,$F$169,$B$169,$C$169,$G$169,$H$169,$M$13)</f>
        <v>2.920429514378525E-4</v>
      </c>
      <c r="M169" s="130">
        <f>GasModel($I$169,"Kr_Weiss",$D$169,$F$169,$B$169,$C$169,$G$169,$H$169,$M$14)</f>
        <v>7.6504806350245311E-8</v>
      </c>
      <c r="N169" s="130">
        <f>GasModel($I$169,"Xe_Clvr",$D$169,$F$169,$B$169,$C$169,$G$169,$H$169,$M$15)</f>
        <v>1.1974468602316624E-8</v>
      </c>
      <c r="O169" s="130">
        <f>GasModel($I$169,"N2_Weiss",$D$169,$F$169,$B$169,$C$169,$G$169,$H$169,$M$16)</f>
        <v>1.0359620276399889E-2</v>
      </c>
      <c r="P169" s="130">
        <f>GasModel($I$169,"O2_B&amp;K",$D$169,$F$169,$B$169,$C$169,$G$169,$H$169,$M$17)</f>
        <v>5.894093869520888E-3</v>
      </c>
      <c r="Q169" s="130">
        <f>GasModel($I$169,"CO2_Weiss_F",$D$169,$F$169,$B$169,$C$169,$G$169,$H$169,$M$18)</f>
        <v>4.1135454715358389E-4</v>
      </c>
      <c r="R169" s="130">
        <f>GasModel($I$169,"CH4_Wies",$D$169,$F$169,$B$169,$C$169,$G$169,$H$169,$M$19)</f>
        <v>4.6084531624424772E-8</v>
      </c>
      <c r="S169" s="130">
        <f>GasModel($I$169,"H2_Wies",$D$169,$F$169,$B$169,$C$169,$G$169,$H$169,$M$20)</f>
        <v>7.3764588527389034E-9</v>
      </c>
      <c r="T169" s="130">
        <f>GasModel($I$169,"N2O_Weiss_F",$D$169,$F$169,$B$169,$C$169,$G$169,$H$169,$M$21)</f>
        <v>2.8032072166941197E-7</v>
      </c>
      <c r="U169" s="130">
        <f>$L$169/$K$169</f>
        <v>2405.0940452046243</v>
      </c>
      <c r="V169" s="130">
        <f>$M$169/$N$169</f>
        <v>6.3889938577687211</v>
      </c>
      <c r="W169" s="130">
        <f>$N$169/$K$169</f>
        <v>9.8614683176320758E-2</v>
      </c>
      <c r="X169" s="130">
        <f>$M$169/$L$169</f>
        <v>2.61964228116376E-4</v>
      </c>
      <c r="Y169" s="130">
        <f>$O$169/$L$169</f>
        <v>35.47293377701822</v>
      </c>
      <c r="Z169" s="130" t="e">
        <f>$I$169/$I$169</f>
        <v>#VALUE!</v>
      </c>
    </row>
    <row r="170" spans="1:26">
      <c r="A170" s="130" t="s">
        <v>377</v>
      </c>
      <c r="B170" s="130">
        <f>$N$4</f>
        <v>1.43</v>
      </c>
      <c r="C170" s="130">
        <f>$O$4</f>
        <v>88</v>
      </c>
      <c r="D170" s="130">
        <f>$P$4</f>
        <v>9</v>
      </c>
      <c r="E170" s="130">
        <v>0</v>
      </c>
      <c r="F170" s="130">
        <f>$T$4</f>
        <v>20</v>
      </c>
      <c r="G170" s="130">
        <f>$R$4</f>
        <v>2</v>
      </c>
      <c r="H170" s="130">
        <v>2</v>
      </c>
      <c r="I170" s="130" t="s">
        <v>16</v>
      </c>
      <c r="J170" s="130">
        <f>GasModel($I$170,"He_Weiss",$D$170,$F$170,$B$170,$C$170,$G$170,$H$170,$M$11)</f>
        <v>2.7007656237026694E-8</v>
      </c>
      <c r="K170" s="130">
        <f>GasModel($I$170,"Ne_Weiss",$D$170,$F$170,$B$170,$C$170,$G$170,$H$170,$M$12)</f>
        <v>1.2142683236031447E-7</v>
      </c>
      <c r="L170" s="130">
        <f>GasModel($I$170,"Ar_Weiss",$D$170,$F$170,$B$170,$C$170,$G$170,$H$170,$M$13)</f>
        <v>2.920429514378525E-4</v>
      </c>
      <c r="M170" s="130">
        <f>GasModel($I$170,"Kr_Weiss",$D$170,$F$170,$B$170,$C$170,$G$170,$H$170,$M$14)</f>
        <v>7.6504806350245311E-8</v>
      </c>
      <c r="N170" s="130">
        <f>GasModel($I$170,"Xe_Clvr",$D$170,$F$170,$B$170,$C$170,$G$170,$H$170,$M$15)</f>
        <v>1.1974468602316624E-8</v>
      </c>
      <c r="O170" s="130">
        <f>GasModel($I$170,"N2_Weiss",$D$170,$F$170,$B$170,$C$170,$G$170,$H$170,$M$16)</f>
        <v>1.1158980787990618E-2</v>
      </c>
      <c r="P170" s="130">
        <f>GasModel($I$170,"O2_B&amp;K",$D$170,$F$170,$B$170,$C$170,$G$170,$H$170,$M$17)</f>
        <v>5.894093869520888E-3</v>
      </c>
      <c r="Q170" s="130">
        <f>GasModel($I$170,"CO2_Weiss_F",$D$170,$F$170,$B$170,$C$170,$G$170,$H$170,$M$18)</f>
        <v>4.1135454715358389E-4</v>
      </c>
      <c r="R170" s="130">
        <f>GasModel($I$170,"CH4_Wies",$D$170,$F$170,$B$170,$C$170,$G$170,$H$170,$M$19)</f>
        <v>4.6084531624424772E-8</v>
      </c>
      <c r="S170" s="130">
        <f>GasModel($I$170,"H2_Wies",$D$170,$F$170,$B$170,$C$170,$G$170,$H$170,$M$20)</f>
        <v>7.3764588527389034E-9</v>
      </c>
      <c r="T170" s="130">
        <f>GasModel($I$170,"N2O_Weiss_F",$D$170,$F$170,$B$170,$C$170,$G$170,$H$170,$M$21)</f>
        <v>2.8032072166941197E-7</v>
      </c>
      <c r="U170" s="130">
        <f>$L$170/$K$170</f>
        <v>2405.0940452046243</v>
      </c>
      <c r="V170" s="130">
        <f>$M$170/$N$170</f>
        <v>6.3889938577687211</v>
      </c>
      <c r="W170" s="130">
        <f>$N$170/$K$170</f>
        <v>9.8614683176320758E-2</v>
      </c>
      <c r="X170" s="130">
        <f>$M$170/$L$170</f>
        <v>2.61964228116376E-4</v>
      </c>
      <c r="Y170" s="130">
        <f>$O$170/$L$170</f>
        <v>38.210067159813917</v>
      </c>
      <c r="Z170" s="130" t="e">
        <f>$I$170/$I$170</f>
        <v>#VALUE!</v>
      </c>
    </row>
    <row r="171" spans="1:26">
      <c r="A171" s="130" t="s">
        <v>377</v>
      </c>
      <c r="B171" s="130">
        <f>$N$4</f>
        <v>1.43</v>
      </c>
      <c r="C171" s="130">
        <f>$O$4</f>
        <v>88</v>
      </c>
      <c r="D171" s="130">
        <f>$P$4</f>
        <v>9</v>
      </c>
      <c r="E171" s="130">
        <v>0</v>
      </c>
      <c r="F171" s="130">
        <f>$T$4</f>
        <v>20</v>
      </c>
      <c r="G171" s="130">
        <f>$R$4</f>
        <v>2</v>
      </c>
      <c r="H171" s="130">
        <v>3</v>
      </c>
      <c r="I171" s="130" t="s">
        <v>16</v>
      </c>
      <c r="J171" s="130">
        <f>GasModel($I$171,"He_Weiss",$D$171,$F$171,$B$171,$C$171,$G$171,$H$171,$M$11)</f>
        <v>2.7007656237026694E-8</v>
      </c>
      <c r="K171" s="130">
        <f>GasModel($I$171,"Ne_Weiss",$D$171,$F$171,$B$171,$C$171,$G$171,$H$171,$M$12)</f>
        <v>1.2142683236031447E-7</v>
      </c>
      <c r="L171" s="130">
        <f>GasModel($I$171,"Ar_Weiss",$D$171,$F$171,$B$171,$C$171,$G$171,$H$171,$M$13)</f>
        <v>2.920429514378525E-4</v>
      </c>
      <c r="M171" s="130">
        <f>GasModel($I$171,"Kr_Weiss",$D$171,$F$171,$B$171,$C$171,$G$171,$H$171,$M$14)</f>
        <v>7.6504806350245311E-8</v>
      </c>
      <c r="N171" s="130">
        <f>GasModel($I$171,"Xe_Clvr",$D$171,$F$171,$B$171,$C$171,$G$171,$H$171,$M$15)</f>
        <v>1.1974468602316624E-8</v>
      </c>
      <c r="O171" s="130">
        <f>GasModel($I$171,"N2_Weiss",$D$171,$F$171,$B$171,$C$171,$G$171,$H$171,$M$16)</f>
        <v>1.1958341299581345E-2</v>
      </c>
      <c r="P171" s="130">
        <f>GasModel($I$171,"O2_B&amp;K",$D$171,$F$171,$B$171,$C$171,$G$171,$H$171,$M$17)</f>
        <v>5.894093869520888E-3</v>
      </c>
      <c r="Q171" s="130">
        <f>GasModel($I$171,"CO2_Weiss_F",$D$171,$F$171,$B$171,$C$171,$G$171,$H$171,$M$18)</f>
        <v>4.1135454715358389E-4</v>
      </c>
      <c r="R171" s="130">
        <f>GasModel($I$171,"CH4_Wies",$D$171,$F$171,$B$171,$C$171,$G$171,$H$171,$M$19)</f>
        <v>4.6084531624424772E-8</v>
      </c>
      <c r="S171" s="130">
        <f>GasModel($I$171,"H2_Wies",$D$171,$F$171,$B$171,$C$171,$G$171,$H$171,$M$20)</f>
        <v>7.3764588527389034E-9</v>
      </c>
      <c r="T171" s="130">
        <f>GasModel($I$171,"N2O_Weiss_F",$D$171,$F$171,$B$171,$C$171,$G$171,$H$171,$M$21)</f>
        <v>2.8032072166941197E-7</v>
      </c>
      <c r="U171" s="130">
        <f>$L$171/$K$171</f>
        <v>2405.0940452046243</v>
      </c>
      <c r="V171" s="130">
        <f>$M$171/$N$171</f>
        <v>6.3889938577687211</v>
      </c>
      <c r="W171" s="130">
        <f>$N$171/$K$171</f>
        <v>9.8614683176320758E-2</v>
      </c>
      <c r="X171" s="130">
        <f>$M$171/$L$171</f>
        <v>2.61964228116376E-4</v>
      </c>
      <c r="Y171" s="130">
        <f>$O$171/$L$171</f>
        <v>40.947200542609608</v>
      </c>
      <c r="Z171" s="130" t="e">
        <f>$I$171/$I$171</f>
        <v>#VALUE!</v>
      </c>
    </row>
    <row r="172" spans="1:26">
      <c r="A172" s="130" t="s">
        <v>377</v>
      </c>
      <c r="B172" s="130">
        <f>$N$4</f>
        <v>1.43</v>
      </c>
      <c r="C172" s="130">
        <f>$O$4</f>
        <v>88</v>
      </c>
      <c r="D172" s="130">
        <f>$P$4</f>
        <v>9</v>
      </c>
      <c r="E172" s="130">
        <v>0</v>
      </c>
      <c r="F172" s="130">
        <f>$T$4</f>
        <v>20</v>
      </c>
      <c r="G172" s="130">
        <f>$R$4</f>
        <v>2</v>
      </c>
      <c r="H172" s="130">
        <v>4</v>
      </c>
      <c r="I172" s="130" t="s">
        <v>16</v>
      </c>
      <c r="J172" s="130">
        <f>GasModel($I$172,"He_Weiss",$D$172,$F$172,$B$172,$C$172,$G$172,$H$172,$M$11)</f>
        <v>2.7007656237026694E-8</v>
      </c>
      <c r="K172" s="130">
        <f>GasModel($I$172,"Ne_Weiss",$D$172,$F$172,$B$172,$C$172,$G$172,$H$172,$M$12)</f>
        <v>1.2142683236031447E-7</v>
      </c>
      <c r="L172" s="130">
        <f>GasModel($I$172,"Ar_Weiss",$D$172,$F$172,$B$172,$C$172,$G$172,$H$172,$M$13)</f>
        <v>2.920429514378525E-4</v>
      </c>
      <c r="M172" s="130">
        <f>GasModel($I$172,"Kr_Weiss",$D$172,$F$172,$B$172,$C$172,$G$172,$H$172,$M$14)</f>
        <v>7.6504806350245311E-8</v>
      </c>
      <c r="N172" s="130">
        <f>GasModel($I$172,"Xe_Clvr",$D$172,$F$172,$B$172,$C$172,$G$172,$H$172,$M$15)</f>
        <v>1.1974468602316624E-8</v>
      </c>
      <c r="O172" s="130">
        <f>GasModel($I$172,"N2_Weiss",$D$172,$F$172,$B$172,$C$172,$G$172,$H$172,$M$16)</f>
        <v>1.2757701811172074E-2</v>
      </c>
      <c r="P172" s="130">
        <f>GasModel($I$172,"O2_B&amp;K",$D$172,$F$172,$B$172,$C$172,$G$172,$H$172,$M$17)</f>
        <v>5.894093869520888E-3</v>
      </c>
      <c r="Q172" s="130">
        <f>GasModel($I$172,"CO2_Weiss_F",$D$172,$F$172,$B$172,$C$172,$G$172,$H$172,$M$18)</f>
        <v>4.1135454715358389E-4</v>
      </c>
      <c r="R172" s="130">
        <f>GasModel($I$172,"CH4_Wies",$D$172,$F$172,$B$172,$C$172,$G$172,$H$172,$M$19)</f>
        <v>4.6084531624424772E-8</v>
      </c>
      <c r="S172" s="130">
        <f>GasModel($I$172,"H2_Wies",$D$172,$F$172,$B$172,$C$172,$G$172,$H$172,$M$20)</f>
        <v>7.3764588527389034E-9</v>
      </c>
      <c r="T172" s="130">
        <f>GasModel($I$172,"N2O_Weiss_F",$D$172,$F$172,$B$172,$C$172,$G$172,$H$172,$M$21)</f>
        <v>2.8032072166941197E-7</v>
      </c>
      <c r="U172" s="130">
        <f>$L$172/$K$172</f>
        <v>2405.0940452046243</v>
      </c>
      <c r="V172" s="130">
        <f>$M$172/$N$172</f>
        <v>6.3889938577687211</v>
      </c>
      <c r="W172" s="130">
        <f>$N$172/$K$172</f>
        <v>9.8614683176320758E-2</v>
      </c>
      <c r="X172" s="130">
        <f>$M$172/$L$172</f>
        <v>2.61964228116376E-4</v>
      </c>
      <c r="Y172" s="130">
        <f>$O$172/$L$172</f>
        <v>43.684333925405305</v>
      </c>
      <c r="Z172" s="130" t="e">
        <f>$I$172/$I$172</f>
        <v>#VALUE!</v>
      </c>
    </row>
    <row r="173" spans="1:26">
      <c r="A173" s="130" t="s">
        <v>377</v>
      </c>
      <c r="B173" s="130">
        <f>$N$4</f>
        <v>1.43</v>
      </c>
      <c r="C173" s="130">
        <f>$O$4</f>
        <v>88</v>
      </c>
      <c r="D173" s="130">
        <f>$P$4</f>
        <v>9</v>
      </c>
      <c r="E173" s="130">
        <v>0</v>
      </c>
      <c r="F173" s="130">
        <f>$T$4</f>
        <v>20</v>
      </c>
      <c r="G173" s="130">
        <f>$R$4</f>
        <v>2</v>
      </c>
      <c r="H173" s="130">
        <v>5</v>
      </c>
      <c r="I173" s="130" t="s">
        <v>16</v>
      </c>
      <c r="J173" s="130">
        <f>GasModel($I$173,"He_Weiss",$D$173,$F$173,$B$173,$C$173,$G$173,$H$173,$M$11)</f>
        <v>2.7007656237026694E-8</v>
      </c>
      <c r="K173" s="130">
        <f>GasModel($I$173,"Ne_Weiss",$D$173,$F$173,$B$173,$C$173,$G$173,$H$173,$M$12)</f>
        <v>1.2142683236031447E-7</v>
      </c>
      <c r="L173" s="130">
        <f>GasModel($I$173,"Ar_Weiss",$D$173,$F$173,$B$173,$C$173,$G$173,$H$173,$M$13)</f>
        <v>2.920429514378525E-4</v>
      </c>
      <c r="M173" s="130">
        <f>GasModel($I$173,"Kr_Weiss",$D$173,$F$173,$B$173,$C$173,$G$173,$H$173,$M$14)</f>
        <v>7.6504806350245311E-8</v>
      </c>
      <c r="N173" s="130">
        <f>GasModel($I$173,"Xe_Clvr",$D$173,$F$173,$B$173,$C$173,$G$173,$H$173,$M$15)</f>
        <v>1.1974468602316624E-8</v>
      </c>
      <c r="O173" s="130">
        <f>GasModel($I$173,"N2_Weiss",$D$173,$F$173,$B$173,$C$173,$G$173,$H$173,$M$16)</f>
        <v>1.3557062322762801E-2</v>
      </c>
      <c r="P173" s="130">
        <f>GasModel($I$173,"O2_B&amp;K",$D$173,$F$173,$B$173,$C$173,$G$173,$H$173,$M$17)</f>
        <v>5.894093869520888E-3</v>
      </c>
      <c r="Q173" s="130">
        <f>GasModel($I$173,"CO2_Weiss_F",$D$173,$F$173,$B$173,$C$173,$G$173,$H$173,$M$18)</f>
        <v>4.1135454715358389E-4</v>
      </c>
      <c r="R173" s="130">
        <f>GasModel($I$173,"CH4_Wies",$D$173,$F$173,$B$173,$C$173,$G$173,$H$173,$M$19)</f>
        <v>4.6084531624424772E-8</v>
      </c>
      <c r="S173" s="130">
        <f>GasModel($I$173,"H2_Wies",$D$173,$F$173,$B$173,$C$173,$G$173,$H$173,$M$20)</f>
        <v>7.3764588527389034E-9</v>
      </c>
      <c r="T173" s="130">
        <f>GasModel($I$173,"N2O_Weiss_F",$D$173,$F$173,$B$173,$C$173,$G$173,$H$173,$M$21)</f>
        <v>2.8032072166941197E-7</v>
      </c>
      <c r="U173" s="130">
        <f>$L$173/$K$173</f>
        <v>2405.0940452046243</v>
      </c>
      <c r="V173" s="130">
        <f>$M$173/$N$173</f>
        <v>6.3889938577687211</v>
      </c>
      <c r="W173" s="130">
        <f>$N$173/$K$173</f>
        <v>9.8614683176320758E-2</v>
      </c>
      <c r="X173" s="130">
        <f>$M$173/$L$173</f>
        <v>2.61964228116376E-4</v>
      </c>
      <c r="Y173" s="130">
        <f>$O$173/$L$173</f>
        <v>46.421467308200995</v>
      </c>
      <c r="Z173" s="130" t="e">
        <f>$I$173/$I$173</f>
        <v>#VALUE!</v>
      </c>
    </row>
    <row r="174" spans="1:26">
      <c r="A174" s="130" t="s">
        <v>377</v>
      </c>
      <c r="B174" s="130">
        <f>$N$4</f>
        <v>1.43</v>
      </c>
      <c r="C174" s="130">
        <f>$O$4</f>
        <v>88</v>
      </c>
      <c r="D174" s="130">
        <f>$P$4</f>
        <v>9</v>
      </c>
      <c r="E174" s="130">
        <v>0</v>
      </c>
      <c r="F174" s="130">
        <f>$T$4</f>
        <v>20</v>
      </c>
      <c r="G174" s="130">
        <f>$R$4</f>
        <v>2</v>
      </c>
      <c r="H174" s="130">
        <v>10</v>
      </c>
      <c r="I174" s="130" t="s">
        <v>16</v>
      </c>
      <c r="J174" s="130">
        <f>GasModel($I$174,"He_Weiss",$D$174,$F$174,$B$174,$C$174,$G$174,$H$174,$M$11)</f>
        <v>2.7007656237026694E-8</v>
      </c>
      <c r="K174" s="130">
        <f>GasModel($I$174,"Ne_Weiss",$D$174,$F$174,$B$174,$C$174,$G$174,$H$174,$M$12)</f>
        <v>1.2142683236031447E-7</v>
      </c>
      <c r="L174" s="130">
        <f>GasModel($I$174,"Ar_Weiss",$D$174,$F$174,$B$174,$C$174,$G$174,$H$174,$M$13)</f>
        <v>2.920429514378525E-4</v>
      </c>
      <c r="M174" s="130">
        <f>GasModel($I$174,"Kr_Weiss",$D$174,$F$174,$B$174,$C$174,$G$174,$H$174,$M$14)</f>
        <v>7.6504806350245311E-8</v>
      </c>
      <c r="N174" s="130">
        <f>GasModel($I$174,"Xe_Clvr",$D$174,$F$174,$B$174,$C$174,$G$174,$H$174,$M$15)</f>
        <v>1.1974468602316624E-8</v>
      </c>
      <c r="O174" s="130">
        <f>GasModel($I$174,"N2_Weiss",$D$174,$F$174,$B$174,$C$174,$G$174,$H$174,$M$16)</f>
        <v>1.755386488071644E-2</v>
      </c>
      <c r="P174" s="130">
        <f>GasModel($I$174,"O2_B&amp;K",$D$174,$F$174,$B$174,$C$174,$G$174,$H$174,$M$17)</f>
        <v>5.894093869520888E-3</v>
      </c>
      <c r="Q174" s="130">
        <f>GasModel($I$174,"CO2_Weiss_F",$D$174,$F$174,$B$174,$C$174,$G$174,$H$174,$M$18)</f>
        <v>4.1135454715358389E-4</v>
      </c>
      <c r="R174" s="130">
        <f>GasModel($I$174,"CH4_Wies",$D$174,$F$174,$B$174,$C$174,$G$174,$H$174,$M$19)</f>
        <v>4.6084531624424772E-8</v>
      </c>
      <c r="S174" s="130">
        <f>GasModel($I$174,"H2_Wies",$D$174,$F$174,$B$174,$C$174,$G$174,$H$174,$M$20)</f>
        <v>7.3764588527389034E-9</v>
      </c>
      <c r="T174" s="130">
        <f>GasModel($I$174,"N2O_Weiss_F",$D$174,$F$174,$B$174,$C$174,$G$174,$H$174,$M$21)</f>
        <v>2.8032072166941197E-7</v>
      </c>
      <c r="U174" s="130">
        <f>$L$174/$K$174</f>
        <v>2405.0940452046243</v>
      </c>
      <c r="V174" s="130">
        <f>$M$174/$N$174</f>
        <v>6.3889938577687211</v>
      </c>
      <c r="W174" s="130">
        <f>$N$174/$K$174</f>
        <v>9.8614683176320758E-2</v>
      </c>
      <c r="X174" s="130">
        <f>$M$174/$L$174</f>
        <v>2.61964228116376E-4</v>
      </c>
      <c r="Y174" s="130">
        <f>$O$174/$L$174</f>
        <v>60.107134222179468</v>
      </c>
      <c r="Z174" s="130" t="e">
        <f>$I$174/$I$174</f>
        <v>#VALUE!</v>
      </c>
    </row>
  </sheetData>
  <mergeCells count="75">
    <mergeCell ref="CH2:CH3"/>
    <mergeCell ref="CI2:CI3"/>
    <mergeCell ref="CJ2:CJ3"/>
    <mergeCell ref="AX1:CJ1"/>
    <mergeCell ref="CB2:CB3"/>
    <mergeCell ref="CC2:CC3"/>
    <mergeCell ref="CD2:CD3"/>
    <mergeCell ref="CE2:CE3"/>
    <mergeCell ref="CF2:CF3"/>
    <mergeCell ref="CG2:CG3"/>
    <mergeCell ref="BV2:BV3"/>
    <mergeCell ref="BW2:BW3"/>
    <mergeCell ref="BX2:BX3"/>
    <mergeCell ref="BY2:BY3"/>
    <mergeCell ref="BZ2:BZ3"/>
    <mergeCell ref="CA2:CA3"/>
    <mergeCell ref="BP2:BP3"/>
    <mergeCell ref="BQ2:BQ3"/>
    <mergeCell ref="BR2:BR3"/>
    <mergeCell ref="BS2:BS3"/>
    <mergeCell ref="BT2:BT3"/>
    <mergeCell ref="BU2:BU3"/>
    <mergeCell ref="BJ2:BJ3"/>
    <mergeCell ref="BK2:BK3"/>
    <mergeCell ref="BL2:BL3"/>
    <mergeCell ref="BM2:BM3"/>
    <mergeCell ref="BN2:BN3"/>
    <mergeCell ref="BO2:BO3"/>
    <mergeCell ref="BD2:BD3"/>
    <mergeCell ref="BE2:BE3"/>
    <mergeCell ref="BF2:BF3"/>
    <mergeCell ref="BG2:BG3"/>
    <mergeCell ref="BH2:BH3"/>
    <mergeCell ref="BI2:BI3"/>
    <mergeCell ref="AX2:AX3"/>
    <mergeCell ref="AY2:AY3"/>
    <mergeCell ref="AZ2:AZ3"/>
    <mergeCell ref="BA2:BA3"/>
    <mergeCell ref="BB2:BB3"/>
    <mergeCell ref="BC2:BC3"/>
    <mergeCell ref="AS2:AS3"/>
    <mergeCell ref="AT2:AT3"/>
    <mergeCell ref="AU2:AU3"/>
    <mergeCell ref="AV2:AV3"/>
    <mergeCell ref="AW2:AW3"/>
    <mergeCell ref="AH1:AW1"/>
    <mergeCell ref="AM2:AM3"/>
    <mergeCell ref="AN2:AN3"/>
    <mergeCell ref="AO2:AO3"/>
    <mergeCell ref="AP2:AP3"/>
    <mergeCell ref="AQ2:AQ3"/>
    <mergeCell ref="AR2:AR3"/>
    <mergeCell ref="AH2:AH3"/>
    <mergeCell ref="AB1:AG1"/>
    <mergeCell ref="AI2:AI3"/>
    <mergeCell ref="AJ2:AJ3"/>
    <mergeCell ref="AK2:AK3"/>
    <mergeCell ref="AL2:AL3"/>
    <mergeCell ref="J106:Z106"/>
    <mergeCell ref="AC2:AC3"/>
    <mergeCell ref="AD2:AD3"/>
    <mergeCell ref="AE2:AE3"/>
    <mergeCell ref="AF2:AF3"/>
    <mergeCell ref="AG2:AG3"/>
    <mergeCell ref="J36:Z36"/>
    <mergeCell ref="L10:M10"/>
    <mergeCell ref="N1:T1"/>
    <mergeCell ref="N2:Q2"/>
    <mergeCell ref="S2:T2"/>
    <mergeCell ref="A105:Z105"/>
    <mergeCell ref="A10:B10"/>
    <mergeCell ref="C1:I1"/>
    <mergeCell ref="C2:F2"/>
    <mergeCell ref="H2:I2"/>
    <mergeCell ref="A35:Z35"/>
  </mergeCells>
  <pageMargins left="0.7" right="0.7" top="0.75" bottom="0.75" header="0.3" footer="0.3"/>
  <drawing r:id="rId1"/>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SuppInfo</vt:lpstr>
      <vt:lpstr>Database</vt:lpstr>
      <vt:lpstr>Input_Gases</vt:lpstr>
      <vt:lpstr>Input_Tracers</vt:lpstr>
      <vt:lpstr>Degassed_Graphs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2020-11-19T19:59:49Z</dcterms:modified>
</cp:coreProperties>
</file>