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Reports\ReportDrafts\DissolvedGasModeler\Examples\"/>
    </mc:Choice>
  </mc:AlternateContent>
  <xr:revisionPtr revIDLastSave="0" documentId="10_ncr:100000_{FE64D300-90F6-4B80-828E-8EAA1D799698}" xr6:coauthVersionLast="31" xr6:coauthVersionMax="31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TX_Final_ModOut" sheetId="24" r:id="rId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4" l="1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" i="4"/>
  <c r="AA54" i="3" l="1"/>
  <c r="Y54" i="3"/>
  <c r="AA53" i="3"/>
  <c r="Y53" i="3"/>
  <c r="AA52" i="3"/>
  <c r="Y52" i="3"/>
  <c r="AA51" i="3"/>
  <c r="Y51" i="3"/>
  <c r="AA50" i="3"/>
  <c r="Y50" i="3"/>
  <c r="AA49" i="3"/>
  <c r="Y49" i="3"/>
  <c r="AA48" i="3"/>
  <c r="Y48" i="3"/>
  <c r="AA47" i="3"/>
  <c r="Y47" i="3"/>
  <c r="M47" i="3"/>
  <c r="AA46" i="3"/>
  <c r="Y46" i="3"/>
  <c r="M46" i="3"/>
  <c r="AA45" i="3"/>
  <c r="Y45" i="3"/>
  <c r="AA44" i="3"/>
  <c r="Y44" i="3"/>
  <c r="AA43" i="3"/>
  <c r="Y43" i="3"/>
  <c r="AA42" i="3"/>
  <c r="Y42" i="3"/>
  <c r="AA41" i="3"/>
  <c r="Y41" i="3"/>
  <c r="AA40" i="3"/>
  <c r="Y40" i="3"/>
  <c r="AA39" i="3"/>
  <c r="Y39" i="3"/>
  <c r="AA38" i="3"/>
  <c r="Y38" i="3"/>
  <c r="AA37" i="3"/>
  <c r="Y37" i="3"/>
  <c r="AA36" i="3"/>
  <c r="Y36" i="3"/>
  <c r="M36" i="3"/>
  <c r="AA35" i="3"/>
  <c r="Y35" i="3"/>
  <c r="M35" i="3"/>
  <c r="AA34" i="3"/>
  <c r="Y34" i="3"/>
  <c r="AA33" i="3"/>
  <c r="Y33" i="3"/>
  <c r="AA32" i="3"/>
  <c r="Y32" i="3"/>
  <c r="AA31" i="3"/>
  <c r="Y31" i="3"/>
  <c r="AA30" i="3"/>
  <c r="Y30" i="3"/>
  <c r="AA29" i="3"/>
  <c r="Y29" i="3"/>
  <c r="AA28" i="3"/>
  <c r="Y28" i="3"/>
  <c r="AA27" i="3"/>
  <c r="Y27" i="3"/>
  <c r="AA26" i="3"/>
  <c r="Y26" i="3"/>
  <c r="AA25" i="3"/>
  <c r="Y25" i="3"/>
  <c r="AA24" i="3"/>
  <c r="Y24" i="3"/>
  <c r="AA23" i="3"/>
  <c r="Y23" i="3"/>
  <c r="AA22" i="3"/>
  <c r="Y22" i="3"/>
  <c r="AA21" i="3"/>
  <c r="Y21" i="3"/>
  <c r="AA20" i="3"/>
  <c r="Y20" i="3"/>
  <c r="AA19" i="3"/>
  <c r="Y19" i="3"/>
  <c r="AA18" i="3"/>
  <c r="Y18" i="3"/>
  <c r="AA17" i="3"/>
  <c r="Y17" i="3"/>
  <c r="AA16" i="3"/>
  <c r="Y16" i="3"/>
  <c r="AA15" i="3"/>
  <c r="Y15" i="3"/>
  <c r="AA14" i="3"/>
  <c r="Y14" i="3"/>
  <c r="AA13" i="3"/>
  <c r="Y13" i="3"/>
  <c r="AA12" i="3"/>
  <c r="Y12" i="3"/>
  <c r="AA11" i="3"/>
  <c r="Y11" i="3"/>
  <c r="AA10" i="3"/>
  <c r="Y10" i="3"/>
  <c r="AA9" i="3"/>
  <c r="Y9" i="3"/>
  <c r="AA8" i="3"/>
  <c r="Y8" i="3"/>
  <c r="AA7" i="3"/>
  <c r="Y7" i="3"/>
  <c r="AA6" i="3"/>
  <c r="Y6" i="3"/>
  <c r="AA5" i="3"/>
  <c r="Y5" i="3"/>
  <c r="M5" i="3"/>
  <c r="AA4" i="3"/>
  <c r="Y4" i="3"/>
  <c r="M4" i="3"/>
  <c r="W61" i="2"/>
  <c r="W60" i="2"/>
  <c r="W59" i="2"/>
  <c r="W58" i="2"/>
  <c r="W57" i="2"/>
  <c r="W56" i="2"/>
  <c r="W55" i="2"/>
  <c r="T54" i="2"/>
  <c r="AM43" i="2"/>
  <c r="AP43" i="2" s="1"/>
  <c r="AQ43" i="2" s="1"/>
  <c r="AL43" i="2"/>
  <c r="AJ43" i="2"/>
  <c r="AM42" i="2"/>
  <c r="AP42" i="2" s="1"/>
  <c r="AQ42" i="2" s="1"/>
  <c r="AL42" i="2"/>
  <c r="AJ42" i="2"/>
  <c r="AM41" i="2"/>
  <c r="AP41" i="2" s="1"/>
  <c r="AQ41" i="2" s="1"/>
  <c r="AL41" i="2"/>
  <c r="AJ41" i="2"/>
  <c r="AM39" i="2"/>
  <c r="AP39" i="2" s="1"/>
  <c r="AQ39" i="2" s="1"/>
  <c r="AL39" i="2"/>
  <c r="AJ39" i="2"/>
  <c r="AM38" i="2"/>
  <c r="AP38" i="2" s="1"/>
  <c r="AQ38" i="2" s="1"/>
  <c r="AL38" i="2"/>
  <c r="AJ38" i="2"/>
  <c r="AM37" i="2"/>
  <c r="AP37" i="2" s="1"/>
  <c r="AQ37" i="2" s="1"/>
  <c r="AL37" i="2"/>
  <c r="AJ37" i="2"/>
  <c r="AK43" i="2" s="1"/>
  <c r="AN43" i="2" s="1"/>
  <c r="AO43" i="2" s="1"/>
  <c r="AK37" i="2" l="1"/>
  <c r="AN37" i="2" s="1"/>
  <c r="AO37" i="2" s="1"/>
  <c r="AK38" i="2"/>
  <c r="AN38" i="2" s="1"/>
  <c r="AO38" i="2" s="1"/>
  <c r="AK39" i="2"/>
  <c r="AN39" i="2" s="1"/>
  <c r="AO39" i="2" s="1"/>
  <c r="AK41" i="2"/>
  <c r="AN41" i="2" s="1"/>
  <c r="AO41" i="2" s="1"/>
  <c r="AK42" i="2"/>
  <c r="AN42" i="2" s="1"/>
  <c r="AO4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<sst xmlns="http://schemas.openxmlformats.org/spreadsheetml/2006/main" count="9355" uniqueCount="672">
  <si>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</si>
  <si>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</si>
  <si>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</si>
  <si>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</si>
  <si>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</si>
  <si>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</si>
  <si>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</si>
  <si>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</si>
  <si>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</si>
  <si>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</si>
  <si>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</si>
  <si>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</si>
  <si>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</si>
  <si>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</si>
  <si>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</si>
  <si>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</si>
  <si>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</si>
  <si>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</si>
  <si>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</si>
  <si>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</si>
  <si>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</si>
  <si>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</si>
  <si>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</si>
  <si>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</si>
  <si>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</si>
  <si>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</si>
  <si>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</si>
  <si>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</si>
  <si>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</si>
  <si>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</si>
  <si>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</si>
  <si>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</si>
  <si>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</si>
  <si>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</si>
  <si>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</si>
  <si>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</si>
  <si>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</si>
  <si>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</si>
  <si>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</si>
  <si>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</si>
  <si>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</si>
  <si>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</si>
  <si>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</si>
  <si>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Diffusivity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</si>
  <si>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</si>
  <si>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</si>
  <si>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</si>
  <si>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</si>
  <si>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</si>
  <si>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</si>
  <si>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</si>
  <si>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</si>
  <si>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</si>
  <si>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</si>
  <si>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</si>
  <si>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</si>
  <si>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</si>
  <si>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</si>
  <si>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</si>
  <si>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</si>
  <si>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</si>
  <si>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</si>
  <si>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</si>
  <si>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Molar Volume at STP</t>
  </si>
  <si>
    <t>Gas Density (g/L) at STP</t>
  </si>
  <si>
    <t>Molar Mass</t>
  </si>
  <si>
    <t>Dry Air Mixing Ratio</t>
  </si>
  <si>
    <t>Solubility reference</t>
  </si>
  <si>
    <t>Activation energy, Ea</t>
  </si>
  <si>
    <t>A</t>
  </si>
  <si>
    <t>Diffusivity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</si>
  <si>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</si>
  <si>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</si>
  <si>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</si>
  <si>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</si>
  <si>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</si>
  <si>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</si>
  <si>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</si>
  <si>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</si>
  <si>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</si>
  <si>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</si>
  <si>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</si>
  <si>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</si>
  <si>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</si>
  <si>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</si>
  <si>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</si>
  <si>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</si>
  <si>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</si>
  <si>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</si>
  <si>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</si>
  <si>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</si>
  <si>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</si>
  <si>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</si>
  <si>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</si>
  <si>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</si>
  <si>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</si>
  <si>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T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</si>
  <si>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</si>
  <si>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</si>
  <si>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</si>
  <si>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</si>
  <si>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</si>
  <si>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</si>
  <si>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</si>
  <si>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</si>
  <si>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</si>
  <si>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</si>
  <si>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</si>
  <si>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</si>
  <si>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</si>
  <si>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</si>
  <si>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</si>
  <si>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</si>
  <si>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</si>
  <si>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</si>
  <si>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</si>
  <si>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</si>
  <si>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</si>
  <si>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</si>
  <si>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</si>
  <si>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</si>
  <si>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</si>
  <si>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</si>
  <si>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</si>
  <si>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</si>
  <si>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</si>
  <si>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</si>
  <si>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</si>
  <si>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</si>
  <si>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</si>
  <si>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</si>
  <si>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</si>
  <si>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</si>
  <si>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</si>
  <si>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</si>
  <si>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</si>
  <si>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</si>
  <si>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</si>
  <si>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</si>
  <si>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</si>
  <si>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</si>
  <si>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</si>
  <si>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</si>
  <si>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</si>
  <si>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</si>
  <si>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</si>
  <si>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</si>
  <si>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</si>
  <si>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</si>
  <si>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</si>
  <si>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</si>
  <si>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</si>
  <si>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</si>
  <si>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</si>
  <si>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</si>
  <si>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</si>
  <si>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</si>
  <si>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</si>
  <si>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</si>
  <si>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</si>
  <si>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</si>
  <si>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</si>
  <si>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</si>
  <si>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</si>
  <si>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</si>
  <si>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</si>
  <si>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</si>
  <si>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</si>
  <si>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</si>
  <si>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</si>
  <si>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</si>
  <si>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</si>
  <si>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</si>
  <si>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</si>
  <si>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</si>
  <si>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</si>
  <si>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</si>
  <si>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</si>
  <si>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</si>
  <si>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</si>
  <si>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</si>
  <si>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</si>
  <si>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</si>
  <si>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</si>
  <si>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</si>
  <si>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</si>
  <si>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</si>
  <si>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</si>
  <si>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</si>
  <si>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</si>
  <si>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</si>
  <si>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</si>
  <si>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</si>
  <si>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</si>
  <si>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</si>
  <si>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</si>
  <si>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</si>
  <si>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</si>
  <si>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</si>
  <si>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</si>
  <si>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</si>
  <si>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</si>
  <si>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</si>
  <si>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</si>
  <si>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</si>
  <si>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</si>
  <si>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</si>
  <si>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mmol/L</t>
  </si>
  <si>
    <t>TX</t>
  </si>
  <si>
    <t>N2 &lt; 0.5</t>
  </si>
  <si>
    <t>301420095093201</t>
  </si>
  <si>
    <t>480130308401</t>
  </si>
  <si>
    <t>480130311101</t>
  </si>
  <si>
    <t>300413094402101</t>
  </si>
  <si>
    <t>480130308501</t>
  </si>
  <si>
    <t>480130311201</t>
  </si>
  <si>
    <t>304603094101801</t>
  </si>
  <si>
    <t>480130309001</t>
  </si>
  <si>
    <t>480130311701</t>
  </si>
  <si>
    <t>300932094005301</t>
  </si>
  <si>
    <t>480130310101</t>
  </si>
  <si>
    <t>480130312801</t>
  </si>
  <si>
    <t>292923095091601</t>
  </si>
  <si>
    <t>480130310301</t>
  </si>
  <si>
    <t>480130313001</t>
  </si>
  <si>
    <t>291949095024801</t>
  </si>
  <si>
    <t>480130312901</t>
  </si>
  <si>
    <t>480130310201</t>
  </si>
  <si>
    <t>305947093395001</t>
  </si>
  <si>
    <t>480130309101</t>
  </si>
  <si>
    <t>480130311801</t>
  </si>
  <si>
    <t>302145095473901</t>
  </si>
  <si>
    <t>480130308201</t>
  </si>
  <si>
    <t>480130310901</t>
  </si>
  <si>
    <t>303000095002001</t>
  </si>
  <si>
    <t>480130311001</t>
  </si>
  <si>
    <t>480130308301</t>
  </si>
  <si>
    <t>292944095550101</t>
  </si>
  <si>
    <t>480130310501</t>
  </si>
  <si>
    <t>480130307801</t>
  </si>
  <si>
    <t>N2 &gt; 2</t>
  </si>
  <si>
    <t>272638098532301</t>
  </si>
  <si>
    <t>480130312501</t>
  </si>
  <si>
    <t>480130309801</t>
  </si>
  <si>
    <t>274439098144401</t>
  </si>
  <si>
    <t>480130312401</t>
  </si>
  <si>
    <t>480130309701</t>
  </si>
  <si>
    <t>291639097093901</t>
  </si>
  <si>
    <t>480130311301</t>
  </si>
  <si>
    <t>271315097473201</t>
  </si>
  <si>
    <t>480130309401</t>
  </si>
  <si>
    <t>480130312101</t>
  </si>
  <si>
    <t>271843098401101</t>
  </si>
  <si>
    <t>480130312601</t>
  </si>
  <si>
    <t>480130309901</t>
  </si>
  <si>
    <t>280951096593801</t>
  </si>
  <si>
    <t>480130311501</t>
  </si>
  <si>
    <t>480130308801</t>
  </si>
  <si>
    <t>310935093352701</t>
  </si>
  <si>
    <t>480130311901</t>
  </si>
  <si>
    <t>480130309201</t>
  </si>
  <si>
    <t>271505098073401</t>
  </si>
  <si>
    <t>480130310001</t>
  </si>
  <si>
    <t>302207096050600</t>
  </si>
  <si>
    <t>480130308101</t>
  </si>
  <si>
    <t>480130310801</t>
  </si>
  <si>
    <t>281433097191300</t>
  </si>
  <si>
    <t>480130312301</t>
  </si>
  <si>
    <t>480130309601</t>
  </si>
  <si>
    <t>480130308601</t>
  </si>
  <si>
    <t>N2 0.5 - 2</t>
  </si>
  <si>
    <t>275725097562701</t>
  </si>
  <si>
    <t>480130312201</t>
  </si>
  <si>
    <t>284749097503201</t>
  </si>
  <si>
    <t>480130311401</t>
  </si>
  <si>
    <t>480130308701</t>
  </si>
  <si>
    <t>260204097443701</t>
  </si>
  <si>
    <t>480130312001</t>
  </si>
  <si>
    <t>480130309301</t>
  </si>
  <si>
    <t>293938095561301</t>
  </si>
  <si>
    <t>480130307701</t>
  </si>
  <si>
    <t>480130310401</t>
  </si>
  <si>
    <t>290028095594700</t>
  </si>
  <si>
    <t>480130310601</t>
  </si>
  <si>
    <t>480130307901</t>
  </si>
  <si>
    <t>294040096542401</t>
  </si>
  <si>
    <t>480130308001</t>
  </si>
  <si>
    <t>480130310701</t>
  </si>
  <si>
    <t>480130309501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</si>
  <si>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</si>
  <si>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</si>
  <si>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</si>
  <si>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</si>
  <si>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</si>
  <si>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</si>
  <si>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</si>
  <si>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</si>
  <si>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</si>
  <si>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</si>
  <si>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</si>
  <si>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</si>
  <si>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</si>
  <si>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</si>
  <si>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</si>
  <si>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</si>
  <si>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clowpas1</t>
  </si>
  <si>
    <t>7/30/2014</t>
  </si>
  <si>
    <t>8/6/2014</t>
  </si>
  <si>
    <t>8/11/2014</t>
  </si>
  <si>
    <t>480130312701</t>
  </si>
  <si>
    <t>4/23/2014</t>
  </si>
  <si>
    <t>8/7/2014</t>
  </si>
  <si>
    <t>7/29/2014</t>
  </si>
  <si>
    <t>4/25/2014</t>
  </si>
  <si>
    <t>7/31/2014</t>
  </si>
  <si>
    <t>480130262101</t>
  </si>
  <si>
    <t>480130267801</t>
  </si>
  <si>
    <t>Initial Model Parameters</t>
  </si>
  <si>
    <t>Salinity, per mil</t>
  </si>
  <si>
    <t>Initial Model Values</t>
  </si>
  <si>
    <t>Recharge elevation, meters</t>
  </si>
  <si>
    <t>Temperature</t>
  </si>
  <si>
    <t>Excess Nitrogen Gas</t>
  </si>
  <si>
    <t>Noble Gas Model</t>
  </si>
  <si>
    <t>Dissolved Gas Modeling Results</t>
  </si>
  <si>
    <t>Model Parameters</t>
  </si>
  <si>
    <t>Chi-Square</t>
  </si>
  <si>
    <t>Probability</t>
  </si>
  <si>
    <t>Recharge Temp, degrees Celsius</t>
  </si>
  <si>
    <t>Recharge Temp Err, 1-Sigma</t>
  </si>
  <si>
    <t>Excess Air, cc STP/kg of H2O</t>
  </si>
  <si>
    <t>Excess Air Err, 1-Sigma</t>
  </si>
  <si>
    <t>Entrapped Air, cc STP/kg of H2O</t>
  </si>
  <si>
    <t>Entrapped Air Err, 1-Sigma</t>
  </si>
  <si>
    <t>Fractionation, dimensionless</t>
  </si>
  <si>
    <t>Fractionation Err, 1-Sigma</t>
  </si>
  <si>
    <t>Excess Nitrogen, mg/L as N</t>
  </si>
  <si>
    <t>Excess Nitrogen Err, 1-Sigma</t>
  </si>
  <si>
    <t>Salinity Err, 1-Sigma</t>
  </si>
  <si>
    <t>Recharge Elevation, meters</t>
  </si>
  <si>
    <t>Recharge Elevation Err, 1-Sigma</t>
  </si>
  <si>
    <t>Gases Modeled</t>
  </si>
  <si>
    <t>HiGas</t>
  </si>
  <si>
    <t>Hi Gas Chi-Sqr</t>
  </si>
  <si>
    <t>Number of iterations</t>
  </si>
  <si>
    <t>Model date stamp</t>
  </si>
  <si>
    <t>Model Comments</t>
  </si>
  <si>
    <t>Model ID</t>
  </si>
  <si>
    <t>Delta Helium, percent</t>
  </si>
  <si>
    <t>Gas Deltas (Meas/Equil - 1)</t>
  </si>
  <si>
    <t>Delta Neon, percent</t>
  </si>
  <si>
    <t>Delta Argon, percent</t>
  </si>
  <si>
    <t>Delta Krypton, percent</t>
  </si>
  <si>
    <t>Delta Xenon, percent</t>
  </si>
  <si>
    <t>Delta Nitrogen, percent</t>
  </si>
  <si>
    <t>Delta Oxygen, percent</t>
  </si>
  <si>
    <t>Delta Carbon dioxide, percent</t>
  </si>
  <si>
    <t>Delta Methane, percent</t>
  </si>
  <si>
    <t>Delta Hydrogen, percent</t>
  </si>
  <si>
    <t>Helium measured, cc STP/g of H2O</t>
  </si>
  <si>
    <t>Measured Gases, cc STP/g of H20</t>
  </si>
  <si>
    <t>Helium error, cc STP/g of H2O</t>
  </si>
  <si>
    <t>Neon measured, cc STP/g of H2O</t>
  </si>
  <si>
    <t>Neon error, cc STP/g of H2O</t>
  </si>
  <si>
    <t>Argon measured, cc STP/g of H2O</t>
  </si>
  <si>
    <t>Argon error, cc STP/g of H2O</t>
  </si>
  <si>
    <t>Krypton measured, cc STP/g of H2O</t>
  </si>
  <si>
    <t>Krypton error, cc STP/g of H2O</t>
  </si>
  <si>
    <t>Xenon measured, cc STP/g of H2O</t>
  </si>
  <si>
    <t>Xenon error, cc STP/g of H2O</t>
  </si>
  <si>
    <t>Nitrogen measured, cc STP/g of H2O</t>
  </si>
  <si>
    <t>Nitrogen error, cc STP/g of H2O</t>
  </si>
  <si>
    <t>Oxygen measured, cc STP/g of H2O</t>
  </si>
  <si>
    <t>Oxygen error, cc STP/g of H2O</t>
  </si>
  <si>
    <t>Carbon dioxide measured, cc STP/g of H2O</t>
  </si>
  <si>
    <t>Carbon dioxide error, cc STP/g of H2O</t>
  </si>
  <si>
    <t>Methane measured, cc STP/g of H2O</t>
  </si>
  <si>
    <t>Methane error, cc STP/g of H2O</t>
  </si>
  <si>
    <t>Hydrogen measured, cc STP/g of H2O</t>
  </si>
  <si>
    <t>Hydrogen error, cc STP/g of H2O</t>
  </si>
  <si>
    <t>Density (T,S), kg/L</t>
  </si>
  <si>
    <t>Recharge Conditions</t>
  </si>
  <si>
    <t>Pressure (local elevation), atm.</t>
  </si>
  <si>
    <t>P H2O (T,S), atm.</t>
  </si>
  <si>
    <t>P corr. for H2O vapor, atm</t>
  </si>
  <si>
    <t>Helium solubility, cc STP/g of H2O</t>
  </si>
  <si>
    <t>Gas Solubilities, cc STP/g of H20</t>
  </si>
  <si>
    <t>Neon solubility, cc STP/g of H2O</t>
  </si>
  <si>
    <t>Argon solubility, cc STP/g of H2O</t>
  </si>
  <si>
    <t>Krypton solubility, cc STP/g of H2O</t>
  </si>
  <si>
    <t>Xenon solubility, cc STP/g of H2O</t>
  </si>
  <si>
    <t>Nitrogen solubility, cc STP/g of H2O</t>
  </si>
  <si>
    <t>Oxygen solubility, cc STP/g of H2O</t>
  </si>
  <si>
    <t>Carbon dioxide solubility, cc STP/g of H2O</t>
  </si>
  <si>
    <t>Methane solubility, cc STP/g of H2O</t>
  </si>
  <si>
    <t>Hydrogen solubility, cc STP/g of H2O</t>
  </si>
  <si>
    <t>Helium excess air, cc STP/g of H2O</t>
  </si>
  <si>
    <t>Gas Excess Air, cc STP/g of H20</t>
  </si>
  <si>
    <t>Neon excess air, cc STP/g of H2O</t>
  </si>
  <si>
    <t>Argon excess air, cc STP/g of H2O</t>
  </si>
  <si>
    <t>Krypton excess air, cc STP/g of H2O</t>
  </si>
  <si>
    <t>Xenon excess air, cc STP/g of H2O</t>
  </si>
  <si>
    <t>Nitrogen excess air, cc STP/g of H2O</t>
  </si>
  <si>
    <t>Oxygen excess air, cc STP/g of H2O</t>
  </si>
  <si>
    <t>Carbon dioxide excess air, cc STP/g of H2O</t>
  </si>
  <si>
    <t>Methane excess air, cc STP/g of H2O</t>
  </si>
  <si>
    <t>Hydrogen excess air, cc STP/g of H2O</t>
  </si>
  <si>
    <t>Helium total, cc STP/g of H2O</t>
  </si>
  <si>
    <t>Total Gas Concentration, cc STP/g of H20</t>
  </si>
  <si>
    <t>Neon total, cc STP/g of H2O</t>
  </si>
  <si>
    <t>Argon total, cc STP/g of H2O</t>
  </si>
  <si>
    <t>Krypton total, cc STP/g of H2O</t>
  </si>
  <si>
    <t>Xenon total, cc STP/g of H2O</t>
  </si>
  <si>
    <t>Nitrogen total, cc STP/g of H2O</t>
  </si>
  <si>
    <t>Oxygen total, cc STP/g of H2O</t>
  </si>
  <si>
    <t>Carbon dioxide total, cc STP/g of H2O</t>
  </si>
  <si>
    <t>Methane total, cc STP/g of H2O</t>
  </si>
  <si>
    <t>Hydrogen total, cc STP/g of H2O</t>
  </si>
  <si>
    <t>Helium excess air for CE model, cc/kg</t>
  </si>
  <si>
    <t>Excess air for CE model, cc/kg</t>
  </si>
  <si>
    <t>Neon excess air for CE model, cc/kg</t>
  </si>
  <si>
    <t>Argon excess air for CE model, cc/kg</t>
  </si>
  <si>
    <t>Krypton excess air for CE model, cc/kg</t>
  </si>
  <si>
    <t>Xenon excess air for CE model, cc/kg</t>
  </si>
  <si>
    <t>Nitrogen excess air for CE model, cc/kg</t>
  </si>
  <si>
    <t>Number of simulations</t>
  </si>
  <si>
    <t>Monte Carlo Simulation results</t>
  </si>
  <si>
    <t>MC Avg Recharge Temp, degrees Celsius</t>
  </si>
  <si>
    <t>MC Recharge Temp Err, 1-Sigma</t>
  </si>
  <si>
    <t>MC Avg Excess Air, cc STP/kg of H2O</t>
  </si>
  <si>
    <t>MC Excess Air Err, 1-Sigma</t>
  </si>
  <si>
    <t>MC Avg Entrapped Air, cc STP/kg of H2O</t>
  </si>
  <si>
    <t>MC Entrapped Air Err, 1-Sigma</t>
  </si>
  <si>
    <t>MC Avg Fractionation, dimensionless</t>
  </si>
  <si>
    <t>MC Fractionation Err, 1-Sigma</t>
  </si>
  <si>
    <t>MC Avg Excess Nitrogen, mg/L as N</t>
  </si>
  <si>
    <t>MC Excess Nitrogen Err, 1-Sigma</t>
  </si>
  <si>
    <t>MC Avg Salinity, per mil</t>
  </si>
  <si>
    <t>MC Salinity Err, 1-Sigma</t>
  </si>
  <si>
    <t>MC Avg Recharge Elevation, meters</t>
  </si>
  <si>
    <t>MC Recharge Elevation Err, 1-Sigma</t>
  </si>
  <si>
    <t>MC Avg. Helium, cc STP/g of H2O</t>
  </si>
  <si>
    <t>Monte Carlo Gas Concentrations, cc STP/g of H2O</t>
  </si>
  <si>
    <t>MC Helium 1-sigma error, cc STP/g of H2O</t>
  </si>
  <si>
    <t>MC Avg. Neon, cc STP/g of H2O</t>
  </si>
  <si>
    <t>MC Neon 1-sigma error, cc STP/g of H2O</t>
  </si>
  <si>
    <t>MC Avg. Argon, cc STP/g of H2O</t>
  </si>
  <si>
    <t>MC Argon 1-sigma error, cc STP/g of H2O</t>
  </si>
  <si>
    <t>MC Avg. Krypton, cc STP/g of H2O</t>
  </si>
  <si>
    <t>MC Krypton 1-sigma error, cc STP/g of H2O</t>
  </si>
  <si>
    <t>MC Avg. Xenon, cc STP/g of H2O</t>
  </si>
  <si>
    <t>MC Xenon 1-sigma error, cc STP/g of H2O</t>
  </si>
  <si>
    <t>MC Avg. Nitrogen, cc STP/g of H2O</t>
  </si>
  <si>
    <t>MC Nitrogen 1-sigma error, cc STP/g of H2O</t>
  </si>
  <si>
    <t>Unfractionated excess air (UA)</t>
  </si>
  <si>
    <t>na</t>
  </si>
  <si>
    <t>init. val.</t>
  </si>
  <si>
    <t>Measured Gases, mMoles / L</t>
  </si>
  <si>
    <t>Measured Gases, mGrams / L</t>
  </si>
  <si>
    <t>Gas Solubilities, mMoles / L</t>
  </si>
  <si>
    <t>Gas Excess Air, mMoles / L</t>
  </si>
  <si>
    <t>Total Gas Concentration, mMoles / L</t>
  </si>
  <si>
    <t>Gas Solubilities, mGrams / L</t>
  </si>
  <si>
    <t>Gas Excess Air, mGrams / L</t>
  </si>
  <si>
    <t>Total Gas Concentration, mGrams / L</t>
  </si>
  <si>
    <t>Monte Carlo Gas Concentrations, mMoles / L</t>
  </si>
  <si>
    <t>Monte Carlo Gas Concentrations, mGrams / L</t>
  </si>
  <si>
    <t>Delta Nitrous oxide, percent</t>
  </si>
  <si>
    <t>Nitrous oxide measured, cc STP/g of H2O</t>
  </si>
  <si>
    <t>Nitrous oxide error, cc STP/g of H2O</t>
  </si>
  <si>
    <t>Helium measured, mMoles / L</t>
  </si>
  <si>
    <t>Helium error, mMoles / L</t>
  </si>
  <si>
    <t>Neon measured, mMoles / L</t>
  </si>
  <si>
    <t>Neon error, mMoles / L</t>
  </si>
  <si>
    <t>Argon measured, mMoles / L</t>
  </si>
  <si>
    <t>Argon error, mMoles / L</t>
  </si>
  <si>
    <t>Krypton measured, mMoles / L</t>
  </si>
  <si>
    <t>Krypton error, mMoles / L</t>
  </si>
  <si>
    <t>Xenon measured, mMoles / L</t>
  </si>
  <si>
    <t>Xenon error, mMoles / L</t>
  </si>
  <si>
    <t>Nitrogen measured, mMoles / L</t>
  </si>
  <si>
    <t>Nitrogen error, mMoles / L</t>
  </si>
  <si>
    <t>Oxygen measured, mMoles / L</t>
  </si>
  <si>
    <t>Oxygen error, mMoles / L</t>
  </si>
  <si>
    <t>Carbon dioxide measured, mMoles / L</t>
  </si>
  <si>
    <t>Carbon dioxide error, mMoles / L</t>
  </si>
  <si>
    <t>Methane measured, mMoles / L</t>
  </si>
  <si>
    <t>Methane error, mMoles / L</t>
  </si>
  <si>
    <t>Hydrogen measured, mMoles / L</t>
  </si>
  <si>
    <t>Hydrogen error, mMoles / L</t>
  </si>
  <si>
    <t>Nitrous oxide measured, mMoles / L</t>
  </si>
  <si>
    <t>Nitrous oxide error, mMoles / L</t>
  </si>
  <si>
    <t>Helium measured, mGrams / L</t>
  </si>
  <si>
    <t>Helium error, mGrams / L</t>
  </si>
  <si>
    <t>Neon measured, mGrams / L</t>
  </si>
  <si>
    <t>Neon error, mGrams / L</t>
  </si>
  <si>
    <t>Argon measured, mGrams / L</t>
  </si>
  <si>
    <t>Argon error, mGrams / L</t>
  </si>
  <si>
    <t>Krypton measured, mGrams / L</t>
  </si>
  <si>
    <t>Krypton error, mGrams / L</t>
  </si>
  <si>
    <t>Xenon measured, mGrams / L</t>
  </si>
  <si>
    <t>Xenon error, mGrams / L</t>
  </si>
  <si>
    <t>Nitrogen measured, mGrams / L</t>
  </si>
  <si>
    <t>Nitrogen error, mGrams / L</t>
  </si>
  <si>
    <t>Oxygen measured, mGrams / L</t>
  </si>
  <si>
    <t>Oxygen error, mGrams / L</t>
  </si>
  <si>
    <t>Carbon dioxide measured, mGrams / L</t>
  </si>
  <si>
    <t>Carbon dioxide error, mGrams / L</t>
  </si>
  <si>
    <t>Methane measured, mGrams / L</t>
  </si>
  <si>
    <t>Methane error, mGrams / L</t>
  </si>
  <si>
    <t>Hydrogen measured, mGrams / L</t>
  </si>
  <si>
    <t>Hydrogen error, mGrams / L</t>
  </si>
  <si>
    <t>Nitrous oxide measured, mGrams / L</t>
  </si>
  <si>
    <t>Nitrous oxide error, mGrams / L</t>
  </si>
  <si>
    <t>Nitrous oxide solubility, cc STP/g of H2O</t>
  </si>
  <si>
    <t>Nitrous oxide excess air, cc STP/g of H2O</t>
  </si>
  <si>
    <t>Nitrous oxide total, cc STP/g of H2O</t>
  </si>
  <si>
    <t>Helium solubility, mMoles / L</t>
  </si>
  <si>
    <t>Neon solubility, mMoles / L</t>
  </si>
  <si>
    <t>Argon solubility, mMoles / L</t>
  </si>
  <si>
    <t>Krypton solubility, mMoles / L</t>
  </si>
  <si>
    <t>Xenon solubility, mMoles / L</t>
  </si>
  <si>
    <t>Nitrogen solubility, mMoles / L</t>
  </si>
  <si>
    <t>Oxygen solubility, mMoles / L</t>
  </si>
  <si>
    <t>Carbon dioxide solubility, mMoles / L</t>
  </si>
  <si>
    <t>Methane solubility, mMoles / L</t>
  </si>
  <si>
    <t>Hydrogen solubility, mMoles / L</t>
  </si>
  <si>
    <t>Nitrous oxide solubility, mMoles / L</t>
  </si>
  <si>
    <t>Helium excess air, mMoles / L</t>
  </si>
  <si>
    <t>Neon excess air, mMoles / L</t>
  </si>
  <si>
    <t>Argon excess air, mMoles / L</t>
  </si>
  <si>
    <t>Krypton excess air, mMoles / L</t>
  </si>
  <si>
    <t>Xenon excess air, mMoles / L</t>
  </si>
  <si>
    <t>Nitrogen excess air, mMoles / L</t>
  </si>
  <si>
    <t>Oxygen excess air, mMoles / L</t>
  </si>
  <si>
    <t>Carbon dioxide excess air, mMoles / L</t>
  </si>
  <si>
    <t>Methane excess air, mMoles / L</t>
  </si>
  <si>
    <t>Hydrogen excess air, mMoles / L</t>
  </si>
  <si>
    <t>Nitrous oxide excess air, mMoles / L</t>
  </si>
  <si>
    <t>Helium total, mMoles / L</t>
  </si>
  <si>
    <t>Neon total, mMoles / L</t>
  </si>
  <si>
    <t>Argon total, mMoles / L</t>
  </si>
  <si>
    <t>Krypton total, mMoles / L</t>
  </si>
  <si>
    <t>Xenon total, mMoles / L</t>
  </si>
  <si>
    <t>Nitrogen total, mMoles / L</t>
  </si>
  <si>
    <t>Oxygen total, mMoles / L</t>
  </si>
  <si>
    <t>Carbon dioxide total, mMoles / L</t>
  </si>
  <si>
    <t>Methane total, mMoles / L</t>
  </si>
  <si>
    <t>Hydrogen total, mMoles / L</t>
  </si>
  <si>
    <t>Nitrous oxide total, mMoles / L</t>
  </si>
  <si>
    <t>Helium solubility, mGrams / L</t>
  </si>
  <si>
    <t>Neon solubility, mGrams / L</t>
  </si>
  <si>
    <t>Argon solubility, mGrams / L</t>
  </si>
  <si>
    <t>Krypton solubility, mGrams / L</t>
  </si>
  <si>
    <t>Xenon solubility, mGrams / L</t>
  </si>
  <si>
    <t>Nitrogen solubility, mGrams / L</t>
  </si>
  <si>
    <t>Oxygen solubility, mGrams / L</t>
  </si>
  <si>
    <t>Carbon dioxide solubility, mGrams / L</t>
  </si>
  <si>
    <t>Methane solubility, mGrams / L</t>
  </si>
  <si>
    <t>Hydrogen solubility, mGrams / L</t>
  </si>
  <si>
    <t>Nitrous oxide solubility, mGrams / L</t>
  </si>
  <si>
    <t>Helium excess air, mGrams / L</t>
  </si>
  <si>
    <t>Neon excess air, mGrams / L</t>
  </si>
  <si>
    <t>Argon excess air, mGrams / L</t>
  </si>
  <si>
    <t>Krypton excess air, mGrams / L</t>
  </si>
  <si>
    <t>Xenon excess air, mGrams / L</t>
  </si>
  <si>
    <t>Nitrogen excess air, mGrams / L</t>
  </si>
  <si>
    <t>Oxygen excess air, mGrams / L</t>
  </si>
  <si>
    <t>Carbon dioxide excess air, mGrams / L</t>
  </si>
  <si>
    <t>Methane excess air, mGrams / L</t>
  </si>
  <si>
    <t>Hydrogen excess air, mGrams / L</t>
  </si>
  <si>
    <t>Nitrous oxide excess air, mGrams / L</t>
  </si>
  <si>
    <t>Helium total, mGrams / L</t>
  </si>
  <si>
    <t>Neon total, mGrams / L</t>
  </si>
  <si>
    <t>Argon total, mGrams / L</t>
  </si>
  <si>
    <t>Krypton total, mGrams / L</t>
  </si>
  <si>
    <t>Xenon total, mGrams / L</t>
  </si>
  <si>
    <t>Nitrogen total, mGrams / L</t>
  </si>
  <si>
    <t>Oxygen total, mGrams / L</t>
  </si>
  <si>
    <t>Carbon dioxide total, mGrams / L</t>
  </si>
  <si>
    <t>Methane total, mGrams / L</t>
  </si>
  <si>
    <t>Hydrogen total, mGrams / L</t>
  </si>
  <si>
    <t>Nitrous oxide total, mGrams / L</t>
  </si>
  <si>
    <t>MC Avg. Helium, mMoles / L</t>
  </si>
  <si>
    <t>MC Helium 1-sigma error, mMoles / L</t>
  </si>
  <si>
    <t>MC Avg. Neon, mMoles / L</t>
  </si>
  <si>
    <t>MC Neon 1-sigma error, mMoles / L</t>
  </si>
  <si>
    <t>MC Avg. Argon, mMoles / L</t>
  </si>
  <si>
    <t>MC Argon 1-sigma error, mMoles / L</t>
  </si>
  <si>
    <t>MC Avg. Krypton, mMoles / L</t>
  </si>
  <si>
    <t>MC Krypton 1-sigma error, mMoles / L</t>
  </si>
  <si>
    <t>MC Avg. Xenon, mMoles / L</t>
  </si>
  <si>
    <t>MC Xenon 1-sigma error, mMoles / L</t>
  </si>
  <si>
    <t>MC Avg. Nitrogen, mMoles / L</t>
  </si>
  <si>
    <t>MC Nitrogen 1-sigma error, mMoles / L</t>
  </si>
  <si>
    <t>MC Avg. Helium, mGrams / L</t>
  </si>
  <si>
    <t>MC Helium 1-sigma error, mGrams / L</t>
  </si>
  <si>
    <t>MC Avg. Neon, mGrams / L</t>
  </si>
  <si>
    <t>MC Neon 1-sigma error, mGrams / L</t>
  </si>
  <si>
    <t>MC Avg. Argon, mGrams / L</t>
  </si>
  <si>
    <t>MC Argon 1-sigma error, mGrams / L</t>
  </si>
  <si>
    <t>MC Avg. Krypton, mGrams / L</t>
  </si>
  <si>
    <t>MC Krypton 1-sigma error, mGrams / L</t>
  </si>
  <si>
    <t>MC Avg. Xenon, mGrams / L</t>
  </si>
  <si>
    <t>MC Xenon 1-sigma error, mGrams / L</t>
  </si>
  <si>
    <t>MC Avg. Nitrogen, mGrams / L</t>
  </si>
  <si>
    <t>MC Nitrogen 1-sigma error, mGrams / L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</si>
  <si>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</si>
  <si>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</si>
  <si>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</si>
  <si>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</si>
  <si>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</si>
  <si>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2017052513470732</t>
  </si>
  <si>
    <t>Ne, Ar, N2</t>
  </si>
  <si>
    <t>tan</t>
  </si>
  <si>
    <t>2017052513470731</t>
  </si>
  <si>
    <t>2017052513470714</t>
  </si>
  <si>
    <t>2017052513470713</t>
  </si>
  <si>
    <t>2017052513470715</t>
  </si>
  <si>
    <t>2017052513470716</t>
  </si>
  <si>
    <t>2017052513302908</t>
  </si>
  <si>
    <t>Results based on averages from 11 models with excess air between 1.5 and 3.5</t>
  </si>
  <si>
    <t>Ar, N2</t>
  </si>
  <si>
    <t>2017052513302910</t>
  </si>
  <si>
    <t>Results based on averages from 12 models with excess air between 1.5 and 3.5</t>
  </si>
  <si>
    <t>2017052513302907</t>
  </si>
  <si>
    <t>2017052513303246</t>
  </si>
  <si>
    <t>2017052513470711</t>
  </si>
  <si>
    <t>2017052513470712</t>
  </si>
  <si>
    <t>2017052513303237</t>
  </si>
  <si>
    <t>2017052513303238</t>
  </si>
  <si>
    <t>2017052513303241</t>
  </si>
  <si>
    <t>2017052513303240</t>
  </si>
  <si>
    <t>2017052513302909</t>
  </si>
  <si>
    <t>2017052513303249</t>
  </si>
  <si>
    <t>2017052513303242</t>
  </si>
  <si>
    <t>2017052513303243</t>
  </si>
  <si>
    <t>2017052513470719</t>
  </si>
  <si>
    <t>2017052513470720</t>
  </si>
  <si>
    <t>2017052513470703</t>
  </si>
  <si>
    <t>2017052513470704</t>
  </si>
  <si>
    <t>2017052513302901</t>
  </si>
  <si>
    <t>2017052513302902</t>
  </si>
  <si>
    <t>2017052513470717</t>
  </si>
  <si>
    <t>2017052513470718</t>
  </si>
  <si>
    <t>2017052513303239</t>
  </si>
  <si>
    <t>2017052513302912</t>
  </si>
  <si>
    <t>2017052513302911</t>
  </si>
  <si>
    <t>2017052513470730</t>
  </si>
  <si>
    <t>2017052513470729</t>
  </si>
  <si>
    <t>2017052513470722</t>
  </si>
  <si>
    <t>2017052513470721</t>
  </si>
  <si>
    <t>2017052513303247</t>
  </si>
  <si>
    <t>Results based on averages from 5 models with excess air between 1.5 and 3.5</t>
  </si>
  <si>
    <t>2017052513303248</t>
  </si>
  <si>
    <t>2017052513303245</t>
  </si>
  <si>
    <t>Results based on averages from 7 models with excess air between 1.5 and 3.5</t>
  </si>
  <si>
    <t>2017052513303244</t>
  </si>
  <si>
    <t>2017052513470706</t>
  </si>
  <si>
    <t>2017052513470705</t>
  </si>
  <si>
    <t>2017052513470724</t>
  </si>
  <si>
    <t>2017052513470723</t>
  </si>
  <si>
    <t>2017052513302914</t>
  </si>
  <si>
    <t>Results based on averages from 2 models with excess air between 1.5 and 3.5</t>
  </si>
  <si>
    <t>2017052513302913</t>
  </si>
  <si>
    <t>Results based on averages from 3 models with excess air between 1.5 and 3.5</t>
  </si>
  <si>
    <t>2017052513303250</t>
  </si>
  <si>
    <t>2017052513303251</t>
  </si>
  <si>
    <t>2017052513470726</t>
  </si>
  <si>
    <t>2017052513470725</t>
  </si>
  <si>
    <t>2017052513470727</t>
  </si>
  <si>
    <t>2017052513470728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</si>
</sst>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E+00"/>
    <numFmt numFmtId="166" formatCode="mm/dd/yyyy"/>
    <numFmt numFmtId="167" formatCode="0.0%"/>
  </numFmts>
  <fonts count="28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Times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i/>
      <sz val="10"/>
      <color theme="1"/>
      <name val="Times"/>
    </font>
    <font>
      <b/>
      <sz val="10"/>
      <color theme="1"/>
      <name val="Times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20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0" fontId="13" fillId="0" borderId="0" xfId="3" applyFont="1" applyFill="1" applyBorder="1"/>
    <xf numFmtId="14" fontId="13" fillId="0" borderId="0" xfId="3" applyNumberFormat="1" applyFont="1" applyFill="1" applyBorder="1"/>
    <xf numFmtId="0" fontId="13" fillId="0" borderId="0" xfId="3" applyNumberFormat="1" applyFont="1" applyFill="1" applyBorder="1"/>
    <xf numFmtId="0" fontId="13" fillId="0" borderId="0" xfId="1" applyFont="1" applyFill="1" applyBorder="1"/>
    <xf numFmtId="0" fontId="17" fillId="0" borderId="0" xfId="3" applyNumberFormat="1" applyFill="1"/>
    <xf numFmtId="0" fontId="17" fillId="0" borderId="0" xfId="5" applyNumberFormat="1" applyFont="1" applyFill="1"/>
    <xf numFmtId="0" fontId="13" fillId="0" borderId="0" xfId="6" applyFont="1" applyFill="1" applyBorder="1"/>
    <xf numFmtId="0" fontId="13" fillId="0" borderId="0" xfId="1" applyNumberFormat="1" applyFont="1" applyFill="1" applyBorder="1"/>
    <xf numFmtId="11" fontId="13" fillId="0" borderId="0" xfId="6" applyNumberFormat="1" applyFont="1" applyFill="1" applyBorder="1"/>
    <xf numFmtId="0" fontId="21" fillId="0" borderId="6" xfId="7" applyNumberFormat="1" applyFont="1" applyFill="1" applyBorder="1" applyAlignment="1"/>
    <xf numFmtId="0" fontId="21" fillId="0" borderId="6" xfId="7" applyFont="1" applyFill="1" applyBorder="1" applyAlignment="1"/>
    <xf numFmtId="0" fontId="13" fillId="0" borderId="0" xfId="3" applyNumberFormat="1" applyFont="1" applyFill="1"/>
    <xf numFmtId="0" fontId="13" fillId="0" borderId="0" xfId="5" applyNumberFormat="1" applyFont="1" applyFill="1"/>
    <xf numFmtId="14" fontId="13" fillId="0" borderId="0" xfId="6" applyNumberFormat="1" applyFont="1" applyFill="1" applyBorder="1"/>
    <xf numFmtId="0" fontId="13" fillId="0" borderId="0" xfId="6" applyNumberFormat="1" applyFont="1" applyFill="1" applyBorder="1"/>
    <xf numFmtId="0" fontId="13" fillId="0" borderId="0" xfId="9" applyFont="1" applyFill="1" applyBorder="1"/>
    <xf numFmtId="11" fontId="13" fillId="0" borderId="0" xfId="3" applyNumberFormat="1" applyFont="1" applyFill="1" applyBorder="1"/>
    <xf numFmtId="11" fontId="13" fillId="0" borderId="0" xfId="1" applyNumberFormat="1" applyFont="1" applyFill="1" applyBorder="1"/>
    <xf numFmtId="0" fontId="17" fillId="0" borderId="0" xfId="3" applyFill="1"/>
    <xf numFmtId="0" fontId="13" fillId="0" borderId="0" xfId="6" quotePrefix="1" applyFont="1" applyFill="1" applyBorder="1"/>
    <xf numFmtId="0" fontId="22" fillId="0" borderId="0" xfId="1" applyFont="1" applyAlignment="1">
      <alignment horizontal="center"/>
    </xf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4" xfId="1" applyFont="1" applyFill="1" applyBorder="1" applyAlignment="1">
      <alignment horizontal="center"/>
    </xf>
    <xf numFmtId="165" fontId="18" fillId="2" borderId="8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5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5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166" fontId="22" fillId="0" borderId="0" xfId="1" applyNumberFormat="1" applyFont="1" applyAlignment="1">
      <alignment horizontal="center"/>
    </xf>
    <xf numFmtId="167" fontId="22" fillId="0" borderId="0" xfId="1" applyNumberFormat="1" applyFont="1" applyAlignment="1">
      <alignment horizontal="center"/>
    </xf>
    <xf numFmtId="22" fontId="22" fillId="0" borderId="0" xfId="1" applyNumberFormat="1" applyFont="1" applyAlignment="1">
      <alignment horizontal="center"/>
    </xf>
    <xf numFmtId="49" fontId="22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7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0" fontId="27" fillId="0" borderId="0" xfId="1" applyFont="1" applyAlignment="1">
      <alignment horizontal="center" wrapText="1"/>
    </xf>
    <xf numFmtId="0" fontId="3" fillId="0" borderId="9" xfId="1" applyFont="1" applyBorder="1" applyAlignment="1">
      <alignment horizontal="center" wrapText="1"/>
    </xf>
    <xf numFmtId="167" fontId="27" fillId="0" borderId="0" xfId="1" applyNumberFormat="1" applyFont="1" applyAlignment="1">
      <alignment horizontal="center" wrapText="1"/>
    </xf>
    <xf numFmtId="167" fontId="3" fillId="0" borderId="9" xfId="1" applyNumberFormat="1" applyFont="1" applyBorder="1" applyAlignment="1">
      <alignment horizontal="center" wrapText="1"/>
    </xf>
    <xf numFmtId="0" fontId="26" fillId="0" borderId="0" xfId="1" applyFont="1" applyAlignment="1">
      <alignment horizontal="center"/>
    </xf>
    <xf numFmtId="0" fontId="1" fillId="0" borderId="0" xfId="1" applyAlignment="1">
      <alignment horizontal="center"/>
    </xf>
    <xf numFmtId="167" fontId="26" fillId="0" borderId="0" xfId="1" applyNumberFormat="1" applyFont="1" applyAlignment="1">
      <alignment horizontal="center"/>
    </xf>
    <xf numFmtId="166" fontId="27" fillId="0" borderId="0" xfId="1" applyNumberFormat="1" applyFont="1" applyAlignment="1">
      <alignment horizontal="center" wrapText="1"/>
    </xf>
    <xf numFmtId="166" fontId="3" fillId="0" borderId="9" xfId="1" applyNumberFormat="1" applyFont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9" xr:uid="{069C1B48-996D-4BED-8A43-48AF70A2F208}"/>
    <cellStyle name="Normal 2 11" xfId="8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Normal_Sheet3" xfId="7" xr:uid="{B314C774-41B1-4655-9EB5-7D7A816BE002}"/>
    <cellStyle name="Percent 2" xfId="5" xr:uid="{A58930ED-928F-4D0E-9C24-E8015B30BC41}"/>
    <cellStyle name="Percent 3" xfId="10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Q90"/>
  <sheetViews>
    <sheetView topLeftCell="K34" zoomScale="98" zoomScaleNormal="98" workbookViewId="0">
      <selection activeCell="X48" sqref="X48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0.33203125" style="2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65" t="s">
        <v>8</v>
      </c>
      <c r="D6" s="65"/>
      <c r="E6" s="65"/>
      <c r="F6" s="65"/>
      <c r="G6" s="65"/>
    </row>
    <row r="7" spans="1:31">
      <c r="A7" s="3" t="s">
        <v>9</v>
      </c>
      <c r="B7" s="6" t="s">
        <v>10</v>
      </c>
      <c r="C7" s="64" t="s">
        <v>11</v>
      </c>
      <c r="D7" s="64"/>
      <c r="E7" s="64"/>
      <c r="F7" s="64"/>
      <c r="G7" s="64"/>
    </row>
    <row r="8" spans="1:31">
      <c r="A8" s="3" t="s">
        <v>12</v>
      </c>
      <c r="B8" s="6" t="s">
        <v>13</v>
      </c>
      <c r="C8" s="64" t="s">
        <v>14</v>
      </c>
      <c r="D8" s="64"/>
      <c r="E8" s="64"/>
      <c r="F8" s="64"/>
      <c r="G8" s="64"/>
    </row>
    <row r="9" spans="1:31">
      <c r="A9" s="3" t="s">
        <v>15</v>
      </c>
      <c r="B9" s="6" t="s">
        <v>16</v>
      </c>
      <c r="C9" s="64" t="s">
        <v>17</v>
      </c>
      <c r="D9" s="64"/>
      <c r="E9" s="64"/>
      <c r="F9" s="64"/>
      <c r="G9" s="64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65" t="s">
        <v>8</v>
      </c>
      <c r="C12" s="65"/>
      <c r="D12" s="65"/>
      <c r="E12" s="65"/>
      <c r="F12" s="65"/>
      <c r="G12" s="65"/>
      <c r="H12" s="65"/>
      <c r="I12" s="65"/>
    </row>
    <row r="13" spans="1:31">
      <c r="A13" s="2" t="s">
        <v>20</v>
      </c>
      <c r="B13" s="64" t="s">
        <v>21</v>
      </c>
      <c r="C13" s="64"/>
      <c r="D13" s="64"/>
      <c r="E13" s="64"/>
      <c r="F13" s="64"/>
      <c r="G13" s="64"/>
      <c r="H13" s="64"/>
      <c r="I13" s="64"/>
    </row>
    <row r="14" spans="1:31">
      <c r="A14" s="2" t="s">
        <v>22</v>
      </c>
      <c r="B14" s="64" t="s">
        <v>23</v>
      </c>
      <c r="C14" s="64"/>
      <c r="D14" s="64"/>
      <c r="E14" s="64"/>
      <c r="F14" s="64"/>
      <c r="G14" s="64"/>
      <c r="H14" s="64"/>
      <c r="I14" s="64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4">
      <c r="A17" s="2">
        <v>401900000000000</v>
      </c>
      <c r="B17" s="2" t="s">
        <v>25</v>
      </c>
    </row>
    <row r="18" spans="1:34">
      <c r="A18" s="2">
        <v>3.19</v>
      </c>
      <c r="B18" s="2" t="s">
        <v>26</v>
      </c>
    </row>
    <row r="20" spans="1:34" ht="15.75">
      <c r="A20" s="1" t="s">
        <v>27</v>
      </c>
    </row>
    <row r="21" spans="1:34">
      <c r="A21" s="10" t="s">
        <v>8</v>
      </c>
      <c r="B21" s="5" t="s">
        <v>28</v>
      </c>
      <c r="C21" s="65" t="s">
        <v>29</v>
      </c>
      <c r="D21" s="65"/>
      <c r="E21" s="65"/>
      <c r="F21" s="65"/>
      <c r="G21" s="65"/>
      <c r="H21" s="65"/>
      <c r="I21" s="65"/>
      <c r="J21" s="65"/>
      <c r="K21" s="65"/>
      <c r="L21" s="65"/>
      <c r="M21" s="65"/>
    </row>
    <row r="22" spans="1:34" ht="18.75">
      <c r="A22" s="2" t="s">
        <v>30</v>
      </c>
      <c r="B22" s="6">
        <v>1</v>
      </c>
      <c r="C22" s="66" t="s">
        <v>31</v>
      </c>
      <c r="D22" s="66"/>
      <c r="E22" s="66"/>
      <c r="F22" s="66"/>
      <c r="G22" s="66"/>
      <c r="H22" s="66"/>
      <c r="I22" s="66"/>
      <c r="J22" s="66"/>
      <c r="K22" s="66"/>
      <c r="L22" s="66"/>
      <c r="M22" s="66"/>
    </row>
    <row r="23" spans="1:34" ht="18.75">
      <c r="A23" s="2" t="s">
        <v>32</v>
      </c>
      <c r="B23" s="6">
        <v>2</v>
      </c>
      <c r="C23" s="66" t="s">
        <v>33</v>
      </c>
      <c r="D23" s="66"/>
      <c r="E23" s="66"/>
      <c r="F23" s="66"/>
      <c r="G23" s="66"/>
      <c r="H23" s="66"/>
      <c r="I23" s="66"/>
      <c r="J23" s="66"/>
      <c r="K23" s="66"/>
      <c r="L23" s="66"/>
      <c r="M23" s="66"/>
    </row>
    <row r="24" spans="1:34" ht="18">
      <c r="A24" s="2" t="s">
        <v>34</v>
      </c>
      <c r="B24" s="6">
        <v>3</v>
      </c>
      <c r="C24" s="66" t="s">
        <v>35</v>
      </c>
      <c r="D24" s="66"/>
      <c r="E24" s="66"/>
      <c r="F24" s="66"/>
      <c r="G24" s="66"/>
      <c r="H24" s="66"/>
      <c r="I24" s="66"/>
      <c r="J24" s="66"/>
      <c r="K24" s="66"/>
      <c r="L24" s="66"/>
      <c r="M24" s="66"/>
    </row>
    <row r="25" spans="1:34" ht="18.75">
      <c r="A25" s="2" t="s">
        <v>36</v>
      </c>
      <c r="B25" s="6">
        <v>4</v>
      </c>
      <c r="C25" s="66" t="s">
        <v>37</v>
      </c>
      <c r="D25" s="66"/>
      <c r="E25" s="66"/>
      <c r="F25" s="66"/>
      <c r="G25" s="66"/>
      <c r="H25" s="66"/>
      <c r="I25" s="66"/>
      <c r="J25" s="66"/>
      <c r="K25" s="66"/>
      <c r="L25" s="66"/>
      <c r="M25" s="66"/>
    </row>
    <row r="26" spans="1:34" ht="18.75">
      <c r="A26" s="2" t="s">
        <v>38</v>
      </c>
      <c r="B26" s="6">
        <v>5</v>
      </c>
      <c r="C26" s="66" t="s">
        <v>39</v>
      </c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34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4" ht="15.75">
      <c r="A29" s="1" t="s">
        <v>41</v>
      </c>
      <c r="E29" s="67" t="s">
        <v>42</v>
      </c>
      <c r="F29" s="67"/>
      <c r="G29" s="67"/>
      <c r="H29" s="67"/>
      <c r="I29" s="67"/>
      <c r="J29" s="67"/>
      <c r="K29" s="67"/>
      <c r="L29" s="67"/>
      <c r="M29" s="67"/>
      <c r="N29" s="67"/>
      <c r="O29" s="67"/>
      <c r="Y29" s="67" t="s">
        <v>43</v>
      </c>
      <c r="Z29" s="67"/>
      <c r="AA29" s="67"/>
      <c r="AB29" s="12"/>
      <c r="AC29" s="67" t="s">
        <v>44</v>
      </c>
      <c r="AD29" s="67"/>
      <c r="AE29" s="67"/>
      <c r="AF29" s="67"/>
      <c r="AG29" s="67"/>
      <c r="AH29" s="67"/>
    </row>
    <row r="30" spans="1:34" ht="78">
      <c r="A30" s="5" t="s">
        <v>45</v>
      </c>
      <c r="B30" s="5" t="s">
        <v>46</v>
      </c>
      <c r="C30" s="5" t="s">
        <v>47</v>
      </c>
      <c r="D30" s="5" t="s">
        <v>48</v>
      </c>
      <c r="E30" s="5" t="s">
        <v>49</v>
      </c>
      <c r="F30" s="5" t="s">
        <v>50</v>
      </c>
      <c r="G30" s="5" t="s">
        <v>51</v>
      </c>
      <c r="H30" s="5" t="s">
        <v>52</v>
      </c>
      <c r="I30" s="5" t="s">
        <v>53</v>
      </c>
      <c r="J30" s="5" t="s">
        <v>54</v>
      </c>
      <c r="K30" s="5" t="s">
        <v>55</v>
      </c>
      <c r="L30" s="5" t="s">
        <v>56</v>
      </c>
      <c r="M30" s="5" t="s">
        <v>57</v>
      </c>
      <c r="N30" s="5" t="s">
        <v>58</v>
      </c>
      <c r="O30" s="5" t="s">
        <v>59</v>
      </c>
      <c r="P30" s="5" t="s">
        <v>60</v>
      </c>
      <c r="Q30" s="5" t="s">
        <v>61</v>
      </c>
      <c r="R30" s="5" t="s">
        <v>607</v>
      </c>
      <c r="S30" s="5" t="s">
        <v>62</v>
      </c>
      <c r="T30" s="5" t="s">
        <v>63</v>
      </c>
      <c r="U30" s="5" t="s">
        <v>64</v>
      </c>
      <c r="V30" s="5" t="s">
        <v>65</v>
      </c>
      <c r="W30" s="5" t="s">
        <v>66</v>
      </c>
      <c r="X30" s="5" t="s">
        <v>67</v>
      </c>
      <c r="Y30" s="5" t="s">
        <v>68</v>
      </c>
      <c r="Z30" s="5" t="s">
        <v>69</v>
      </c>
      <c r="AA30" s="5" t="s">
        <v>70</v>
      </c>
      <c r="AB30" s="13" t="s">
        <v>71</v>
      </c>
      <c r="AC30" s="13" t="s">
        <v>72</v>
      </c>
      <c r="AD30" s="13" t="s">
        <v>73</v>
      </c>
      <c r="AE30" s="13" t="s">
        <v>74</v>
      </c>
      <c r="AF30" s="13" t="s">
        <v>75</v>
      </c>
      <c r="AG30" s="13" t="s">
        <v>76</v>
      </c>
      <c r="AH30" s="13" t="s">
        <v>77</v>
      </c>
    </row>
    <row r="31" spans="1:34">
      <c r="A31" s="6" t="s">
        <v>78</v>
      </c>
      <c r="B31" s="2" t="s">
        <v>79</v>
      </c>
      <c r="C31" s="2" t="s">
        <v>80</v>
      </c>
      <c r="D31" s="2" t="s">
        <v>81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82</v>
      </c>
      <c r="J31" s="14" t="s">
        <v>82</v>
      </c>
      <c r="K31" s="2">
        <v>-4.4781000000000001E-2</v>
      </c>
      <c r="L31" s="2">
        <v>2.3540999999999999E-2</v>
      </c>
      <c r="M31" s="2">
        <v>-3.4266000000000001E-3</v>
      </c>
      <c r="N31" s="14" t="s">
        <v>82</v>
      </c>
      <c r="O31" s="14" t="s">
        <v>82</v>
      </c>
      <c r="P31" s="2" t="s">
        <v>83</v>
      </c>
      <c r="Q31" s="2">
        <v>1</v>
      </c>
      <c r="R31" s="2" t="s">
        <v>78</v>
      </c>
      <c r="S31" s="2" t="s">
        <v>84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85</v>
      </c>
      <c r="Y31" s="2">
        <v>11700</v>
      </c>
      <c r="Z31" s="2">
        <v>818</v>
      </c>
      <c r="AA31" s="2" t="s">
        <v>86</v>
      </c>
      <c r="AB31" s="2" t="s">
        <v>84</v>
      </c>
    </row>
    <row r="32" spans="1:34">
      <c r="A32" s="6" t="s">
        <v>84</v>
      </c>
      <c r="B32" s="2" t="s">
        <v>79</v>
      </c>
      <c r="C32" s="2" t="s">
        <v>80</v>
      </c>
      <c r="D32" s="2" t="s">
        <v>87</v>
      </c>
      <c r="E32" s="2">
        <v>-41.461100000000002</v>
      </c>
      <c r="F32" s="2">
        <v>42.596200000000003</v>
      </c>
      <c r="G32" s="2">
        <v>14.009399999999999</v>
      </c>
      <c r="H32" s="14" t="s">
        <v>82</v>
      </c>
      <c r="I32" s="14" t="s">
        <v>82</v>
      </c>
      <c r="J32" s="14" t="s">
        <v>82</v>
      </c>
      <c r="K32" s="2">
        <v>-9.6722999999999999</v>
      </c>
      <c r="L32" s="2">
        <v>14.4725</v>
      </c>
      <c r="M32" s="2">
        <v>4.6188000000000002</v>
      </c>
      <c r="N32" s="14" t="s">
        <v>82</v>
      </c>
      <c r="O32" s="14" t="s">
        <v>82</v>
      </c>
      <c r="P32" s="15" t="s">
        <v>88</v>
      </c>
      <c r="Q32" s="2">
        <v>3</v>
      </c>
      <c r="R32" s="2" t="s">
        <v>84</v>
      </c>
      <c r="S32" s="2" t="s">
        <v>78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89</v>
      </c>
      <c r="Y32" s="2">
        <v>11700</v>
      </c>
      <c r="Z32" s="2">
        <v>818</v>
      </c>
      <c r="AA32" s="2" t="s">
        <v>86</v>
      </c>
      <c r="AB32" s="2" t="s">
        <v>84</v>
      </c>
    </row>
    <row r="33" spans="1:43">
      <c r="A33" s="6" t="s">
        <v>78</v>
      </c>
      <c r="B33" s="2" t="s">
        <v>90</v>
      </c>
      <c r="C33" s="2" t="s">
        <v>91</v>
      </c>
      <c r="D33" s="2" t="s">
        <v>92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82</v>
      </c>
      <c r="J33" s="14" t="s">
        <v>82</v>
      </c>
      <c r="K33" s="2">
        <v>-0.127113</v>
      </c>
      <c r="L33" s="2">
        <v>7.9277E-2</v>
      </c>
      <c r="M33" s="2">
        <v>-1.2909500000000001E-2</v>
      </c>
      <c r="N33" s="14" t="s">
        <v>82</v>
      </c>
      <c r="O33" s="14" t="s">
        <v>82</v>
      </c>
      <c r="P33" s="15" t="s">
        <v>83</v>
      </c>
      <c r="Q33" s="2">
        <v>1</v>
      </c>
      <c r="R33" s="2" t="s">
        <v>78</v>
      </c>
      <c r="S33" s="2" t="s">
        <v>84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85</v>
      </c>
      <c r="Y33" s="2">
        <v>14840</v>
      </c>
      <c r="Z33" s="2">
        <v>1608</v>
      </c>
      <c r="AA33" s="2" t="s">
        <v>86</v>
      </c>
      <c r="AB33" s="2" t="s">
        <v>84</v>
      </c>
    </row>
    <row r="34" spans="1:43">
      <c r="A34" s="6" t="s">
        <v>84</v>
      </c>
      <c r="B34" s="2" t="s">
        <v>90</v>
      </c>
      <c r="C34" s="2" t="s">
        <v>91</v>
      </c>
      <c r="D34" s="2" t="s">
        <v>93</v>
      </c>
      <c r="E34" s="2">
        <v>-39.197099999999999</v>
      </c>
      <c r="F34" s="2">
        <v>51.801299999999998</v>
      </c>
      <c r="G34" s="2">
        <v>15.7699</v>
      </c>
      <c r="H34" s="14" t="s">
        <v>82</v>
      </c>
      <c r="I34" s="14" t="s">
        <v>82</v>
      </c>
      <c r="J34" s="14" t="s">
        <v>82</v>
      </c>
      <c r="K34" s="2">
        <v>-0.124695</v>
      </c>
      <c r="L34" s="2">
        <v>7.8373999999999999E-2</v>
      </c>
      <c r="M34" s="2">
        <v>-1.27972E-2</v>
      </c>
      <c r="N34" s="14" t="s">
        <v>82</v>
      </c>
      <c r="O34" s="14" t="s">
        <v>82</v>
      </c>
      <c r="P34" s="15" t="s">
        <v>94</v>
      </c>
      <c r="Q34" s="2">
        <v>1</v>
      </c>
      <c r="R34" s="2" t="s">
        <v>84</v>
      </c>
      <c r="S34" s="2" t="s">
        <v>78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85</v>
      </c>
      <c r="Y34" s="2">
        <v>14840</v>
      </c>
      <c r="Z34" s="2">
        <v>1608</v>
      </c>
      <c r="AA34" s="2" t="s">
        <v>86</v>
      </c>
      <c r="AB34" s="2" t="s">
        <v>84</v>
      </c>
    </row>
    <row r="35" spans="1:43">
      <c r="A35" s="6" t="s">
        <v>84</v>
      </c>
      <c r="B35" s="2" t="s">
        <v>90</v>
      </c>
      <c r="C35" s="2" t="s">
        <v>91</v>
      </c>
      <c r="D35" s="2" t="s">
        <v>95</v>
      </c>
      <c r="E35" s="2">
        <v>-52.857300000000002</v>
      </c>
      <c r="F35" s="2">
        <v>61.049399999999999</v>
      </c>
      <c r="G35" s="2">
        <v>18.915700000000001</v>
      </c>
      <c r="H35" s="14" t="s">
        <v>82</v>
      </c>
      <c r="I35" s="14" t="s">
        <v>82</v>
      </c>
      <c r="J35" s="14" t="s">
        <v>82</v>
      </c>
      <c r="K35" s="2">
        <v>-11.525</v>
      </c>
      <c r="L35" s="2">
        <v>17.7408</v>
      </c>
      <c r="M35" s="2">
        <v>5.3421000000000003</v>
      </c>
      <c r="N35" s="14" t="s">
        <v>82</v>
      </c>
      <c r="O35" s="14" t="s">
        <v>82</v>
      </c>
      <c r="P35" s="15" t="s">
        <v>88</v>
      </c>
      <c r="Q35" s="2">
        <v>3</v>
      </c>
      <c r="R35" s="2" t="s">
        <v>84</v>
      </c>
      <c r="S35" s="2" t="s">
        <v>78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89</v>
      </c>
      <c r="Y35" s="2">
        <v>14840</v>
      </c>
      <c r="Z35" s="2">
        <v>1608</v>
      </c>
      <c r="AA35" s="2" t="s">
        <v>86</v>
      </c>
      <c r="AB35" s="2" t="s">
        <v>84</v>
      </c>
      <c r="AJ35" s="2" t="s">
        <v>96</v>
      </c>
      <c r="AK35" s="2" t="s">
        <v>97</v>
      </c>
      <c r="AM35" s="2" t="s">
        <v>98</v>
      </c>
      <c r="AO35" s="2" t="s">
        <v>97</v>
      </c>
      <c r="AQ35" s="2" t="s">
        <v>98</v>
      </c>
    </row>
    <row r="36" spans="1:43">
      <c r="A36" s="6" t="s">
        <v>84</v>
      </c>
      <c r="B36" s="2" t="s">
        <v>90</v>
      </c>
      <c r="C36" s="2" t="s">
        <v>91</v>
      </c>
      <c r="D36" s="2" t="s">
        <v>99</v>
      </c>
      <c r="E36" s="2">
        <v>-52.857300000000002</v>
      </c>
      <c r="F36" s="2">
        <v>61.049399999999999</v>
      </c>
      <c r="G36" s="2">
        <v>18.915700000000001</v>
      </c>
      <c r="H36" s="14" t="s">
        <v>82</v>
      </c>
      <c r="I36" s="14" t="s">
        <v>82</v>
      </c>
      <c r="J36" s="14" t="s">
        <v>82</v>
      </c>
      <c r="K36" s="2">
        <v>-11.9556</v>
      </c>
      <c r="L36" s="2">
        <v>18.406199999999998</v>
      </c>
      <c r="M36" s="2">
        <v>5.5464000000000002</v>
      </c>
      <c r="N36" s="14" t="s">
        <v>82</v>
      </c>
      <c r="O36" s="14" t="s">
        <v>82</v>
      </c>
      <c r="P36" s="15" t="s">
        <v>88</v>
      </c>
      <c r="Q36" s="2">
        <v>3</v>
      </c>
      <c r="R36" s="2" t="s">
        <v>84</v>
      </c>
      <c r="S36" s="2" t="s">
        <v>78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89</v>
      </c>
      <c r="Y36" s="2">
        <v>14840</v>
      </c>
      <c r="Z36" s="2">
        <v>1608</v>
      </c>
      <c r="AA36" s="2" t="s">
        <v>86</v>
      </c>
      <c r="AB36" s="2" t="s">
        <v>84</v>
      </c>
    </row>
    <row r="37" spans="1:43">
      <c r="A37" s="6" t="s">
        <v>84</v>
      </c>
      <c r="B37" s="2" t="s">
        <v>90</v>
      </c>
      <c r="C37" s="2" t="s">
        <v>91</v>
      </c>
      <c r="D37" s="2" t="s">
        <v>100</v>
      </c>
      <c r="E37" s="2">
        <v>2.1815600000000002</v>
      </c>
      <c r="F37" s="2">
        <v>1.29108</v>
      </c>
      <c r="G37" s="2">
        <v>2.1250399999999998</v>
      </c>
      <c r="H37" s="14" t="s">
        <v>82</v>
      </c>
      <c r="I37" s="14" t="s">
        <v>82</v>
      </c>
      <c r="J37" s="14" t="s">
        <v>82</v>
      </c>
      <c r="K37" s="2">
        <v>-5.9473699999999996E-3</v>
      </c>
      <c r="L37" s="2">
        <v>-5.1389599999999997E-3</v>
      </c>
      <c r="M37" s="14" t="s">
        <v>82</v>
      </c>
      <c r="N37" s="14" t="s">
        <v>82</v>
      </c>
      <c r="O37" s="14" t="s">
        <v>82</v>
      </c>
      <c r="P37" s="15" t="s">
        <v>101</v>
      </c>
      <c r="Q37" s="2">
        <v>5</v>
      </c>
      <c r="R37" s="2" t="s">
        <v>78</v>
      </c>
      <c r="S37" s="2" t="s">
        <v>84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102</v>
      </c>
      <c r="Y37" s="2">
        <v>14840</v>
      </c>
      <c r="Z37" s="2">
        <v>1608</v>
      </c>
      <c r="AA37" s="2" t="s">
        <v>86</v>
      </c>
      <c r="AB37" s="2" t="s">
        <v>84</v>
      </c>
      <c r="AI37" s="2">
        <v>1</v>
      </c>
      <c r="AJ37" s="2">
        <f>273.15+AI37</f>
        <v>274.14999999999998</v>
      </c>
      <c r="AK37" s="2">
        <f>($AD$50+$AE$50*AJ$37+AJ37^2*$AF$50+$AG$50*AJ37^3)/1000</f>
        <v>0</v>
      </c>
      <c r="AL37" s="2">
        <f>($AD$48+$AE$48*AI$37+AI37^2*$AF$48+$AG$48*AI37^3)</f>
        <v>9.6080435999999997E-4</v>
      </c>
      <c r="AM37" s="2">
        <f>($AD$54+$AE$54*AJ$37+AJ37^2*$AF$54+$AG$54*AJ37^3)/1000</f>
        <v>-2.5972276739600746</v>
      </c>
      <c r="AN37" s="2">
        <f>22.414+AK37</f>
        <v>22.414000000000001</v>
      </c>
      <c r="AO37" s="2">
        <f>(22.414-AN37)/22.414</f>
        <v>0</v>
      </c>
      <c r="AP37" s="2">
        <f>22.414+AM37</f>
        <v>19.816772326039928</v>
      </c>
      <c r="AQ37" s="2">
        <f>(22.414-AP37)/22.414</f>
        <v>0.11587524198983107</v>
      </c>
    </row>
    <row r="38" spans="1:43">
      <c r="A38" s="6" t="s">
        <v>78</v>
      </c>
      <c r="B38" s="2" t="s">
        <v>103</v>
      </c>
      <c r="C38" s="2" t="s">
        <v>104</v>
      </c>
      <c r="D38" s="2" t="s">
        <v>105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82</v>
      </c>
      <c r="J38" s="14" t="s">
        <v>82</v>
      </c>
      <c r="K38" s="2">
        <v>-3.8729E-2</v>
      </c>
      <c r="L38" s="2">
        <v>1.7170999999999999E-2</v>
      </c>
      <c r="M38" s="2">
        <v>-2.1281E-3</v>
      </c>
      <c r="N38" s="14" t="s">
        <v>82</v>
      </c>
      <c r="O38" s="14" t="s">
        <v>82</v>
      </c>
      <c r="P38" s="15" t="s">
        <v>83</v>
      </c>
      <c r="Q38" s="2">
        <v>1</v>
      </c>
      <c r="R38" s="2" t="s">
        <v>78</v>
      </c>
      <c r="S38" s="2" t="s">
        <v>84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106</v>
      </c>
      <c r="Y38" s="2">
        <v>16680</v>
      </c>
      <c r="Z38" s="2">
        <v>2233</v>
      </c>
      <c r="AA38" s="2" t="s">
        <v>107</v>
      </c>
      <c r="AB38" s="2" t="s">
        <v>84</v>
      </c>
      <c r="AI38" s="2">
        <v>5</v>
      </c>
      <c r="AJ38" s="2">
        <f t="shared" ref="AJ38:AJ43" si="0">273.15+AI38</f>
        <v>278.14999999999998</v>
      </c>
      <c r="AK38" s="2">
        <f>($AD$50+$AE$50*AJ$37+AJ38^2*$AF$50+$AG$50*AJ38^3)/1000</f>
        <v>0</v>
      </c>
      <c r="AL38" s="2">
        <f>($AD$48+$AE$48*AI$37+AI38^2*$AF$48+$AG$48*AI38^3)</f>
        <v>9.6234899999999993E-4</v>
      </c>
      <c r="AM38" s="2">
        <f>($AD$54+$AE$54*AJ$37+AJ38^2*$AF$54+$AG$54*AJ38^3)/1000</f>
        <v>-2.5973696592440745</v>
      </c>
      <c r="AN38" s="2">
        <f t="shared" ref="AN38:AN43" si="1">22.414+AK38</f>
        <v>22.414000000000001</v>
      </c>
      <c r="AO38" s="2">
        <f t="shared" ref="AO38:AO43" si="2">(22.414-AN38)/22.414</f>
        <v>0</v>
      </c>
      <c r="AP38" s="2">
        <f t="shared" ref="AP38:AP43" si="3">22.414+AM38</f>
        <v>19.816630340755928</v>
      </c>
      <c r="AQ38" s="2">
        <f t="shared" ref="AQ38:AQ43" si="4">(22.414-AP38)/22.414</f>
        <v>0.11588157665941255</v>
      </c>
    </row>
    <row r="39" spans="1:43">
      <c r="A39" s="6" t="s">
        <v>84</v>
      </c>
      <c r="B39" s="2" t="s">
        <v>103</v>
      </c>
      <c r="C39" s="2" t="s">
        <v>104</v>
      </c>
      <c r="D39" s="2" t="s">
        <v>108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82</v>
      </c>
      <c r="J39" s="14" t="s">
        <v>82</v>
      </c>
      <c r="K39" s="2">
        <v>-6.9623300000000001E-3</v>
      </c>
      <c r="L39" s="2">
        <v>-7.6667000000000003E-3</v>
      </c>
      <c r="M39" s="2">
        <v>-1.1688799999999999E-2</v>
      </c>
      <c r="N39" s="14" t="s">
        <v>82</v>
      </c>
      <c r="O39" s="14" t="s">
        <v>82</v>
      </c>
      <c r="P39" s="15" t="s">
        <v>109</v>
      </c>
      <c r="Q39" s="2">
        <v>5</v>
      </c>
      <c r="R39" s="2" t="s">
        <v>78</v>
      </c>
      <c r="S39" s="2" t="s">
        <v>84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102</v>
      </c>
      <c r="Y39" s="2">
        <v>16680</v>
      </c>
      <c r="Z39" s="2">
        <v>2233</v>
      </c>
      <c r="AA39" s="2" t="s">
        <v>107</v>
      </c>
      <c r="AB39" s="2" t="s">
        <v>84</v>
      </c>
      <c r="AI39" s="2">
        <v>10</v>
      </c>
      <c r="AJ39" s="2">
        <f t="shared" si="0"/>
        <v>283.14999999999998</v>
      </c>
      <c r="AK39" s="2">
        <f>($AD$50+$AE$50*AJ$37+AJ39^2*$AF$50+$AG$50*AJ39^3)/1000</f>
        <v>0</v>
      </c>
      <c r="AL39" s="2">
        <f>($AD$48+$AE$48*AI$37+AI39^2*$AF$48+$AG$48*AI39^3)</f>
        <v>9.6717599999999993E-4</v>
      </c>
      <c r="AM39" s="2">
        <f>($AD$54+$AE$54*AJ$37+AJ39^2*$AF$54+$AG$54*AJ39^3)/1000</f>
        <v>-2.5975500329990751</v>
      </c>
      <c r="AN39" s="2">
        <f t="shared" si="1"/>
        <v>22.414000000000001</v>
      </c>
      <c r="AO39" s="2">
        <f t="shared" si="2"/>
        <v>0</v>
      </c>
      <c r="AP39" s="2">
        <f t="shared" si="3"/>
        <v>19.816449967000928</v>
      </c>
      <c r="AQ39" s="2">
        <f t="shared" si="4"/>
        <v>0.11588962402958301</v>
      </c>
    </row>
    <row r="40" spans="1:43">
      <c r="A40" s="6" t="s">
        <v>84</v>
      </c>
      <c r="B40" s="2" t="s">
        <v>103</v>
      </c>
      <c r="C40" s="2" t="s">
        <v>104</v>
      </c>
      <c r="D40" s="2" t="s">
        <v>110</v>
      </c>
      <c r="E40" s="2">
        <v>-57.6661</v>
      </c>
      <c r="F40" s="2">
        <v>74.762699999999995</v>
      </c>
      <c r="G40" s="2">
        <v>20.139800000000001</v>
      </c>
      <c r="H40" s="14" t="s">
        <v>82</v>
      </c>
      <c r="I40" s="14" t="s">
        <v>82</v>
      </c>
      <c r="J40" s="14" t="s">
        <v>82</v>
      </c>
      <c r="K40" s="2">
        <v>-10.271000000000001</v>
      </c>
      <c r="L40" s="2">
        <v>16.094999999999999</v>
      </c>
      <c r="M40" s="2">
        <v>4.7538999999999998</v>
      </c>
      <c r="N40" s="14" t="s">
        <v>82</v>
      </c>
      <c r="O40" s="14" t="s">
        <v>82</v>
      </c>
      <c r="P40" s="15" t="s">
        <v>88</v>
      </c>
      <c r="Q40" s="2">
        <v>3</v>
      </c>
      <c r="R40" s="2" t="s">
        <v>84</v>
      </c>
      <c r="S40" s="2" t="s">
        <v>78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111</v>
      </c>
      <c r="Y40" s="2">
        <v>16680</v>
      </c>
      <c r="Z40" s="2">
        <v>2233</v>
      </c>
      <c r="AA40" s="2" t="s">
        <v>107</v>
      </c>
      <c r="AB40" s="2" t="s">
        <v>84</v>
      </c>
    </row>
    <row r="41" spans="1:43">
      <c r="A41" s="6" t="s">
        <v>78</v>
      </c>
      <c r="B41" s="2" t="s">
        <v>112</v>
      </c>
      <c r="C41" s="2" t="s">
        <v>113</v>
      </c>
      <c r="D41" s="2" t="s">
        <v>114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82</v>
      </c>
      <c r="J41" s="14" t="s">
        <v>82</v>
      </c>
      <c r="K41" s="2">
        <v>-1.1213000000000001E-2</v>
      </c>
      <c r="L41" s="2">
        <v>-1.8439999999999999E-3</v>
      </c>
      <c r="M41" s="2">
        <v>1.1201E-3</v>
      </c>
      <c r="N41" s="14" t="s">
        <v>82</v>
      </c>
      <c r="O41" s="14" t="s">
        <v>82</v>
      </c>
      <c r="P41" s="15" t="s">
        <v>83</v>
      </c>
      <c r="Q41" s="2">
        <v>1</v>
      </c>
      <c r="R41" s="2" t="s">
        <v>78</v>
      </c>
      <c r="S41" s="2" t="s">
        <v>84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115</v>
      </c>
      <c r="Y41" s="2">
        <v>20200</v>
      </c>
      <c r="Z41" s="2">
        <v>6393</v>
      </c>
      <c r="AA41" s="2" t="s">
        <v>86</v>
      </c>
      <c r="AB41" s="2" t="s">
        <v>84</v>
      </c>
      <c r="AI41" s="2">
        <v>15</v>
      </c>
      <c r="AJ41" s="2">
        <f t="shared" si="0"/>
        <v>288.14999999999998</v>
      </c>
      <c r="AK41" s="2">
        <f>($AD$50+$AE$50*AJ$37+AJ41^2*$AF$50+$AG$50*AJ41^3)/1000</f>
        <v>0</v>
      </c>
      <c r="AL41" s="2">
        <f>($AD$48+$AE$48*AI$37+AI41^2*$AF$48+$AG$48*AI41^3)</f>
        <v>9.7522099999999997E-4</v>
      </c>
      <c r="AM41" s="2">
        <f>($AD$54+$AE$54*AJ$37+AJ41^2*$AF$54+$AG$54*AJ41^3)/1000</f>
        <v>-2.5977336202540751</v>
      </c>
      <c r="AN41" s="2">
        <f t="shared" si="1"/>
        <v>22.414000000000001</v>
      </c>
      <c r="AO41" s="2">
        <f t="shared" si="2"/>
        <v>0</v>
      </c>
      <c r="AP41" s="2">
        <f t="shared" si="3"/>
        <v>19.816266379745926</v>
      </c>
      <c r="AQ41" s="2">
        <f t="shared" si="4"/>
        <v>0.11589781476996856</v>
      </c>
    </row>
    <row r="42" spans="1:43">
      <c r="A42" s="6" t="s">
        <v>84</v>
      </c>
      <c r="B42" s="2" t="s">
        <v>112</v>
      </c>
      <c r="C42" s="2" t="s">
        <v>113</v>
      </c>
      <c r="D42" s="2" t="s">
        <v>116</v>
      </c>
      <c r="E42" s="2">
        <v>-66.992800000000003</v>
      </c>
      <c r="F42" s="2">
        <v>91.016599999999997</v>
      </c>
      <c r="G42" s="2">
        <v>24.220700000000001</v>
      </c>
      <c r="H42" s="14" t="s">
        <v>82</v>
      </c>
      <c r="I42" s="14" t="s">
        <v>82</v>
      </c>
      <c r="J42" s="14" t="s">
        <v>82</v>
      </c>
      <c r="K42" s="2">
        <v>-9.5533999999999999</v>
      </c>
      <c r="L42" s="2">
        <v>15.103899999999999</v>
      </c>
      <c r="M42" s="2">
        <v>4.4164000000000003</v>
      </c>
      <c r="N42" s="14" t="s">
        <v>82</v>
      </c>
      <c r="O42" s="14" t="s">
        <v>82</v>
      </c>
      <c r="P42" s="15" t="s">
        <v>88</v>
      </c>
      <c r="Q42" s="2">
        <v>3</v>
      </c>
      <c r="R42" s="2" t="s">
        <v>84</v>
      </c>
      <c r="S42" s="2" t="s">
        <v>78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117</v>
      </c>
      <c r="Y42" s="2">
        <v>20200</v>
      </c>
      <c r="Z42" s="2">
        <v>6393</v>
      </c>
      <c r="AA42" s="2" t="s">
        <v>86</v>
      </c>
      <c r="AB42" s="2" t="s">
        <v>84</v>
      </c>
      <c r="AI42" s="2">
        <v>20</v>
      </c>
      <c r="AJ42" s="2">
        <f t="shared" si="0"/>
        <v>293.14999999999998</v>
      </c>
      <c r="AK42" s="2">
        <f>($AD$50+$AE$50*AJ$37+AJ42^2*$AF$50+$AG$50*AJ42^3)/1000</f>
        <v>0</v>
      </c>
      <c r="AL42" s="2">
        <f>($AD$48+$AE$48*AI$37+AI42^2*$AF$48+$AG$48*AI42^3)</f>
        <v>9.8648399999999993E-4</v>
      </c>
      <c r="AM42" s="2">
        <f>($AD$54+$AE$54*AJ$37+AJ42^2*$AF$54+$AG$54*AJ42^3)/1000</f>
        <v>-2.5979204210090749</v>
      </c>
      <c r="AN42" s="2">
        <f t="shared" si="1"/>
        <v>22.414000000000001</v>
      </c>
      <c r="AO42" s="2">
        <f t="shared" si="2"/>
        <v>0</v>
      </c>
      <c r="AP42" s="2">
        <f t="shared" si="3"/>
        <v>19.816079578990927</v>
      </c>
      <c r="AQ42" s="2">
        <f t="shared" si="4"/>
        <v>0.11590614888056905</v>
      </c>
    </row>
    <row r="43" spans="1:43">
      <c r="A43" s="6" t="s">
        <v>78</v>
      </c>
      <c r="B43" s="2" t="s">
        <v>118</v>
      </c>
      <c r="C43" s="2" t="s">
        <v>119</v>
      </c>
      <c r="D43" s="2" t="s">
        <v>120</v>
      </c>
      <c r="E43" s="2">
        <v>-74.739800000000002</v>
      </c>
      <c r="F43" s="2">
        <v>105.21</v>
      </c>
      <c r="G43" s="2">
        <v>27.4664</v>
      </c>
      <c r="H43" s="2" t="s">
        <v>121</v>
      </c>
      <c r="I43" s="14" t="s">
        <v>82</v>
      </c>
      <c r="J43" s="14" t="s">
        <v>82</v>
      </c>
      <c r="K43" s="2">
        <v>-14.133800000000001</v>
      </c>
      <c r="L43" s="2">
        <v>21.877199999999998</v>
      </c>
      <c r="M43" s="2">
        <v>6.5526999999999997</v>
      </c>
      <c r="N43" s="14" t="s">
        <v>82</v>
      </c>
      <c r="O43" s="14" t="s">
        <v>82</v>
      </c>
      <c r="P43" s="15" t="s">
        <v>88</v>
      </c>
      <c r="Q43" s="2">
        <v>3</v>
      </c>
      <c r="R43" s="2" t="s">
        <v>84</v>
      </c>
      <c r="S43" s="2" t="s">
        <v>78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117</v>
      </c>
      <c r="Y43" s="2">
        <v>21310</v>
      </c>
      <c r="Z43" s="2">
        <v>9007</v>
      </c>
      <c r="AA43" s="2" t="s">
        <v>86</v>
      </c>
      <c r="AB43" s="2" t="s">
        <v>84</v>
      </c>
      <c r="AI43" s="2">
        <v>25</v>
      </c>
      <c r="AJ43" s="2">
        <f t="shared" si="0"/>
        <v>298.14999999999998</v>
      </c>
      <c r="AK43" s="2">
        <f>($AD$50+$AE$50*AJ$37+AJ43^2*$AF$50+$AG$50*AJ43^3)/1000</f>
        <v>0</v>
      </c>
      <c r="AL43" s="2">
        <f>($AD$48+$AE$48*AI$37+AI43^2*$AF$48+$AG$48*AI43^3)</f>
        <v>1.0009649999999999E-3</v>
      </c>
      <c r="AM43" s="2">
        <f>($AD$54+$AE$54*AJ$37+AJ43^2*$AF$54+$AG$54*AJ43^3)/1000</f>
        <v>-2.5981104352640751</v>
      </c>
      <c r="AN43" s="2">
        <f t="shared" si="1"/>
        <v>22.414000000000001</v>
      </c>
      <c r="AO43" s="2">
        <f t="shared" si="2"/>
        <v>0</v>
      </c>
      <c r="AP43" s="2">
        <f t="shared" si="3"/>
        <v>19.815889564735926</v>
      </c>
      <c r="AQ43" s="2">
        <f t="shared" si="4"/>
        <v>0.11591462636138465</v>
      </c>
    </row>
    <row r="44" spans="1:43">
      <c r="A44" s="6" t="s">
        <v>78</v>
      </c>
      <c r="B44" s="2" t="s">
        <v>122</v>
      </c>
      <c r="C44" s="2" t="s">
        <v>123</v>
      </c>
      <c r="D44" s="2" t="s">
        <v>608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82</v>
      </c>
      <c r="J44" s="14" t="s">
        <v>82</v>
      </c>
      <c r="K44" s="2">
        <v>-5.4052000000000003E-2</v>
      </c>
      <c r="L44" s="2">
        <v>2.7265999999999999E-2</v>
      </c>
      <c r="M44" s="2">
        <v>-3.8430000000000001E-3</v>
      </c>
      <c r="N44" s="14" t="s">
        <v>82</v>
      </c>
      <c r="O44" s="14" t="s">
        <v>82</v>
      </c>
      <c r="P44" s="2" t="s">
        <v>83</v>
      </c>
      <c r="Q44" s="2">
        <v>1</v>
      </c>
      <c r="R44" s="2" t="s">
        <v>78</v>
      </c>
      <c r="S44" s="2" t="s">
        <v>84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106</v>
      </c>
      <c r="Y44" s="2">
        <v>18501.648000000001</v>
      </c>
      <c r="Z44" s="2">
        <v>3412</v>
      </c>
      <c r="AA44" s="2" t="s">
        <v>124</v>
      </c>
      <c r="AB44" s="2" t="s">
        <v>84</v>
      </c>
    </row>
    <row r="45" spans="1:43">
      <c r="A45" s="6" t="s">
        <v>84</v>
      </c>
      <c r="B45" s="2" t="s">
        <v>122</v>
      </c>
      <c r="C45" s="2" t="s">
        <v>123</v>
      </c>
      <c r="D45" s="2" t="s">
        <v>125</v>
      </c>
      <c r="E45" s="2">
        <v>-59.627400000000002</v>
      </c>
      <c r="F45" s="2">
        <v>85.766099999999994</v>
      </c>
      <c r="G45" s="2">
        <v>24.369599999999998</v>
      </c>
      <c r="H45" s="14" t="s">
        <v>82</v>
      </c>
      <c r="I45" s="14" t="s">
        <v>82</v>
      </c>
      <c r="J45" s="14" t="s">
        <v>82</v>
      </c>
      <c r="K45" s="2">
        <v>-5.1580000000000001E-2</v>
      </c>
      <c r="L45" s="2">
        <v>2.6329000000000002E-2</v>
      </c>
      <c r="M45" s="2">
        <v>-3.7252000000000001E-3</v>
      </c>
      <c r="N45" s="14" t="s">
        <v>82</v>
      </c>
      <c r="O45" s="14" t="s">
        <v>82</v>
      </c>
      <c r="P45" s="2" t="s">
        <v>94</v>
      </c>
      <c r="Q45" s="2">
        <v>1</v>
      </c>
      <c r="R45" s="2" t="s">
        <v>84</v>
      </c>
      <c r="S45" s="2" t="s">
        <v>78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106</v>
      </c>
      <c r="Y45" s="2">
        <v>18501.648000000001</v>
      </c>
      <c r="Z45" s="2">
        <v>3412</v>
      </c>
      <c r="AA45" s="2" t="s">
        <v>124</v>
      </c>
      <c r="AB45" s="2" t="s">
        <v>84</v>
      </c>
    </row>
    <row r="46" spans="1:43">
      <c r="A46" s="6" t="s">
        <v>84</v>
      </c>
      <c r="B46" s="2" t="s">
        <v>122</v>
      </c>
      <c r="C46" s="2" t="s">
        <v>123</v>
      </c>
      <c r="D46" s="2" t="s">
        <v>126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82</v>
      </c>
      <c r="J46" s="14" t="s">
        <v>82</v>
      </c>
      <c r="K46" s="2">
        <v>-7.4412899999999997E-3</v>
      </c>
      <c r="L46" s="2">
        <v>-8.0256600000000004E-3</v>
      </c>
      <c r="M46" s="2">
        <v>-1.46775E-2</v>
      </c>
      <c r="N46" s="14" t="s">
        <v>82</v>
      </c>
      <c r="O46" s="14" t="s">
        <v>82</v>
      </c>
      <c r="P46" s="2" t="s">
        <v>109</v>
      </c>
      <c r="Q46" s="2">
        <v>5</v>
      </c>
      <c r="R46" s="2" t="s">
        <v>78</v>
      </c>
      <c r="S46" s="2" t="s">
        <v>84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102</v>
      </c>
      <c r="Y46" s="2">
        <v>18501.648000000001</v>
      </c>
      <c r="Z46" s="2">
        <v>3412</v>
      </c>
      <c r="AA46" s="2" t="s">
        <v>124</v>
      </c>
      <c r="AB46" s="2" t="s">
        <v>84</v>
      </c>
    </row>
    <row r="47" spans="1:43">
      <c r="A47" s="6" t="s">
        <v>84</v>
      </c>
      <c r="B47" s="2" t="s">
        <v>127</v>
      </c>
      <c r="C47" s="2" t="s">
        <v>128</v>
      </c>
      <c r="D47" s="2" t="s">
        <v>129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82</v>
      </c>
      <c r="J47" s="14" t="s">
        <v>82</v>
      </c>
      <c r="K47" s="2">
        <v>-3.7361999999999999E-2</v>
      </c>
      <c r="L47" s="2">
        <v>1.6504000000000001E-2</v>
      </c>
      <c r="M47" s="2">
        <v>-2.0563999999999999E-3</v>
      </c>
      <c r="N47" s="14" t="s">
        <v>82</v>
      </c>
      <c r="O47" s="14" t="s">
        <v>82</v>
      </c>
      <c r="P47" s="2" t="s">
        <v>83</v>
      </c>
      <c r="Q47" s="2">
        <v>1</v>
      </c>
      <c r="R47" s="2" t="s">
        <v>78</v>
      </c>
      <c r="S47" s="2" t="s">
        <v>84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106</v>
      </c>
      <c r="Y47" s="2">
        <v>18702.458999999999</v>
      </c>
      <c r="Z47" s="2">
        <v>4286</v>
      </c>
      <c r="AA47" s="2" t="s">
        <v>124</v>
      </c>
      <c r="AB47" s="2" t="s">
        <v>84</v>
      </c>
    </row>
    <row r="48" spans="1:43">
      <c r="A48" s="6" t="s">
        <v>78</v>
      </c>
      <c r="B48" s="2" t="s">
        <v>127</v>
      </c>
      <c r="C48" s="2" t="s">
        <v>128</v>
      </c>
      <c r="D48" s="2" t="s">
        <v>130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82</v>
      </c>
      <c r="K48" s="2">
        <v>-2.0573000000000001E-2</v>
      </c>
      <c r="L48" s="2">
        <v>12.141999999999999</v>
      </c>
      <c r="M48" s="2">
        <v>-2363.1</v>
      </c>
      <c r="N48" s="14" t="s">
        <v>82</v>
      </c>
      <c r="O48" s="14" t="s">
        <v>82</v>
      </c>
      <c r="P48" s="2" t="s">
        <v>83</v>
      </c>
      <c r="Q48" s="2">
        <v>4</v>
      </c>
      <c r="R48" s="2" t="s">
        <v>78</v>
      </c>
      <c r="S48" s="2" t="s">
        <v>84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131</v>
      </c>
      <c r="Y48" s="2">
        <v>18702.458999999999</v>
      </c>
      <c r="Z48" s="2">
        <v>4286</v>
      </c>
      <c r="AA48" s="2" t="s">
        <v>124</v>
      </c>
      <c r="AB48" s="2" t="s">
        <v>78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4">
      <c r="A49" s="6" t="s">
        <v>84</v>
      </c>
      <c r="B49" s="2" t="s">
        <v>127</v>
      </c>
      <c r="C49" s="2" t="s">
        <v>128</v>
      </c>
      <c r="D49" s="2" t="s">
        <v>132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109</v>
      </c>
      <c r="Q49" s="2">
        <v>5</v>
      </c>
      <c r="R49" s="2" t="s">
        <v>78</v>
      </c>
      <c r="S49" s="2" t="s">
        <v>84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18702.458999999999</v>
      </c>
      <c r="Z49" s="2">
        <v>4286</v>
      </c>
      <c r="AA49" s="2" t="s">
        <v>124</v>
      </c>
      <c r="AB49" s="2" t="s">
        <v>84</v>
      </c>
    </row>
    <row r="50" spans="1:34">
      <c r="A50" s="6" t="s">
        <v>78</v>
      </c>
      <c r="B50" s="2" t="s">
        <v>133</v>
      </c>
      <c r="C50" s="2" t="s">
        <v>97</v>
      </c>
      <c r="D50" s="2" t="s">
        <v>134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82</v>
      </c>
      <c r="J50" s="14" t="s">
        <v>82</v>
      </c>
      <c r="K50" s="2">
        <v>2.5694999999999999E-2</v>
      </c>
      <c r="L50" s="2">
        <v>-2.5225000000000001E-2</v>
      </c>
      <c r="M50" s="2">
        <v>4.9867000000000002E-3</v>
      </c>
      <c r="N50" s="14" t="s">
        <v>82</v>
      </c>
      <c r="O50" s="14" t="s">
        <v>82</v>
      </c>
      <c r="P50" s="2" t="s">
        <v>135</v>
      </c>
      <c r="Q50" s="2">
        <v>2</v>
      </c>
      <c r="R50" s="2" t="s">
        <v>78</v>
      </c>
      <c r="S50" s="2" t="s">
        <v>78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136</v>
      </c>
      <c r="Y50" s="2">
        <v>18360</v>
      </c>
      <c r="Z50" s="2">
        <v>3047</v>
      </c>
      <c r="AA50" s="2" t="s">
        <v>86</v>
      </c>
      <c r="AB50" s="2" t="s">
        <v>78</v>
      </c>
      <c r="AF50" s="16"/>
      <c r="AG50" s="16"/>
    </row>
    <row r="51" spans="1:34">
      <c r="A51" s="6" t="s">
        <v>78</v>
      </c>
      <c r="B51" s="2" t="s">
        <v>137</v>
      </c>
      <c r="C51" s="2" t="s">
        <v>138</v>
      </c>
      <c r="D51" s="2" t="s">
        <v>139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82</v>
      </c>
      <c r="J51" s="14" t="s">
        <v>82</v>
      </c>
      <c r="K51" s="2">
        <v>-6.4236000000000001E-2</v>
      </c>
      <c r="L51" s="2">
        <v>3.4979999999999997E-2</v>
      </c>
      <c r="M51" s="2">
        <v>-5.2731999999999996E-3</v>
      </c>
      <c r="N51" s="14" t="s">
        <v>82</v>
      </c>
      <c r="O51" s="14" t="s">
        <v>82</v>
      </c>
      <c r="P51" s="2" t="s">
        <v>140</v>
      </c>
      <c r="Q51" s="2">
        <v>1</v>
      </c>
      <c r="R51" s="2" t="s">
        <v>78</v>
      </c>
      <c r="S51" s="2" t="s">
        <v>78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141</v>
      </c>
      <c r="Y51" s="2">
        <v>19510</v>
      </c>
      <c r="Z51" s="2">
        <v>5019</v>
      </c>
      <c r="AA51" s="2" t="s">
        <v>86</v>
      </c>
      <c r="AB51" s="2" t="s">
        <v>84</v>
      </c>
    </row>
    <row r="52" spans="1:34">
      <c r="A52" s="6" t="s">
        <v>78</v>
      </c>
      <c r="B52" s="2" t="s">
        <v>142</v>
      </c>
      <c r="C52" s="2" t="s">
        <v>143</v>
      </c>
      <c r="D52" s="2" t="s">
        <v>144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140</v>
      </c>
      <c r="Q52" s="2">
        <v>1</v>
      </c>
      <c r="R52" s="2" t="s">
        <v>78</v>
      </c>
      <c r="S52" s="2" t="s">
        <v>78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141</v>
      </c>
      <c r="AB52" s="2" t="s">
        <v>84</v>
      </c>
    </row>
    <row r="53" spans="1:34">
      <c r="A53" s="6" t="s">
        <v>78</v>
      </c>
      <c r="B53" s="2" t="s">
        <v>145</v>
      </c>
      <c r="C53" s="2" t="s">
        <v>146</v>
      </c>
      <c r="D53" s="2" t="s">
        <v>147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82</v>
      </c>
      <c r="J53" s="14" t="s">
        <v>82</v>
      </c>
      <c r="K53" s="2">
        <v>-7.4473999999999999E-2</v>
      </c>
      <c r="L53" s="2">
        <v>4.3362999999999999E-2</v>
      </c>
      <c r="M53" s="2">
        <v>-6.7419999999999997E-3</v>
      </c>
      <c r="N53" s="14" t="s">
        <v>82</v>
      </c>
      <c r="O53" s="14" t="s">
        <v>82</v>
      </c>
      <c r="P53" s="2" t="s">
        <v>140</v>
      </c>
      <c r="Q53" s="2">
        <v>1</v>
      </c>
      <c r="R53" s="2" t="s">
        <v>78</v>
      </c>
      <c r="S53" s="2" t="s">
        <v>78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141</v>
      </c>
      <c r="Y53" s="2">
        <v>16060</v>
      </c>
      <c r="Z53" s="2">
        <v>3338</v>
      </c>
      <c r="AA53" s="2" t="s">
        <v>86</v>
      </c>
      <c r="AB53" s="2" t="s">
        <v>84</v>
      </c>
    </row>
    <row r="54" spans="1:34">
      <c r="A54" s="6" t="s">
        <v>78</v>
      </c>
      <c r="B54" s="2" t="s">
        <v>148</v>
      </c>
      <c r="C54" s="2" t="s">
        <v>98</v>
      </c>
      <c r="D54" s="2" t="s">
        <v>149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82</v>
      </c>
      <c r="J54" s="14" t="s">
        <v>82</v>
      </c>
      <c r="K54" s="2">
        <v>-6.0360999999999998E-2</v>
      </c>
      <c r="L54" s="2">
        <v>3.3765000000000003E-2</v>
      </c>
      <c r="M54" s="2">
        <v>-5.1862000000000002E-3</v>
      </c>
      <c r="N54" s="14" t="s">
        <v>82</v>
      </c>
      <c r="O54" s="14" t="s">
        <v>82</v>
      </c>
      <c r="P54" s="2" t="s">
        <v>135</v>
      </c>
      <c r="Q54" s="2">
        <v>2</v>
      </c>
      <c r="R54" s="2" t="s">
        <v>78</v>
      </c>
      <c r="S54" s="2" t="s">
        <v>78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136</v>
      </c>
      <c r="Y54" s="2">
        <v>19510</v>
      </c>
      <c r="Z54" s="2">
        <v>5019</v>
      </c>
      <c r="AA54" s="2" t="s">
        <v>86</v>
      </c>
      <c r="AB54" s="2" t="s">
        <v>78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4" ht="18">
      <c r="A55" s="6" t="s">
        <v>78</v>
      </c>
      <c r="B55" s="2" t="s">
        <v>150</v>
      </c>
      <c r="C55" s="2" t="s">
        <v>151</v>
      </c>
      <c r="D55" s="2" t="s">
        <v>152</v>
      </c>
      <c r="E55" s="2">
        <v>-136.26849999999999</v>
      </c>
      <c r="F55" s="2">
        <v>206.11500000000001</v>
      </c>
      <c r="G55" s="14">
        <v>57.280500000000004</v>
      </c>
      <c r="H55" s="14" t="s">
        <v>82</v>
      </c>
      <c r="I55" s="14" t="s">
        <v>82</v>
      </c>
      <c r="J55" s="14" t="s">
        <v>82</v>
      </c>
      <c r="K55" s="2">
        <v>-0.14859800000000001</v>
      </c>
      <c r="L55" s="2">
        <v>9.5114000000000004E-2</v>
      </c>
      <c r="M55" s="2">
        <v>-1.6339599999999999E-2</v>
      </c>
      <c r="N55" s="14" t="s">
        <v>82</v>
      </c>
      <c r="O55" s="14" t="s">
        <v>82</v>
      </c>
      <c r="P55" s="2" t="s">
        <v>135</v>
      </c>
      <c r="Q55" s="2">
        <v>1</v>
      </c>
      <c r="R55" s="2" t="s">
        <v>84</v>
      </c>
      <c r="S55" s="2" t="s">
        <v>78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153</v>
      </c>
      <c r="Y55" s="2">
        <v>18100</v>
      </c>
      <c r="Z55" s="2">
        <v>22331</v>
      </c>
      <c r="AA55" s="2" t="s">
        <v>154</v>
      </c>
      <c r="AB55" s="2" t="s">
        <v>84</v>
      </c>
    </row>
    <row r="56" spans="1:34" ht="18">
      <c r="A56" s="6" t="s">
        <v>78</v>
      </c>
      <c r="B56" s="2" t="s">
        <v>155</v>
      </c>
      <c r="C56" s="2" t="s">
        <v>156</v>
      </c>
      <c r="D56" s="2" t="s">
        <v>157</v>
      </c>
      <c r="E56" s="2">
        <v>-124.4395</v>
      </c>
      <c r="F56" s="2">
        <v>185.4299</v>
      </c>
      <c r="G56" s="2">
        <v>51.638300000000001</v>
      </c>
      <c r="H56" s="14" t="s">
        <v>82</v>
      </c>
      <c r="I56" s="14" t="s">
        <v>82</v>
      </c>
      <c r="J56" s="14" t="s">
        <v>82</v>
      </c>
      <c r="K56" s="2">
        <v>-0.149779</v>
      </c>
      <c r="L56" s="2">
        <v>9.4668000000000002E-2</v>
      </c>
      <c r="M56" s="2">
        <v>-1.6004299999999999E-2</v>
      </c>
      <c r="N56" s="14" t="s">
        <v>82</v>
      </c>
      <c r="O56" s="14" t="s">
        <v>82</v>
      </c>
      <c r="P56" s="2" t="s">
        <v>135</v>
      </c>
      <c r="Q56" s="2">
        <v>1</v>
      </c>
      <c r="R56" s="2" t="s">
        <v>84</v>
      </c>
      <c r="S56" s="2" t="s">
        <v>78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153</v>
      </c>
      <c r="Y56" s="2">
        <v>20100</v>
      </c>
      <c r="Z56" s="2">
        <v>3600</v>
      </c>
      <c r="AA56" s="2" t="s">
        <v>154</v>
      </c>
      <c r="AB56" s="2" t="s">
        <v>84</v>
      </c>
    </row>
    <row r="57" spans="1:34" ht="18">
      <c r="A57" s="6" t="s">
        <v>78</v>
      </c>
      <c r="B57" s="2" t="s">
        <v>158</v>
      </c>
      <c r="C57" s="2" t="s">
        <v>159</v>
      </c>
      <c r="D57" s="2" t="s">
        <v>160</v>
      </c>
      <c r="E57" s="2">
        <v>-136.12899999999999</v>
      </c>
      <c r="F57" s="2">
        <v>206.47499999999999</v>
      </c>
      <c r="G57" s="2">
        <v>55.895699999999998</v>
      </c>
      <c r="H57" s="14" t="s">
        <v>82</v>
      </c>
      <c r="I57" s="14" t="s">
        <v>82</v>
      </c>
      <c r="J57" s="14" t="s">
        <v>82</v>
      </c>
      <c r="K57" s="2">
        <v>-2.7539999999999999E-2</v>
      </c>
      <c r="L57" s="2">
        <v>6.0330000000000002E-3</v>
      </c>
      <c r="M57" s="14" t="s">
        <v>82</v>
      </c>
      <c r="N57" s="14" t="s">
        <v>82</v>
      </c>
      <c r="O57" s="14" t="s">
        <v>82</v>
      </c>
      <c r="P57" s="2" t="s">
        <v>135</v>
      </c>
      <c r="Q57" s="2">
        <v>1</v>
      </c>
      <c r="R57" s="2" t="s">
        <v>84</v>
      </c>
      <c r="S57" s="2" t="s">
        <v>78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161</v>
      </c>
      <c r="AB57" s="2" t="s">
        <v>84</v>
      </c>
    </row>
    <row r="58" spans="1:34">
      <c r="A58" s="6" t="s">
        <v>78</v>
      </c>
      <c r="B58" s="2" t="s">
        <v>162</v>
      </c>
      <c r="C58" s="2" t="s">
        <v>163</v>
      </c>
      <c r="D58" s="2" t="s">
        <v>164</v>
      </c>
      <c r="E58" s="2">
        <v>-98.726399999999998</v>
      </c>
      <c r="F58" s="2">
        <v>142.803</v>
      </c>
      <c r="G58" s="2">
        <v>38.874600000000001</v>
      </c>
      <c r="H58" s="14" t="s">
        <v>82</v>
      </c>
      <c r="I58" s="14" t="s">
        <v>82</v>
      </c>
      <c r="J58" s="14" t="s">
        <v>82</v>
      </c>
      <c r="K58" s="2">
        <v>2.68696E-2</v>
      </c>
      <c r="L58" s="2">
        <v>-3.3440699999999997E-2</v>
      </c>
      <c r="M58" s="2">
        <v>7.0843E-3</v>
      </c>
      <c r="N58" s="14" t="s">
        <v>82</v>
      </c>
      <c r="O58" s="14" t="s">
        <v>82</v>
      </c>
      <c r="P58" s="2" t="s">
        <v>135</v>
      </c>
      <c r="Q58" s="2">
        <v>1</v>
      </c>
      <c r="R58" s="2" t="s">
        <v>84</v>
      </c>
      <c r="S58" s="2" t="s">
        <v>78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165</v>
      </c>
      <c r="Y58" s="2">
        <v>19.3</v>
      </c>
      <c r="Z58" s="2">
        <v>2.9000000000000001E-2</v>
      </c>
      <c r="AA58" s="2" t="s">
        <v>166</v>
      </c>
      <c r="AB58" s="2" t="s">
        <v>84</v>
      </c>
    </row>
    <row r="59" spans="1:34" ht="18">
      <c r="A59" s="6" t="s">
        <v>84</v>
      </c>
      <c r="B59" s="2" t="s">
        <v>167</v>
      </c>
      <c r="C59" s="2" t="s">
        <v>168</v>
      </c>
      <c r="D59" s="2" t="s">
        <v>169</v>
      </c>
      <c r="E59" s="2">
        <v>-89.858599999999996</v>
      </c>
      <c r="F59" s="2">
        <v>140.17019999999999</v>
      </c>
      <c r="G59" s="2">
        <v>36.377600000000001</v>
      </c>
      <c r="H59" s="14" t="s">
        <v>82</v>
      </c>
      <c r="I59" s="14" t="s">
        <v>82</v>
      </c>
      <c r="J59" s="14" t="s">
        <v>82</v>
      </c>
      <c r="K59" s="14" t="s">
        <v>82</v>
      </c>
      <c r="L59" s="14" t="s">
        <v>82</v>
      </c>
      <c r="M59" s="14" t="s">
        <v>82</v>
      </c>
      <c r="N59" s="14" t="s">
        <v>82</v>
      </c>
      <c r="O59" s="14" t="s">
        <v>82</v>
      </c>
      <c r="P59" s="2" t="s">
        <v>94</v>
      </c>
      <c r="Q59" s="2">
        <v>1</v>
      </c>
      <c r="R59" s="2" t="s">
        <v>84</v>
      </c>
      <c r="S59" s="2" t="s">
        <v>78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170</v>
      </c>
      <c r="AB59" s="2" t="s">
        <v>84</v>
      </c>
    </row>
    <row r="60" spans="1:34" ht="18">
      <c r="A60" s="6" t="s">
        <v>78</v>
      </c>
      <c r="B60" s="2" t="s">
        <v>167</v>
      </c>
      <c r="C60" s="2" t="s">
        <v>168</v>
      </c>
      <c r="D60" s="2" t="s">
        <v>171</v>
      </c>
      <c r="E60" s="2">
        <v>-91.878</v>
      </c>
      <c r="F60" s="2">
        <v>139.001</v>
      </c>
      <c r="G60" s="2">
        <v>35.478000000000002</v>
      </c>
      <c r="H60" s="14" t="s">
        <v>82</v>
      </c>
      <c r="I60" s="14" t="s">
        <v>82</v>
      </c>
      <c r="J60" s="14" t="s">
        <v>82</v>
      </c>
      <c r="K60" s="14" t="s">
        <v>82</v>
      </c>
      <c r="L60" s="14" t="s">
        <v>82</v>
      </c>
      <c r="M60" s="14" t="s">
        <v>82</v>
      </c>
      <c r="N60" s="14" t="s">
        <v>82</v>
      </c>
      <c r="O60" s="14" t="s">
        <v>82</v>
      </c>
      <c r="P60" s="2" t="s">
        <v>172</v>
      </c>
      <c r="Q60" s="2">
        <v>1</v>
      </c>
      <c r="R60" s="2" t="s">
        <v>84</v>
      </c>
      <c r="S60" s="2" t="s">
        <v>78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173</v>
      </c>
      <c r="AB60" s="2" t="s">
        <v>84</v>
      </c>
    </row>
    <row r="61" spans="1:34" ht="18">
      <c r="A61" s="6" t="s">
        <v>84</v>
      </c>
      <c r="B61" s="2" t="s">
        <v>167</v>
      </c>
      <c r="C61" s="2" t="s">
        <v>168</v>
      </c>
      <c r="D61" s="2" t="s">
        <v>174</v>
      </c>
      <c r="E61" s="2">
        <v>-92.968299999999999</v>
      </c>
      <c r="F61" s="2">
        <v>140.17019999999999</v>
      </c>
      <c r="G61" s="2">
        <v>36.377600000000001</v>
      </c>
      <c r="H61" s="14" t="s">
        <v>82</v>
      </c>
      <c r="I61" s="14" t="s">
        <v>82</v>
      </c>
      <c r="J61" s="14" t="s">
        <v>82</v>
      </c>
      <c r="K61" s="14" t="s">
        <v>82</v>
      </c>
      <c r="L61" s="14" t="s">
        <v>82</v>
      </c>
      <c r="M61" s="14" t="s">
        <v>82</v>
      </c>
      <c r="N61" s="14" t="s">
        <v>82</v>
      </c>
      <c r="O61" s="14" t="s">
        <v>82</v>
      </c>
      <c r="P61" s="2" t="s">
        <v>172</v>
      </c>
      <c r="Q61" s="2">
        <v>1</v>
      </c>
      <c r="R61" s="2" t="s">
        <v>84</v>
      </c>
      <c r="S61" s="2" t="s">
        <v>78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173</v>
      </c>
      <c r="AB61" s="2" t="s">
        <v>84</v>
      </c>
    </row>
    <row r="62" spans="1:34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4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4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AO54"/>
  <sheetViews>
    <sheetView tabSelected="1" workbookViewId="0">
      <pane ySplit="3" topLeftCell="A4" activePane="bottomLeft" state="frozen"/>
      <selection pane="bottomLeft" activeCell="A4" sqref="A4"/>
    </sheetView>
  </sheetViews>
  <sheetFormatPr defaultColWidth="9.33203125" defaultRowHeight="15"/>
  <cols>
    <col min="1" max="2" width="9.33203125" style="2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41" ht="15.75" thickBot="1">
      <c r="A1" s="68" t="s">
        <v>175</v>
      </c>
      <c r="B1" s="68"/>
      <c r="C1" s="68"/>
      <c r="D1" s="68"/>
      <c r="E1" s="68" t="s">
        <v>317</v>
      </c>
      <c r="F1" s="68"/>
      <c r="G1" s="68"/>
      <c r="H1" s="68"/>
      <c r="I1" s="68"/>
      <c r="J1" s="68"/>
      <c r="K1" s="68"/>
      <c r="L1" s="56" t="s">
        <v>176</v>
      </c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</row>
    <row r="2" spans="1:41">
      <c r="A2" s="69" t="s">
        <v>177</v>
      </c>
      <c r="B2" s="69" t="s">
        <v>178</v>
      </c>
      <c r="C2" s="69" t="s">
        <v>179</v>
      </c>
      <c r="D2" s="69" t="s">
        <v>180</v>
      </c>
      <c r="E2" s="69" t="s">
        <v>181</v>
      </c>
      <c r="F2" s="69" t="s">
        <v>182</v>
      </c>
      <c r="G2" s="69" t="s">
        <v>183</v>
      </c>
      <c r="H2" s="69" t="s">
        <v>184</v>
      </c>
      <c r="I2" s="69" t="s">
        <v>185</v>
      </c>
      <c r="J2" s="69" t="s">
        <v>186</v>
      </c>
      <c r="K2" s="69" t="s">
        <v>187</v>
      </c>
      <c r="L2" s="58" t="s">
        <v>80</v>
      </c>
      <c r="M2" s="58" t="s">
        <v>188</v>
      </c>
      <c r="N2" s="58" t="s">
        <v>91</v>
      </c>
      <c r="O2" s="58" t="s">
        <v>189</v>
      </c>
      <c r="P2" s="58" t="s">
        <v>104</v>
      </c>
      <c r="Q2" s="58" t="s">
        <v>190</v>
      </c>
      <c r="R2" s="58" t="s">
        <v>113</v>
      </c>
      <c r="S2" s="58" t="s">
        <v>191</v>
      </c>
      <c r="T2" s="58" t="s">
        <v>119</v>
      </c>
      <c r="U2" s="58" t="s">
        <v>192</v>
      </c>
      <c r="V2" s="58" t="s">
        <v>123</v>
      </c>
      <c r="W2" s="58" t="s">
        <v>193</v>
      </c>
      <c r="X2" s="58" t="s">
        <v>104</v>
      </c>
      <c r="Y2" s="58" t="s">
        <v>190</v>
      </c>
      <c r="Z2" s="58" t="s">
        <v>123</v>
      </c>
      <c r="AA2" s="58" t="s">
        <v>193</v>
      </c>
      <c r="AB2" s="58" t="s">
        <v>128</v>
      </c>
      <c r="AC2" s="58" t="s">
        <v>194</v>
      </c>
      <c r="AD2" s="58" t="s">
        <v>97</v>
      </c>
      <c r="AE2" s="58" t="s">
        <v>195</v>
      </c>
      <c r="AF2" s="58" t="s">
        <v>138</v>
      </c>
      <c r="AG2" s="58" t="s">
        <v>196</v>
      </c>
      <c r="AH2" s="58" t="s">
        <v>146</v>
      </c>
      <c r="AI2" s="58" t="s">
        <v>197</v>
      </c>
      <c r="AJ2" s="58" t="s">
        <v>151</v>
      </c>
      <c r="AK2" s="58" t="s">
        <v>198</v>
      </c>
      <c r="AL2" s="58"/>
      <c r="AM2" s="58"/>
      <c r="AN2" s="58"/>
      <c r="AO2" s="58"/>
    </row>
    <row r="3" spans="1:41" ht="28.5" customHeight="1" thickBot="1">
      <c r="A3" s="70"/>
      <c r="B3" s="70"/>
      <c r="C3" s="70"/>
      <c r="D3" s="70"/>
      <c r="E3" s="70"/>
      <c r="F3" s="70" t="s">
        <v>199</v>
      </c>
      <c r="G3" s="70" t="s">
        <v>200</v>
      </c>
      <c r="H3" s="70" t="s">
        <v>201</v>
      </c>
      <c r="I3" s="70" t="s">
        <v>202</v>
      </c>
      <c r="J3" s="70" t="s">
        <v>203</v>
      </c>
      <c r="K3" s="70" t="s">
        <v>204</v>
      </c>
      <c r="L3" s="59" t="s">
        <v>205</v>
      </c>
      <c r="M3" s="59"/>
      <c r="N3" s="59" t="s">
        <v>205</v>
      </c>
      <c r="O3" s="59"/>
      <c r="P3" s="59" t="s">
        <v>205</v>
      </c>
      <c r="Q3" s="59"/>
      <c r="R3" s="59" t="s">
        <v>205</v>
      </c>
      <c r="S3" s="59"/>
      <c r="T3" s="59" t="s">
        <v>205</v>
      </c>
      <c r="U3" s="59"/>
      <c r="V3" s="59" t="s">
        <v>205</v>
      </c>
      <c r="W3" s="59"/>
      <c r="X3" s="59" t="s">
        <v>206</v>
      </c>
      <c r="Y3" s="59"/>
      <c r="Z3" s="59" t="s">
        <v>206</v>
      </c>
      <c r="AA3" s="59"/>
      <c r="AB3" s="59" t="s">
        <v>206</v>
      </c>
      <c r="AC3" s="59"/>
      <c r="AD3" s="59" t="s">
        <v>206</v>
      </c>
      <c r="AE3" s="59"/>
      <c r="AF3" s="59" t="s">
        <v>206</v>
      </c>
      <c r="AG3" s="59"/>
      <c r="AH3" s="59" t="s">
        <v>206</v>
      </c>
      <c r="AI3" s="59"/>
      <c r="AJ3" s="59" t="s">
        <v>207</v>
      </c>
      <c r="AK3" s="59"/>
      <c r="AL3" s="59"/>
      <c r="AM3" s="59"/>
      <c r="AN3" s="59"/>
      <c r="AO3" s="59"/>
    </row>
    <row r="4" spans="1:41">
      <c r="A4" s="28" t="s">
        <v>208</v>
      </c>
      <c r="B4" s="28" t="s">
        <v>209</v>
      </c>
      <c r="C4" s="28" t="s">
        <v>210</v>
      </c>
      <c r="D4" s="35">
        <v>41507</v>
      </c>
      <c r="E4" s="28" t="s">
        <v>211</v>
      </c>
      <c r="F4" s="36">
        <v>0.22376201802000001</v>
      </c>
      <c r="G4" s="36">
        <v>39.024390243902403</v>
      </c>
      <c r="H4" s="37">
        <v>20.090000152599998</v>
      </c>
      <c r="I4" s="22">
        <v>1</v>
      </c>
      <c r="J4" s="22">
        <v>0</v>
      </c>
      <c r="K4" s="22">
        <v>0</v>
      </c>
      <c r="L4" s="38">
        <v>6.5699999999999999E-8</v>
      </c>
      <c r="M4" s="38">
        <f>0.01*L4</f>
        <v>6.5700000000000001E-10</v>
      </c>
      <c r="N4" s="29">
        <v>2.326E-7</v>
      </c>
      <c r="O4" s="36">
        <v>2.8000000000000002E-10</v>
      </c>
      <c r="R4" s="32"/>
      <c r="S4" s="32"/>
      <c r="U4" s="30"/>
      <c r="V4" s="30"/>
      <c r="W4" s="30"/>
      <c r="X4" s="31">
        <v>0.62979533697440104</v>
      </c>
      <c r="Y4" s="32">
        <f t="shared" ref="Y4:Y54" si="0">X4*0.1</f>
        <v>6.297953369744011E-2</v>
      </c>
      <c r="Z4" s="31">
        <v>17.871653837796998</v>
      </c>
      <c r="AA4" s="32">
        <f t="shared" ref="AA4:AA54" si="1">Z4*0.1</f>
        <v>1.7871653837796999</v>
      </c>
      <c r="AB4" s="33">
        <v>1.42687857026998</v>
      </c>
      <c r="AC4" s="33">
        <v>0.14268785702699802</v>
      </c>
      <c r="AD4" s="33">
        <v>15.4357918899496</v>
      </c>
      <c r="AE4" s="33">
        <v>1.5435791889949602</v>
      </c>
      <c r="AF4" s="33"/>
      <c r="AG4" s="33"/>
      <c r="AH4" s="34"/>
      <c r="AI4" s="33"/>
      <c r="AJ4" s="33"/>
      <c r="AK4" s="33"/>
    </row>
    <row r="5" spans="1:41">
      <c r="A5" s="28" t="s">
        <v>208</v>
      </c>
      <c r="B5" s="28" t="s">
        <v>209</v>
      </c>
      <c r="C5" s="28" t="s">
        <v>210</v>
      </c>
      <c r="D5" s="35">
        <v>41507</v>
      </c>
      <c r="E5" s="22" t="s">
        <v>212</v>
      </c>
      <c r="F5" s="36">
        <v>0.22376201802000001</v>
      </c>
      <c r="G5" s="36">
        <v>39.024390243902403</v>
      </c>
      <c r="H5" s="37">
        <v>20.090000152599998</v>
      </c>
      <c r="I5" s="22">
        <v>1</v>
      </c>
      <c r="J5" s="22">
        <v>0</v>
      </c>
      <c r="K5" s="22">
        <v>0</v>
      </c>
      <c r="L5" s="38">
        <v>6.5699999999999999E-8</v>
      </c>
      <c r="M5" s="38">
        <f>0.01*L5</f>
        <v>6.5700000000000001E-10</v>
      </c>
      <c r="N5" s="29">
        <v>2.326E-7</v>
      </c>
      <c r="O5" s="36">
        <v>2.8000000000000002E-10</v>
      </c>
      <c r="R5" s="32"/>
      <c r="S5" s="32"/>
      <c r="U5" s="30"/>
      <c r="V5" s="30"/>
      <c r="W5" s="30"/>
      <c r="X5" s="31">
        <v>0.62248640074703598</v>
      </c>
      <c r="Y5" s="32">
        <f t="shared" si="0"/>
        <v>6.2248640074703598E-2</v>
      </c>
      <c r="Z5" s="31">
        <v>17.619880809601302</v>
      </c>
      <c r="AA5" s="32">
        <f t="shared" si="1"/>
        <v>1.7619880809601303</v>
      </c>
      <c r="AB5" s="33">
        <v>1.7602966267139499</v>
      </c>
      <c r="AC5" s="33">
        <v>0.176029662671395</v>
      </c>
      <c r="AD5" s="33">
        <v>17.795517366134199</v>
      </c>
      <c r="AE5" s="33">
        <v>1.7795517366134199</v>
      </c>
      <c r="AF5" s="33"/>
      <c r="AG5" s="33"/>
      <c r="AH5" s="34"/>
      <c r="AI5" s="33"/>
      <c r="AJ5" s="33"/>
      <c r="AK5" s="33"/>
    </row>
    <row r="6" spans="1:41">
      <c r="A6" s="28" t="s">
        <v>208</v>
      </c>
      <c r="B6" s="28" t="s">
        <v>209</v>
      </c>
      <c r="C6" s="28" t="s">
        <v>213</v>
      </c>
      <c r="D6" s="35">
        <v>41508</v>
      </c>
      <c r="E6" s="28" t="s">
        <v>214</v>
      </c>
      <c r="F6" s="36">
        <v>0.70640354088000001</v>
      </c>
      <c r="G6" s="36">
        <v>19.8170731707317</v>
      </c>
      <c r="H6" s="37">
        <v>20.159999847400002</v>
      </c>
      <c r="I6" s="22">
        <v>1</v>
      </c>
      <c r="J6" s="22">
        <v>0</v>
      </c>
      <c r="K6" s="22">
        <v>0</v>
      </c>
      <c r="L6" s="38">
        <v>4.3230000000000003E-7</v>
      </c>
      <c r="M6" s="38">
        <v>3E-10</v>
      </c>
      <c r="N6" s="29">
        <v>2.0840000000000001E-7</v>
      </c>
      <c r="O6" s="36">
        <v>4.8E-10</v>
      </c>
      <c r="R6" s="32"/>
      <c r="S6" s="32"/>
      <c r="U6" s="30"/>
      <c r="V6" s="30"/>
      <c r="W6" s="30"/>
      <c r="X6" s="31">
        <v>0.67235170200266103</v>
      </c>
      <c r="Y6" s="32">
        <f t="shared" si="0"/>
        <v>6.7235170200266106E-2</v>
      </c>
      <c r="Z6" s="31">
        <v>18.817703893028099</v>
      </c>
      <c r="AA6" s="32">
        <f t="shared" si="1"/>
        <v>1.8817703893028099</v>
      </c>
      <c r="AB6" s="33">
        <v>0.24901772196694399</v>
      </c>
      <c r="AC6" s="33">
        <v>2.4901772196694399E-2</v>
      </c>
      <c r="AD6" s="33">
        <v>2.2874090331888501</v>
      </c>
      <c r="AE6" s="33">
        <v>0.22874090331888502</v>
      </c>
      <c r="AF6" s="33">
        <v>5.92962525906257E-3</v>
      </c>
      <c r="AG6" s="33">
        <v>5.9296252590625707E-4</v>
      </c>
      <c r="AH6" s="33"/>
      <c r="AI6" s="33"/>
      <c r="AJ6" s="33"/>
      <c r="AK6" s="34"/>
    </row>
    <row r="7" spans="1:41">
      <c r="A7" s="28" t="s">
        <v>208</v>
      </c>
      <c r="B7" s="28" t="s">
        <v>209</v>
      </c>
      <c r="C7" s="28" t="s">
        <v>213</v>
      </c>
      <c r="D7" s="35">
        <v>41508</v>
      </c>
      <c r="E7" s="28" t="s">
        <v>215</v>
      </c>
      <c r="F7" s="36">
        <v>0.70640354088000001</v>
      </c>
      <c r="G7" s="36">
        <v>19.8170731707317</v>
      </c>
      <c r="H7" s="37">
        <v>20.159999847400002</v>
      </c>
      <c r="I7" s="22">
        <v>1</v>
      </c>
      <c r="J7" s="22">
        <v>0</v>
      </c>
      <c r="K7" s="22">
        <v>0</v>
      </c>
      <c r="L7" s="38">
        <v>4.3230000000000003E-7</v>
      </c>
      <c r="M7" s="38">
        <v>3E-10</v>
      </c>
      <c r="N7" s="29">
        <v>2.0840000000000001E-7</v>
      </c>
      <c r="O7" s="36">
        <v>4.8E-10</v>
      </c>
      <c r="R7" s="32"/>
      <c r="S7" s="32"/>
      <c r="U7" s="30"/>
      <c r="V7" s="30"/>
      <c r="W7" s="30"/>
      <c r="X7" s="31">
        <v>0.67438778880241201</v>
      </c>
      <c r="Y7" s="32">
        <f t="shared" si="0"/>
        <v>6.7438778880241204E-2</v>
      </c>
      <c r="Z7" s="31">
        <v>18.820636805411599</v>
      </c>
      <c r="AA7" s="32">
        <f t="shared" si="1"/>
        <v>1.8820636805411599</v>
      </c>
      <c r="AB7" s="33">
        <v>0.24810933146247199</v>
      </c>
      <c r="AC7" s="33">
        <v>2.4810933146247202E-2</v>
      </c>
      <c r="AD7" s="33">
        <v>2.2931443891349099</v>
      </c>
      <c r="AE7" s="33">
        <v>0.22931443891349101</v>
      </c>
      <c r="AF7" s="33">
        <v>5.7235381249341596E-3</v>
      </c>
      <c r="AG7" s="33">
        <v>5.7235381249341603E-4</v>
      </c>
      <c r="AH7" s="33"/>
      <c r="AI7" s="33"/>
      <c r="AJ7" s="33"/>
      <c r="AK7" s="34"/>
    </row>
    <row r="8" spans="1:41" ht="15.75">
      <c r="A8" s="22" t="s">
        <v>208</v>
      </c>
      <c r="B8" s="28" t="s">
        <v>209</v>
      </c>
      <c r="C8" s="22" t="s">
        <v>216</v>
      </c>
      <c r="D8" s="23">
        <v>41520</v>
      </c>
      <c r="E8" s="22" t="s">
        <v>217</v>
      </c>
      <c r="F8" s="24">
        <v>0.14891640378000001</v>
      </c>
      <c r="G8" s="24">
        <v>61.585365853658502</v>
      </c>
      <c r="H8" s="37">
        <v>19.219999313399999</v>
      </c>
      <c r="I8" s="22">
        <v>1</v>
      </c>
      <c r="J8" s="22">
        <v>0</v>
      </c>
      <c r="K8" s="22">
        <v>0</v>
      </c>
      <c r="L8" s="38">
        <v>1.178E-7</v>
      </c>
      <c r="M8" s="38">
        <v>1E-10</v>
      </c>
      <c r="N8" s="24">
        <v>2.4289999999999998E-7</v>
      </c>
      <c r="O8" s="24">
        <v>2.8999999999999998E-10</v>
      </c>
      <c r="R8" s="32"/>
      <c r="S8" s="32"/>
      <c r="U8" s="38"/>
      <c r="V8" s="38"/>
      <c r="W8" s="38"/>
      <c r="X8" s="31">
        <v>0.70297674666724597</v>
      </c>
      <c r="Y8" s="32">
        <f t="shared" si="0"/>
        <v>7.0297674666724597E-2</v>
      </c>
      <c r="Z8" s="31">
        <v>19.9916785275908</v>
      </c>
      <c r="AA8" s="32">
        <f t="shared" si="1"/>
        <v>1.9991678527590802</v>
      </c>
      <c r="AB8" s="33">
        <v>0.26417856631084802</v>
      </c>
      <c r="AC8" s="33">
        <v>2.6417856631084802E-2</v>
      </c>
      <c r="AD8" s="33">
        <v>1.8291543343152501</v>
      </c>
      <c r="AE8" s="33">
        <v>0.18291543343152503</v>
      </c>
      <c r="AF8" s="33"/>
      <c r="AG8" s="33"/>
      <c r="AH8" s="27"/>
      <c r="AI8" s="26"/>
      <c r="AJ8" s="26"/>
      <c r="AK8" s="26"/>
    </row>
    <row r="9" spans="1:41" ht="15.75">
      <c r="A9" s="22" t="s">
        <v>208</v>
      </c>
      <c r="B9" s="28" t="s">
        <v>209</v>
      </c>
      <c r="C9" s="22" t="s">
        <v>216</v>
      </c>
      <c r="D9" s="23">
        <v>41520</v>
      </c>
      <c r="E9" s="22" t="s">
        <v>218</v>
      </c>
      <c r="F9" s="24">
        <v>0.14891640378000001</v>
      </c>
      <c r="G9" s="24">
        <v>61.585365853658502</v>
      </c>
      <c r="H9" s="37">
        <v>19.219999313399999</v>
      </c>
      <c r="I9" s="22">
        <v>1</v>
      </c>
      <c r="J9" s="22">
        <v>0</v>
      </c>
      <c r="K9" s="22">
        <v>0</v>
      </c>
      <c r="L9" s="38">
        <v>1.178E-7</v>
      </c>
      <c r="M9" s="38">
        <v>1E-10</v>
      </c>
      <c r="N9" s="24">
        <v>2.4289999999999998E-7</v>
      </c>
      <c r="O9" s="24">
        <v>2.8999999999999998E-10</v>
      </c>
      <c r="R9" s="32"/>
      <c r="S9" s="32"/>
      <c r="U9" s="38"/>
      <c r="V9" s="38"/>
      <c r="W9" s="38"/>
      <c r="X9" s="31">
        <v>0.703134726960703</v>
      </c>
      <c r="Y9" s="32">
        <f t="shared" si="0"/>
        <v>7.03134726960703E-2</v>
      </c>
      <c r="Z9" s="31">
        <v>19.986972563976199</v>
      </c>
      <c r="AA9" s="32">
        <f t="shared" si="1"/>
        <v>1.99869725639762</v>
      </c>
      <c r="AB9" s="33">
        <v>0.26413773772239202</v>
      </c>
      <c r="AC9" s="33">
        <v>2.6413773772239205E-2</v>
      </c>
      <c r="AD9" s="33">
        <v>1.9411742917774799</v>
      </c>
      <c r="AE9" s="33">
        <v>0.19411742917774799</v>
      </c>
      <c r="AF9" s="33"/>
      <c r="AG9" s="33"/>
      <c r="AH9" s="27"/>
      <c r="AI9" s="26"/>
      <c r="AJ9" s="26"/>
      <c r="AK9" s="26"/>
    </row>
    <row r="10" spans="1:41">
      <c r="A10" s="28" t="s">
        <v>208</v>
      </c>
      <c r="B10" s="28" t="s">
        <v>209</v>
      </c>
      <c r="C10" s="28" t="s">
        <v>219</v>
      </c>
      <c r="D10" s="35">
        <v>41540</v>
      </c>
      <c r="E10" s="28" t="s">
        <v>220</v>
      </c>
      <c r="F10" s="36">
        <v>0.31042765472</v>
      </c>
      <c r="G10" s="36">
        <v>7.9268292682926802</v>
      </c>
      <c r="H10" s="37">
        <v>20.010000228900001</v>
      </c>
      <c r="I10" s="22">
        <v>1</v>
      </c>
      <c r="J10" s="22">
        <v>0</v>
      </c>
      <c r="K10" s="22">
        <v>0</v>
      </c>
      <c r="L10" s="38">
        <v>9.1480000000000001E-7</v>
      </c>
      <c r="M10" s="38">
        <v>3.3000000000000002E-9</v>
      </c>
      <c r="N10" s="29">
        <v>2.4400000000000001E-7</v>
      </c>
      <c r="O10" s="36">
        <v>3.1999999999999998E-10</v>
      </c>
      <c r="R10" s="32"/>
      <c r="S10" s="32"/>
      <c r="U10" s="30"/>
      <c r="V10" s="30"/>
      <c r="W10" s="30"/>
      <c r="X10" s="31">
        <v>0.67422035038596395</v>
      </c>
      <c r="Y10" s="32">
        <f t="shared" si="0"/>
        <v>6.7422035038596395E-2</v>
      </c>
      <c r="Z10" s="31">
        <v>19.201807533848399</v>
      </c>
      <c r="AA10" s="32">
        <f t="shared" si="1"/>
        <v>1.9201807533848401</v>
      </c>
      <c r="AB10" s="33">
        <v>0.25369470158651303</v>
      </c>
      <c r="AC10" s="33">
        <v>2.5369470158651306E-2</v>
      </c>
      <c r="AD10" s="33">
        <v>2.7623707827761299</v>
      </c>
      <c r="AE10" s="33">
        <v>0.27623707827761301</v>
      </c>
      <c r="AF10" s="33">
        <v>1.7186421281020601</v>
      </c>
      <c r="AG10" s="33">
        <v>0.17186421281020603</v>
      </c>
      <c r="AH10" s="33"/>
      <c r="AI10" s="33"/>
      <c r="AJ10" s="33"/>
      <c r="AK10" s="34"/>
    </row>
    <row r="11" spans="1:41">
      <c r="A11" s="28" t="s">
        <v>208</v>
      </c>
      <c r="B11" s="28" t="s">
        <v>209</v>
      </c>
      <c r="C11" s="28" t="s">
        <v>219</v>
      </c>
      <c r="D11" s="35">
        <v>41540</v>
      </c>
      <c r="E11" s="28" t="s">
        <v>221</v>
      </c>
      <c r="F11" s="36">
        <v>0.31042765472</v>
      </c>
      <c r="G11" s="36">
        <v>7.9268292682926802</v>
      </c>
      <c r="H11" s="37">
        <v>20.010000228900001</v>
      </c>
      <c r="I11" s="22">
        <v>1</v>
      </c>
      <c r="J11" s="22">
        <v>0</v>
      </c>
      <c r="K11" s="22">
        <v>0</v>
      </c>
      <c r="L11" s="38">
        <v>9.1480000000000001E-7</v>
      </c>
      <c r="M11" s="38">
        <v>3.3000000000000002E-9</v>
      </c>
      <c r="N11" s="29">
        <v>2.4400000000000001E-7</v>
      </c>
      <c r="O11" s="36">
        <v>3.1999999999999998E-10</v>
      </c>
      <c r="R11" s="32"/>
      <c r="S11" s="32"/>
      <c r="U11" s="30"/>
      <c r="V11" s="30"/>
      <c r="W11" s="30"/>
      <c r="X11" s="31">
        <v>0.68223279055933905</v>
      </c>
      <c r="Y11" s="32">
        <f t="shared" si="0"/>
        <v>6.8223279055933908E-2</v>
      </c>
      <c r="Z11" s="31">
        <v>19.480198141090799</v>
      </c>
      <c r="AA11" s="32">
        <f t="shared" si="1"/>
        <v>1.9480198141090801</v>
      </c>
      <c r="AB11" s="33">
        <v>0.244311715275465</v>
      </c>
      <c r="AC11" s="33">
        <v>2.4431171527546501E-2</v>
      </c>
      <c r="AD11" s="33">
        <v>2.8133324084219602</v>
      </c>
      <c r="AE11" s="33">
        <v>0.28133324084219602</v>
      </c>
      <c r="AF11" s="33">
        <v>1.7143416136557299</v>
      </c>
      <c r="AG11" s="33">
        <v>0.17143416136557299</v>
      </c>
      <c r="AH11" s="33"/>
      <c r="AI11" s="33"/>
      <c r="AJ11" s="33"/>
      <c r="AK11" s="34"/>
    </row>
    <row r="12" spans="1:41">
      <c r="A12" s="28" t="s">
        <v>208</v>
      </c>
      <c r="B12" s="28" t="s">
        <v>209</v>
      </c>
      <c r="C12" s="28" t="s">
        <v>222</v>
      </c>
      <c r="D12" s="35">
        <v>41541</v>
      </c>
      <c r="E12" s="28" t="s">
        <v>223</v>
      </c>
      <c r="F12" s="36">
        <v>0.60581683578000001</v>
      </c>
      <c r="G12" s="36">
        <v>9.1463414634146307</v>
      </c>
      <c r="H12" s="37">
        <v>20.879999160800001</v>
      </c>
      <c r="I12" s="22">
        <v>1</v>
      </c>
      <c r="J12" s="22">
        <v>0</v>
      </c>
      <c r="K12" s="22">
        <v>0</v>
      </c>
      <c r="L12" s="38">
        <v>1.9146646739520499E-6</v>
      </c>
      <c r="M12" s="38">
        <v>1.91466467395205E-8</v>
      </c>
      <c r="N12" s="39">
        <v>2.49842150704935E-7</v>
      </c>
      <c r="O12" s="30">
        <v>3.7476322605740302E-9</v>
      </c>
      <c r="R12" s="32"/>
      <c r="S12" s="32"/>
      <c r="U12" s="30"/>
      <c r="V12" s="30"/>
      <c r="W12" s="30"/>
      <c r="X12" s="31">
        <v>0.66099284040362405</v>
      </c>
      <c r="Y12" s="32">
        <f t="shared" si="0"/>
        <v>6.6099284040362402E-2</v>
      </c>
      <c r="Z12" s="31">
        <v>19.3097996592066</v>
      </c>
      <c r="AA12" s="32">
        <f t="shared" si="1"/>
        <v>1.9309799659206601</v>
      </c>
      <c r="AB12" s="33">
        <v>0.21733141820341101</v>
      </c>
      <c r="AC12" s="33">
        <v>2.1733141820341102E-2</v>
      </c>
      <c r="AD12" s="33">
        <v>5.5177978456922503</v>
      </c>
      <c r="AE12" s="33">
        <v>0.55177978456922505</v>
      </c>
      <c r="AF12" s="33">
        <v>10.861860644179901</v>
      </c>
      <c r="AG12" s="33">
        <v>1.0861860644179901</v>
      </c>
      <c r="AH12" s="34"/>
      <c r="AI12" s="33"/>
      <c r="AJ12" s="33"/>
      <c r="AK12" s="33"/>
    </row>
    <row r="13" spans="1:41">
      <c r="A13" s="28" t="s">
        <v>208</v>
      </c>
      <c r="B13" s="28" t="s">
        <v>209</v>
      </c>
      <c r="C13" s="28" t="s">
        <v>222</v>
      </c>
      <c r="D13" s="35">
        <v>41541</v>
      </c>
      <c r="E13" s="28" t="s">
        <v>224</v>
      </c>
      <c r="F13" s="36">
        <v>0.60581683578000001</v>
      </c>
      <c r="G13" s="36">
        <v>9.1463414634146307</v>
      </c>
      <c r="H13" s="37">
        <v>20.879999160800001</v>
      </c>
      <c r="I13" s="22">
        <v>1</v>
      </c>
      <c r="J13" s="22">
        <v>0</v>
      </c>
      <c r="K13" s="22">
        <v>0</v>
      </c>
      <c r="L13" s="38">
        <v>1.9146646739520499E-6</v>
      </c>
      <c r="M13" s="38">
        <v>1.91466467395205E-8</v>
      </c>
      <c r="N13" s="39">
        <v>2.49842150704935E-7</v>
      </c>
      <c r="O13" s="30">
        <v>3.7476322605740302E-9</v>
      </c>
      <c r="R13" s="32"/>
      <c r="S13" s="32"/>
      <c r="U13" s="30"/>
      <c r="V13" s="30"/>
      <c r="W13" s="30"/>
      <c r="X13" s="31">
        <v>0.68060090183963495</v>
      </c>
      <c r="Y13" s="32">
        <f t="shared" si="0"/>
        <v>6.8060090183963501E-2</v>
      </c>
      <c r="Z13" s="31">
        <v>20.114661816637302</v>
      </c>
      <c r="AA13" s="32">
        <f t="shared" si="1"/>
        <v>2.0114661816637303</v>
      </c>
      <c r="AB13" s="33">
        <v>0.21751086087864399</v>
      </c>
      <c r="AC13" s="33">
        <v>2.1751086087864399E-2</v>
      </c>
      <c r="AD13" s="33">
        <v>4.74185952300469</v>
      </c>
      <c r="AE13" s="33">
        <v>0.474185952300469</v>
      </c>
      <c r="AF13" s="33">
        <v>11.7724135076755</v>
      </c>
      <c r="AG13" s="33">
        <v>1.1772413507675501</v>
      </c>
      <c r="AH13" s="34"/>
      <c r="AI13" s="33"/>
      <c r="AJ13" s="33"/>
      <c r="AK13" s="33"/>
    </row>
    <row r="14" spans="1:41">
      <c r="A14" s="28" t="s">
        <v>208</v>
      </c>
      <c r="B14" s="28" t="s">
        <v>209</v>
      </c>
      <c r="C14" s="28" t="s">
        <v>225</v>
      </c>
      <c r="D14" s="35">
        <v>41541</v>
      </c>
      <c r="E14" s="28" t="s">
        <v>226</v>
      </c>
      <c r="F14" s="36">
        <v>0.60750157991999998</v>
      </c>
      <c r="G14" s="36">
        <v>5.48780487804878</v>
      </c>
      <c r="H14" s="37">
        <v>21</v>
      </c>
      <c r="I14" s="22">
        <v>1</v>
      </c>
      <c r="J14" s="22">
        <v>0</v>
      </c>
      <c r="K14" s="22">
        <v>0</v>
      </c>
      <c r="L14" s="38">
        <v>4.4477003383180896E-6</v>
      </c>
      <c r="M14" s="38">
        <v>4.4477003383180903E-8</v>
      </c>
      <c r="N14" s="39">
        <v>2.5373849131212002E-7</v>
      </c>
      <c r="O14" s="30">
        <v>3.8060773696818E-9</v>
      </c>
      <c r="R14" s="32"/>
      <c r="S14" s="32"/>
      <c r="U14" s="30"/>
      <c r="V14" s="30"/>
      <c r="W14" s="30"/>
      <c r="X14" s="31">
        <v>0.57388255002350497</v>
      </c>
      <c r="Y14" s="32">
        <f t="shared" si="0"/>
        <v>5.7388255002350501E-2</v>
      </c>
      <c r="Z14" s="31">
        <v>15.976578116515901</v>
      </c>
      <c r="AA14" s="32">
        <f t="shared" si="1"/>
        <v>1.5976578116515903</v>
      </c>
      <c r="AB14" s="33">
        <v>0.17185644692194399</v>
      </c>
      <c r="AC14" s="33">
        <v>1.7185644692194399E-2</v>
      </c>
      <c r="AD14" s="33">
        <v>3.08614385762084</v>
      </c>
      <c r="AE14" s="33">
        <v>0.308614385762084</v>
      </c>
      <c r="AF14" s="33">
        <v>19.967107110891799</v>
      </c>
      <c r="AG14" s="33">
        <v>1.99671071108918</v>
      </c>
      <c r="AH14" s="34"/>
      <c r="AI14" s="33"/>
      <c r="AJ14" s="33"/>
      <c r="AK14" s="33"/>
    </row>
    <row r="15" spans="1:41">
      <c r="A15" s="28" t="s">
        <v>208</v>
      </c>
      <c r="B15" s="28" t="s">
        <v>209</v>
      </c>
      <c r="C15" s="28" t="s">
        <v>225</v>
      </c>
      <c r="D15" s="35">
        <v>41541</v>
      </c>
      <c r="E15" s="28" t="s">
        <v>227</v>
      </c>
      <c r="F15" s="36">
        <v>0.60750157991999998</v>
      </c>
      <c r="G15" s="36">
        <v>5.48780487804878</v>
      </c>
      <c r="H15" s="37">
        <v>21</v>
      </c>
      <c r="I15" s="22">
        <v>1</v>
      </c>
      <c r="J15" s="22">
        <v>0</v>
      </c>
      <c r="K15" s="22">
        <v>0</v>
      </c>
      <c r="L15" s="38">
        <v>4.4477003383180896E-6</v>
      </c>
      <c r="M15" s="38">
        <v>4.4477003383180903E-8</v>
      </c>
      <c r="N15" s="39">
        <v>2.5373849131212002E-7</v>
      </c>
      <c r="O15" s="30">
        <v>3.8060773696818E-9</v>
      </c>
      <c r="R15" s="32"/>
      <c r="S15" s="32"/>
      <c r="U15" s="30"/>
      <c r="V15" s="30"/>
      <c r="W15" s="30"/>
      <c r="X15" s="31">
        <v>0.58365456838212904</v>
      </c>
      <c r="Y15" s="32">
        <f t="shared" si="0"/>
        <v>5.8365456838212905E-2</v>
      </c>
      <c r="Z15" s="31">
        <v>16.401067505721102</v>
      </c>
      <c r="AA15" s="32">
        <f t="shared" si="1"/>
        <v>1.6401067505721103</v>
      </c>
      <c r="AB15" s="33">
        <v>0.18079081595203</v>
      </c>
      <c r="AC15" s="33">
        <v>1.8079081595203002E-2</v>
      </c>
      <c r="AD15" s="33">
        <v>3.0709621470881099</v>
      </c>
      <c r="AE15" s="33">
        <v>0.30709621470881099</v>
      </c>
      <c r="AF15" s="33">
        <v>20.007606112844801</v>
      </c>
      <c r="AG15" s="33">
        <v>2.00076061128448</v>
      </c>
      <c r="AH15" s="34"/>
      <c r="AI15" s="33"/>
      <c r="AJ15" s="33"/>
      <c r="AK15" s="33"/>
    </row>
    <row r="16" spans="1:41" ht="15.75">
      <c r="A16" s="22" t="s">
        <v>208</v>
      </c>
      <c r="B16" s="28" t="s">
        <v>209</v>
      </c>
      <c r="C16" s="22" t="s">
        <v>228</v>
      </c>
      <c r="D16" s="23">
        <v>41521</v>
      </c>
      <c r="E16" s="22" t="s">
        <v>229</v>
      </c>
      <c r="F16" s="24">
        <v>0.12044944512</v>
      </c>
      <c r="G16" s="24">
        <v>61.585365853658502</v>
      </c>
      <c r="H16" s="37">
        <v>18.9500007629</v>
      </c>
      <c r="I16" s="22">
        <v>1</v>
      </c>
      <c r="J16" s="22">
        <v>0</v>
      </c>
      <c r="K16" s="22">
        <v>0</v>
      </c>
      <c r="L16" s="38">
        <v>2.2100000000000001E-7</v>
      </c>
      <c r="M16" s="38">
        <v>4.0000000000000001E-10</v>
      </c>
      <c r="N16" s="24">
        <v>2.5629999999999999E-7</v>
      </c>
      <c r="O16" s="24">
        <v>2.8999999999999998E-10</v>
      </c>
      <c r="R16" s="32"/>
      <c r="S16" s="32"/>
      <c r="U16" s="38"/>
      <c r="V16" s="38"/>
      <c r="W16" s="38"/>
      <c r="X16" s="31">
        <v>0.70369649888100405</v>
      </c>
      <c r="Y16" s="32">
        <f t="shared" si="0"/>
        <v>7.0369649888100405E-2</v>
      </c>
      <c r="Z16" s="31">
        <v>20.3451143857685</v>
      </c>
      <c r="AA16" s="32">
        <f t="shared" si="1"/>
        <v>2.0345114385768501</v>
      </c>
      <c r="AB16" s="33">
        <v>0.262990775540555</v>
      </c>
      <c r="AC16" s="33">
        <v>2.62990775540555E-2</v>
      </c>
      <c r="AD16" s="33">
        <v>11.591294122828</v>
      </c>
      <c r="AE16" s="33">
        <v>1.1591294122828</v>
      </c>
      <c r="AF16" s="33"/>
      <c r="AG16" s="33"/>
      <c r="AH16" s="27"/>
      <c r="AI16" s="26"/>
      <c r="AJ16" s="26"/>
      <c r="AK16" s="26"/>
    </row>
    <row r="17" spans="1:37" ht="15.75">
      <c r="A17" s="22" t="s">
        <v>208</v>
      </c>
      <c r="B17" s="28" t="s">
        <v>209</v>
      </c>
      <c r="C17" s="22" t="s">
        <v>228</v>
      </c>
      <c r="D17" s="23">
        <v>41521</v>
      </c>
      <c r="E17" s="22" t="s">
        <v>230</v>
      </c>
      <c r="F17" s="24">
        <v>0.12044944512</v>
      </c>
      <c r="G17" s="24">
        <v>61.585365853658502</v>
      </c>
      <c r="H17" s="37">
        <v>18.9500007629</v>
      </c>
      <c r="I17" s="22">
        <v>1</v>
      </c>
      <c r="J17" s="22">
        <v>0</v>
      </c>
      <c r="K17" s="22">
        <v>0</v>
      </c>
      <c r="L17" s="38">
        <v>2.2100000000000001E-7</v>
      </c>
      <c r="M17" s="38">
        <v>4.0000000000000001E-10</v>
      </c>
      <c r="N17" s="24">
        <v>2.5629999999999999E-7</v>
      </c>
      <c r="O17" s="24">
        <v>2.8999999999999998E-10</v>
      </c>
      <c r="R17" s="32"/>
      <c r="S17" s="32"/>
      <c r="U17" s="38"/>
      <c r="V17" s="38"/>
      <c r="W17" s="38"/>
      <c r="X17" s="31">
        <v>0.70972263942342995</v>
      </c>
      <c r="Y17" s="32">
        <f t="shared" si="0"/>
        <v>7.0972263942343003E-2</v>
      </c>
      <c r="Z17" s="31">
        <v>20.510170722542</v>
      </c>
      <c r="AA17" s="32">
        <f t="shared" si="1"/>
        <v>2.0510170722542003</v>
      </c>
      <c r="AB17" s="33">
        <v>0.25902581498662702</v>
      </c>
      <c r="AC17" s="33">
        <v>2.5902581498662702E-2</v>
      </c>
      <c r="AD17" s="33">
        <v>11.143690281924201</v>
      </c>
      <c r="AE17" s="33">
        <v>1.1143690281924201</v>
      </c>
      <c r="AF17" s="33"/>
      <c r="AG17" s="33"/>
      <c r="AH17" s="27"/>
      <c r="AI17" s="26"/>
      <c r="AJ17" s="26"/>
      <c r="AK17" s="26"/>
    </row>
    <row r="18" spans="1:37">
      <c r="A18" s="28" t="s">
        <v>208</v>
      </c>
      <c r="B18" s="28" t="s">
        <v>209</v>
      </c>
      <c r="C18" s="28" t="s">
        <v>231</v>
      </c>
      <c r="D18" s="35">
        <v>41506</v>
      </c>
      <c r="E18" s="22" t="s">
        <v>232</v>
      </c>
      <c r="F18" s="36">
        <v>0.37143129450000001</v>
      </c>
      <c r="G18" s="36">
        <v>92.073170731707293</v>
      </c>
      <c r="H18" s="37">
        <v>20.090000152599998</v>
      </c>
      <c r="I18" s="22">
        <v>1</v>
      </c>
      <c r="J18" s="22">
        <v>0</v>
      </c>
      <c r="K18" s="22">
        <v>0</v>
      </c>
      <c r="L18" s="38"/>
      <c r="M18" s="38"/>
      <c r="N18" s="39"/>
      <c r="O18" s="30"/>
      <c r="R18" s="32"/>
      <c r="S18" s="32"/>
      <c r="U18" s="30"/>
      <c r="V18" s="30"/>
      <c r="W18" s="30"/>
      <c r="X18" s="31">
        <v>0.63432553069565001</v>
      </c>
      <c r="Y18" s="32">
        <f t="shared" si="0"/>
        <v>6.3432553069565009E-2</v>
      </c>
      <c r="Z18" s="31">
        <v>18.326753672812099</v>
      </c>
      <c r="AA18" s="32">
        <f t="shared" si="1"/>
        <v>1.8326753672812099</v>
      </c>
      <c r="AB18" s="33">
        <v>0.23967773892000799</v>
      </c>
      <c r="AC18" s="33">
        <v>2.3967773892000801E-2</v>
      </c>
      <c r="AD18" s="33">
        <v>30.555954762211801</v>
      </c>
      <c r="AE18" s="33">
        <v>3.0555954762211801</v>
      </c>
      <c r="AF18" s="33"/>
      <c r="AG18" s="33"/>
      <c r="AH18" s="34"/>
      <c r="AI18" s="33"/>
      <c r="AJ18" s="33"/>
      <c r="AK18" s="33"/>
    </row>
    <row r="19" spans="1:37">
      <c r="A19" s="22" t="s">
        <v>208</v>
      </c>
      <c r="B19" s="28" t="s">
        <v>209</v>
      </c>
      <c r="C19" s="22" t="s">
        <v>231</v>
      </c>
      <c r="D19" s="23">
        <v>41506</v>
      </c>
      <c r="E19" s="22" t="s">
        <v>233</v>
      </c>
      <c r="F19" s="24">
        <v>0.37143129450000001</v>
      </c>
      <c r="G19" s="24">
        <v>92.073170731707293</v>
      </c>
      <c r="H19" s="37">
        <v>20.090000152599998</v>
      </c>
      <c r="I19" s="22">
        <v>1</v>
      </c>
      <c r="J19" s="22">
        <v>0</v>
      </c>
      <c r="K19" s="22">
        <v>0</v>
      </c>
      <c r="L19" s="38"/>
      <c r="M19" s="38"/>
      <c r="N19" s="38"/>
      <c r="O19" s="38"/>
      <c r="R19" s="32"/>
      <c r="S19" s="32"/>
      <c r="U19" s="38"/>
      <c r="V19" s="38"/>
      <c r="W19" s="38"/>
      <c r="X19" s="31">
        <v>0.63800339267051098</v>
      </c>
      <c r="Y19" s="32">
        <f t="shared" si="0"/>
        <v>6.3800339267051101E-2</v>
      </c>
      <c r="Z19" s="31">
        <v>18.424854836301702</v>
      </c>
      <c r="AA19" s="32">
        <f t="shared" si="1"/>
        <v>1.8424854836301703</v>
      </c>
      <c r="AB19" s="33">
        <v>0.24109759478874701</v>
      </c>
      <c r="AC19" s="33">
        <v>2.4109759478874702E-2</v>
      </c>
      <c r="AD19" s="33">
        <v>30.6782180131869</v>
      </c>
      <c r="AE19" s="33">
        <v>3.06782180131869</v>
      </c>
      <c r="AF19" s="33"/>
      <c r="AG19" s="33"/>
      <c r="AH19" s="34"/>
      <c r="AI19" s="33"/>
      <c r="AJ19" s="33"/>
      <c r="AK19" s="33"/>
    </row>
    <row r="20" spans="1:37">
      <c r="A20" s="22" t="s">
        <v>208</v>
      </c>
      <c r="B20" s="28" t="s">
        <v>209</v>
      </c>
      <c r="C20" s="22" t="s">
        <v>234</v>
      </c>
      <c r="D20" s="23">
        <v>41507</v>
      </c>
      <c r="E20" s="22" t="s">
        <v>235</v>
      </c>
      <c r="F20" s="24">
        <v>0.31770079722</v>
      </c>
      <c r="G20" s="24">
        <v>50.304878048780402</v>
      </c>
      <c r="H20" s="37">
        <v>19.7000007629</v>
      </c>
      <c r="I20" s="22">
        <v>1</v>
      </c>
      <c r="J20" s="22">
        <v>0</v>
      </c>
      <c r="K20" s="22">
        <v>0</v>
      </c>
      <c r="L20" s="38"/>
      <c r="M20" s="38"/>
      <c r="N20" s="38"/>
      <c r="O20" s="38"/>
      <c r="R20" s="32"/>
      <c r="S20" s="32"/>
      <c r="U20" s="38"/>
      <c r="V20" s="38"/>
      <c r="W20" s="38"/>
      <c r="X20" s="31">
        <v>0.66566695574964596</v>
      </c>
      <c r="Y20" s="32">
        <f t="shared" si="0"/>
        <v>6.6566695574964599E-2</v>
      </c>
      <c r="Z20" s="31">
        <v>18.852789007330699</v>
      </c>
      <c r="AA20" s="32">
        <f t="shared" si="1"/>
        <v>1.8852789007330699</v>
      </c>
      <c r="AB20" s="33">
        <v>0.25453580689320998</v>
      </c>
      <c r="AC20" s="33">
        <v>2.5453580689321E-2</v>
      </c>
      <c r="AD20" s="33">
        <v>8.4441906470059305</v>
      </c>
      <c r="AE20" s="33">
        <v>0.84441906470059314</v>
      </c>
      <c r="AF20" s="33"/>
      <c r="AG20" s="33"/>
      <c r="AH20" s="34"/>
      <c r="AI20" s="33"/>
      <c r="AJ20" s="33"/>
      <c r="AK20" s="33"/>
    </row>
    <row r="21" spans="1:37">
      <c r="A21" s="22" t="s">
        <v>208</v>
      </c>
      <c r="B21" s="28" t="s">
        <v>209</v>
      </c>
      <c r="C21" s="22" t="s">
        <v>234</v>
      </c>
      <c r="D21" s="23">
        <v>41507</v>
      </c>
      <c r="E21" s="22" t="s">
        <v>236</v>
      </c>
      <c r="F21" s="24">
        <v>0.31770079722</v>
      </c>
      <c r="G21" s="24">
        <v>50.304878048780402</v>
      </c>
      <c r="H21" s="37">
        <v>19.7000007629</v>
      </c>
      <c r="I21" s="22">
        <v>1</v>
      </c>
      <c r="J21" s="22">
        <v>0</v>
      </c>
      <c r="K21" s="22">
        <v>0</v>
      </c>
      <c r="L21" s="38"/>
      <c r="M21" s="38"/>
      <c r="N21" s="38"/>
      <c r="O21" s="38"/>
      <c r="R21" s="32"/>
      <c r="S21" s="32"/>
      <c r="U21" s="38"/>
      <c r="V21" s="38"/>
      <c r="W21" s="38"/>
      <c r="X21" s="31">
        <v>0.66986595230105905</v>
      </c>
      <c r="Y21" s="32">
        <f t="shared" si="0"/>
        <v>6.6986595230105903E-2</v>
      </c>
      <c r="Z21" s="31">
        <v>18.954196028004802</v>
      </c>
      <c r="AA21" s="32">
        <f t="shared" si="1"/>
        <v>1.8954196028004802</v>
      </c>
      <c r="AB21" s="33">
        <v>0.23815506878568601</v>
      </c>
      <c r="AC21" s="33">
        <v>2.3815506878568603E-2</v>
      </c>
      <c r="AD21" s="33">
        <v>8.4699874820986008</v>
      </c>
      <c r="AE21" s="33">
        <v>0.8469987482098601</v>
      </c>
      <c r="AF21" s="33"/>
      <c r="AG21" s="33"/>
      <c r="AH21" s="34"/>
      <c r="AI21" s="33"/>
      <c r="AJ21" s="33"/>
      <c r="AK21" s="33"/>
    </row>
    <row r="22" spans="1:37">
      <c r="A22" s="28" t="s">
        <v>208</v>
      </c>
      <c r="B22" s="28" t="s">
        <v>209</v>
      </c>
      <c r="C22" s="28" t="s">
        <v>237</v>
      </c>
      <c r="D22" s="35">
        <v>41493</v>
      </c>
      <c r="E22" s="28" t="s">
        <v>238</v>
      </c>
      <c r="F22" s="36">
        <v>0.27351300200000001</v>
      </c>
      <c r="G22" s="36">
        <v>32.317073170731703</v>
      </c>
      <c r="H22" s="37">
        <v>20.790000915499999</v>
      </c>
      <c r="I22" s="22">
        <v>1</v>
      </c>
      <c r="J22" s="22">
        <v>0</v>
      </c>
      <c r="K22" s="22">
        <v>0</v>
      </c>
      <c r="L22" s="38"/>
      <c r="M22" s="38"/>
      <c r="N22" s="39"/>
      <c r="O22" s="30"/>
      <c r="R22" s="32"/>
      <c r="S22" s="32"/>
      <c r="U22" s="30"/>
      <c r="V22" s="30"/>
      <c r="W22" s="30"/>
      <c r="X22" s="31">
        <v>0.69146452140950798</v>
      </c>
      <c r="Y22" s="32">
        <f t="shared" si="0"/>
        <v>6.9146452140950804E-2</v>
      </c>
      <c r="Z22" s="31">
        <v>20.144663031395901</v>
      </c>
      <c r="AA22" s="32">
        <f t="shared" si="1"/>
        <v>2.01446630313959</v>
      </c>
      <c r="AB22" s="33">
        <v>0.30111405763078403</v>
      </c>
      <c r="AC22" s="33">
        <v>3.0111405763078403E-2</v>
      </c>
      <c r="AD22" s="33">
        <v>4.9223638266329797</v>
      </c>
      <c r="AE22" s="33">
        <v>0.492236382663298</v>
      </c>
      <c r="AF22" s="33"/>
      <c r="AG22" s="33"/>
      <c r="AH22" s="34"/>
      <c r="AI22" s="33"/>
      <c r="AJ22" s="33"/>
      <c r="AK22" s="33"/>
    </row>
    <row r="23" spans="1:37">
      <c r="A23" s="28" t="s">
        <v>208</v>
      </c>
      <c r="B23" s="28" t="s">
        <v>209</v>
      </c>
      <c r="C23" s="28" t="s">
        <v>237</v>
      </c>
      <c r="D23" s="35">
        <v>41493</v>
      </c>
      <c r="E23" s="28" t="s">
        <v>239</v>
      </c>
      <c r="F23" s="36">
        <v>0.27351300200000001</v>
      </c>
      <c r="G23" s="36">
        <v>32.317073170731703</v>
      </c>
      <c r="H23" s="37">
        <v>20.790000915499999</v>
      </c>
      <c r="I23" s="22">
        <v>1</v>
      </c>
      <c r="J23" s="22">
        <v>0</v>
      </c>
      <c r="K23" s="22">
        <v>0</v>
      </c>
      <c r="L23" s="38"/>
      <c r="M23" s="38"/>
      <c r="N23" s="39"/>
      <c r="O23" s="30"/>
      <c r="R23" s="32"/>
      <c r="S23" s="32"/>
      <c r="U23" s="30"/>
      <c r="V23" s="30"/>
      <c r="W23" s="30"/>
      <c r="X23" s="31">
        <v>0.69179577183219998</v>
      </c>
      <c r="Y23" s="32">
        <f t="shared" si="0"/>
        <v>6.9179577183220001E-2</v>
      </c>
      <c r="Z23" s="31">
        <v>20.2103243014305</v>
      </c>
      <c r="AA23" s="32">
        <f t="shared" si="1"/>
        <v>2.02103243014305</v>
      </c>
      <c r="AB23" s="33">
        <v>0.264204248523283</v>
      </c>
      <c r="AC23" s="33">
        <v>2.6420424852328303E-2</v>
      </c>
      <c r="AD23" s="33">
        <v>4.7976683685938299</v>
      </c>
      <c r="AE23" s="33">
        <v>0.47976683685938304</v>
      </c>
      <c r="AF23" s="33"/>
      <c r="AG23" s="33"/>
      <c r="AH23" s="34"/>
      <c r="AI23" s="33"/>
      <c r="AJ23" s="33"/>
      <c r="AK23" s="33"/>
    </row>
    <row r="24" spans="1:37">
      <c r="A24" s="28" t="s">
        <v>208</v>
      </c>
      <c r="B24" s="28" t="s">
        <v>240</v>
      </c>
      <c r="C24" s="28" t="s">
        <v>241</v>
      </c>
      <c r="D24" s="35">
        <v>41534</v>
      </c>
      <c r="E24" s="28" t="s">
        <v>242</v>
      </c>
      <c r="F24" s="36">
        <v>1.0399921783199999</v>
      </c>
      <c r="G24" s="36">
        <v>247.56097560975601</v>
      </c>
      <c r="H24" s="37">
        <v>22.239999771099999</v>
      </c>
      <c r="I24" s="22">
        <v>1</v>
      </c>
      <c r="J24" s="22">
        <v>0</v>
      </c>
      <c r="K24" s="22">
        <v>0</v>
      </c>
      <c r="L24" s="38">
        <v>1.8760000000000001E-7</v>
      </c>
      <c r="M24" s="38">
        <v>1E-10</v>
      </c>
      <c r="N24" s="29">
        <v>1.9850000000000001E-7</v>
      </c>
      <c r="O24" s="36">
        <v>4.6000000000000001E-10</v>
      </c>
      <c r="P24" s="25"/>
      <c r="R24" s="32"/>
      <c r="S24" s="32"/>
      <c r="U24" s="30"/>
      <c r="V24" s="30"/>
      <c r="W24" s="30"/>
      <c r="X24" s="31">
        <v>0.70941376332466299</v>
      </c>
      <c r="Y24" s="32">
        <f t="shared" si="0"/>
        <v>7.0941376332466305E-2</v>
      </c>
      <c r="Z24" s="31">
        <v>27.609558943478799</v>
      </c>
      <c r="AA24" s="32">
        <f t="shared" si="1"/>
        <v>2.7609558943478802</v>
      </c>
      <c r="AB24" s="33">
        <v>3.2087218443571901</v>
      </c>
      <c r="AC24" s="33">
        <v>0.32087218443571902</v>
      </c>
      <c r="AD24" s="33">
        <v>2.49672009973728</v>
      </c>
      <c r="AE24" s="33">
        <v>0.24967200997372802</v>
      </c>
      <c r="AF24" s="33"/>
      <c r="AG24" s="33"/>
      <c r="AH24" s="33"/>
      <c r="AI24" s="33"/>
      <c r="AJ24" s="33"/>
      <c r="AK24" s="34"/>
    </row>
    <row r="25" spans="1:37">
      <c r="A25" s="28" t="s">
        <v>208</v>
      </c>
      <c r="B25" s="28" t="s">
        <v>240</v>
      </c>
      <c r="C25" s="28" t="s">
        <v>241</v>
      </c>
      <c r="D25" s="35">
        <v>41534</v>
      </c>
      <c r="E25" s="28" t="s">
        <v>243</v>
      </c>
      <c r="F25" s="36">
        <v>1.0399921783199999</v>
      </c>
      <c r="G25" s="36">
        <v>247.56097560975601</v>
      </c>
      <c r="H25" s="37">
        <v>22.239999771099999</v>
      </c>
      <c r="I25" s="22">
        <v>1</v>
      </c>
      <c r="J25" s="22">
        <v>0</v>
      </c>
      <c r="K25" s="22">
        <v>0</v>
      </c>
      <c r="L25" s="38">
        <v>1.8760000000000001E-7</v>
      </c>
      <c r="M25" s="38">
        <v>1E-10</v>
      </c>
      <c r="N25" s="29">
        <v>1.9850000000000001E-7</v>
      </c>
      <c r="O25" s="36">
        <v>4.6000000000000001E-10</v>
      </c>
      <c r="R25" s="32"/>
      <c r="S25" s="32"/>
      <c r="U25" s="30"/>
      <c r="V25" s="30"/>
      <c r="W25" s="30"/>
      <c r="X25" s="31">
        <v>0.72235373156385896</v>
      </c>
      <c r="Y25" s="32">
        <f t="shared" si="0"/>
        <v>7.2235373156385896E-2</v>
      </c>
      <c r="Z25" s="31">
        <v>28.2907531632376</v>
      </c>
      <c r="AA25" s="32">
        <f t="shared" si="1"/>
        <v>2.8290753163237601</v>
      </c>
      <c r="AB25" s="33">
        <v>4.2474214189931097</v>
      </c>
      <c r="AC25" s="33">
        <v>0.42474214189931098</v>
      </c>
      <c r="AD25" s="33">
        <v>2.2726767235877499</v>
      </c>
      <c r="AE25" s="33">
        <v>0.22726767235877499</v>
      </c>
      <c r="AF25" s="33"/>
      <c r="AG25" s="33"/>
      <c r="AH25" s="33"/>
      <c r="AI25" s="33"/>
      <c r="AJ25" s="33"/>
      <c r="AK25" s="34"/>
    </row>
    <row r="26" spans="1:37">
      <c r="A26" s="28" t="s">
        <v>208</v>
      </c>
      <c r="B26" s="28" t="s">
        <v>240</v>
      </c>
      <c r="C26" s="28" t="s">
        <v>244</v>
      </c>
      <c r="D26" s="35">
        <v>41533</v>
      </c>
      <c r="E26" s="28" t="s">
        <v>245</v>
      </c>
      <c r="F26" s="36">
        <v>0.81669164327999999</v>
      </c>
      <c r="G26" s="36">
        <v>98.780487804878007</v>
      </c>
      <c r="H26" s="37">
        <v>22.399999618500001</v>
      </c>
      <c r="I26" s="22">
        <v>1</v>
      </c>
      <c r="J26" s="22">
        <v>0</v>
      </c>
      <c r="K26" s="22">
        <v>0</v>
      </c>
      <c r="L26" s="38">
        <v>8.1760000000000002E-7</v>
      </c>
      <c r="M26" s="38">
        <v>1.3999999999999999E-9</v>
      </c>
      <c r="N26" s="29">
        <v>2.096E-7</v>
      </c>
      <c r="O26" s="36">
        <v>5.0000000000000003E-10</v>
      </c>
      <c r="R26" s="32"/>
      <c r="S26" s="32"/>
      <c r="U26" s="30"/>
      <c r="V26" s="30"/>
      <c r="W26" s="30"/>
      <c r="X26" s="31">
        <v>0.60725793580764298</v>
      </c>
      <c r="Y26" s="32">
        <f t="shared" si="0"/>
        <v>6.0725793580764298E-2</v>
      </c>
      <c r="Z26" s="31">
        <v>18.699523701362899</v>
      </c>
      <c r="AA26" s="32">
        <f t="shared" si="1"/>
        <v>1.8699523701362901</v>
      </c>
      <c r="AB26" s="33">
        <v>1.2283152610010799</v>
      </c>
      <c r="AC26" s="33">
        <v>0.122831526100108</v>
      </c>
      <c r="AD26" s="33">
        <v>13.8782576140388</v>
      </c>
      <c r="AE26" s="33">
        <v>1.38782576140388</v>
      </c>
      <c r="AF26" s="33"/>
      <c r="AG26" s="33"/>
      <c r="AH26" s="33"/>
      <c r="AI26" s="33"/>
      <c r="AJ26" s="33"/>
      <c r="AK26" s="34"/>
    </row>
    <row r="27" spans="1:37">
      <c r="A27" s="28" t="s">
        <v>208</v>
      </c>
      <c r="B27" s="28" t="s">
        <v>240</v>
      </c>
      <c r="C27" s="28" t="s">
        <v>244</v>
      </c>
      <c r="D27" s="35">
        <v>41533</v>
      </c>
      <c r="E27" s="28" t="s">
        <v>246</v>
      </c>
      <c r="F27" s="36">
        <v>0.81669164327999999</v>
      </c>
      <c r="G27" s="36">
        <v>98.780487804878007</v>
      </c>
      <c r="H27" s="37">
        <v>22.399999618500001</v>
      </c>
      <c r="I27" s="22">
        <v>1</v>
      </c>
      <c r="J27" s="22">
        <v>0</v>
      </c>
      <c r="K27" s="22">
        <v>0</v>
      </c>
      <c r="L27" s="38">
        <v>8.1760000000000002E-7</v>
      </c>
      <c r="M27" s="38">
        <v>1.3999999999999999E-9</v>
      </c>
      <c r="N27" s="29">
        <v>2.096E-7</v>
      </c>
      <c r="O27" s="36">
        <v>5.0000000000000003E-10</v>
      </c>
      <c r="R27" s="32"/>
      <c r="S27" s="32"/>
      <c r="U27" s="30"/>
      <c r="V27" s="30"/>
      <c r="W27" s="30"/>
      <c r="X27" s="31">
        <v>0.61073160184211905</v>
      </c>
      <c r="Y27" s="32">
        <f t="shared" si="0"/>
        <v>6.1073160184211911E-2</v>
      </c>
      <c r="Z27" s="31">
        <v>18.932595906619401</v>
      </c>
      <c r="AA27" s="32">
        <f t="shared" si="1"/>
        <v>1.8932595906619403</v>
      </c>
      <c r="AB27" s="33">
        <v>2.4139409910459202</v>
      </c>
      <c r="AC27" s="33">
        <v>0.24139409910459203</v>
      </c>
      <c r="AD27" s="33">
        <v>11.8345720135916</v>
      </c>
      <c r="AE27" s="33">
        <v>1.18345720135916</v>
      </c>
      <c r="AF27" s="33"/>
      <c r="AG27" s="33"/>
      <c r="AH27" s="33"/>
      <c r="AI27" s="33"/>
      <c r="AJ27" s="33"/>
      <c r="AK27" s="34"/>
    </row>
    <row r="28" spans="1:37">
      <c r="A28" s="28" t="s">
        <v>208</v>
      </c>
      <c r="B28" s="28" t="s">
        <v>240</v>
      </c>
      <c r="C28" s="28" t="s">
        <v>247</v>
      </c>
      <c r="D28" s="35">
        <v>41512</v>
      </c>
      <c r="E28" s="28" t="s">
        <v>248</v>
      </c>
      <c r="F28" s="36">
        <v>0.56876166378000004</v>
      </c>
      <c r="G28" s="36">
        <v>81.707317073170699</v>
      </c>
      <c r="H28" s="37">
        <v>20.790000915499999</v>
      </c>
      <c r="I28" s="22">
        <v>1</v>
      </c>
      <c r="J28" s="22">
        <v>0</v>
      </c>
      <c r="K28" s="22">
        <v>0</v>
      </c>
      <c r="L28" s="38"/>
      <c r="M28" s="38"/>
      <c r="N28" s="39"/>
      <c r="O28" s="30"/>
      <c r="R28" s="32"/>
      <c r="S28" s="32"/>
      <c r="U28" s="30"/>
      <c r="V28" s="30"/>
      <c r="W28" s="30"/>
      <c r="X28" s="31">
        <v>0.65957724716200905</v>
      </c>
      <c r="Y28" s="32">
        <f t="shared" si="0"/>
        <v>6.5957724716200913E-2</v>
      </c>
      <c r="Z28" s="31">
        <v>20.5090041825271</v>
      </c>
      <c r="AA28" s="32">
        <f t="shared" si="1"/>
        <v>2.0509004182527102</v>
      </c>
      <c r="AB28" s="33">
        <v>0.84531897019191105</v>
      </c>
      <c r="AC28" s="33">
        <v>8.4531897019191116E-2</v>
      </c>
      <c r="AD28" s="33">
        <v>31.450660788508099</v>
      </c>
      <c r="AE28" s="33">
        <v>3.1450660788508102</v>
      </c>
      <c r="AF28" s="33"/>
      <c r="AG28" s="33"/>
      <c r="AH28" s="34"/>
      <c r="AI28" s="33"/>
      <c r="AJ28" s="33"/>
      <c r="AK28" s="33"/>
    </row>
    <row r="29" spans="1:37">
      <c r="A29" s="28" t="s">
        <v>208</v>
      </c>
      <c r="B29" s="28" t="s">
        <v>240</v>
      </c>
      <c r="C29" s="28" t="s">
        <v>249</v>
      </c>
      <c r="D29" s="35">
        <v>41527</v>
      </c>
      <c r="E29" s="28" t="s">
        <v>250</v>
      </c>
      <c r="F29" s="36">
        <v>1.04112156672</v>
      </c>
      <c r="G29" s="36">
        <v>10.670731707317</v>
      </c>
      <c r="H29" s="37">
        <v>22.4300003052</v>
      </c>
      <c r="I29" s="22">
        <v>1</v>
      </c>
      <c r="J29" s="22">
        <v>0</v>
      </c>
      <c r="K29" s="22">
        <v>0</v>
      </c>
      <c r="L29" s="38">
        <v>8.3900000000000004E-7</v>
      </c>
      <c r="M29" s="38">
        <v>1.6000000000000001E-9</v>
      </c>
      <c r="N29" s="29">
        <v>1.8610000000000001E-7</v>
      </c>
      <c r="O29" s="36">
        <v>4.3999999999999998E-10</v>
      </c>
      <c r="R29" s="32"/>
      <c r="S29" s="32"/>
      <c r="U29" s="30"/>
      <c r="V29" s="30"/>
      <c r="W29" s="30"/>
      <c r="X29" s="31">
        <v>0.59213936518923105</v>
      </c>
      <c r="Y29" s="32">
        <f t="shared" si="0"/>
        <v>5.9213936518923108E-2</v>
      </c>
      <c r="Z29" s="31">
        <v>21.094516715225801</v>
      </c>
      <c r="AA29" s="32">
        <f t="shared" si="1"/>
        <v>2.1094516715225802</v>
      </c>
      <c r="AB29" s="33">
        <v>0.22524041093274999</v>
      </c>
      <c r="AC29" s="33">
        <v>2.2524041093275E-2</v>
      </c>
      <c r="AD29" s="33">
        <v>4.7883658219171297</v>
      </c>
      <c r="AE29" s="33">
        <v>0.47883658219171299</v>
      </c>
      <c r="AF29" s="33"/>
      <c r="AG29" s="33"/>
      <c r="AH29" s="34"/>
      <c r="AI29" s="33"/>
      <c r="AJ29" s="33"/>
      <c r="AK29" s="33"/>
    </row>
    <row r="30" spans="1:37">
      <c r="A30" s="28" t="s">
        <v>208</v>
      </c>
      <c r="B30" s="28" t="s">
        <v>240</v>
      </c>
      <c r="C30" s="28" t="s">
        <v>249</v>
      </c>
      <c r="D30" s="35">
        <v>41527</v>
      </c>
      <c r="E30" s="28" t="s">
        <v>251</v>
      </c>
      <c r="F30" s="36">
        <v>1.04112156672</v>
      </c>
      <c r="G30" s="36">
        <v>10.670731707317</v>
      </c>
      <c r="H30" s="37">
        <v>22.4300003052</v>
      </c>
      <c r="I30" s="22">
        <v>1</v>
      </c>
      <c r="J30" s="22">
        <v>0</v>
      </c>
      <c r="K30" s="22">
        <v>0</v>
      </c>
      <c r="L30" s="38">
        <v>8.3900000000000004E-7</v>
      </c>
      <c r="M30" s="38">
        <v>1.6000000000000001E-9</v>
      </c>
      <c r="N30" s="29">
        <v>1.8610000000000001E-7</v>
      </c>
      <c r="O30" s="36">
        <v>4.3999999999999998E-10</v>
      </c>
      <c r="R30" s="32"/>
      <c r="S30" s="32"/>
      <c r="U30" s="30"/>
      <c r="V30" s="30"/>
      <c r="W30" s="30"/>
      <c r="X30" s="31">
        <v>0.59608402808070504</v>
      </c>
      <c r="Y30" s="32">
        <f t="shared" si="0"/>
        <v>5.9608402808070504E-2</v>
      </c>
      <c r="Z30" s="31">
        <v>21.237262731869301</v>
      </c>
      <c r="AA30" s="32">
        <f t="shared" si="1"/>
        <v>2.12372627318693</v>
      </c>
      <c r="AB30" s="33">
        <v>0.21731980244643501</v>
      </c>
      <c r="AC30" s="33">
        <v>2.1731980244643501E-2</v>
      </c>
      <c r="AD30" s="33">
        <v>4.8563281214912699</v>
      </c>
      <c r="AE30" s="33">
        <v>0.48563281214912701</v>
      </c>
      <c r="AF30" s="33"/>
      <c r="AG30" s="33"/>
      <c r="AH30" s="34"/>
      <c r="AI30" s="33"/>
      <c r="AJ30" s="33"/>
      <c r="AK30" s="33"/>
    </row>
    <row r="31" spans="1:37">
      <c r="A31" s="28" t="s">
        <v>208</v>
      </c>
      <c r="B31" s="28" t="s">
        <v>240</v>
      </c>
      <c r="C31" s="28" t="s">
        <v>252</v>
      </c>
      <c r="D31" s="35">
        <v>41535</v>
      </c>
      <c r="E31" s="28" t="s">
        <v>253</v>
      </c>
      <c r="F31" s="36">
        <v>1.25373368448</v>
      </c>
      <c r="G31" s="36">
        <v>168.292682926829</v>
      </c>
      <c r="H31" s="37">
        <v>22.4300003052</v>
      </c>
      <c r="I31" s="22">
        <v>1</v>
      </c>
      <c r="J31" s="22">
        <v>0</v>
      </c>
      <c r="K31" s="22">
        <v>0</v>
      </c>
      <c r="L31" s="38">
        <v>4.3878127256654503E-6</v>
      </c>
      <c r="M31" s="38">
        <v>4.3878127256654499E-8</v>
      </c>
      <c r="N31" s="39">
        <v>2.3972945070369301E-7</v>
      </c>
      <c r="O31" s="30">
        <v>3.59594176055539E-9</v>
      </c>
      <c r="R31" s="32"/>
      <c r="S31" s="32"/>
      <c r="U31" s="30"/>
      <c r="V31" s="30"/>
      <c r="W31" s="30"/>
      <c r="X31" s="31">
        <v>0.53517594338781205</v>
      </c>
      <c r="Y31" s="32">
        <f t="shared" si="0"/>
        <v>5.3517594338781206E-2</v>
      </c>
      <c r="Z31" s="31">
        <v>23.827682017208399</v>
      </c>
      <c r="AA31" s="32">
        <f t="shared" si="1"/>
        <v>2.38276820172084</v>
      </c>
      <c r="AB31" s="33">
        <v>0.19788963100798301</v>
      </c>
      <c r="AC31" s="33">
        <v>1.9788963100798303E-2</v>
      </c>
      <c r="AD31" s="33">
        <v>2.3769034449321</v>
      </c>
      <c r="AE31" s="33">
        <v>0.23769034449321003</v>
      </c>
      <c r="AF31" s="33">
        <v>5.2191203385142E-3</v>
      </c>
      <c r="AG31" s="33">
        <v>5.2191203385142007E-4</v>
      </c>
      <c r="AH31" s="33"/>
      <c r="AI31" s="33"/>
      <c r="AJ31" s="33"/>
      <c r="AK31" s="34"/>
    </row>
    <row r="32" spans="1:37">
      <c r="A32" s="28" t="s">
        <v>208</v>
      </c>
      <c r="B32" s="28" t="s">
        <v>240</v>
      </c>
      <c r="C32" s="28" t="s">
        <v>252</v>
      </c>
      <c r="D32" s="35">
        <v>41535</v>
      </c>
      <c r="E32" s="28" t="s">
        <v>254</v>
      </c>
      <c r="F32" s="36">
        <v>1.25373368448</v>
      </c>
      <c r="G32" s="36">
        <v>168.292682926829</v>
      </c>
      <c r="H32" s="37">
        <v>22.4300003052</v>
      </c>
      <c r="I32" s="22">
        <v>1</v>
      </c>
      <c r="J32" s="22">
        <v>0</v>
      </c>
      <c r="K32" s="22">
        <v>0</v>
      </c>
      <c r="L32" s="38">
        <v>4.3878127256654503E-6</v>
      </c>
      <c r="M32" s="38">
        <v>4.3878127256654499E-8</v>
      </c>
      <c r="N32" s="39">
        <v>2.3972945070369301E-7</v>
      </c>
      <c r="O32" s="30">
        <v>3.59594176055539E-9</v>
      </c>
      <c r="R32" s="32"/>
      <c r="S32" s="32"/>
      <c r="U32" s="30"/>
      <c r="V32" s="30"/>
      <c r="W32" s="30"/>
      <c r="X32" s="31">
        <v>0.54389519053902802</v>
      </c>
      <c r="Y32" s="32">
        <f t="shared" si="0"/>
        <v>5.4389519053902803E-2</v>
      </c>
      <c r="Z32" s="31">
        <v>24.424634718474401</v>
      </c>
      <c r="AA32" s="32">
        <f t="shared" si="1"/>
        <v>2.4424634718474403</v>
      </c>
      <c r="AB32" s="33">
        <v>0.18544833854037601</v>
      </c>
      <c r="AC32" s="33">
        <v>1.8544833854037601E-2</v>
      </c>
      <c r="AD32" s="33">
        <v>2.48593849787044</v>
      </c>
      <c r="AE32" s="33">
        <v>0.24859384978704402</v>
      </c>
      <c r="AF32" s="33">
        <v>5.6204400905179403E-3</v>
      </c>
      <c r="AG32" s="33">
        <v>5.6204400905179408E-4</v>
      </c>
      <c r="AH32" s="33"/>
      <c r="AI32" s="33"/>
      <c r="AJ32" s="33"/>
      <c r="AK32" s="34"/>
    </row>
    <row r="33" spans="1:37">
      <c r="A33" s="28" t="s">
        <v>208</v>
      </c>
      <c r="B33" s="28" t="s">
        <v>240</v>
      </c>
      <c r="C33" s="28" t="s">
        <v>255</v>
      </c>
      <c r="D33" s="35">
        <v>41514</v>
      </c>
      <c r="E33" s="28" t="s">
        <v>256</v>
      </c>
      <c r="F33" s="36">
        <v>2.1379409745000002</v>
      </c>
      <c r="G33" s="36">
        <v>1.82926829268292</v>
      </c>
      <c r="H33" s="37">
        <v>22.020000457799998</v>
      </c>
      <c r="I33" s="22">
        <v>1</v>
      </c>
      <c r="J33" s="22">
        <v>0</v>
      </c>
      <c r="K33" s="22">
        <v>0</v>
      </c>
      <c r="L33" s="38">
        <v>1.0220999999999999E-6</v>
      </c>
      <c r="M33" s="38">
        <v>3.2000000000000001E-9</v>
      </c>
      <c r="N33" s="29">
        <v>2.4130000000000002E-7</v>
      </c>
      <c r="O33" s="36">
        <v>4.8259999999999997E-8</v>
      </c>
      <c r="R33" s="32"/>
      <c r="S33" s="32"/>
      <c r="U33" s="30"/>
      <c r="V33" s="30"/>
      <c r="W33" s="30"/>
      <c r="X33" s="31">
        <v>0.69106612732890704</v>
      </c>
      <c r="Y33" s="32">
        <f t="shared" si="0"/>
        <v>6.9106612732890704E-2</v>
      </c>
      <c r="Z33" s="31">
        <v>22.023326192086</v>
      </c>
      <c r="AA33" s="32">
        <f t="shared" si="1"/>
        <v>2.2023326192086001</v>
      </c>
      <c r="AB33" s="33">
        <v>0.26016269265926401</v>
      </c>
      <c r="AC33" s="33">
        <v>2.6016269265926401E-2</v>
      </c>
      <c r="AD33" s="33">
        <v>16.816394605794802</v>
      </c>
      <c r="AE33" s="33">
        <v>1.6816394605794802</v>
      </c>
      <c r="AF33" s="33">
        <v>6.1099072249922396E-3</v>
      </c>
      <c r="AG33" s="33">
        <v>6.1099072249922403E-4</v>
      </c>
      <c r="AH33" s="33"/>
      <c r="AI33" s="33"/>
      <c r="AJ33" s="33"/>
      <c r="AK33" s="34"/>
    </row>
    <row r="34" spans="1:37">
      <c r="A34" s="28" t="s">
        <v>208</v>
      </c>
      <c r="B34" s="28" t="s">
        <v>240</v>
      </c>
      <c r="C34" s="28" t="s">
        <v>255</v>
      </c>
      <c r="D34" s="35">
        <v>41514</v>
      </c>
      <c r="E34" s="28" t="s">
        <v>257</v>
      </c>
      <c r="F34" s="36">
        <v>2.1379409745000002</v>
      </c>
      <c r="G34" s="36">
        <v>1.82926829268292</v>
      </c>
      <c r="H34" s="37">
        <v>22.020000457799998</v>
      </c>
      <c r="I34" s="22">
        <v>1</v>
      </c>
      <c r="J34" s="22">
        <v>0</v>
      </c>
      <c r="K34" s="22">
        <v>0</v>
      </c>
      <c r="L34" s="38">
        <v>1.0220999999999999E-6</v>
      </c>
      <c r="M34" s="38">
        <v>3.2000000000000001E-9</v>
      </c>
      <c r="N34" s="29">
        <v>2.4130000000000002E-7</v>
      </c>
      <c r="O34" s="36">
        <v>4.8259999999999997E-8</v>
      </c>
      <c r="R34" s="32"/>
      <c r="S34" s="32"/>
      <c r="U34" s="30"/>
      <c r="V34" s="30"/>
      <c r="W34" s="30"/>
      <c r="X34" s="31">
        <v>0.69181074705136203</v>
      </c>
      <c r="Y34" s="32">
        <f t="shared" si="0"/>
        <v>6.9181074705136208E-2</v>
      </c>
      <c r="Z34" s="31">
        <v>22.068881977966601</v>
      </c>
      <c r="AA34" s="32">
        <f t="shared" si="1"/>
        <v>2.2068881977966601</v>
      </c>
      <c r="AB34" s="33">
        <v>0.25642139360038102</v>
      </c>
      <c r="AC34" s="33">
        <v>2.5642139360038105E-2</v>
      </c>
      <c r="AD34" s="33">
        <v>20.0280667741022</v>
      </c>
      <c r="AE34" s="33">
        <v>2.00280667741022</v>
      </c>
      <c r="AF34" s="33">
        <v>7.16669297969625E-3</v>
      </c>
      <c r="AG34" s="33">
        <v>7.1666929796962507E-4</v>
      </c>
      <c r="AH34" s="33"/>
      <c r="AI34" s="33"/>
      <c r="AJ34" s="33"/>
      <c r="AK34" s="34"/>
    </row>
    <row r="35" spans="1:37" ht="15.75">
      <c r="A35" s="22" t="s">
        <v>208</v>
      </c>
      <c r="B35" s="28" t="s">
        <v>240</v>
      </c>
      <c r="C35" s="22" t="s">
        <v>258</v>
      </c>
      <c r="D35" s="23">
        <v>41522</v>
      </c>
      <c r="E35" s="22" t="s">
        <v>259</v>
      </c>
      <c r="F35" s="24">
        <v>6.4662381120000001E-2</v>
      </c>
      <c r="G35" s="24">
        <v>64.634146341463406</v>
      </c>
      <c r="H35" s="37">
        <v>18.7999992371</v>
      </c>
      <c r="I35" s="22">
        <v>1</v>
      </c>
      <c r="J35" s="22">
        <v>0</v>
      </c>
      <c r="K35" s="22">
        <v>0</v>
      </c>
      <c r="L35" s="38">
        <v>7.5800000000000004E-8</v>
      </c>
      <c r="M35" s="38">
        <f>0.01*L35</f>
        <v>7.5800000000000007E-10</v>
      </c>
      <c r="N35" s="24">
        <v>3.2020000000000002E-7</v>
      </c>
      <c r="O35" s="24">
        <v>3.9E-10</v>
      </c>
      <c r="R35" s="32"/>
      <c r="S35" s="32"/>
      <c r="T35" s="40"/>
      <c r="U35" s="38"/>
      <c r="V35" s="38"/>
      <c r="W35" s="38"/>
      <c r="X35" s="31">
        <v>0.667679493460136</v>
      </c>
      <c r="Y35" s="32">
        <f t="shared" si="0"/>
        <v>6.67679493460136E-2</v>
      </c>
      <c r="Z35" s="31">
        <v>21.5319084089844</v>
      </c>
      <c r="AA35" s="32">
        <f t="shared" si="1"/>
        <v>2.1531908408984402</v>
      </c>
      <c r="AB35" s="33">
        <v>0.25138318974491197</v>
      </c>
      <c r="AC35" s="33">
        <v>2.5138318974491199E-2</v>
      </c>
      <c r="AD35" s="33">
        <v>79.483926086455298</v>
      </c>
      <c r="AE35" s="33">
        <v>7.9483926086455305</v>
      </c>
      <c r="AF35" s="33">
        <v>1.9456221274150799E-2</v>
      </c>
      <c r="AG35" s="33">
        <v>1.9456221274150799E-3</v>
      </c>
      <c r="AH35" s="27"/>
      <c r="AI35" s="26"/>
      <c r="AJ35" s="26"/>
      <c r="AK35" s="26"/>
    </row>
    <row r="36" spans="1:37" ht="15.75">
      <c r="A36" s="22" t="s">
        <v>208</v>
      </c>
      <c r="B36" s="28" t="s">
        <v>240</v>
      </c>
      <c r="C36" s="22" t="s">
        <v>258</v>
      </c>
      <c r="D36" s="23">
        <v>41522</v>
      </c>
      <c r="E36" s="22" t="s">
        <v>260</v>
      </c>
      <c r="F36" s="24">
        <v>6.4662381120000001E-2</v>
      </c>
      <c r="G36" s="24">
        <v>64.634146341463406</v>
      </c>
      <c r="H36" s="37">
        <v>18.7999992371</v>
      </c>
      <c r="I36" s="22">
        <v>1</v>
      </c>
      <c r="J36" s="22">
        <v>0</v>
      </c>
      <c r="K36" s="22">
        <v>0</v>
      </c>
      <c r="L36" s="38">
        <v>7.5800000000000004E-8</v>
      </c>
      <c r="M36" s="38">
        <f>0.01*L36</f>
        <v>7.5800000000000007E-10</v>
      </c>
      <c r="N36" s="24">
        <v>3.2020000000000002E-7</v>
      </c>
      <c r="O36" s="24">
        <v>3.9E-10</v>
      </c>
      <c r="R36" s="32"/>
      <c r="S36" s="32"/>
      <c r="U36" s="38"/>
      <c r="V36" s="38"/>
      <c r="W36" s="38"/>
      <c r="X36" s="31">
        <v>0.671547047127945</v>
      </c>
      <c r="Y36" s="32">
        <f t="shared" si="0"/>
        <v>6.71547047127945E-2</v>
      </c>
      <c r="Z36" s="31">
        <v>21.640836349807099</v>
      </c>
      <c r="AA36" s="32">
        <f t="shared" si="1"/>
        <v>2.16408363498071</v>
      </c>
      <c r="AB36" s="33">
        <v>0.25102677834305298</v>
      </c>
      <c r="AC36" s="33">
        <v>2.5102677834305299E-2</v>
      </c>
      <c r="AD36" s="33">
        <v>80.120938337504001</v>
      </c>
      <c r="AE36" s="33">
        <v>8.0120938337504004</v>
      </c>
      <c r="AF36" s="33">
        <v>1.83497860568748E-2</v>
      </c>
      <c r="AG36" s="33">
        <v>1.8349786056874801E-3</v>
      </c>
      <c r="AH36" s="27"/>
      <c r="AI36" s="26"/>
      <c r="AJ36" s="26"/>
      <c r="AK36" s="26"/>
    </row>
    <row r="37" spans="1:37">
      <c r="A37" s="28" t="s">
        <v>208</v>
      </c>
      <c r="B37" s="28" t="s">
        <v>240</v>
      </c>
      <c r="C37" s="28" t="s">
        <v>261</v>
      </c>
      <c r="D37" s="35">
        <v>41536</v>
      </c>
      <c r="E37" s="28" t="s">
        <v>262</v>
      </c>
      <c r="F37" s="36">
        <v>0.68166631848000003</v>
      </c>
      <c r="G37" s="36">
        <v>37.804878048780402</v>
      </c>
      <c r="H37" s="37">
        <v>22.649999618500001</v>
      </c>
      <c r="I37" s="22">
        <v>1</v>
      </c>
      <c r="J37" s="22">
        <v>0</v>
      </c>
      <c r="K37" s="22">
        <v>0</v>
      </c>
      <c r="L37" s="38">
        <v>9.64E-7</v>
      </c>
      <c r="M37" s="38">
        <v>4.0000000000000002E-9</v>
      </c>
      <c r="N37" s="29">
        <v>3.643E-7</v>
      </c>
      <c r="O37" s="36">
        <v>4.6000000000000001E-10</v>
      </c>
      <c r="R37" s="32"/>
      <c r="S37" s="32"/>
      <c r="U37" s="30"/>
      <c r="V37" s="30"/>
      <c r="W37" s="30"/>
      <c r="X37" s="31">
        <v>0.56122445643352303</v>
      </c>
      <c r="Y37" s="32">
        <f t="shared" si="0"/>
        <v>5.6122445643352309E-2</v>
      </c>
      <c r="Z37" s="31">
        <v>18.876259987860401</v>
      </c>
      <c r="AA37" s="32">
        <f t="shared" si="1"/>
        <v>1.8876259987860402</v>
      </c>
      <c r="AB37" s="33">
        <v>0.206836738486292</v>
      </c>
      <c r="AC37" s="33">
        <v>2.0683673848629201E-2</v>
      </c>
      <c r="AD37" s="33">
        <v>14.1064469747038</v>
      </c>
      <c r="AE37" s="33">
        <v>1.4106446974703801</v>
      </c>
      <c r="AF37" s="33"/>
      <c r="AG37" s="33"/>
      <c r="AH37" s="34"/>
      <c r="AI37" s="33"/>
      <c r="AJ37" s="33"/>
      <c r="AK37" s="33"/>
    </row>
    <row r="38" spans="1:37">
      <c r="A38" s="22" t="s">
        <v>208</v>
      </c>
      <c r="B38" s="28" t="s">
        <v>240</v>
      </c>
      <c r="C38" s="22" t="s">
        <v>263</v>
      </c>
      <c r="D38" s="23">
        <v>41505</v>
      </c>
      <c r="E38" s="22" t="s">
        <v>264</v>
      </c>
      <c r="F38" s="24">
        <v>0.59795517722000002</v>
      </c>
      <c r="G38" s="24">
        <v>61.890243902439003</v>
      </c>
      <c r="H38" s="37">
        <v>20.020000457799998</v>
      </c>
      <c r="I38" s="22">
        <v>1</v>
      </c>
      <c r="J38" s="22">
        <v>0</v>
      </c>
      <c r="K38" s="22">
        <v>0</v>
      </c>
      <c r="L38" s="38">
        <v>7.36279634517406E-6</v>
      </c>
      <c r="M38" s="38">
        <v>7.3627963451740605E-8</v>
      </c>
      <c r="N38" s="38">
        <v>4.0391994785784199E-7</v>
      </c>
      <c r="O38" s="38">
        <v>6.0587992178676302E-9</v>
      </c>
      <c r="R38" s="32"/>
      <c r="S38" s="32"/>
      <c r="U38" s="38"/>
      <c r="V38" s="38"/>
      <c r="W38" s="38"/>
      <c r="X38" s="31">
        <v>0.65142040998828699</v>
      </c>
      <c r="Y38" s="32">
        <f t="shared" si="0"/>
        <v>6.5142040998828699E-2</v>
      </c>
      <c r="Z38" s="31">
        <v>21.315372047898599</v>
      </c>
      <c r="AA38" s="32">
        <f t="shared" si="1"/>
        <v>2.13153720478986</v>
      </c>
      <c r="AB38" s="33">
        <v>0.20505551857668899</v>
      </c>
      <c r="AC38" s="33">
        <v>2.0505551857668902E-2</v>
      </c>
      <c r="AD38" s="33">
        <v>20.650693077161701</v>
      </c>
      <c r="AE38" s="33">
        <v>2.0650693077161701</v>
      </c>
      <c r="AF38" s="33">
        <v>21.281877147315999</v>
      </c>
      <c r="AG38" s="33">
        <v>2.1281877147316002</v>
      </c>
      <c r="AH38" s="34"/>
      <c r="AI38" s="33"/>
      <c r="AJ38" s="33"/>
      <c r="AK38" s="33"/>
    </row>
    <row r="39" spans="1:37">
      <c r="A39" s="22" t="s">
        <v>208</v>
      </c>
      <c r="B39" s="28" t="s">
        <v>240</v>
      </c>
      <c r="C39" s="22" t="s">
        <v>263</v>
      </c>
      <c r="D39" s="23">
        <v>41505</v>
      </c>
      <c r="E39" s="22" t="s">
        <v>265</v>
      </c>
      <c r="F39" s="24">
        <v>0.59795517722000002</v>
      </c>
      <c r="G39" s="24">
        <v>61.890243902439003</v>
      </c>
      <c r="H39" s="37">
        <v>20.020000457799998</v>
      </c>
      <c r="I39" s="22">
        <v>1</v>
      </c>
      <c r="J39" s="22">
        <v>0</v>
      </c>
      <c r="K39" s="22">
        <v>0</v>
      </c>
      <c r="L39" s="38">
        <v>7.36279634517406E-6</v>
      </c>
      <c r="M39" s="38">
        <v>7.3627963451740605E-8</v>
      </c>
      <c r="N39" s="38">
        <v>4.0391994785784199E-7</v>
      </c>
      <c r="O39" s="38">
        <v>6.0587992178676302E-9</v>
      </c>
      <c r="R39" s="32"/>
      <c r="S39" s="32"/>
      <c r="U39" s="38"/>
      <c r="V39" s="38"/>
      <c r="W39" s="38"/>
      <c r="X39" s="31">
        <v>0.68990655298981096</v>
      </c>
      <c r="Y39" s="32">
        <f t="shared" si="0"/>
        <v>6.8990655298981102E-2</v>
      </c>
      <c r="Z39" s="31">
        <v>23.403517875689399</v>
      </c>
      <c r="AA39" s="32">
        <f t="shared" si="1"/>
        <v>2.3403517875689399</v>
      </c>
      <c r="AB39" s="33">
        <v>0.22234188776764399</v>
      </c>
      <c r="AC39" s="33">
        <v>2.2234188776764401E-2</v>
      </c>
      <c r="AD39" s="33">
        <v>16.4822830633439</v>
      </c>
      <c r="AE39" s="33">
        <v>1.6482283063343901</v>
      </c>
      <c r="AF39" s="33">
        <v>22.0824839531031</v>
      </c>
      <c r="AG39" s="33">
        <v>2.20824839531031</v>
      </c>
      <c r="AH39" s="34"/>
      <c r="AI39" s="33"/>
      <c r="AJ39" s="33"/>
      <c r="AK39" s="33"/>
    </row>
    <row r="40" spans="1:37">
      <c r="A40" s="28" t="s">
        <v>208</v>
      </c>
      <c r="B40" s="28" t="s">
        <v>240</v>
      </c>
      <c r="C40" s="28" t="s">
        <v>266</v>
      </c>
      <c r="D40" s="35">
        <v>41529</v>
      </c>
      <c r="E40" s="28" t="s">
        <v>267</v>
      </c>
      <c r="F40" s="36">
        <v>0.79811186249999999</v>
      </c>
      <c r="G40" s="36">
        <v>12.804878048780401</v>
      </c>
      <c r="H40" s="37">
        <v>21.829999923700001</v>
      </c>
      <c r="I40" s="22">
        <v>1</v>
      </c>
      <c r="J40" s="22">
        <v>0</v>
      </c>
      <c r="K40" s="22">
        <v>0</v>
      </c>
      <c r="L40" s="38"/>
      <c r="M40" s="38"/>
      <c r="N40" s="39"/>
      <c r="O40" s="30"/>
      <c r="R40" s="32"/>
      <c r="S40" s="32"/>
      <c r="U40" s="30"/>
      <c r="V40" s="30"/>
      <c r="W40" s="30"/>
      <c r="X40" s="31">
        <v>0.61643940244318096</v>
      </c>
      <c r="Y40" s="32">
        <f t="shared" si="0"/>
        <v>6.1643940244318102E-2</v>
      </c>
      <c r="Z40" s="31">
        <v>19.900134314163498</v>
      </c>
      <c r="AA40" s="32">
        <f t="shared" si="1"/>
        <v>1.99001343141635</v>
      </c>
      <c r="AB40" s="33">
        <v>0.237718203568514</v>
      </c>
      <c r="AC40" s="33">
        <v>2.3771820356851402E-2</v>
      </c>
      <c r="AD40" s="33">
        <v>4.9873959939945296</v>
      </c>
      <c r="AE40" s="33">
        <v>0.498739599399453</v>
      </c>
      <c r="AF40" s="33">
        <v>0.61594780438002295</v>
      </c>
      <c r="AG40" s="33">
        <v>6.1594780438002296E-2</v>
      </c>
      <c r="AH40" s="33"/>
      <c r="AI40" s="33"/>
      <c r="AJ40" s="33"/>
      <c r="AK40" s="34"/>
    </row>
    <row r="41" spans="1:37">
      <c r="A41" s="28" t="s">
        <v>208</v>
      </c>
      <c r="B41" s="28" t="s">
        <v>240</v>
      </c>
      <c r="C41" s="28" t="s">
        <v>266</v>
      </c>
      <c r="D41" s="35">
        <v>41529</v>
      </c>
      <c r="E41" s="28" t="s">
        <v>268</v>
      </c>
      <c r="F41" s="36">
        <v>0.79811186249999999</v>
      </c>
      <c r="G41" s="36">
        <v>12.804878048780401</v>
      </c>
      <c r="H41" s="37">
        <v>21.829999923700001</v>
      </c>
      <c r="I41" s="22">
        <v>1</v>
      </c>
      <c r="J41" s="22">
        <v>0</v>
      </c>
      <c r="K41" s="22">
        <v>0</v>
      </c>
      <c r="L41" s="38"/>
      <c r="M41" s="38"/>
      <c r="N41" s="39"/>
      <c r="O41" s="30"/>
      <c r="R41" s="32"/>
      <c r="S41" s="32"/>
      <c r="U41" s="30"/>
      <c r="V41" s="30"/>
      <c r="W41" s="30"/>
      <c r="X41" s="31">
        <v>0.61968022669787903</v>
      </c>
      <c r="Y41" s="32">
        <f t="shared" si="0"/>
        <v>6.1968022669787903E-2</v>
      </c>
      <c r="Z41" s="31">
        <v>20.0919725268704</v>
      </c>
      <c r="AA41" s="32">
        <f t="shared" si="1"/>
        <v>2.0091972526870401</v>
      </c>
      <c r="AB41" s="33">
        <v>0.23051575118141701</v>
      </c>
      <c r="AC41" s="33">
        <v>2.3051575118141703E-2</v>
      </c>
      <c r="AD41" s="33">
        <v>5.3021613594672301</v>
      </c>
      <c r="AE41" s="33">
        <v>0.53021613594672301</v>
      </c>
      <c r="AF41" s="33">
        <v>0.61723536773716503</v>
      </c>
      <c r="AG41" s="33">
        <v>6.1723536773716503E-2</v>
      </c>
      <c r="AH41" s="33"/>
      <c r="AI41" s="33"/>
      <c r="AJ41" s="33"/>
      <c r="AK41" s="34"/>
    </row>
    <row r="42" spans="1:37">
      <c r="A42" s="28" t="s">
        <v>208</v>
      </c>
      <c r="B42" s="28" t="s">
        <v>240</v>
      </c>
      <c r="C42" s="28" t="s">
        <v>247</v>
      </c>
      <c r="D42" s="35">
        <v>41512</v>
      </c>
      <c r="E42" s="28" t="s">
        <v>269</v>
      </c>
      <c r="F42" s="36">
        <v>0.56876166378000004</v>
      </c>
      <c r="G42" s="36">
        <v>81.707317073170699</v>
      </c>
      <c r="H42" s="37">
        <v>20.790000915499999</v>
      </c>
      <c r="I42" s="22">
        <v>1</v>
      </c>
      <c r="J42" s="22">
        <v>0</v>
      </c>
      <c r="K42" s="22">
        <v>0</v>
      </c>
      <c r="L42" s="38"/>
      <c r="M42" s="38"/>
      <c r="N42" s="39"/>
      <c r="O42" s="30"/>
      <c r="R42" s="32"/>
      <c r="S42" s="32"/>
      <c r="U42" s="30"/>
      <c r="V42" s="30"/>
      <c r="W42" s="30"/>
      <c r="X42" s="31">
        <v>0.67701132661187402</v>
      </c>
      <c r="Y42" s="32">
        <f t="shared" si="0"/>
        <v>6.7701132661187408E-2</v>
      </c>
      <c r="Z42" s="31">
        <v>21.371301771473199</v>
      </c>
      <c r="AA42" s="32">
        <f t="shared" si="1"/>
        <v>2.1371301771473199</v>
      </c>
      <c r="AB42" s="33">
        <v>0.152729695760459</v>
      </c>
      <c r="AC42" s="33">
        <v>1.5272969576045901E-2</v>
      </c>
      <c r="AD42" s="33">
        <v>33.225635685941697</v>
      </c>
      <c r="AE42" s="33">
        <v>3.3225635685941697</v>
      </c>
      <c r="AF42" s="33"/>
      <c r="AG42" s="33"/>
      <c r="AH42" s="34"/>
      <c r="AI42" s="33"/>
      <c r="AJ42" s="33"/>
      <c r="AK42" s="33"/>
    </row>
    <row r="43" spans="1:37">
      <c r="A43" s="28" t="s">
        <v>208</v>
      </c>
      <c r="B43" s="28" t="s">
        <v>270</v>
      </c>
      <c r="C43" s="28" t="s">
        <v>271</v>
      </c>
      <c r="D43" s="35">
        <v>41528</v>
      </c>
      <c r="E43" s="28" t="s">
        <v>272</v>
      </c>
      <c r="F43" s="36">
        <v>0.84992100378000002</v>
      </c>
      <c r="G43" s="36">
        <v>61.890243902439003</v>
      </c>
      <c r="H43" s="37">
        <v>22.1800003052</v>
      </c>
      <c r="I43" s="22">
        <v>1</v>
      </c>
      <c r="J43" s="22">
        <v>0</v>
      </c>
      <c r="K43" s="22">
        <v>0</v>
      </c>
      <c r="L43" s="38"/>
      <c r="M43" s="38"/>
      <c r="N43" s="39"/>
      <c r="O43" s="30"/>
      <c r="R43" s="32"/>
      <c r="S43" s="32"/>
      <c r="U43" s="30"/>
      <c r="V43" s="30"/>
      <c r="W43" s="30"/>
      <c r="X43" s="31">
        <v>0.64853000310912301</v>
      </c>
      <c r="Y43" s="32">
        <f t="shared" si="0"/>
        <v>6.4853000310912304E-2</v>
      </c>
      <c r="Z43" s="31">
        <v>20.2407096401977</v>
      </c>
      <c r="AA43" s="32">
        <f t="shared" si="1"/>
        <v>2.0240709640197703</v>
      </c>
      <c r="AB43" s="33">
        <v>0.89209129703911205</v>
      </c>
      <c r="AC43" s="33">
        <v>8.9209129703911205E-2</v>
      </c>
      <c r="AD43" s="33">
        <v>20.5062625603748</v>
      </c>
      <c r="AE43" s="33">
        <v>2.0506262560374799</v>
      </c>
      <c r="AF43" s="33"/>
      <c r="AG43" s="33"/>
      <c r="AH43" s="33"/>
      <c r="AI43" s="33"/>
      <c r="AJ43" s="33"/>
      <c r="AK43" s="34"/>
    </row>
    <row r="44" spans="1:37">
      <c r="A44" s="28" t="s">
        <v>208</v>
      </c>
      <c r="B44" s="28" t="s">
        <v>270</v>
      </c>
      <c r="C44" s="28" t="s">
        <v>273</v>
      </c>
      <c r="D44" s="35">
        <v>41513</v>
      </c>
      <c r="E44" s="28" t="s">
        <v>274</v>
      </c>
      <c r="F44" s="36">
        <v>1.5401885613799999</v>
      </c>
      <c r="G44" s="36">
        <v>134.451219512195</v>
      </c>
      <c r="H44" s="37">
        <v>21.290000915499999</v>
      </c>
      <c r="I44" s="22">
        <v>1</v>
      </c>
      <c r="J44" s="22">
        <v>0</v>
      </c>
      <c r="K44" s="22">
        <v>0</v>
      </c>
      <c r="L44" s="38"/>
      <c r="M44" s="38"/>
      <c r="N44" s="39"/>
      <c r="O44" s="30"/>
      <c r="R44" s="32"/>
      <c r="S44" s="32"/>
      <c r="U44" s="30"/>
      <c r="V44" s="30"/>
      <c r="W44" s="30"/>
      <c r="X44" s="31">
        <v>0.65951185895159004</v>
      </c>
      <c r="Y44" s="32">
        <f t="shared" si="0"/>
        <v>6.5951185895159012E-2</v>
      </c>
      <c r="Z44" s="31">
        <v>20.305013201946299</v>
      </c>
      <c r="AA44" s="32">
        <f t="shared" si="1"/>
        <v>2.03050132019463</v>
      </c>
      <c r="AB44" s="33">
        <v>0.69083194830636696</v>
      </c>
      <c r="AC44" s="33">
        <v>6.9083194830636699E-2</v>
      </c>
      <c r="AD44" s="33">
        <v>34.790811524215499</v>
      </c>
      <c r="AE44" s="33">
        <v>3.4790811524215499</v>
      </c>
      <c r="AF44" s="33"/>
      <c r="AG44" s="33"/>
      <c r="AH44" s="33"/>
      <c r="AI44" s="33"/>
      <c r="AJ44" s="33"/>
      <c r="AK44" s="34"/>
    </row>
    <row r="45" spans="1:37">
      <c r="A45" s="28" t="s">
        <v>208</v>
      </c>
      <c r="B45" s="28" t="s">
        <v>270</v>
      </c>
      <c r="C45" s="28" t="s">
        <v>273</v>
      </c>
      <c r="D45" s="35">
        <v>41513</v>
      </c>
      <c r="E45" s="28" t="s">
        <v>275</v>
      </c>
      <c r="F45" s="36">
        <v>1.5401885613799999</v>
      </c>
      <c r="G45" s="36">
        <v>134.451219512195</v>
      </c>
      <c r="H45" s="37">
        <v>21.290000915499999</v>
      </c>
      <c r="I45" s="22">
        <v>1</v>
      </c>
      <c r="J45" s="22">
        <v>0</v>
      </c>
      <c r="K45" s="22">
        <v>0</v>
      </c>
      <c r="L45" s="38"/>
      <c r="M45" s="38"/>
      <c r="N45" s="39"/>
      <c r="O45" s="30"/>
      <c r="R45" s="32"/>
      <c r="S45" s="32"/>
      <c r="U45" s="30"/>
      <c r="V45" s="30"/>
      <c r="W45" s="30"/>
      <c r="X45" s="31">
        <v>0.66935689863703995</v>
      </c>
      <c r="Y45" s="32">
        <f t="shared" si="0"/>
        <v>6.6935689863704004E-2</v>
      </c>
      <c r="Z45" s="31">
        <v>20.907551544655899</v>
      </c>
      <c r="AA45" s="32">
        <f t="shared" si="1"/>
        <v>2.0907551544655898</v>
      </c>
      <c r="AB45" s="33">
        <v>0.57225177231139301</v>
      </c>
      <c r="AC45" s="33">
        <v>5.7225177231139304E-2</v>
      </c>
      <c r="AD45" s="33">
        <v>39.726961083331098</v>
      </c>
      <c r="AE45" s="33">
        <v>3.97269610833311</v>
      </c>
      <c r="AF45" s="33"/>
      <c r="AG45" s="33"/>
      <c r="AH45" s="33"/>
      <c r="AI45" s="33"/>
      <c r="AJ45" s="33"/>
      <c r="AK45" s="34"/>
    </row>
    <row r="46" spans="1:37">
      <c r="A46" s="28" t="s">
        <v>208</v>
      </c>
      <c r="B46" s="28" t="s">
        <v>270</v>
      </c>
      <c r="C46" s="28" t="s">
        <v>276</v>
      </c>
      <c r="D46" s="35">
        <v>41526</v>
      </c>
      <c r="E46" s="28" t="s">
        <v>277</v>
      </c>
      <c r="F46" s="36">
        <v>0.61536420000000003</v>
      </c>
      <c r="G46" s="36">
        <v>17.987804878048699</v>
      </c>
      <c r="H46" s="37">
        <v>23.489999771099999</v>
      </c>
      <c r="I46" s="22">
        <v>1</v>
      </c>
      <c r="J46" s="22">
        <v>0</v>
      </c>
      <c r="K46" s="22">
        <v>0</v>
      </c>
      <c r="L46" s="38">
        <v>5.54E-8</v>
      </c>
      <c r="M46" s="38">
        <f>0.01*L46</f>
        <v>5.5400000000000005E-10</v>
      </c>
      <c r="N46" s="29">
        <v>2.1409999999999999E-7</v>
      </c>
      <c r="O46" s="36">
        <v>2.8000000000000002E-10</v>
      </c>
      <c r="R46" s="32"/>
      <c r="S46" s="32"/>
      <c r="U46" s="30"/>
      <c r="V46" s="30"/>
      <c r="W46" s="30"/>
      <c r="X46" s="31">
        <v>0.54362765874630103</v>
      </c>
      <c r="Y46" s="32">
        <f t="shared" si="0"/>
        <v>5.4362765874630105E-2</v>
      </c>
      <c r="Z46" s="31">
        <v>16.712418633876499</v>
      </c>
      <c r="AA46" s="32">
        <f t="shared" si="1"/>
        <v>1.67124186338765</v>
      </c>
      <c r="AB46" s="33">
        <v>0.37003891438928499</v>
      </c>
      <c r="AC46" s="33">
        <v>3.7003891438928502E-2</v>
      </c>
      <c r="AD46" s="33">
        <v>51.229628697950297</v>
      </c>
      <c r="AE46" s="33">
        <v>5.12296286979503</v>
      </c>
      <c r="AF46" s="33">
        <v>3.5476590249242201E-3</v>
      </c>
      <c r="AG46" s="33">
        <v>3.5476590249242204E-4</v>
      </c>
      <c r="AH46" s="34"/>
      <c r="AI46" s="33"/>
      <c r="AJ46" s="33"/>
      <c r="AK46" s="33"/>
    </row>
    <row r="47" spans="1:37">
      <c r="A47" s="28" t="s">
        <v>208</v>
      </c>
      <c r="B47" s="28" t="s">
        <v>270</v>
      </c>
      <c r="C47" s="28" t="s">
        <v>276</v>
      </c>
      <c r="D47" s="35">
        <v>41526</v>
      </c>
      <c r="E47" s="28" t="s">
        <v>278</v>
      </c>
      <c r="F47" s="36">
        <v>0.61536420000000003</v>
      </c>
      <c r="G47" s="36">
        <v>17.987804878048699</v>
      </c>
      <c r="H47" s="37">
        <v>23.489999771099999</v>
      </c>
      <c r="I47" s="22">
        <v>1</v>
      </c>
      <c r="J47" s="22">
        <v>0</v>
      </c>
      <c r="K47" s="22">
        <v>0</v>
      </c>
      <c r="L47" s="38">
        <v>5.54E-8</v>
      </c>
      <c r="M47" s="38">
        <f>0.01*L47</f>
        <v>5.5400000000000005E-10</v>
      </c>
      <c r="N47" s="29">
        <v>2.1409999999999999E-7</v>
      </c>
      <c r="O47" s="36">
        <v>2.8000000000000002E-10</v>
      </c>
      <c r="R47" s="32"/>
      <c r="S47" s="32"/>
      <c r="U47" s="30"/>
      <c r="V47" s="30"/>
      <c r="W47" s="30"/>
      <c r="X47" s="31">
        <v>0.54608887632176695</v>
      </c>
      <c r="Y47" s="32">
        <f t="shared" si="0"/>
        <v>5.4608887632176695E-2</v>
      </c>
      <c r="Z47" s="31">
        <v>16.744030025218901</v>
      </c>
      <c r="AA47" s="32">
        <f t="shared" si="1"/>
        <v>1.6744030025218901</v>
      </c>
      <c r="AB47" s="33">
        <v>0.21130528327025899</v>
      </c>
      <c r="AC47" s="33">
        <v>2.1130528327025902E-2</v>
      </c>
      <c r="AD47" s="33">
        <v>52.139600300066697</v>
      </c>
      <c r="AE47" s="33">
        <v>5.2139600300066702</v>
      </c>
      <c r="AF47" s="33">
        <v>3.8905497049326501E-3</v>
      </c>
      <c r="AG47" s="33">
        <v>3.8905497049326502E-4</v>
      </c>
      <c r="AH47" s="34"/>
      <c r="AI47" s="33"/>
      <c r="AJ47" s="33"/>
      <c r="AK47" s="33"/>
    </row>
    <row r="48" spans="1:37">
      <c r="A48" s="28" t="s">
        <v>208</v>
      </c>
      <c r="B48" s="28" t="s">
        <v>270</v>
      </c>
      <c r="C48" s="28" t="s">
        <v>279</v>
      </c>
      <c r="D48" s="35">
        <v>41492</v>
      </c>
      <c r="E48" s="28" t="s">
        <v>280</v>
      </c>
      <c r="F48" s="36">
        <v>0.23046814937999999</v>
      </c>
      <c r="G48" s="36">
        <v>33.536585365853597</v>
      </c>
      <c r="H48" s="37">
        <v>20.670000076299999</v>
      </c>
      <c r="I48" s="22">
        <v>1</v>
      </c>
      <c r="J48" s="22">
        <v>0</v>
      </c>
      <c r="K48" s="22">
        <v>0</v>
      </c>
      <c r="L48" s="38">
        <v>1.5160000000000001E-7</v>
      </c>
      <c r="M48" s="38">
        <v>1E-10</v>
      </c>
      <c r="N48" s="29">
        <v>2.252E-7</v>
      </c>
      <c r="O48" s="36">
        <v>2.8000000000000002E-10</v>
      </c>
      <c r="R48" s="32"/>
      <c r="S48" s="32"/>
      <c r="U48" s="30"/>
      <c r="V48" s="30"/>
      <c r="W48" s="30"/>
      <c r="X48" s="31">
        <v>0.62496555096018902</v>
      </c>
      <c r="Y48" s="32">
        <f t="shared" si="0"/>
        <v>6.2496555096018903E-2</v>
      </c>
      <c r="Z48" s="31">
        <v>18.3540797053479</v>
      </c>
      <c r="AA48" s="32">
        <f t="shared" si="1"/>
        <v>1.8354079705347901</v>
      </c>
      <c r="AB48" s="33">
        <v>0.23889917229200899</v>
      </c>
      <c r="AC48" s="33">
        <v>2.3889917229200901E-2</v>
      </c>
      <c r="AD48" s="33">
        <v>10.118185285200299</v>
      </c>
      <c r="AE48" s="33">
        <v>1.0118185285200301</v>
      </c>
      <c r="AF48" s="33"/>
      <c r="AG48" s="33"/>
      <c r="AH48" s="34"/>
      <c r="AI48" s="33"/>
      <c r="AJ48" s="33"/>
      <c r="AK48" s="33"/>
    </row>
    <row r="49" spans="1:37">
      <c r="A49" s="28" t="s">
        <v>208</v>
      </c>
      <c r="B49" s="28" t="s">
        <v>270</v>
      </c>
      <c r="C49" s="28" t="s">
        <v>279</v>
      </c>
      <c r="D49" s="35">
        <v>41492</v>
      </c>
      <c r="E49" s="28" t="s">
        <v>281</v>
      </c>
      <c r="F49" s="36">
        <v>0.23046814937999999</v>
      </c>
      <c r="G49" s="36">
        <v>33.536585365853597</v>
      </c>
      <c r="H49" s="37">
        <v>20.670000076299999</v>
      </c>
      <c r="I49" s="22">
        <v>1</v>
      </c>
      <c r="J49" s="22">
        <v>0</v>
      </c>
      <c r="K49" s="22">
        <v>0</v>
      </c>
      <c r="L49" s="38">
        <v>1.5160000000000001E-7</v>
      </c>
      <c r="M49" s="38">
        <v>1E-10</v>
      </c>
      <c r="N49" s="29">
        <v>2.252E-7</v>
      </c>
      <c r="O49" s="36">
        <v>2.8000000000000002E-10</v>
      </c>
      <c r="R49" s="32"/>
      <c r="S49" s="32"/>
      <c r="U49" s="30"/>
      <c r="V49" s="30"/>
      <c r="W49" s="30"/>
      <c r="X49" s="31">
        <v>0.62647269982155096</v>
      </c>
      <c r="Y49" s="32">
        <f t="shared" si="0"/>
        <v>6.2647269982155099E-2</v>
      </c>
      <c r="Z49" s="31">
        <v>18.3702314954615</v>
      </c>
      <c r="AA49" s="32">
        <f t="shared" si="1"/>
        <v>1.83702314954615</v>
      </c>
      <c r="AB49" s="33">
        <v>0.224388945735082</v>
      </c>
      <c r="AC49" s="33">
        <v>2.24388945735082E-2</v>
      </c>
      <c r="AD49" s="33">
        <v>10.147633985280899</v>
      </c>
      <c r="AE49" s="33">
        <v>1.0147633985280899</v>
      </c>
      <c r="AF49" s="33"/>
      <c r="AG49" s="33"/>
      <c r="AH49" s="34"/>
      <c r="AI49" s="33"/>
      <c r="AJ49" s="33"/>
      <c r="AK49" s="33"/>
    </row>
    <row r="50" spans="1:37">
      <c r="A50" s="28" t="s">
        <v>208</v>
      </c>
      <c r="B50" s="28" t="s">
        <v>270</v>
      </c>
      <c r="C50" s="28" t="s">
        <v>282</v>
      </c>
      <c r="D50" s="35">
        <v>41494</v>
      </c>
      <c r="E50" s="28" t="s">
        <v>283</v>
      </c>
      <c r="F50" s="36">
        <v>0.32665329450000002</v>
      </c>
      <c r="G50" s="36">
        <v>100</v>
      </c>
      <c r="H50" s="37">
        <v>20.9300003052</v>
      </c>
      <c r="I50" s="22">
        <v>1</v>
      </c>
      <c r="J50" s="22">
        <v>0</v>
      </c>
      <c r="K50" s="22">
        <v>0</v>
      </c>
      <c r="L50" s="38">
        <v>1.2739999999999999E-7</v>
      </c>
      <c r="M50" s="38">
        <v>1E-10</v>
      </c>
      <c r="N50" s="29">
        <v>2.3440000000000001E-7</v>
      </c>
      <c r="O50" s="36">
        <v>2.8000000000000002E-10</v>
      </c>
      <c r="R50" s="32"/>
      <c r="S50" s="32"/>
      <c r="U50" s="30"/>
      <c r="V50" s="30"/>
      <c r="W50" s="30"/>
      <c r="X50" s="31">
        <v>0.68431289806906603</v>
      </c>
      <c r="Y50" s="32">
        <f t="shared" si="0"/>
        <v>6.8431289806906603E-2</v>
      </c>
      <c r="Z50" s="31">
        <v>20.062847104330899</v>
      </c>
      <c r="AA50" s="32">
        <f t="shared" si="1"/>
        <v>2.0062847104330901</v>
      </c>
      <c r="AB50" s="33">
        <v>0.25349737203519201</v>
      </c>
      <c r="AC50" s="33">
        <v>2.5349737203519202E-2</v>
      </c>
      <c r="AD50" s="33">
        <v>12.4202772986617</v>
      </c>
      <c r="AE50" s="33">
        <v>1.2420277298661702</v>
      </c>
      <c r="AF50" s="33"/>
      <c r="AG50" s="33"/>
      <c r="AH50" s="34"/>
      <c r="AI50" s="33"/>
      <c r="AJ50" s="33"/>
      <c r="AK50" s="33"/>
    </row>
    <row r="51" spans="1:37">
      <c r="A51" s="28" t="s">
        <v>208</v>
      </c>
      <c r="B51" s="28" t="s">
        <v>270</v>
      </c>
      <c r="C51" s="28" t="s">
        <v>282</v>
      </c>
      <c r="D51" s="35">
        <v>41494</v>
      </c>
      <c r="E51" s="41" t="s">
        <v>284</v>
      </c>
      <c r="F51" s="36">
        <v>0.32665329450000002</v>
      </c>
      <c r="G51" s="36">
        <v>100</v>
      </c>
      <c r="H51" s="37">
        <v>20.9300003052</v>
      </c>
      <c r="I51" s="22">
        <v>1</v>
      </c>
      <c r="J51" s="22">
        <v>0</v>
      </c>
      <c r="K51" s="22">
        <v>0</v>
      </c>
      <c r="L51" s="38">
        <v>1.2739999999999999E-7</v>
      </c>
      <c r="M51" s="38">
        <v>1E-10</v>
      </c>
      <c r="N51" s="29">
        <v>2.3440000000000001E-7</v>
      </c>
      <c r="O51" s="36">
        <v>2.8000000000000002E-10</v>
      </c>
      <c r="R51" s="32"/>
      <c r="S51" s="32"/>
      <c r="U51" s="30"/>
      <c r="V51" s="30"/>
      <c r="W51" s="30"/>
      <c r="X51" s="31">
        <v>0.67975215809604805</v>
      </c>
      <c r="Y51" s="32">
        <f t="shared" si="0"/>
        <v>6.7975215809604805E-2</v>
      </c>
      <c r="Z51" s="31">
        <v>19.884128338298598</v>
      </c>
      <c r="AA51" s="32">
        <f t="shared" si="1"/>
        <v>1.9884128338298599</v>
      </c>
      <c r="AB51" s="33">
        <v>0.239554143136127</v>
      </c>
      <c r="AC51" s="33">
        <v>2.39554143136127E-2</v>
      </c>
      <c r="AD51" s="33">
        <v>12.1752725384688</v>
      </c>
      <c r="AE51" s="33">
        <v>1.21752725384688</v>
      </c>
      <c r="AF51" s="33"/>
      <c r="AG51" s="33"/>
      <c r="AH51" s="34"/>
      <c r="AI51" s="33"/>
      <c r="AJ51" s="33"/>
      <c r="AK51" s="33"/>
    </row>
    <row r="52" spans="1:37">
      <c r="A52" s="28" t="s">
        <v>208</v>
      </c>
      <c r="B52" s="28" t="s">
        <v>270</v>
      </c>
      <c r="C52" s="28" t="s">
        <v>285</v>
      </c>
      <c r="D52" s="35">
        <v>41500</v>
      </c>
      <c r="E52" s="28" t="s">
        <v>286</v>
      </c>
      <c r="F52" s="36">
        <v>0.70302982272000003</v>
      </c>
      <c r="G52" s="36">
        <v>100</v>
      </c>
      <c r="H52" s="37">
        <v>20.459999084500001</v>
      </c>
      <c r="I52" s="22">
        <v>1</v>
      </c>
      <c r="J52" s="22">
        <v>0</v>
      </c>
      <c r="K52" s="22">
        <v>0</v>
      </c>
      <c r="L52" s="38">
        <v>7.2802601683677401E-6</v>
      </c>
      <c r="M52" s="38">
        <v>7.2802601683677404E-8</v>
      </c>
      <c r="N52" s="39">
        <v>2.9755819573653701E-7</v>
      </c>
      <c r="O52" s="30">
        <v>4.4633729360480602E-9</v>
      </c>
      <c r="R52" s="32"/>
      <c r="S52" s="32"/>
      <c r="U52" s="30"/>
      <c r="V52" s="30"/>
      <c r="W52" s="30"/>
      <c r="X52" s="31">
        <v>0.69211109491882705</v>
      </c>
      <c r="Y52" s="32">
        <f t="shared" si="0"/>
        <v>6.9211109491882708E-2</v>
      </c>
      <c r="Z52" s="31">
        <v>22.496772284271501</v>
      </c>
      <c r="AA52" s="32">
        <f t="shared" si="1"/>
        <v>2.2496772284271502</v>
      </c>
      <c r="AB52" s="33">
        <v>0.248184714446466</v>
      </c>
      <c r="AC52" s="33">
        <v>2.4818471444646602E-2</v>
      </c>
      <c r="AD52" s="33">
        <v>6.35667538188466</v>
      </c>
      <c r="AE52" s="33">
        <v>0.635667538188466</v>
      </c>
      <c r="AF52" s="33">
        <v>3.4668166114222898</v>
      </c>
      <c r="AG52" s="33">
        <v>0.34668166114222898</v>
      </c>
      <c r="AH52" s="34"/>
      <c r="AI52" s="33"/>
      <c r="AJ52" s="33"/>
      <c r="AK52" s="33"/>
    </row>
    <row r="53" spans="1:37">
      <c r="A53" s="28" t="s">
        <v>208</v>
      </c>
      <c r="B53" s="28" t="s">
        <v>270</v>
      </c>
      <c r="C53" s="28" t="s">
        <v>285</v>
      </c>
      <c r="D53" s="35">
        <v>41500</v>
      </c>
      <c r="E53" s="28" t="s">
        <v>287</v>
      </c>
      <c r="F53" s="36">
        <v>0.70302982272000003</v>
      </c>
      <c r="G53" s="36">
        <v>100</v>
      </c>
      <c r="H53" s="37">
        <v>20.459999084500001</v>
      </c>
      <c r="I53" s="22">
        <v>1</v>
      </c>
      <c r="J53" s="22">
        <v>0</v>
      </c>
      <c r="K53" s="22">
        <v>0</v>
      </c>
      <c r="L53" s="38">
        <v>7.2802601683677401E-6</v>
      </c>
      <c r="M53" s="38">
        <v>7.2802601683677404E-8</v>
      </c>
      <c r="N53" s="39">
        <v>2.9755819573653701E-7</v>
      </c>
      <c r="O53" s="30">
        <v>4.4633729360480602E-9</v>
      </c>
      <c r="R53" s="32"/>
      <c r="S53" s="32"/>
      <c r="U53" s="30"/>
      <c r="V53" s="30"/>
      <c r="W53" s="30"/>
      <c r="X53" s="31">
        <v>0.69379746228552897</v>
      </c>
      <c r="Y53" s="32">
        <f t="shared" si="0"/>
        <v>6.9379746228552905E-2</v>
      </c>
      <c r="Z53" s="31">
        <v>22.686020910717598</v>
      </c>
      <c r="AA53" s="32">
        <f t="shared" si="1"/>
        <v>2.2686020910717599</v>
      </c>
      <c r="AB53" s="33">
        <v>0.244546086170469</v>
      </c>
      <c r="AC53" s="33">
        <v>2.4454608617046902E-2</v>
      </c>
      <c r="AD53" s="33">
        <v>6.4699771288838104</v>
      </c>
      <c r="AE53" s="33">
        <v>0.64699771288838104</v>
      </c>
      <c r="AF53" s="33">
        <v>3.5261848712849302</v>
      </c>
      <c r="AG53" s="33">
        <v>0.35261848712849303</v>
      </c>
      <c r="AH53" s="34"/>
      <c r="AI53" s="33"/>
      <c r="AJ53" s="33"/>
      <c r="AK53" s="33"/>
    </row>
    <row r="54" spans="1:37">
      <c r="A54" s="28" t="s">
        <v>208</v>
      </c>
      <c r="B54" s="28" t="s">
        <v>270</v>
      </c>
      <c r="C54" s="28" t="s">
        <v>271</v>
      </c>
      <c r="D54" s="35">
        <v>41528</v>
      </c>
      <c r="E54" s="28" t="s">
        <v>288</v>
      </c>
      <c r="F54" s="36">
        <v>0.84992100378000002</v>
      </c>
      <c r="G54" s="36">
        <v>61.890243902439003</v>
      </c>
      <c r="H54" s="37">
        <v>22.1800003052</v>
      </c>
      <c r="I54" s="22">
        <v>1</v>
      </c>
      <c r="J54" s="22">
        <v>0</v>
      </c>
      <c r="K54" s="22">
        <v>0</v>
      </c>
      <c r="L54" s="38"/>
      <c r="M54" s="38"/>
      <c r="N54" s="39"/>
      <c r="O54" s="30"/>
      <c r="R54" s="32"/>
      <c r="S54" s="32"/>
      <c r="U54" s="30"/>
      <c r="V54" s="30"/>
      <c r="W54" s="30"/>
      <c r="X54" s="31">
        <v>0.644856604501578</v>
      </c>
      <c r="Y54" s="32">
        <f t="shared" si="0"/>
        <v>6.44856604501578E-2</v>
      </c>
      <c r="Z54" s="31">
        <v>20.137125716733902</v>
      </c>
      <c r="AA54" s="32">
        <f t="shared" si="1"/>
        <v>2.0137125716733904</v>
      </c>
      <c r="AB54" s="33">
        <v>0.46756540942547697</v>
      </c>
      <c r="AC54" s="33">
        <v>4.6756540942547699E-2</v>
      </c>
      <c r="AD54" s="33">
        <v>20.357699360445402</v>
      </c>
      <c r="AE54" s="33">
        <v>2.0357699360445403</v>
      </c>
      <c r="AF54" s="33"/>
      <c r="AG54" s="33"/>
      <c r="AH54" s="33"/>
      <c r="AI54" s="33"/>
      <c r="AJ54" s="33"/>
      <c r="AK54" s="34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8B7D7D49-A47F-4DDB-BC68-DB74061FD220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FBD529E1-C6D8-4F8D-854C-D4B9972B5D4D}">
      <formula1>"cc/g, mmol/L, mg/L"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31"/>
  <sheetViews>
    <sheetView workbookViewId="0">
      <pane ySplit="3" topLeftCell="A4" activePane="bottomLeft" state="frozen"/>
      <selection pane="bottomLeft" activeCell="A4" sqref="A4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1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44" t="s">
        <v>175</v>
      </c>
      <c r="B1" s="44"/>
      <c r="C1" s="44"/>
      <c r="D1" s="44"/>
      <c r="E1" s="45"/>
      <c r="F1" s="46" t="s">
        <v>289</v>
      </c>
      <c r="G1" s="44"/>
      <c r="H1" s="44"/>
      <c r="I1" s="44"/>
      <c r="J1" s="44"/>
      <c r="K1" s="44"/>
      <c r="L1" s="44"/>
      <c r="M1" s="44"/>
      <c r="N1" s="44"/>
      <c r="O1" s="44"/>
      <c r="P1" s="45"/>
      <c r="Q1" s="46" t="s">
        <v>290</v>
      </c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</row>
    <row r="2" spans="1:36" ht="29.25">
      <c r="A2" s="73" t="s">
        <v>177</v>
      </c>
      <c r="B2" s="73" t="s">
        <v>291</v>
      </c>
      <c r="C2" s="73" t="s">
        <v>179</v>
      </c>
      <c r="D2" s="73" t="s">
        <v>180</v>
      </c>
      <c r="E2" s="71" t="s">
        <v>181</v>
      </c>
      <c r="F2" s="47" t="s">
        <v>292</v>
      </c>
      <c r="G2" s="48" t="s">
        <v>611</v>
      </c>
      <c r="H2" s="48" t="s">
        <v>293</v>
      </c>
      <c r="I2" s="48" t="s">
        <v>609</v>
      </c>
      <c r="J2" s="48" t="s">
        <v>294</v>
      </c>
      <c r="K2" s="48" t="s">
        <v>610</v>
      </c>
      <c r="L2" s="48" t="s">
        <v>80</v>
      </c>
      <c r="M2" s="48" t="s">
        <v>188</v>
      </c>
      <c r="N2" s="48" t="s">
        <v>90</v>
      </c>
      <c r="O2" s="48" t="s">
        <v>189</v>
      </c>
      <c r="P2" s="71" t="s">
        <v>295</v>
      </c>
      <c r="Q2" s="49" t="s">
        <v>151</v>
      </c>
      <c r="R2" s="49" t="s">
        <v>198</v>
      </c>
      <c r="S2" s="49" t="s">
        <v>156</v>
      </c>
      <c r="T2" s="49" t="s">
        <v>296</v>
      </c>
      <c r="U2" s="49" t="s">
        <v>159</v>
      </c>
      <c r="V2" s="49" t="s">
        <v>297</v>
      </c>
      <c r="W2" s="50" t="s">
        <v>163</v>
      </c>
      <c r="X2" s="50" t="s">
        <v>298</v>
      </c>
      <c r="Y2" s="49" t="s">
        <v>168</v>
      </c>
      <c r="Z2" s="49" t="s">
        <v>299</v>
      </c>
      <c r="AA2" s="49"/>
      <c r="AB2" s="49"/>
      <c r="AC2" s="49"/>
      <c r="AD2" s="49"/>
      <c r="AE2" s="49"/>
      <c r="AF2" s="49"/>
      <c r="AG2" s="49"/>
      <c r="AH2" s="49"/>
      <c r="AI2" s="49"/>
      <c r="AJ2" s="49"/>
    </row>
    <row r="3" spans="1:36" ht="27" thickBot="1">
      <c r="A3" s="74"/>
      <c r="B3" s="74"/>
      <c r="C3" s="74"/>
      <c r="D3" s="74"/>
      <c r="E3" s="72"/>
      <c r="F3" s="51" t="s">
        <v>300</v>
      </c>
      <c r="G3" s="52" t="s">
        <v>300</v>
      </c>
      <c r="H3" s="52" t="s">
        <v>301</v>
      </c>
      <c r="I3" s="52" t="s">
        <v>301</v>
      </c>
      <c r="J3" s="52" t="s">
        <v>302</v>
      </c>
      <c r="K3" s="52" t="s">
        <v>302</v>
      </c>
      <c r="L3" s="52" t="s">
        <v>205</v>
      </c>
      <c r="M3" s="52" t="s">
        <v>205</v>
      </c>
      <c r="N3" s="52" t="s">
        <v>205</v>
      </c>
      <c r="O3" s="52" t="s">
        <v>205</v>
      </c>
      <c r="P3" s="72"/>
      <c r="Q3" s="53" t="s">
        <v>303</v>
      </c>
      <c r="R3" s="54"/>
      <c r="S3" s="54" t="s">
        <v>303</v>
      </c>
      <c r="T3" s="54"/>
      <c r="U3" s="54" t="s">
        <v>303</v>
      </c>
      <c r="V3" s="54"/>
      <c r="W3" s="55" t="s">
        <v>304</v>
      </c>
      <c r="X3" s="55"/>
      <c r="Y3" s="54" t="s">
        <v>303</v>
      </c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</row>
    <row r="4" spans="1:36">
      <c r="A4" s="21" t="s">
        <v>305</v>
      </c>
      <c r="B4" s="21" t="s">
        <v>208</v>
      </c>
      <c r="C4" s="21" t="s">
        <v>276</v>
      </c>
      <c r="D4" s="43">
        <v>41526</v>
      </c>
      <c r="E4" s="21" t="s">
        <v>278</v>
      </c>
      <c r="F4" s="2">
        <v>-0.37</v>
      </c>
      <c r="G4" s="21">
        <v>0.1</v>
      </c>
      <c r="H4" s="2">
        <v>-3.25</v>
      </c>
      <c r="I4" s="2">
        <v>1</v>
      </c>
      <c r="J4" s="16"/>
      <c r="K4" s="16"/>
      <c r="L4" s="2">
        <v>5.54E-8</v>
      </c>
      <c r="M4" s="2">
        <v>0</v>
      </c>
      <c r="N4" s="2">
        <v>2.1409999999999999E-7</v>
      </c>
      <c r="O4" s="2">
        <v>2.8000000000000002E-10</v>
      </c>
      <c r="P4" s="43" t="s">
        <v>306</v>
      </c>
      <c r="W4" s="21">
        <v>2.3737420254751074</v>
      </c>
      <c r="X4" s="21">
        <f>0.1*W4</f>
        <v>0.23737420254751074</v>
      </c>
    </row>
    <row r="5" spans="1:36">
      <c r="A5" s="21" t="s">
        <v>305</v>
      </c>
      <c r="B5" s="21" t="s">
        <v>208</v>
      </c>
      <c r="C5" s="21" t="s">
        <v>276</v>
      </c>
      <c r="D5" s="43">
        <v>41526</v>
      </c>
      <c r="E5" s="21" t="s">
        <v>277</v>
      </c>
      <c r="F5" s="2">
        <v>-0.37</v>
      </c>
      <c r="G5" s="21">
        <v>0.1</v>
      </c>
      <c r="H5" s="2">
        <v>-3.25</v>
      </c>
      <c r="I5" s="2">
        <v>1</v>
      </c>
      <c r="J5" s="16"/>
      <c r="K5" s="16"/>
      <c r="L5" s="2">
        <v>5.54E-8</v>
      </c>
      <c r="M5" s="2">
        <v>0</v>
      </c>
      <c r="N5" s="2">
        <v>2.1409999999999999E-7</v>
      </c>
      <c r="O5" s="2">
        <v>2.8000000000000002E-10</v>
      </c>
      <c r="P5" s="43" t="s">
        <v>306</v>
      </c>
      <c r="W5" s="21">
        <v>2.3936342413774474</v>
      </c>
      <c r="X5" s="21">
        <f t="shared" ref="X5:X47" si="0">0.1*W5</f>
        <v>0.23936342413774475</v>
      </c>
    </row>
    <row r="6" spans="1:36">
      <c r="A6" s="21" t="s">
        <v>305</v>
      </c>
      <c r="B6" s="21" t="s">
        <v>208</v>
      </c>
      <c r="C6" s="21" t="s">
        <v>249</v>
      </c>
      <c r="D6" s="43">
        <v>41527</v>
      </c>
      <c r="E6" s="21" t="s">
        <v>250</v>
      </c>
      <c r="F6" s="2">
        <v>-0.71</v>
      </c>
      <c r="G6" s="21">
        <v>0.1</v>
      </c>
      <c r="H6" s="2">
        <v>-91.99</v>
      </c>
      <c r="I6" s="2">
        <v>1</v>
      </c>
      <c r="J6" s="16"/>
      <c r="K6" s="16"/>
      <c r="L6" s="2">
        <v>8.3900000000000004E-7</v>
      </c>
      <c r="M6" s="2">
        <v>1.6000000000000001E-9</v>
      </c>
      <c r="N6" s="2">
        <v>1.8610000000000001E-7</v>
      </c>
      <c r="O6" s="2">
        <v>4.3999999999999998E-10</v>
      </c>
      <c r="P6" s="43" t="s">
        <v>307</v>
      </c>
      <c r="W6" s="21">
        <v>0.86476674170258983</v>
      </c>
      <c r="X6" s="21">
        <f t="shared" si="0"/>
        <v>8.6476674170258991E-2</v>
      </c>
    </row>
    <row r="7" spans="1:36">
      <c r="A7" s="21" t="s">
        <v>305</v>
      </c>
      <c r="B7" s="21" t="s">
        <v>208</v>
      </c>
      <c r="C7" s="21" t="s">
        <v>249</v>
      </c>
      <c r="D7" s="43">
        <v>41527</v>
      </c>
      <c r="E7" s="21" t="s">
        <v>251</v>
      </c>
      <c r="F7" s="2">
        <v>-0.71</v>
      </c>
      <c r="G7" s="21">
        <v>0.1</v>
      </c>
      <c r="H7" s="2">
        <v>-91.99</v>
      </c>
      <c r="I7" s="2">
        <v>1</v>
      </c>
      <c r="J7" s="16"/>
      <c r="K7" s="16"/>
      <c r="L7" s="2">
        <v>8.3900000000000004E-7</v>
      </c>
      <c r="M7" s="2">
        <v>1.6000000000000001E-9</v>
      </c>
      <c r="N7" s="2">
        <v>1.8610000000000001E-7</v>
      </c>
      <c r="O7" s="2">
        <v>4.3999999999999998E-10</v>
      </c>
      <c r="P7" s="43" t="s">
        <v>307</v>
      </c>
      <c r="W7" s="21">
        <v>0.85193690358529872</v>
      </c>
      <c r="X7" s="21">
        <f t="shared" si="0"/>
        <v>8.5193690358529875E-2</v>
      </c>
    </row>
    <row r="8" spans="1:36">
      <c r="A8" s="21" t="s">
        <v>305</v>
      </c>
      <c r="B8" s="21" t="s">
        <v>208</v>
      </c>
      <c r="C8" s="21" t="s">
        <v>261</v>
      </c>
      <c r="D8" s="43">
        <v>41536</v>
      </c>
      <c r="E8" s="21" t="s">
        <v>262</v>
      </c>
      <c r="F8" s="2">
        <v>-0.09</v>
      </c>
      <c r="G8" s="21">
        <v>0.1</v>
      </c>
      <c r="H8" s="2">
        <v>-87.64</v>
      </c>
      <c r="I8" s="2">
        <v>1</v>
      </c>
      <c r="J8" s="16"/>
      <c r="K8" s="16"/>
      <c r="L8" s="2">
        <v>9.64E-7</v>
      </c>
      <c r="M8" s="2">
        <v>4.0000000000000002E-9</v>
      </c>
      <c r="N8" s="2">
        <v>3.643E-7</v>
      </c>
      <c r="O8" s="2">
        <v>4.6000000000000001E-10</v>
      </c>
      <c r="P8" s="43" t="s">
        <v>308</v>
      </c>
      <c r="W8" s="21">
        <v>1.6324784479363939</v>
      </c>
      <c r="X8" s="21">
        <f t="shared" si="0"/>
        <v>0.16324784479363941</v>
      </c>
    </row>
    <row r="9" spans="1:36">
      <c r="A9" s="21" t="s">
        <v>305</v>
      </c>
      <c r="B9" s="21" t="s">
        <v>208</v>
      </c>
      <c r="C9" s="21" t="s">
        <v>261</v>
      </c>
      <c r="D9" s="43">
        <v>41536</v>
      </c>
      <c r="E9" s="21" t="s">
        <v>309</v>
      </c>
      <c r="F9" s="2">
        <v>-0.09</v>
      </c>
      <c r="G9" s="21">
        <v>0.1</v>
      </c>
      <c r="H9" s="2">
        <v>-87.64</v>
      </c>
      <c r="I9" s="2">
        <v>1</v>
      </c>
      <c r="J9" s="16"/>
      <c r="K9" s="16"/>
      <c r="L9" s="2">
        <v>9.64E-7</v>
      </c>
      <c r="M9" s="2">
        <v>4.0000000000000002E-9</v>
      </c>
      <c r="N9" s="2">
        <v>3.643E-7</v>
      </c>
      <c r="O9" s="2">
        <v>4.6000000000000001E-10</v>
      </c>
      <c r="P9" s="43" t="s">
        <v>308</v>
      </c>
      <c r="W9" s="21">
        <v>1.5600053509618861</v>
      </c>
      <c r="X9" s="21">
        <f t="shared" si="0"/>
        <v>0.15600053509618861</v>
      </c>
    </row>
    <row r="10" spans="1:36">
      <c r="A10" s="21" t="s">
        <v>305</v>
      </c>
      <c r="B10" s="21" t="s">
        <v>208</v>
      </c>
      <c r="C10" s="21" t="s">
        <v>252</v>
      </c>
      <c r="D10" s="43">
        <v>41535</v>
      </c>
      <c r="E10" s="21" t="s">
        <v>254</v>
      </c>
      <c r="F10" s="2">
        <v>-0.47</v>
      </c>
      <c r="G10" s="21">
        <v>0.1</v>
      </c>
      <c r="J10" s="16">
        <v>4.1910554764803102E-8</v>
      </c>
      <c r="K10" s="2">
        <v>1.384E-8</v>
      </c>
      <c r="L10" s="16">
        <v>4.3878127256654503E-6</v>
      </c>
      <c r="M10" s="16">
        <v>4.3878127256654499E-8</v>
      </c>
      <c r="N10" s="16">
        <v>2.3972945070369301E-7</v>
      </c>
      <c r="O10" s="16">
        <v>3.59594176055539E-9</v>
      </c>
      <c r="P10" s="43" t="s">
        <v>310</v>
      </c>
      <c r="W10" s="21">
        <v>0.13071024793911729</v>
      </c>
      <c r="X10" s="21">
        <f t="shared" si="0"/>
        <v>1.3071024793911729E-2</v>
      </c>
    </row>
    <row r="11" spans="1:36">
      <c r="A11" s="21" t="s">
        <v>305</v>
      </c>
      <c r="B11" s="21" t="s">
        <v>208</v>
      </c>
      <c r="C11" s="21" t="s">
        <v>252</v>
      </c>
      <c r="D11" s="43">
        <v>41535</v>
      </c>
      <c r="E11" s="21" t="s">
        <v>253</v>
      </c>
      <c r="F11" s="2">
        <v>-0.47</v>
      </c>
      <c r="G11" s="21">
        <v>0.1</v>
      </c>
      <c r="J11" s="16">
        <v>4.1910554764803102E-8</v>
      </c>
      <c r="K11" s="2">
        <v>1.384E-8</v>
      </c>
      <c r="L11" s="16">
        <v>4.3878127256654503E-6</v>
      </c>
      <c r="M11" s="16">
        <v>4.3878127256654499E-8</v>
      </c>
      <c r="N11" s="16">
        <v>2.3972945070369301E-7</v>
      </c>
      <c r="O11" s="16">
        <v>3.59594176055539E-9</v>
      </c>
      <c r="P11" s="43" t="s">
        <v>310</v>
      </c>
      <c r="W11" s="21">
        <v>0.11061677449154142</v>
      </c>
      <c r="X11" s="21">
        <f t="shared" si="0"/>
        <v>1.1061677449154143E-2</v>
      </c>
    </row>
    <row r="12" spans="1:36">
      <c r="A12" s="21" t="s">
        <v>305</v>
      </c>
      <c r="B12" s="21" t="s">
        <v>208</v>
      </c>
      <c r="C12" s="21" t="s">
        <v>241</v>
      </c>
      <c r="D12" s="43">
        <v>41534</v>
      </c>
      <c r="E12" s="21" t="s">
        <v>243</v>
      </c>
      <c r="F12" s="2">
        <v>8.8800000000000008</v>
      </c>
      <c r="G12" s="21">
        <v>0.1</v>
      </c>
      <c r="H12" s="2">
        <v>-71.95</v>
      </c>
      <c r="I12" s="2">
        <v>1</v>
      </c>
      <c r="J12" s="16"/>
      <c r="K12" s="16"/>
      <c r="L12" s="2">
        <v>1.8760000000000001E-7</v>
      </c>
      <c r="M12" s="2">
        <v>1E-10</v>
      </c>
      <c r="N12" s="2">
        <v>1.9850000000000001E-7</v>
      </c>
      <c r="O12" s="2">
        <v>4.6000000000000001E-10</v>
      </c>
      <c r="P12" s="43" t="s">
        <v>307</v>
      </c>
      <c r="W12" s="21">
        <v>3.4639886161398445</v>
      </c>
      <c r="X12" s="21">
        <f t="shared" si="0"/>
        <v>0.34639886161398448</v>
      </c>
    </row>
    <row r="13" spans="1:36">
      <c r="A13" s="21" t="s">
        <v>305</v>
      </c>
      <c r="B13" s="21" t="s">
        <v>208</v>
      </c>
      <c r="C13" s="21" t="s">
        <v>241</v>
      </c>
      <c r="D13" s="43">
        <v>41534</v>
      </c>
      <c r="E13" s="21" t="s">
        <v>242</v>
      </c>
      <c r="F13" s="2">
        <v>8.8800000000000008</v>
      </c>
      <c r="G13" s="21">
        <v>0.1</v>
      </c>
      <c r="H13" s="2">
        <v>-71.95</v>
      </c>
      <c r="I13" s="2">
        <v>1</v>
      </c>
      <c r="J13" s="16"/>
      <c r="K13" s="16"/>
      <c r="L13" s="2">
        <v>1.8760000000000001E-7</v>
      </c>
      <c r="M13" s="2">
        <v>1E-10</v>
      </c>
      <c r="N13" s="2">
        <v>1.9850000000000001E-7</v>
      </c>
      <c r="O13" s="2">
        <v>4.6000000000000001E-10</v>
      </c>
      <c r="P13" s="43" t="s">
        <v>307</v>
      </c>
      <c r="W13" s="21">
        <v>5.1474505111265163</v>
      </c>
      <c r="X13" s="21">
        <f t="shared" si="0"/>
        <v>0.51474505111265167</v>
      </c>
    </row>
    <row r="14" spans="1:36">
      <c r="A14" s="21" t="s">
        <v>305</v>
      </c>
      <c r="B14" s="21" t="s">
        <v>208</v>
      </c>
      <c r="C14" s="21" t="s">
        <v>244</v>
      </c>
      <c r="D14" s="43">
        <v>41533</v>
      </c>
      <c r="E14" s="21" t="s">
        <v>246</v>
      </c>
      <c r="F14" s="2">
        <v>0.11</v>
      </c>
      <c r="G14" s="21">
        <v>0.1</v>
      </c>
      <c r="H14" s="2">
        <v>-90.56</v>
      </c>
      <c r="I14" s="2">
        <v>1</v>
      </c>
      <c r="J14" s="16"/>
      <c r="K14" s="16"/>
      <c r="L14" s="2">
        <v>8.1760000000000002E-7</v>
      </c>
      <c r="M14" s="2">
        <v>1.3999999999999999E-9</v>
      </c>
      <c r="N14" s="2">
        <v>2.096E-7</v>
      </c>
      <c r="O14" s="2">
        <v>5.0000000000000003E-10</v>
      </c>
      <c r="P14" s="43" t="s">
        <v>311</v>
      </c>
      <c r="W14" s="21">
        <v>2.3679652994559452</v>
      </c>
      <c r="X14" s="21">
        <f t="shared" si="0"/>
        <v>0.23679652994559452</v>
      </c>
    </row>
    <row r="15" spans="1:36">
      <c r="A15" s="21" t="s">
        <v>305</v>
      </c>
      <c r="B15" s="21" t="s">
        <v>208</v>
      </c>
      <c r="C15" s="21" t="s">
        <v>244</v>
      </c>
      <c r="D15" s="43">
        <v>41533</v>
      </c>
      <c r="E15" s="21" t="s">
        <v>245</v>
      </c>
      <c r="F15" s="2">
        <v>0.11</v>
      </c>
      <c r="G15" s="21">
        <v>0.1</v>
      </c>
      <c r="H15" s="2">
        <v>-90.56</v>
      </c>
      <c r="I15" s="2">
        <v>1</v>
      </c>
      <c r="J15" s="16"/>
      <c r="K15" s="16"/>
      <c r="L15" s="2">
        <v>8.1760000000000002E-7</v>
      </c>
      <c r="M15" s="2">
        <v>1.3999999999999999E-9</v>
      </c>
      <c r="N15" s="2">
        <v>2.096E-7</v>
      </c>
      <c r="O15" s="2">
        <v>5.0000000000000003E-10</v>
      </c>
      <c r="P15" s="43" t="s">
        <v>311</v>
      </c>
      <c r="W15" s="21">
        <v>2.5096509394083082</v>
      </c>
      <c r="X15" s="21">
        <f t="shared" si="0"/>
        <v>0.25096509394083083</v>
      </c>
    </row>
    <row r="16" spans="1:36">
      <c r="A16" s="21" t="s">
        <v>305</v>
      </c>
      <c r="B16" s="21" t="s">
        <v>208</v>
      </c>
      <c r="C16" s="21" t="s">
        <v>271</v>
      </c>
      <c r="D16" s="43">
        <v>41528</v>
      </c>
      <c r="E16" s="21" t="s">
        <v>288</v>
      </c>
      <c r="F16" s="2">
        <v>-0.62</v>
      </c>
      <c r="G16" s="21">
        <v>0.1</v>
      </c>
      <c r="J16" s="16"/>
      <c r="K16" s="16"/>
      <c r="L16" s="16"/>
      <c r="M16" s="16"/>
      <c r="N16" s="16"/>
      <c r="O16" s="16"/>
      <c r="W16" s="21">
        <v>2.543228613015001</v>
      </c>
      <c r="X16" s="21">
        <f t="shared" si="0"/>
        <v>0.25432286130150011</v>
      </c>
    </row>
    <row r="17" spans="1:24">
      <c r="A17" s="21" t="s">
        <v>305</v>
      </c>
      <c r="B17" s="21" t="s">
        <v>208</v>
      </c>
      <c r="C17" s="21" t="s">
        <v>271</v>
      </c>
      <c r="D17" s="43">
        <v>41528</v>
      </c>
      <c r="E17" s="21" t="s">
        <v>272</v>
      </c>
      <c r="F17" s="2">
        <v>-0.62</v>
      </c>
      <c r="G17" s="21">
        <v>0.1</v>
      </c>
      <c r="J17" s="16"/>
      <c r="K17" s="16"/>
      <c r="L17" s="16"/>
      <c r="M17" s="16"/>
      <c r="N17" s="16"/>
      <c r="O17" s="16"/>
      <c r="W17" s="21">
        <v>2.2877061791423161</v>
      </c>
      <c r="X17" s="21">
        <f t="shared" si="0"/>
        <v>0.22877061791423162</v>
      </c>
    </row>
    <row r="18" spans="1:24">
      <c r="A18" s="21" t="s">
        <v>305</v>
      </c>
      <c r="B18" s="21" t="s">
        <v>208</v>
      </c>
      <c r="C18" s="21" t="s">
        <v>255</v>
      </c>
      <c r="D18" s="43">
        <v>41514</v>
      </c>
      <c r="E18" s="21" t="s">
        <v>257</v>
      </c>
      <c r="F18" s="2">
        <v>-0.17</v>
      </c>
      <c r="G18" s="21">
        <v>0.1</v>
      </c>
      <c r="H18" s="2">
        <v>-91.76</v>
      </c>
      <c r="I18" s="2">
        <v>1</v>
      </c>
      <c r="J18" s="16"/>
      <c r="K18" s="16"/>
      <c r="L18" s="2">
        <v>1.0220999999999999E-6</v>
      </c>
      <c r="M18" s="2">
        <v>3.2000000000000001E-9</v>
      </c>
      <c r="N18" s="2">
        <v>2.4130000000000002E-7</v>
      </c>
      <c r="O18" s="2">
        <v>4.8259999999999997E-8</v>
      </c>
      <c r="P18" s="43" t="s">
        <v>311</v>
      </c>
      <c r="W18" s="21">
        <v>0.21146383437710498</v>
      </c>
      <c r="X18" s="21">
        <f t="shared" si="0"/>
        <v>2.1146383437710498E-2</v>
      </c>
    </row>
    <row r="19" spans="1:24">
      <c r="A19" s="21" t="s">
        <v>305</v>
      </c>
      <c r="B19" s="21" t="s">
        <v>208</v>
      </c>
      <c r="C19" s="21" t="s">
        <v>255</v>
      </c>
      <c r="D19" s="43">
        <v>41514</v>
      </c>
      <c r="E19" s="21" t="s">
        <v>256</v>
      </c>
      <c r="F19" s="2">
        <v>-0.17</v>
      </c>
      <c r="G19" s="21">
        <v>0.1</v>
      </c>
      <c r="H19" s="2">
        <v>-91.76</v>
      </c>
      <c r="I19" s="2">
        <v>1</v>
      </c>
      <c r="J19" s="16"/>
      <c r="K19" s="16"/>
      <c r="L19" s="2">
        <v>1.0220999999999999E-6</v>
      </c>
      <c r="M19" s="2">
        <v>3.2000000000000001E-9</v>
      </c>
      <c r="N19" s="2">
        <v>2.4130000000000002E-7</v>
      </c>
      <c r="O19" s="2">
        <v>4.8259999999999997E-8</v>
      </c>
      <c r="P19" s="43" t="s">
        <v>311</v>
      </c>
      <c r="W19" s="21">
        <v>1.5163406185430746</v>
      </c>
      <c r="X19" s="21">
        <f t="shared" si="0"/>
        <v>0.15163406185430747</v>
      </c>
    </row>
    <row r="20" spans="1:24">
      <c r="A20" s="21" t="s">
        <v>305</v>
      </c>
      <c r="B20" s="21" t="s">
        <v>208</v>
      </c>
      <c r="C20" s="21" t="s">
        <v>266</v>
      </c>
      <c r="D20" s="43">
        <v>41529</v>
      </c>
      <c r="E20" s="21" t="s">
        <v>268</v>
      </c>
      <c r="F20" s="2">
        <v>-0.36</v>
      </c>
      <c r="G20" s="21">
        <v>0.1</v>
      </c>
      <c r="J20" s="16"/>
      <c r="K20" s="16"/>
      <c r="L20" s="16"/>
      <c r="M20" s="16"/>
      <c r="N20" s="16"/>
      <c r="O20" s="16"/>
      <c r="W20" s="21">
        <v>0.61280381462471056</v>
      </c>
      <c r="X20" s="21">
        <f t="shared" si="0"/>
        <v>6.1280381462471056E-2</v>
      </c>
    </row>
    <row r="21" spans="1:24">
      <c r="A21" s="21" t="s">
        <v>305</v>
      </c>
      <c r="B21" s="21" t="s">
        <v>208</v>
      </c>
      <c r="C21" s="21" t="s">
        <v>266</v>
      </c>
      <c r="D21" s="43">
        <v>41529</v>
      </c>
      <c r="E21" s="21" t="s">
        <v>267</v>
      </c>
      <c r="F21" s="2">
        <v>-0.36</v>
      </c>
      <c r="G21" s="21">
        <v>0.1</v>
      </c>
      <c r="J21" s="16"/>
      <c r="K21" s="16"/>
      <c r="L21" s="16"/>
      <c r="M21" s="16"/>
      <c r="N21" s="16"/>
      <c r="O21" s="16"/>
      <c r="W21" s="21">
        <v>0.58491000684853989</v>
      </c>
      <c r="X21" s="21">
        <f t="shared" si="0"/>
        <v>5.8491000684853994E-2</v>
      </c>
    </row>
    <row r="22" spans="1:24">
      <c r="A22" s="21" t="s">
        <v>305</v>
      </c>
      <c r="B22" s="21" t="s">
        <v>208</v>
      </c>
      <c r="C22" s="21" t="s">
        <v>273</v>
      </c>
      <c r="D22" s="43">
        <v>41513</v>
      </c>
      <c r="E22" s="21" t="s">
        <v>275</v>
      </c>
      <c r="F22" s="2">
        <v>0.13</v>
      </c>
      <c r="G22" s="21">
        <v>0.1</v>
      </c>
      <c r="J22" s="16"/>
      <c r="K22" s="16"/>
      <c r="L22" s="16"/>
      <c r="M22" s="16"/>
      <c r="N22" s="16"/>
      <c r="O22" s="16"/>
      <c r="W22" s="21">
        <v>0.84600511748290341</v>
      </c>
      <c r="X22" s="21">
        <f t="shared" si="0"/>
        <v>8.460051174829035E-2</v>
      </c>
    </row>
    <row r="23" spans="1:24">
      <c r="A23" s="21" t="s">
        <v>305</v>
      </c>
      <c r="B23" s="21" t="s">
        <v>208</v>
      </c>
      <c r="C23" s="21" t="s">
        <v>273</v>
      </c>
      <c r="D23" s="43">
        <v>41513</v>
      </c>
      <c r="E23" s="21" t="s">
        <v>274</v>
      </c>
      <c r="F23" s="2">
        <v>0.13</v>
      </c>
      <c r="G23" s="21">
        <v>0.1</v>
      </c>
      <c r="J23" s="16"/>
      <c r="K23" s="16"/>
      <c r="L23" s="16"/>
      <c r="M23" s="16"/>
      <c r="N23" s="16"/>
      <c r="O23" s="16"/>
      <c r="W23" s="21">
        <v>0.83051500354911356</v>
      </c>
      <c r="X23" s="21">
        <f t="shared" si="0"/>
        <v>8.3051500354911365E-2</v>
      </c>
    </row>
    <row r="24" spans="1:24">
      <c r="A24" s="21" t="s">
        <v>305</v>
      </c>
      <c r="B24" s="21" t="s">
        <v>208</v>
      </c>
      <c r="C24" s="21" t="s">
        <v>282</v>
      </c>
      <c r="D24" s="43">
        <v>41494</v>
      </c>
      <c r="E24" s="21" t="s">
        <v>284</v>
      </c>
      <c r="F24" s="2">
        <v>-0.31</v>
      </c>
      <c r="G24" s="21">
        <v>0.1</v>
      </c>
      <c r="H24" s="2">
        <v>-56.47</v>
      </c>
      <c r="I24" s="2">
        <v>1</v>
      </c>
      <c r="J24" s="16"/>
      <c r="K24" s="16"/>
      <c r="L24" s="2">
        <v>1.2739999999999999E-7</v>
      </c>
      <c r="M24" s="2">
        <v>1E-10</v>
      </c>
      <c r="N24" s="2">
        <v>2.3440000000000001E-7</v>
      </c>
      <c r="O24" s="2">
        <v>2.8000000000000002E-10</v>
      </c>
      <c r="P24" s="43" t="s">
        <v>312</v>
      </c>
      <c r="W24" s="21">
        <v>0.39405775067591364</v>
      </c>
      <c r="X24" s="21">
        <f t="shared" si="0"/>
        <v>3.9405775067591367E-2</v>
      </c>
    </row>
    <row r="25" spans="1:24">
      <c r="A25" s="21" t="s">
        <v>305</v>
      </c>
      <c r="B25" s="21" t="s">
        <v>208</v>
      </c>
      <c r="C25" s="21" t="s">
        <v>282</v>
      </c>
      <c r="D25" s="43">
        <v>41494</v>
      </c>
      <c r="E25" s="21" t="s">
        <v>283</v>
      </c>
      <c r="F25" s="2">
        <v>-0.31</v>
      </c>
      <c r="G25" s="21">
        <v>0.1</v>
      </c>
      <c r="H25" s="2">
        <v>-56.47</v>
      </c>
      <c r="I25" s="2">
        <v>1</v>
      </c>
      <c r="J25" s="16"/>
      <c r="K25" s="16"/>
      <c r="L25" s="2">
        <v>1.2739999999999999E-7</v>
      </c>
      <c r="M25" s="2">
        <v>1E-10</v>
      </c>
      <c r="N25" s="2">
        <v>2.3440000000000001E-7</v>
      </c>
      <c r="O25" s="2">
        <v>2.8000000000000002E-10</v>
      </c>
      <c r="P25" s="43" t="s">
        <v>312</v>
      </c>
      <c r="W25" s="21">
        <v>0.33362393591759865</v>
      </c>
      <c r="X25" s="21">
        <f t="shared" si="0"/>
        <v>3.3362393591759867E-2</v>
      </c>
    </row>
    <row r="26" spans="1:24">
      <c r="A26" s="21" t="s">
        <v>305</v>
      </c>
      <c r="B26" s="21" t="s">
        <v>208</v>
      </c>
      <c r="C26" s="21" t="s">
        <v>247</v>
      </c>
      <c r="D26" s="43">
        <v>41512</v>
      </c>
      <c r="E26" s="21" t="s">
        <v>269</v>
      </c>
      <c r="F26" s="2">
        <v>-0.06</v>
      </c>
      <c r="G26" s="21">
        <v>0.1</v>
      </c>
      <c r="J26" s="16"/>
      <c r="K26" s="16"/>
      <c r="L26" s="16"/>
      <c r="M26" s="16"/>
      <c r="N26" s="16"/>
      <c r="O26" s="16"/>
      <c r="W26" s="21">
        <v>0.46007576726065053</v>
      </c>
      <c r="X26" s="21">
        <f t="shared" si="0"/>
        <v>4.6007576726065057E-2</v>
      </c>
    </row>
    <row r="27" spans="1:24">
      <c r="A27" s="21" t="s">
        <v>305</v>
      </c>
      <c r="B27" s="21" t="s">
        <v>208</v>
      </c>
      <c r="C27" s="21" t="s">
        <v>225</v>
      </c>
      <c r="D27" s="43">
        <v>41541</v>
      </c>
      <c r="E27" s="21" t="s">
        <v>227</v>
      </c>
      <c r="F27" s="2">
        <v>-0.22</v>
      </c>
      <c r="G27" s="21">
        <v>0.1</v>
      </c>
      <c r="J27" s="16">
        <v>4.5101277117751E-8</v>
      </c>
      <c r="K27" s="2">
        <v>1.384E-8</v>
      </c>
      <c r="L27" s="16">
        <v>4.4477003383180896E-6</v>
      </c>
      <c r="M27" s="16">
        <v>4.4477003383180903E-8</v>
      </c>
      <c r="N27" s="16">
        <v>2.5373849131212002E-7</v>
      </c>
      <c r="O27" s="16">
        <v>3.8060773696818E-9</v>
      </c>
      <c r="P27" s="43" t="s">
        <v>313</v>
      </c>
      <c r="W27" s="21">
        <v>0.14840705965873327</v>
      </c>
      <c r="X27" s="21">
        <f t="shared" si="0"/>
        <v>1.4840705965873328E-2</v>
      </c>
    </row>
    <row r="28" spans="1:24">
      <c r="A28" s="21" t="s">
        <v>305</v>
      </c>
      <c r="B28" s="21" t="s">
        <v>208</v>
      </c>
      <c r="C28" s="21" t="s">
        <v>225</v>
      </c>
      <c r="D28" s="43">
        <v>41541</v>
      </c>
      <c r="E28" s="21" t="s">
        <v>226</v>
      </c>
      <c r="F28" s="2">
        <v>-0.22</v>
      </c>
      <c r="G28" s="21">
        <v>0.1</v>
      </c>
      <c r="J28" s="16">
        <v>4.5101277117751E-8</v>
      </c>
      <c r="K28" s="2">
        <v>1.384E-8</v>
      </c>
      <c r="L28" s="16">
        <v>4.4477003383180896E-6</v>
      </c>
      <c r="M28" s="16">
        <v>4.4477003383180903E-8</v>
      </c>
      <c r="N28" s="16">
        <v>2.5373849131212002E-7</v>
      </c>
      <c r="O28" s="16">
        <v>3.8060773696818E-9</v>
      </c>
      <c r="P28" s="43" t="s">
        <v>313</v>
      </c>
      <c r="W28" s="21">
        <v>0.15118975408655308</v>
      </c>
      <c r="X28" s="21">
        <f t="shared" si="0"/>
        <v>1.5118975408655309E-2</v>
      </c>
    </row>
    <row r="29" spans="1:24">
      <c r="A29" s="21" t="s">
        <v>305</v>
      </c>
      <c r="B29" s="21" t="s">
        <v>208</v>
      </c>
      <c r="C29" s="21" t="s">
        <v>222</v>
      </c>
      <c r="D29" s="43">
        <v>41541</v>
      </c>
      <c r="E29" s="21" t="s">
        <v>223</v>
      </c>
      <c r="F29" s="2">
        <v>0.06</v>
      </c>
      <c r="G29" s="21">
        <v>0.1</v>
      </c>
      <c r="J29" s="16">
        <v>6.6790404693956095E-8</v>
      </c>
      <c r="K29" s="2">
        <v>1.384E-8</v>
      </c>
      <c r="L29" s="16">
        <v>1.9146646739520499E-6</v>
      </c>
      <c r="M29" s="16">
        <v>1.91466467395205E-8</v>
      </c>
      <c r="N29" s="16">
        <v>2.49842150704935E-7</v>
      </c>
      <c r="O29" s="16">
        <v>3.7476322605740302E-9</v>
      </c>
      <c r="P29" s="43" t="s">
        <v>310</v>
      </c>
      <c r="W29" s="21">
        <v>0.26633935680232101</v>
      </c>
      <c r="X29" s="21">
        <f t="shared" si="0"/>
        <v>2.6633935680232104E-2</v>
      </c>
    </row>
    <row r="30" spans="1:24">
      <c r="A30" s="21" t="s">
        <v>305</v>
      </c>
      <c r="B30" s="21" t="s">
        <v>208</v>
      </c>
      <c r="C30" s="21" t="s">
        <v>222</v>
      </c>
      <c r="D30" s="43">
        <v>41541</v>
      </c>
      <c r="E30" s="21" t="s">
        <v>224</v>
      </c>
      <c r="F30" s="2">
        <v>0.06</v>
      </c>
      <c r="G30" s="21">
        <v>0.1</v>
      </c>
      <c r="J30" s="16">
        <v>6.6790404693956095E-8</v>
      </c>
      <c r="K30" s="2">
        <v>1.384E-8</v>
      </c>
      <c r="L30" s="16">
        <v>1.9146646739520499E-6</v>
      </c>
      <c r="M30" s="16">
        <v>1.91466467395205E-8</v>
      </c>
      <c r="N30" s="16">
        <v>2.49842150704935E-7</v>
      </c>
      <c r="O30" s="16">
        <v>3.7476322605740302E-9</v>
      </c>
      <c r="P30" s="43" t="s">
        <v>310</v>
      </c>
      <c r="W30" s="21">
        <v>0.23460878655163234</v>
      </c>
      <c r="X30" s="21">
        <f t="shared" si="0"/>
        <v>2.3460878655163234E-2</v>
      </c>
    </row>
    <row r="31" spans="1:24">
      <c r="A31" s="21" t="s">
        <v>305</v>
      </c>
      <c r="B31" s="21" t="s">
        <v>208</v>
      </c>
      <c r="C31" s="21" t="s">
        <v>279</v>
      </c>
      <c r="D31" s="43">
        <v>41492</v>
      </c>
      <c r="E31" s="21" t="s">
        <v>280</v>
      </c>
      <c r="F31" s="2">
        <v>-0.09</v>
      </c>
      <c r="G31" s="21">
        <v>0.1</v>
      </c>
      <c r="H31" s="2">
        <v>-61.39</v>
      </c>
      <c r="I31" s="2">
        <v>1</v>
      </c>
      <c r="J31" s="16"/>
      <c r="K31" s="16"/>
      <c r="L31" s="2">
        <v>1.5160000000000001E-7</v>
      </c>
      <c r="M31" s="2">
        <v>1E-10</v>
      </c>
      <c r="N31" s="2">
        <v>2.252E-7</v>
      </c>
      <c r="O31" s="2">
        <v>2.8000000000000002E-10</v>
      </c>
      <c r="P31" s="43" t="s">
        <v>306</v>
      </c>
      <c r="W31" s="21">
        <v>0.13923560872019394</v>
      </c>
      <c r="X31" s="21">
        <f t="shared" si="0"/>
        <v>1.3923560872019396E-2</v>
      </c>
    </row>
    <row r="32" spans="1:24">
      <c r="A32" s="21" t="s">
        <v>305</v>
      </c>
      <c r="B32" s="21" t="s">
        <v>208</v>
      </c>
      <c r="C32" s="21" t="s">
        <v>279</v>
      </c>
      <c r="D32" s="43">
        <v>41492</v>
      </c>
      <c r="E32" s="21" t="s">
        <v>281</v>
      </c>
      <c r="F32" s="2">
        <v>-0.09</v>
      </c>
      <c r="G32" s="21">
        <v>0.1</v>
      </c>
      <c r="H32" s="2">
        <v>-61.39</v>
      </c>
      <c r="I32" s="2">
        <v>1</v>
      </c>
      <c r="J32" s="16"/>
      <c r="K32" s="16"/>
      <c r="L32" s="2">
        <v>1.5160000000000001E-7</v>
      </c>
      <c r="M32" s="2">
        <v>1E-10</v>
      </c>
      <c r="N32" s="2">
        <v>2.252E-7</v>
      </c>
      <c r="O32" s="2">
        <v>2.8000000000000002E-10</v>
      </c>
      <c r="P32" s="43" t="s">
        <v>306</v>
      </c>
      <c r="W32" s="21">
        <v>0.47264080919931117</v>
      </c>
      <c r="X32" s="21">
        <f t="shared" si="0"/>
        <v>4.7264080919931117E-2</v>
      </c>
    </row>
    <row r="33" spans="1:24">
      <c r="A33" s="21" t="s">
        <v>305</v>
      </c>
      <c r="B33" s="21" t="s">
        <v>208</v>
      </c>
      <c r="C33" s="21" t="s">
        <v>285</v>
      </c>
      <c r="D33" s="43">
        <v>41500</v>
      </c>
      <c r="E33" s="21" t="s">
        <v>286</v>
      </c>
      <c r="F33" s="2">
        <v>0.02</v>
      </c>
      <c r="G33" s="21">
        <v>0.1</v>
      </c>
      <c r="J33" s="16">
        <v>3.3408718239223903E-8</v>
      </c>
      <c r="K33" s="2">
        <v>1.384E-8</v>
      </c>
      <c r="L33" s="16">
        <v>7.2802601683677401E-6</v>
      </c>
      <c r="M33" s="16">
        <v>7.2802601683677404E-8</v>
      </c>
      <c r="N33" s="16">
        <v>2.9755819573653701E-7</v>
      </c>
      <c r="O33" s="16">
        <v>4.4633729360480602E-9</v>
      </c>
      <c r="P33" s="43" t="s">
        <v>313</v>
      </c>
      <c r="W33" s="21">
        <v>0.68968053018385311</v>
      </c>
      <c r="X33" s="21">
        <f t="shared" si="0"/>
        <v>6.8968053018385309E-2</v>
      </c>
    </row>
    <row r="34" spans="1:24">
      <c r="A34" s="21" t="s">
        <v>305</v>
      </c>
      <c r="B34" s="21" t="s">
        <v>208</v>
      </c>
      <c r="C34" s="21" t="s">
        <v>285</v>
      </c>
      <c r="D34" s="43">
        <v>41500</v>
      </c>
      <c r="E34" s="21" t="s">
        <v>287</v>
      </c>
      <c r="F34" s="2">
        <v>0.02</v>
      </c>
      <c r="G34" s="21">
        <v>0.1</v>
      </c>
      <c r="J34" s="16">
        <v>3.3408718239223903E-8</v>
      </c>
      <c r="K34" s="2">
        <v>1.384E-8</v>
      </c>
      <c r="L34" s="16">
        <v>7.2802601683677401E-6</v>
      </c>
      <c r="M34" s="16">
        <v>7.2802601683677404E-8</v>
      </c>
      <c r="N34" s="16">
        <v>2.9755819573653701E-7</v>
      </c>
      <c r="O34" s="16">
        <v>4.4633729360480602E-9</v>
      </c>
      <c r="P34" s="43" t="s">
        <v>313</v>
      </c>
      <c r="W34" s="21">
        <v>0.62043543838422777</v>
      </c>
      <c r="X34" s="21">
        <f t="shared" si="0"/>
        <v>6.2043543838422782E-2</v>
      </c>
    </row>
    <row r="35" spans="1:24">
      <c r="A35" s="21" t="s">
        <v>305</v>
      </c>
      <c r="B35" s="21" t="s">
        <v>208</v>
      </c>
      <c r="C35" s="21" t="s">
        <v>213</v>
      </c>
      <c r="D35" s="43">
        <v>41508</v>
      </c>
      <c r="E35" s="21" t="s">
        <v>214</v>
      </c>
      <c r="F35" s="2">
        <v>-0.06</v>
      </c>
      <c r="G35" s="21">
        <v>0.1</v>
      </c>
      <c r="H35" s="2">
        <v>-80.12</v>
      </c>
      <c r="I35" s="2">
        <v>1</v>
      </c>
      <c r="J35" s="16"/>
      <c r="K35" s="16"/>
      <c r="L35" s="2">
        <v>4.3230000000000003E-7</v>
      </c>
      <c r="M35" s="2">
        <v>3E-10</v>
      </c>
      <c r="N35" s="2">
        <v>2.0840000000000001E-7</v>
      </c>
      <c r="O35" s="2">
        <v>4.8E-10</v>
      </c>
      <c r="P35" s="43" t="s">
        <v>307</v>
      </c>
      <c r="W35" s="21">
        <v>0.22683903285595164</v>
      </c>
      <c r="X35" s="21">
        <f t="shared" si="0"/>
        <v>2.2683903285595164E-2</v>
      </c>
    </row>
    <row r="36" spans="1:24">
      <c r="A36" s="21" t="s">
        <v>305</v>
      </c>
      <c r="B36" s="21" t="s">
        <v>208</v>
      </c>
      <c r="C36" s="21" t="s">
        <v>219</v>
      </c>
      <c r="D36" s="43">
        <v>41540</v>
      </c>
      <c r="E36" s="21" t="s">
        <v>220</v>
      </c>
      <c r="F36" s="2">
        <v>0.12</v>
      </c>
      <c r="G36" s="21">
        <v>0.1</v>
      </c>
      <c r="H36" s="2">
        <v>-85.11</v>
      </c>
      <c r="I36" s="2">
        <v>1</v>
      </c>
      <c r="J36" s="16"/>
      <c r="K36" s="16"/>
      <c r="L36" s="2">
        <v>9.1480000000000001E-7</v>
      </c>
      <c r="M36" s="2">
        <v>3.3000000000000002E-9</v>
      </c>
      <c r="N36" s="2">
        <v>2.4400000000000001E-7</v>
      </c>
      <c r="O36" s="2">
        <v>3.1999999999999998E-10</v>
      </c>
      <c r="P36" s="43" t="s">
        <v>308</v>
      </c>
      <c r="W36" s="21">
        <v>0.11976865895868338</v>
      </c>
      <c r="X36" s="21">
        <f t="shared" si="0"/>
        <v>1.1976865895868339E-2</v>
      </c>
    </row>
    <row r="37" spans="1:24">
      <c r="A37" s="21" t="s">
        <v>305</v>
      </c>
      <c r="B37" s="21" t="s">
        <v>208</v>
      </c>
      <c r="C37" s="21" t="s">
        <v>219</v>
      </c>
      <c r="D37" s="43">
        <v>41540</v>
      </c>
      <c r="E37" s="21" t="s">
        <v>221</v>
      </c>
      <c r="F37" s="2">
        <v>0.12</v>
      </c>
      <c r="G37" s="21">
        <v>0.1</v>
      </c>
      <c r="H37" s="2">
        <v>-85.11</v>
      </c>
      <c r="I37" s="2">
        <v>1</v>
      </c>
      <c r="J37" s="16"/>
      <c r="K37" s="16"/>
      <c r="L37" s="2">
        <v>9.1480000000000001E-7</v>
      </c>
      <c r="M37" s="2">
        <v>3.3000000000000002E-9</v>
      </c>
      <c r="N37" s="2">
        <v>2.4400000000000001E-7</v>
      </c>
      <c r="O37" s="2">
        <v>3.1999999999999998E-10</v>
      </c>
      <c r="P37" s="43" t="s">
        <v>308</v>
      </c>
      <c r="W37" s="21">
        <v>0.11954540624659668</v>
      </c>
      <c r="X37" s="21">
        <f t="shared" si="0"/>
        <v>1.1954540624659669E-2</v>
      </c>
    </row>
    <row r="38" spans="1:24">
      <c r="A38" s="21" t="s">
        <v>305</v>
      </c>
      <c r="B38" s="21" t="s">
        <v>208</v>
      </c>
      <c r="C38" s="21" t="s">
        <v>210</v>
      </c>
      <c r="D38" s="43">
        <v>41507</v>
      </c>
      <c r="E38" s="21" t="s">
        <v>211</v>
      </c>
      <c r="F38" s="2">
        <v>-0.18</v>
      </c>
      <c r="G38" s="21">
        <v>0.1</v>
      </c>
      <c r="H38" s="2">
        <v>-14.73</v>
      </c>
      <c r="I38" s="2">
        <v>1</v>
      </c>
      <c r="J38" s="16"/>
      <c r="K38" s="16"/>
      <c r="L38" s="2">
        <v>6.5699999999999999E-8</v>
      </c>
      <c r="M38" s="2">
        <v>0</v>
      </c>
      <c r="N38" s="2">
        <v>2.326E-7</v>
      </c>
      <c r="O38" s="2">
        <v>2.8000000000000002E-10</v>
      </c>
      <c r="P38" s="43" t="s">
        <v>306</v>
      </c>
      <c r="W38" s="21">
        <v>0.97039890170995624</v>
      </c>
      <c r="X38" s="21">
        <f t="shared" si="0"/>
        <v>9.7039890170995624E-2</v>
      </c>
    </row>
    <row r="39" spans="1:24">
      <c r="A39" s="21" t="s">
        <v>305</v>
      </c>
      <c r="B39" s="21" t="s">
        <v>208</v>
      </c>
      <c r="C39" s="21" t="s">
        <v>263</v>
      </c>
      <c r="D39" s="43">
        <v>41505</v>
      </c>
      <c r="E39" s="21" t="s">
        <v>264</v>
      </c>
      <c r="F39" s="2">
        <v>7.0000000000000007E-2</v>
      </c>
      <c r="G39" s="21">
        <v>0.1</v>
      </c>
      <c r="J39" s="16">
        <v>4.2878063796385703E-8</v>
      </c>
      <c r="K39" s="2">
        <v>1.384E-8</v>
      </c>
      <c r="L39" s="16">
        <v>7.36279634517406E-6</v>
      </c>
      <c r="M39" s="16">
        <v>7.3627963451740605E-8</v>
      </c>
      <c r="N39" s="16">
        <v>4.0391994785784199E-7</v>
      </c>
      <c r="O39" s="16">
        <v>6.0587992178676302E-9</v>
      </c>
      <c r="P39" s="43" t="s">
        <v>313</v>
      </c>
      <c r="W39" s="21">
        <v>0.12182926157651089</v>
      </c>
      <c r="X39" s="21">
        <f t="shared" si="0"/>
        <v>1.218292615765109E-2</v>
      </c>
    </row>
    <row r="40" spans="1:24">
      <c r="A40" s="21" t="s">
        <v>305</v>
      </c>
      <c r="B40" s="21" t="s">
        <v>208</v>
      </c>
      <c r="C40" s="21" t="s">
        <v>234</v>
      </c>
      <c r="D40" s="43">
        <v>41507</v>
      </c>
      <c r="E40" s="21" t="s">
        <v>236</v>
      </c>
      <c r="F40" s="2">
        <v>0.3</v>
      </c>
      <c r="G40" s="21">
        <v>0.1</v>
      </c>
      <c r="J40" s="16"/>
      <c r="K40" s="16"/>
      <c r="L40" s="16"/>
      <c r="M40" s="16"/>
      <c r="N40" s="16"/>
      <c r="O40" s="16"/>
      <c r="W40" s="21">
        <v>0.72030360377971547</v>
      </c>
      <c r="X40" s="21">
        <f t="shared" si="0"/>
        <v>7.2030360377971545E-2</v>
      </c>
    </row>
    <row r="41" spans="1:24">
      <c r="A41" s="21" t="s">
        <v>305</v>
      </c>
      <c r="B41" s="21" t="s">
        <v>208</v>
      </c>
      <c r="C41" s="21" t="s">
        <v>234</v>
      </c>
      <c r="D41" s="43">
        <v>41507</v>
      </c>
      <c r="E41" s="21" t="s">
        <v>235</v>
      </c>
      <c r="F41" s="2">
        <v>0.3</v>
      </c>
      <c r="G41" s="21">
        <v>0.1</v>
      </c>
      <c r="J41" s="16"/>
      <c r="K41" s="16"/>
      <c r="L41" s="16"/>
      <c r="M41" s="16"/>
      <c r="N41" s="16"/>
      <c r="O41" s="16"/>
      <c r="W41" s="21">
        <v>0.59529675940114746</v>
      </c>
      <c r="X41" s="21">
        <f t="shared" si="0"/>
        <v>5.9529675940114747E-2</v>
      </c>
    </row>
    <row r="42" spans="1:24">
      <c r="A42" s="21" t="s">
        <v>305</v>
      </c>
      <c r="B42" s="21" t="s">
        <v>208</v>
      </c>
      <c r="C42" s="21" t="s">
        <v>216</v>
      </c>
      <c r="D42" s="43">
        <v>41520</v>
      </c>
      <c r="E42" s="21" t="s">
        <v>217</v>
      </c>
      <c r="F42" s="2">
        <v>0.08</v>
      </c>
      <c r="G42" s="21">
        <v>0.1</v>
      </c>
      <c r="H42" s="2">
        <v>-49.63</v>
      </c>
      <c r="I42" s="2">
        <v>1</v>
      </c>
      <c r="J42" s="16"/>
      <c r="K42" s="16"/>
      <c r="L42" s="2">
        <v>1.178E-7</v>
      </c>
      <c r="M42" s="2">
        <v>1E-10</v>
      </c>
      <c r="N42" s="2">
        <v>2.4289999999999998E-7</v>
      </c>
      <c r="O42" s="2">
        <v>2.8999999999999998E-10</v>
      </c>
      <c r="P42" s="43" t="s">
        <v>306</v>
      </c>
      <c r="W42" s="21">
        <v>0.21140448341287421</v>
      </c>
      <c r="X42" s="21">
        <f t="shared" si="0"/>
        <v>2.1140448341287421E-2</v>
      </c>
    </row>
    <row r="43" spans="1:24">
      <c r="A43" s="21" t="s">
        <v>305</v>
      </c>
      <c r="B43" s="21" t="s">
        <v>208</v>
      </c>
      <c r="C43" s="21" t="s">
        <v>216</v>
      </c>
      <c r="D43" s="43">
        <v>41520</v>
      </c>
      <c r="E43" s="21" t="s">
        <v>218</v>
      </c>
      <c r="F43" s="2">
        <v>0.08</v>
      </c>
      <c r="G43" s="21">
        <v>0.1</v>
      </c>
      <c r="H43" s="2">
        <v>-49.63</v>
      </c>
      <c r="I43" s="2">
        <v>1</v>
      </c>
      <c r="J43" s="16"/>
      <c r="K43" s="16"/>
      <c r="L43" s="2">
        <v>1.178E-7</v>
      </c>
      <c r="M43" s="2">
        <v>1E-10</v>
      </c>
      <c r="N43" s="2">
        <v>2.4289999999999998E-7</v>
      </c>
      <c r="O43" s="2">
        <v>2.8999999999999998E-10</v>
      </c>
      <c r="P43" s="43" t="s">
        <v>306</v>
      </c>
      <c r="W43" s="21">
        <v>0.21988822400719166</v>
      </c>
      <c r="X43" s="21">
        <f t="shared" si="0"/>
        <v>2.1988822400719168E-2</v>
      </c>
    </row>
    <row r="44" spans="1:24">
      <c r="A44" s="21" t="s">
        <v>305</v>
      </c>
      <c r="B44" s="21" t="s">
        <v>208</v>
      </c>
      <c r="C44" s="21" t="s">
        <v>228</v>
      </c>
      <c r="D44" s="43">
        <v>41521</v>
      </c>
      <c r="E44" s="21" t="s">
        <v>229</v>
      </c>
      <c r="F44" s="2">
        <v>-0.23</v>
      </c>
      <c r="G44" s="21">
        <v>0.1</v>
      </c>
      <c r="H44" s="2">
        <v>-68.739999999999995</v>
      </c>
      <c r="I44" s="2">
        <v>1</v>
      </c>
      <c r="J44" s="16"/>
      <c r="K44" s="16"/>
      <c r="L44" s="2">
        <v>2.2100000000000001E-7</v>
      </c>
      <c r="M44" s="2">
        <v>4.0000000000000001E-10</v>
      </c>
      <c r="N44" s="2">
        <v>2.5629999999999999E-7</v>
      </c>
      <c r="O44" s="2">
        <v>2.8999999999999998E-10</v>
      </c>
      <c r="P44" s="43" t="s">
        <v>312</v>
      </c>
      <c r="W44" s="21">
        <v>0.18296164431399911</v>
      </c>
      <c r="X44" s="21">
        <f t="shared" si="0"/>
        <v>1.8296164431399912E-2</v>
      </c>
    </row>
    <row r="45" spans="1:24">
      <c r="A45" s="21" t="s">
        <v>305</v>
      </c>
      <c r="B45" s="21" t="s">
        <v>208</v>
      </c>
      <c r="C45" s="21" t="s">
        <v>228</v>
      </c>
      <c r="D45" s="43">
        <v>41521</v>
      </c>
      <c r="E45" s="21" t="s">
        <v>230</v>
      </c>
      <c r="F45" s="2">
        <v>-0.23</v>
      </c>
      <c r="G45" s="21">
        <v>0.1</v>
      </c>
      <c r="H45" s="2">
        <v>-68.739999999999995</v>
      </c>
      <c r="I45" s="2">
        <v>1</v>
      </c>
      <c r="J45" s="16"/>
      <c r="K45" s="16"/>
      <c r="L45" s="2">
        <v>2.2100000000000001E-7</v>
      </c>
      <c r="M45" s="2">
        <v>4.0000000000000001E-10</v>
      </c>
      <c r="N45" s="2">
        <v>2.5629999999999999E-7</v>
      </c>
      <c r="O45" s="2">
        <v>2.8999999999999998E-10</v>
      </c>
      <c r="P45" s="43" t="s">
        <v>312</v>
      </c>
      <c r="W45" s="21">
        <v>0.16940868867400052</v>
      </c>
      <c r="X45" s="21">
        <f t="shared" si="0"/>
        <v>1.6940868867400052E-2</v>
      </c>
    </row>
    <row r="46" spans="1:24">
      <c r="A46" s="21" t="s">
        <v>305</v>
      </c>
      <c r="B46" s="21" t="s">
        <v>208</v>
      </c>
      <c r="C46" s="21" t="s">
        <v>258</v>
      </c>
      <c r="D46" s="43">
        <v>41522</v>
      </c>
      <c r="E46" s="21" t="s">
        <v>260</v>
      </c>
      <c r="F46" s="2">
        <v>5.35</v>
      </c>
      <c r="G46" s="21">
        <v>0.1</v>
      </c>
      <c r="H46" s="2">
        <v>12.52</v>
      </c>
      <c r="I46" s="2">
        <v>1</v>
      </c>
      <c r="J46" s="16"/>
      <c r="K46" s="16"/>
      <c r="L46" s="2">
        <v>7.5800000000000004E-8</v>
      </c>
      <c r="M46" s="2">
        <v>0</v>
      </c>
      <c r="N46" s="2">
        <v>3.2020000000000002E-7</v>
      </c>
      <c r="O46" s="2">
        <v>3.9E-10</v>
      </c>
      <c r="P46" s="43" t="s">
        <v>314</v>
      </c>
      <c r="W46" s="21">
        <v>1.2850077238203621</v>
      </c>
      <c r="X46" s="21">
        <f t="shared" si="0"/>
        <v>0.12850077238203622</v>
      </c>
    </row>
    <row r="47" spans="1:24">
      <c r="A47" s="21" t="s">
        <v>305</v>
      </c>
      <c r="B47" s="21" t="s">
        <v>208</v>
      </c>
      <c r="C47" s="21" t="s">
        <v>258</v>
      </c>
      <c r="D47" s="43">
        <v>41522</v>
      </c>
      <c r="E47" s="21" t="s">
        <v>259</v>
      </c>
      <c r="F47" s="2">
        <v>5.35</v>
      </c>
      <c r="G47" s="21">
        <v>0.1</v>
      </c>
      <c r="H47" s="2">
        <v>12.52</v>
      </c>
      <c r="I47" s="2">
        <v>1</v>
      </c>
      <c r="J47" s="16"/>
      <c r="K47" s="16"/>
      <c r="L47" s="2">
        <v>7.5800000000000004E-8</v>
      </c>
      <c r="M47" s="2">
        <v>0</v>
      </c>
      <c r="N47" s="2">
        <v>3.2020000000000002E-7</v>
      </c>
      <c r="O47" s="2">
        <v>3.9E-10</v>
      </c>
      <c r="P47" s="43" t="s">
        <v>314</v>
      </c>
      <c r="W47" s="21">
        <v>1.2381203780340129</v>
      </c>
      <c r="X47" s="21">
        <f t="shared" si="0"/>
        <v>0.12381203780340129</v>
      </c>
    </row>
    <row r="48" spans="1:24">
      <c r="A48" s="21" t="s">
        <v>305</v>
      </c>
      <c r="B48" s="21" t="s">
        <v>208</v>
      </c>
      <c r="C48" s="21" t="s">
        <v>237</v>
      </c>
      <c r="D48" s="43">
        <v>41493</v>
      </c>
      <c r="E48" s="21" t="s">
        <v>315</v>
      </c>
      <c r="F48" s="2">
        <v>-0.43</v>
      </c>
      <c r="G48" s="21">
        <v>0.1</v>
      </c>
      <c r="H48" s="2">
        <v>-82.37</v>
      </c>
      <c r="I48" s="2">
        <v>1</v>
      </c>
      <c r="J48" s="16"/>
      <c r="K48" s="16"/>
      <c r="L48" s="2">
        <v>4.2249999999999998E-7</v>
      </c>
      <c r="M48" s="2">
        <v>1.3999999999999999E-9</v>
      </c>
      <c r="N48" s="2">
        <v>2.5260000000000003E-7</v>
      </c>
      <c r="O48" s="2">
        <v>3E-10</v>
      </c>
      <c r="P48" s="43" t="s">
        <v>314</v>
      </c>
    </row>
    <row r="49" spans="1:16">
      <c r="A49" s="21" t="s">
        <v>305</v>
      </c>
      <c r="B49" s="21" t="s">
        <v>208</v>
      </c>
      <c r="C49" s="21" t="s">
        <v>231</v>
      </c>
      <c r="D49" s="43">
        <v>41506</v>
      </c>
      <c r="E49" s="21" t="s">
        <v>316</v>
      </c>
      <c r="F49" s="2">
        <v>0.05</v>
      </c>
      <c r="G49" s="21">
        <v>0.1</v>
      </c>
      <c r="H49" s="2">
        <v>-74.510000000000005</v>
      </c>
      <c r="I49" s="2">
        <v>1</v>
      </c>
      <c r="J49" s="16"/>
      <c r="K49" s="16"/>
      <c r="L49" s="2">
        <v>2.3440000000000001E-7</v>
      </c>
      <c r="M49" s="2">
        <v>4.0000000000000001E-10</v>
      </c>
      <c r="N49" s="2">
        <v>2.2980000000000001E-7</v>
      </c>
      <c r="O49" s="2">
        <v>2.8000000000000002E-10</v>
      </c>
      <c r="P49" s="43" t="s">
        <v>306</v>
      </c>
    </row>
    <row r="50" spans="1:16">
      <c r="D50" s="43"/>
      <c r="F50" s="2"/>
    </row>
    <row r="51" spans="1:16">
      <c r="D51" s="43"/>
      <c r="F51" s="2"/>
    </row>
    <row r="52" spans="1:16">
      <c r="D52" s="43"/>
      <c r="F52" s="2"/>
    </row>
    <row r="53" spans="1:16">
      <c r="D53" s="43"/>
      <c r="F53" s="2"/>
    </row>
    <row r="54" spans="1:16">
      <c r="D54" s="43"/>
      <c r="F54" s="2"/>
    </row>
    <row r="55" spans="1:16">
      <c r="D55" s="43"/>
      <c r="F55" s="2"/>
    </row>
    <row r="56" spans="1:16">
      <c r="D56" s="43"/>
      <c r="F56" s="2"/>
    </row>
    <row r="57" spans="1:16">
      <c r="D57" s="43"/>
      <c r="F57" s="2"/>
    </row>
    <row r="58" spans="1:16">
      <c r="D58" s="43"/>
      <c r="F58" s="2"/>
    </row>
    <row r="59" spans="1:16">
      <c r="D59" s="43"/>
      <c r="F59" s="2"/>
    </row>
    <row r="60" spans="1:16">
      <c r="D60" s="43"/>
      <c r="F60" s="2"/>
    </row>
    <row r="61" spans="1:16">
      <c r="D61" s="43"/>
      <c r="F61" s="2"/>
    </row>
    <row r="62" spans="1:16">
      <c r="D62" s="43"/>
      <c r="F62" s="2"/>
    </row>
    <row r="63" spans="1:16">
      <c r="D63" s="43"/>
      <c r="F63" s="2"/>
    </row>
    <row r="64" spans="1:16">
      <c r="D64" s="43"/>
      <c r="F64" s="2"/>
    </row>
    <row r="65" spans="4:6">
      <c r="D65" s="43"/>
      <c r="F65" s="2"/>
    </row>
    <row r="66" spans="4:6">
      <c r="D66" s="43"/>
      <c r="F66" s="2"/>
    </row>
    <row r="67" spans="4:6">
      <c r="D67" s="43"/>
      <c r="F67" s="2"/>
    </row>
    <row r="68" spans="4:6">
      <c r="D68" s="43"/>
      <c r="F68" s="2"/>
    </row>
    <row r="69" spans="4:6">
      <c r="D69" s="43"/>
      <c r="F69" s="2"/>
    </row>
    <row r="70" spans="4:6">
      <c r="D70" s="43"/>
      <c r="F70" s="2"/>
    </row>
    <row r="71" spans="4:6">
      <c r="D71" s="43"/>
      <c r="F71" s="2"/>
    </row>
    <row r="72" spans="4:6">
      <c r="D72" s="43"/>
      <c r="F72" s="2"/>
    </row>
    <row r="73" spans="4:6">
      <c r="D73" s="43"/>
      <c r="F73" s="2"/>
    </row>
    <row r="74" spans="4:6">
      <c r="D74" s="43"/>
      <c r="F74" s="2"/>
    </row>
    <row r="75" spans="4:6">
      <c r="D75" s="43"/>
      <c r="F75" s="2"/>
    </row>
    <row r="76" spans="4:6">
      <c r="D76" s="43"/>
      <c r="F76" s="2"/>
    </row>
    <row r="77" spans="4:6">
      <c r="D77" s="43"/>
      <c r="F77" s="2"/>
    </row>
    <row r="78" spans="4:6">
      <c r="D78" s="43"/>
      <c r="F78" s="2"/>
    </row>
    <row r="79" spans="4:6">
      <c r="D79" s="43"/>
      <c r="F79" s="2"/>
    </row>
    <row r="80" spans="4:6">
      <c r="D80" s="43"/>
      <c r="F80" s="2"/>
    </row>
    <row r="81" spans="4:6">
      <c r="D81" s="43"/>
      <c r="F81" s="2"/>
    </row>
    <row r="82" spans="4:6">
      <c r="D82" s="43"/>
      <c r="F82" s="2"/>
    </row>
    <row r="83" spans="4:6">
      <c r="D83" s="43"/>
      <c r="F83" s="2"/>
    </row>
    <row r="84" spans="4:6">
      <c r="D84" s="43"/>
      <c r="F84" s="2"/>
    </row>
    <row r="85" spans="4:6">
      <c r="D85" s="43"/>
      <c r="F85" s="2"/>
    </row>
    <row r="86" spans="4:6">
      <c r="D86" s="43"/>
      <c r="F86" s="2"/>
    </row>
    <row r="87" spans="4:6">
      <c r="D87" s="43"/>
      <c r="F87" s="2"/>
    </row>
    <row r="88" spans="4:6">
      <c r="D88" s="43"/>
      <c r="F88" s="2"/>
    </row>
    <row r="89" spans="4:6">
      <c r="D89" s="43"/>
      <c r="F89" s="2"/>
    </row>
    <row r="90" spans="4:6">
      <c r="D90" s="43"/>
      <c r="F90" s="2"/>
    </row>
    <row r="91" spans="4:6">
      <c r="D91" s="43"/>
      <c r="F91" s="2"/>
    </row>
    <row r="92" spans="4:6">
      <c r="D92" s="43"/>
      <c r="F92" s="2"/>
    </row>
    <row r="93" spans="4:6">
      <c r="D93" s="43"/>
      <c r="F93" s="2"/>
    </row>
    <row r="94" spans="4:6">
      <c r="D94" s="43"/>
      <c r="F94" s="2"/>
    </row>
    <row r="95" spans="4:6">
      <c r="D95" s="43"/>
      <c r="F95" s="2"/>
    </row>
    <row r="96" spans="4:6">
      <c r="D96" s="43"/>
      <c r="F96" s="2"/>
    </row>
    <row r="97" spans="4:6">
      <c r="D97" s="43"/>
    </row>
    <row r="98" spans="4:6">
      <c r="D98" s="43"/>
      <c r="F98" s="2"/>
    </row>
    <row r="99" spans="4:6">
      <c r="D99" s="43"/>
      <c r="F99" s="2"/>
    </row>
    <row r="100" spans="4:6">
      <c r="D100" s="43"/>
    </row>
    <row r="101" spans="4:6">
      <c r="D101" s="43"/>
      <c r="F101" s="2"/>
    </row>
    <row r="102" spans="4:6">
      <c r="D102" s="43"/>
      <c r="F102" s="2"/>
    </row>
    <row r="103" spans="4:6">
      <c r="D103" s="43"/>
    </row>
    <row r="104" spans="4:6">
      <c r="D104" s="43"/>
      <c r="F104" s="2"/>
    </row>
    <row r="105" spans="4:6">
      <c r="D105" s="43"/>
      <c r="F105" s="2"/>
    </row>
    <row r="106" spans="4:6">
      <c r="D106" s="43"/>
      <c r="F106" s="2"/>
    </row>
    <row r="107" spans="4:6">
      <c r="D107" s="43"/>
      <c r="F107" s="2"/>
    </row>
    <row r="108" spans="4:6">
      <c r="D108" s="43"/>
      <c r="F108" s="2"/>
    </row>
    <row r="109" spans="4:6">
      <c r="D109" s="43"/>
      <c r="F109" s="2"/>
    </row>
    <row r="110" spans="4:6">
      <c r="D110" s="43"/>
      <c r="F110" s="2"/>
    </row>
    <row r="111" spans="4:6">
      <c r="D111" s="43"/>
      <c r="F111" s="2"/>
    </row>
    <row r="112" spans="4:6">
      <c r="D112" s="43"/>
      <c r="F112" s="2"/>
    </row>
    <row r="113" spans="4:15">
      <c r="D113" s="43"/>
      <c r="F113" s="2"/>
      <c r="J113" s="16"/>
      <c r="K113" s="16"/>
      <c r="L113" s="16"/>
      <c r="M113" s="16"/>
      <c r="N113" s="16"/>
      <c r="O113" s="16"/>
    </row>
    <row r="114" spans="4:15">
      <c r="D114" s="43"/>
      <c r="F114" s="2"/>
      <c r="J114" s="16"/>
      <c r="K114" s="16"/>
      <c r="L114" s="16"/>
      <c r="M114" s="16"/>
      <c r="N114" s="16"/>
      <c r="O114" s="16"/>
    </row>
    <row r="115" spans="4:15">
      <c r="D115" s="43"/>
      <c r="F115" s="2"/>
      <c r="J115" s="16"/>
      <c r="K115" s="16"/>
      <c r="L115" s="16"/>
      <c r="M115" s="16"/>
      <c r="N115" s="16"/>
      <c r="O115" s="16"/>
    </row>
    <row r="116" spans="4:15">
      <c r="D116" s="43"/>
      <c r="F116" s="2"/>
      <c r="J116" s="16"/>
      <c r="K116" s="16"/>
      <c r="L116" s="16"/>
      <c r="M116" s="16"/>
      <c r="N116" s="16"/>
      <c r="O116" s="16"/>
    </row>
    <row r="117" spans="4:15">
      <c r="D117" s="43"/>
      <c r="F117" s="2"/>
    </row>
    <row r="118" spans="4:15">
      <c r="D118" s="43"/>
      <c r="F118" s="2"/>
    </row>
    <row r="119" spans="4:15">
      <c r="D119" s="43"/>
      <c r="F119" s="2"/>
    </row>
    <row r="120" spans="4:15">
      <c r="D120" s="43"/>
      <c r="F120" s="2"/>
    </row>
    <row r="121" spans="4:15">
      <c r="D121" s="43"/>
      <c r="F121" s="2"/>
    </row>
    <row r="122" spans="4:15">
      <c r="D122" s="43"/>
      <c r="F122" s="2"/>
    </row>
    <row r="123" spans="4:15">
      <c r="D123" s="43"/>
      <c r="F123" s="2"/>
    </row>
    <row r="124" spans="4:15">
      <c r="D124" s="43"/>
      <c r="F124" s="2"/>
    </row>
    <row r="125" spans="4:15">
      <c r="D125" s="43"/>
      <c r="F125" s="2"/>
    </row>
    <row r="126" spans="4:15">
      <c r="D126" s="43"/>
      <c r="F126" s="2"/>
    </row>
    <row r="127" spans="4:15">
      <c r="D127" s="43"/>
      <c r="F127" s="2"/>
    </row>
    <row r="128" spans="4:15">
      <c r="D128" s="43"/>
      <c r="F128" s="2"/>
    </row>
    <row r="129" spans="4:6">
      <c r="D129" s="43"/>
      <c r="F129" s="2"/>
    </row>
    <row r="130" spans="4:6">
      <c r="D130" s="43"/>
      <c r="F130" s="2"/>
    </row>
    <row r="131" spans="4:6">
      <c r="D131" s="43"/>
      <c r="F131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C8C38E5F-F09C-49F0-836A-9BC170D6B0B0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D17177B8-9652-40B5-B271-8B10C016BA60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99FEA-B3E7-4730-9B1E-9EDDF2E3162F}">
  <sheetPr codeName="Sheet4"/>
  <dimension ref="A1:JM54"/>
  <sheetViews>
    <sheetView workbookViewId="0">
      <selection activeCell="L19" sqref="L19"/>
    </sheetView>
  </sheetViews>
  <sheetFormatPr defaultColWidth="10.33203125" defaultRowHeight="12.75"/>
  <cols>
    <col min="1" max="1" width="7.6640625" style="42" customWidth="1"/>
    <col min="2" max="2" width="11" style="42" bestFit="1" customWidth="1"/>
    <col min="3" max="3" width="18.83203125" style="42" bestFit="1" customWidth="1"/>
    <col min="4" max="4" width="13" style="60" bestFit="1" customWidth="1"/>
    <col min="5" max="5" width="13.83203125" style="42" bestFit="1" customWidth="1"/>
    <col min="6" max="11" width="10.33203125" style="42"/>
    <col min="12" max="12" width="29.1640625" style="42" bestFit="1" customWidth="1"/>
    <col min="13" max="14" width="10.33203125" style="42"/>
    <col min="15" max="15" width="10.33203125" style="61"/>
    <col min="16" max="17" width="10.33203125" style="42"/>
    <col min="18" max="18" width="13" style="42" bestFit="1" customWidth="1"/>
    <col min="19" max="29" width="10.33203125" style="42"/>
    <col min="30" max="30" width="10.33203125" style="42" bestFit="1" customWidth="1"/>
    <col min="31" max="33" width="10.33203125" style="42"/>
    <col min="34" max="34" width="18.1640625" style="42" bestFit="1" customWidth="1"/>
    <col min="35" max="35" width="71.83203125" style="42" bestFit="1" customWidth="1"/>
    <col min="36" max="36" width="20" style="42" bestFit="1" customWidth="1"/>
    <col min="37" max="47" width="10.33203125" style="61"/>
    <col min="48" max="16384" width="10.33203125" style="42"/>
  </cols>
  <sheetData>
    <row r="1" spans="1:273" ht="15">
      <c r="A1" s="79" t="s">
        <v>175</v>
      </c>
      <c r="B1" s="80"/>
      <c r="C1" s="80"/>
      <c r="D1" s="80"/>
      <c r="E1" s="80"/>
      <c r="F1" s="79" t="s">
        <v>319</v>
      </c>
      <c r="G1" s="80"/>
      <c r="H1" s="80"/>
      <c r="I1" s="80"/>
      <c r="J1" s="80"/>
      <c r="K1" s="80"/>
      <c r="L1" s="79" t="s">
        <v>324</v>
      </c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1" t="s">
        <v>349</v>
      </c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79" t="s">
        <v>360</v>
      </c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79" t="s">
        <v>457</v>
      </c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N1" s="79" t="s">
        <v>458</v>
      </c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79" t="s">
        <v>381</v>
      </c>
      <c r="DK1" s="80"/>
      <c r="DL1" s="80"/>
      <c r="DM1" s="80"/>
      <c r="DN1" s="79" t="s">
        <v>386</v>
      </c>
      <c r="DO1" s="80"/>
      <c r="DP1" s="80"/>
      <c r="DQ1" s="80"/>
      <c r="DR1" s="80"/>
      <c r="DS1" s="80"/>
      <c r="DT1" s="80"/>
      <c r="DU1" s="80"/>
      <c r="DV1" s="80"/>
      <c r="DW1" s="80"/>
      <c r="DX1" s="80"/>
      <c r="DY1" s="79" t="s">
        <v>397</v>
      </c>
      <c r="DZ1" s="80"/>
      <c r="EA1" s="80"/>
      <c r="EB1" s="80"/>
      <c r="EC1" s="80"/>
      <c r="ED1" s="80"/>
      <c r="EE1" s="80"/>
      <c r="EF1" s="80"/>
      <c r="EG1" s="80"/>
      <c r="EH1" s="80"/>
      <c r="EI1" s="80"/>
      <c r="EJ1" s="79" t="s">
        <v>408</v>
      </c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79" t="s">
        <v>459</v>
      </c>
      <c r="EV1" s="80"/>
      <c r="EW1" s="80"/>
      <c r="EX1" s="80"/>
      <c r="EY1" s="80"/>
      <c r="EZ1" s="80"/>
      <c r="FA1" s="80"/>
      <c r="FB1" s="80"/>
      <c r="FC1" s="80"/>
      <c r="FD1" s="80"/>
      <c r="FE1" s="80"/>
      <c r="FF1" s="79" t="s">
        <v>460</v>
      </c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79" t="s">
        <v>461</v>
      </c>
      <c r="FR1" s="80"/>
      <c r="FS1" s="80"/>
      <c r="FT1" s="80"/>
      <c r="FU1" s="80"/>
      <c r="FV1" s="80"/>
      <c r="FW1" s="80"/>
      <c r="FX1" s="80"/>
      <c r="FY1" s="80"/>
      <c r="FZ1" s="80"/>
      <c r="GA1" s="80"/>
      <c r="GB1" s="79" t="s">
        <v>462</v>
      </c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79" t="s">
        <v>463</v>
      </c>
      <c r="GN1" s="80"/>
      <c r="GO1" s="80"/>
      <c r="GP1" s="80"/>
      <c r="GQ1" s="80"/>
      <c r="GR1" s="80"/>
      <c r="GS1" s="80"/>
      <c r="GT1" s="80"/>
      <c r="GU1" s="80"/>
      <c r="GV1" s="80"/>
      <c r="GW1" s="80"/>
      <c r="GX1" s="79" t="s">
        <v>464</v>
      </c>
      <c r="GY1" s="80"/>
      <c r="GZ1" s="80"/>
      <c r="HA1" s="80"/>
      <c r="HB1" s="80"/>
      <c r="HC1" s="80"/>
      <c r="HD1" s="80"/>
      <c r="HE1" s="80"/>
      <c r="HF1" s="80"/>
      <c r="HG1" s="80"/>
      <c r="HH1" s="80"/>
      <c r="HI1" s="79" t="s">
        <v>419</v>
      </c>
      <c r="HJ1" s="80"/>
      <c r="HK1" s="80"/>
      <c r="HL1" s="80"/>
      <c r="HM1" s="80"/>
      <c r="HN1" s="80"/>
      <c r="HO1" s="79" t="s">
        <v>426</v>
      </c>
      <c r="HP1" s="80"/>
      <c r="HQ1" s="80"/>
      <c r="HR1" s="80"/>
      <c r="HS1" s="80"/>
      <c r="HT1" s="80"/>
      <c r="HU1" s="80"/>
      <c r="HV1" s="80"/>
      <c r="HW1" s="80"/>
      <c r="HX1" s="80"/>
      <c r="HY1" s="80"/>
      <c r="HZ1" s="80"/>
      <c r="IA1" s="80"/>
      <c r="IB1" s="80"/>
      <c r="IC1" s="80"/>
      <c r="ID1" s="79" t="s">
        <v>442</v>
      </c>
      <c r="IE1" s="80"/>
      <c r="IF1" s="80"/>
      <c r="IG1" s="80"/>
      <c r="IH1" s="80"/>
      <c r="II1" s="80"/>
      <c r="IJ1" s="80"/>
      <c r="IK1" s="80"/>
      <c r="IL1" s="80"/>
      <c r="IM1" s="80"/>
      <c r="IN1" s="80"/>
      <c r="IO1" s="80"/>
      <c r="IP1" s="79" t="s">
        <v>465</v>
      </c>
      <c r="IQ1" s="80"/>
      <c r="IR1" s="80"/>
      <c r="IS1" s="80"/>
      <c r="IT1" s="80"/>
      <c r="IU1" s="80"/>
      <c r="IV1" s="80"/>
      <c r="IW1" s="80"/>
      <c r="IX1" s="80"/>
      <c r="IY1" s="80"/>
      <c r="IZ1" s="80"/>
      <c r="JA1" s="80"/>
      <c r="JB1" s="79" t="s">
        <v>466</v>
      </c>
      <c r="JC1" s="80"/>
      <c r="JD1" s="80"/>
      <c r="JE1" s="80"/>
      <c r="JF1" s="80"/>
      <c r="JG1" s="80"/>
      <c r="JH1" s="80"/>
      <c r="JI1" s="80"/>
      <c r="JJ1" s="80"/>
      <c r="JK1" s="80"/>
      <c r="JL1" s="80"/>
      <c r="JM1" s="80"/>
    </row>
    <row r="2" spans="1:273">
      <c r="A2" s="75" t="s">
        <v>177</v>
      </c>
      <c r="B2" s="75" t="s">
        <v>178</v>
      </c>
      <c r="C2" s="75" t="s">
        <v>179</v>
      </c>
      <c r="D2" s="82" t="s">
        <v>180</v>
      </c>
      <c r="E2" s="75" t="s">
        <v>181</v>
      </c>
      <c r="F2" s="75" t="s">
        <v>318</v>
      </c>
      <c r="G2" s="75" t="s">
        <v>320</v>
      </c>
      <c r="H2" s="75" t="s">
        <v>321</v>
      </c>
      <c r="I2" s="75" t="s">
        <v>185</v>
      </c>
      <c r="J2" s="75" t="s">
        <v>186</v>
      </c>
      <c r="K2" s="75" t="s">
        <v>322</v>
      </c>
      <c r="L2" s="75" t="s">
        <v>323</v>
      </c>
      <c r="M2" s="75" t="s">
        <v>325</v>
      </c>
      <c r="N2" s="75" t="s">
        <v>326</v>
      </c>
      <c r="O2" s="77" t="s">
        <v>327</v>
      </c>
      <c r="P2" s="75" t="s">
        <v>328</v>
      </c>
      <c r="Q2" s="75" t="s">
        <v>329</v>
      </c>
      <c r="R2" s="75" t="s">
        <v>330</v>
      </c>
      <c r="S2" s="75" t="s">
        <v>331</v>
      </c>
      <c r="T2" s="75" t="s">
        <v>332</v>
      </c>
      <c r="U2" s="75" t="s">
        <v>333</v>
      </c>
      <c r="V2" s="75" t="s">
        <v>334</v>
      </c>
      <c r="W2" s="75" t="s">
        <v>335</v>
      </c>
      <c r="X2" s="75" t="s">
        <v>336</v>
      </c>
      <c r="Y2" s="75" t="s">
        <v>337</v>
      </c>
      <c r="Z2" s="75" t="s">
        <v>318</v>
      </c>
      <c r="AA2" s="75" t="s">
        <v>338</v>
      </c>
      <c r="AB2" s="75" t="s">
        <v>339</v>
      </c>
      <c r="AC2" s="75" t="s">
        <v>340</v>
      </c>
      <c r="AD2" s="75" t="s">
        <v>341</v>
      </c>
      <c r="AE2" s="75" t="s">
        <v>342</v>
      </c>
      <c r="AF2" s="75" t="s">
        <v>343</v>
      </c>
      <c r="AG2" s="75" t="s">
        <v>344</v>
      </c>
      <c r="AH2" s="75" t="s">
        <v>345</v>
      </c>
      <c r="AI2" s="75" t="s">
        <v>346</v>
      </c>
      <c r="AJ2" s="75" t="s">
        <v>347</v>
      </c>
      <c r="AK2" s="77" t="s">
        <v>348</v>
      </c>
      <c r="AL2" s="77" t="s">
        <v>350</v>
      </c>
      <c r="AM2" s="77" t="s">
        <v>351</v>
      </c>
      <c r="AN2" s="77" t="s">
        <v>352</v>
      </c>
      <c r="AO2" s="77" t="s">
        <v>353</v>
      </c>
      <c r="AP2" s="77" t="s">
        <v>354</v>
      </c>
      <c r="AQ2" s="77" t="s">
        <v>355</v>
      </c>
      <c r="AR2" s="77" t="s">
        <v>356</v>
      </c>
      <c r="AS2" s="77" t="s">
        <v>357</v>
      </c>
      <c r="AT2" s="77" t="s">
        <v>358</v>
      </c>
      <c r="AU2" s="77" t="s">
        <v>467</v>
      </c>
      <c r="AV2" s="75" t="s">
        <v>359</v>
      </c>
      <c r="AW2" s="75" t="s">
        <v>361</v>
      </c>
      <c r="AX2" s="75" t="s">
        <v>362</v>
      </c>
      <c r="AY2" s="75" t="s">
        <v>363</v>
      </c>
      <c r="AZ2" s="75" t="s">
        <v>364</v>
      </c>
      <c r="BA2" s="75" t="s">
        <v>365</v>
      </c>
      <c r="BB2" s="75" t="s">
        <v>366</v>
      </c>
      <c r="BC2" s="75" t="s">
        <v>367</v>
      </c>
      <c r="BD2" s="75" t="s">
        <v>368</v>
      </c>
      <c r="BE2" s="75" t="s">
        <v>369</v>
      </c>
      <c r="BF2" s="75" t="s">
        <v>370</v>
      </c>
      <c r="BG2" s="75" t="s">
        <v>371</v>
      </c>
      <c r="BH2" s="75" t="s">
        <v>372</v>
      </c>
      <c r="BI2" s="75" t="s">
        <v>373</v>
      </c>
      <c r="BJ2" s="75" t="s">
        <v>374</v>
      </c>
      <c r="BK2" s="75" t="s">
        <v>375</v>
      </c>
      <c r="BL2" s="75" t="s">
        <v>376</v>
      </c>
      <c r="BM2" s="75" t="s">
        <v>377</v>
      </c>
      <c r="BN2" s="75" t="s">
        <v>378</v>
      </c>
      <c r="BO2" s="75" t="s">
        <v>379</v>
      </c>
      <c r="BP2" s="75" t="s">
        <v>468</v>
      </c>
      <c r="BQ2" s="75" t="s">
        <v>469</v>
      </c>
      <c r="BR2" s="75" t="s">
        <v>470</v>
      </c>
      <c r="BS2" s="75" t="s">
        <v>471</v>
      </c>
      <c r="BT2" s="75" t="s">
        <v>472</v>
      </c>
      <c r="BU2" s="75" t="s">
        <v>473</v>
      </c>
      <c r="BV2" s="75" t="s">
        <v>474</v>
      </c>
      <c r="BW2" s="75" t="s">
        <v>475</v>
      </c>
      <c r="BX2" s="75" t="s">
        <v>476</v>
      </c>
      <c r="BY2" s="75" t="s">
        <v>477</v>
      </c>
      <c r="BZ2" s="75" t="s">
        <v>478</v>
      </c>
      <c r="CA2" s="75" t="s">
        <v>479</v>
      </c>
      <c r="CB2" s="75" t="s">
        <v>480</v>
      </c>
      <c r="CC2" s="75" t="s">
        <v>481</v>
      </c>
      <c r="CD2" s="75" t="s">
        <v>482</v>
      </c>
      <c r="CE2" s="75" t="s">
        <v>483</v>
      </c>
      <c r="CF2" s="75" t="s">
        <v>484</v>
      </c>
      <c r="CG2" s="75" t="s">
        <v>485</v>
      </c>
      <c r="CH2" s="75" t="s">
        <v>486</v>
      </c>
      <c r="CI2" s="75" t="s">
        <v>487</v>
      </c>
      <c r="CJ2" s="75" t="s">
        <v>488</v>
      </c>
      <c r="CK2" s="75" t="s">
        <v>489</v>
      </c>
      <c r="CL2" s="75" t="s">
        <v>490</v>
      </c>
      <c r="CM2" s="75" t="s">
        <v>491</v>
      </c>
      <c r="CN2" s="75" t="s">
        <v>492</v>
      </c>
      <c r="CO2" s="75" t="s">
        <v>493</v>
      </c>
      <c r="CP2" s="75" t="s">
        <v>494</v>
      </c>
      <c r="CQ2" s="75" t="s">
        <v>495</v>
      </c>
      <c r="CR2" s="75" t="s">
        <v>496</v>
      </c>
      <c r="CS2" s="75" t="s">
        <v>497</v>
      </c>
      <c r="CT2" s="75" t="s">
        <v>498</v>
      </c>
      <c r="CU2" s="75" t="s">
        <v>499</v>
      </c>
      <c r="CV2" s="75" t="s">
        <v>500</v>
      </c>
      <c r="CW2" s="75" t="s">
        <v>501</v>
      </c>
      <c r="CX2" s="75" t="s">
        <v>502</v>
      </c>
      <c r="CY2" s="75" t="s">
        <v>503</v>
      </c>
      <c r="CZ2" s="75" t="s">
        <v>504</v>
      </c>
      <c r="DA2" s="75" t="s">
        <v>505</v>
      </c>
      <c r="DB2" s="75" t="s">
        <v>506</v>
      </c>
      <c r="DC2" s="75" t="s">
        <v>507</v>
      </c>
      <c r="DD2" s="75" t="s">
        <v>508</v>
      </c>
      <c r="DE2" s="75" t="s">
        <v>509</v>
      </c>
      <c r="DF2" s="75" t="s">
        <v>510</v>
      </c>
      <c r="DG2" s="75" t="s">
        <v>511</v>
      </c>
      <c r="DH2" s="75" t="s">
        <v>512</v>
      </c>
      <c r="DI2" s="75" t="s">
        <v>513</v>
      </c>
      <c r="DJ2" s="75" t="s">
        <v>380</v>
      </c>
      <c r="DK2" s="75" t="s">
        <v>382</v>
      </c>
      <c r="DL2" s="75" t="s">
        <v>383</v>
      </c>
      <c r="DM2" s="75" t="s">
        <v>384</v>
      </c>
      <c r="DN2" s="75" t="s">
        <v>385</v>
      </c>
      <c r="DO2" s="75" t="s">
        <v>387</v>
      </c>
      <c r="DP2" s="75" t="s">
        <v>388</v>
      </c>
      <c r="DQ2" s="75" t="s">
        <v>389</v>
      </c>
      <c r="DR2" s="75" t="s">
        <v>390</v>
      </c>
      <c r="DS2" s="75" t="s">
        <v>391</v>
      </c>
      <c r="DT2" s="75" t="s">
        <v>392</v>
      </c>
      <c r="DU2" s="75" t="s">
        <v>393</v>
      </c>
      <c r="DV2" s="75" t="s">
        <v>394</v>
      </c>
      <c r="DW2" s="75" t="s">
        <v>395</v>
      </c>
      <c r="DX2" s="75" t="s">
        <v>514</v>
      </c>
      <c r="DY2" s="75" t="s">
        <v>396</v>
      </c>
      <c r="DZ2" s="75" t="s">
        <v>398</v>
      </c>
      <c r="EA2" s="75" t="s">
        <v>399</v>
      </c>
      <c r="EB2" s="75" t="s">
        <v>400</v>
      </c>
      <c r="EC2" s="75" t="s">
        <v>401</v>
      </c>
      <c r="ED2" s="75" t="s">
        <v>402</v>
      </c>
      <c r="EE2" s="75" t="s">
        <v>403</v>
      </c>
      <c r="EF2" s="75" t="s">
        <v>404</v>
      </c>
      <c r="EG2" s="75" t="s">
        <v>405</v>
      </c>
      <c r="EH2" s="75" t="s">
        <v>406</v>
      </c>
      <c r="EI2" s="75" t="s">
        <v>515</v>
      </c>
      <c r="EJ2" s="75" t="s">
        <v>407</v>
      </c>
      <c r="EK2" s="75" t="s">
        <v>409</v>
      </c>
      <c r="EL2" s="75" t="s">
        <v>410</v>
      </c>
      <c r="EM2" s="75" t="s">
        <v>411</v>
      </c>
      <c r="EN2" s="75" t="s">
        <v>412</v>
      </c>
      <c r="EO2" s="75" t="s">
        <v>413</v>
      </c>
      <c r="EP2" s="75" t="s">
        <v>414</v>
      </c>
      <c r="EQ2" s="75" t="s">
        <v>415</v>
      </c>
      <c r="ER2" s="75" t="s">
        <v>416</v>
      </c>
      <c r="ES2" s="75" t="s">
        <v>417</v>
      </c>
      <c r="ET2" s="75" t="s">
        <v>516</v>
      </c>
      <c r="EU2" s="75" t="s">
        <v>517</v>
      </c>
      <c r="EV2" s="75" t="s">
        <v>518</v>
      </c>
      <c r="EW2" s="75" t="s">
        <v>519</v>
      </c>
      <c r="EX2" s="75" t="s">
        <v>520</v>
      </c>
      <c r="EY2" s="75" t="s">
        <v>521</v>
      </c>
      <c r="EZ2" s="75" t="s">
        <v>522</v>
      </c>
      <c r="FA2" s="75" t="s">
        <v>523</v>
      </c>
      <c r="FB2" s="75" t="s">
        <v>524</v>
      </c>
      <c r="FC2" s="75" t="s">
        <v>525</v>
      </c>
      <c r="FD2" s="75" t="s">
        <v>526</v>
      </c>
      <c r="FE2" s="75" t="s">
        <v>527</v>
      </c>
      <c r="FF2" s="75" t="s">
        <v>528</v>
      </c>
      <c r="FG2" s="75" t="s">
        <v>529</v>
      </c>
      <c r="FH2" s="75" t="s">
        <v>530</v>
      </c>
      <c r="FI2" s="75" t="s">
        <v>531</v>
      </c>
      <c r="FJ2" s="75" t="s">
        <v>532</v>
      </c>
      <c r="FK2" s="75" t="s">
        <v>533</v>
      </c>
      <c r="FL2" s="75" t="s">
        <v>534</v>
      </c>
      <c r="FM2" s="75" t="s">
        <v>535</v>
      </c>
      <c r="FN2" s="75" t="s">
        <v>536</v>
      </c>
      <c r="FO2" s="75" t="s">
        <v>537</v>
      </c>
      <c r="FP2" s="75" t="s">
        <v>538</v>
      </c>
      <c r="FQ2" s="75" t="s">
        <v>539</v>
      </c>
      <c r="FR2" s="75" t="s">
        <v>540</v>
      </c>
      <c r="FS2" s="75" t="s">
        <v>541</v>
      </c>
      <c r="FT2" s="75" t="s">
        <v>542</v>
      </c>
      <c r="FU2" s="75" t="s">
        <v>543</v>
      </c>
      <c r="FV2" s="75" t="s">
        <v>544</v>
      </c>
      <c r="FW2" s="75" t="s">
        <v>545</v>
      </c>
      <c r="FX2" s="75" t="s">
        <v>546</v>
      </c>
      <c r="FY2" s="75" t="s">
        <v>547</v>
      </c>
      <c r="FZ2" s="75" t="s">
        <v>548</v>
      </c>
      <c r="GA2" s="75" t="s">
        <v>549</v>
      </c>
      <c r="GB2" s="75" t="s">
        <v>550</v>
      </c>
      <c r="GC2" s="75" t="s">
        <v>551</v>
      </c>
      <c r="GD2" s="75" t="s">
        <v>552</v>
      </c>
      <c r="GE2" s="75" t="s">
        <v>553</v>
      </c>
      <c r="GF2" s="75" t="s">
        <v>554</v>
      </c>
      <c r="GG2" s="75" t="s">
        <v>555</v>
      </c>
      <c r="GH2" s="75" t="s">
        <v>556</v>
      </c>
      <c r="GI2" s="75" t="s">
        <v>557</v>
      </c>
      <c r="GJ2" s="75" t="s">
        <v>558</v>
      </c>
      <c r="GK2" s="75" t="s">
        <v>559</v>
      </c>
      <c r="GL2" s="75" t="s">
        <v>560</v>
      </c>
      <c r="GM2" s="75" t="s">
        <v>561</v>
      </c>
      <c r="GN2" s="75" t="s">
        <v>562</v>
      </c>
      <c r="GO2" s="75" t="s">
        <v>563</v>
      </c>
      <c r="GP2" s="75" t="s">
        <v>564</v>
      </c>
      <c r="GQ2" s="75" t="s">
        <v>565</v>
      </c>
      <c r="GR2" s="75" t="s">
        <v>566</v>
      </c>
      <c r="GS2" s="75" t="s">
        <v>567</v>
      </c>
      <c r="GT2" s="75" t="s">
        <v>568</v>
      </c>
      <c r="GU2" s="75" t="s">
        <v>569</v>
      </c>
      <c r="GV2" s="75" t="s">
        <v>570</v>
      </c>
      <c r="GW2" s="75" t="s">
        <v>571</v>
      </c>
      <c r="GX2" s="75" t="s">
        <v>572</v>
      </c>
      <c r="GY2" s="75" t="s">
        <v>573</v>
      </c>
      <c r="GZ2" s="75" t="s">
        <v>574</v>
      </c>
      <c r="HA2" s="75" t="s">
        <v>575</v>
      </c>
      <c r="HB2" s="75" t="s">
        <v>576</v>
      </c>
      <c r="HC2" s="75" t="s">
        <v>577</v>
      </c>
      <c r="HD2" s="75" t="s">
        <v>578</v>
      </c>
      <c r="HE2" s="75" t="s">
        <v>579</v>
      </c>
      <c r="HF2" s="75" t="s">
        <v>580</v>
      </c>
      <c r="HG2" s="75" t="s">
        <v>581</v>
      </c>
      <c r="HH2" s="75" t="s">
        <v>582</v>
      </c>
      <c r="HI2" s="75" t="s">
        <v>418</v>
      </c>
      <c r="HJ2" s="75" t="s">
        <v>420</v>
      </c>
      <c r="HK2" s="75" t="s">
        <v>421</v>
      </c>
      <c r="HL2" s="75" t="s">
        <v>422</v>
      </c>
      <c r="HM2" s="75" t="s">
        <v>423</v>
      </c>
      <c r="HN2" s="75" t="s">
        <v>424</v>
      </c>
      <c r="HO2" s="75" t="s">
        <v>425</v>
      </c>
      <c r="HP2" s="75" t="s">
        <v>427</v>
      </c>
      <c r="HQ2" s="75" t="s">
        <v>428</v>
      </c>
      <c r="HR2" s="75" t="s">
        <v>429</v>
      </c>
      <c r="HS2" s="75" t="s">
        <v>430</v>
      </c>
      <c r="HT2" s="75" t="s">
        <v>431</v>
      </c>
      <c r="HU2" s="75" t="s">
        <v>432</v>
      </c>
      <c r="HV2" s="75" t="s">
        <v>433</v>
      </c>
      <c r="HW2" s="75" t="s">
        <v>434</v>
      </c>
      <c r="HX2" s="75" t="s">
        <v>435</v>
      </c>
      <c r="HY2" s="75" t="s">
        <v>436</v>
      </c>
      <c r="HZ2" s="75" t="s">
        <v>437</v>
      </c>
      <c r="IA2" s="75" t="s">
        <v>438</v>
      </c>
      <c r="IB2" s="75" t="s">
        <v>439</v>
      </c>
      <c r="IC2" s="75" t="s">
        <v>440</v>
      </c>
      <c r="ID2" s="75" t="s">
        <v>441</v>
      </c>
      <c r="IE2" s="75" t="s">
        <v>443</v>
      </c>
      <c r="IF2" s="75" t="s">
        <v>444</v>
      </c>
      <c r="IG2" s="75" t="s">
        <v>445</v>
      </c>
      <c r="IH2" s="75" t="s">
        <v>446</v>
      </c>
      <c r="II2" s="75" t="s">
        <v>447</v>
      </c>
      <c r="IJ2" s="75" t="s">
        <v>448</v>
      </c>
      <c r="IK2" s="75" t="s">
        <v>449</v>
      </c>
      <c r="IL2" s="75" t="s">
        <v>450</v>
      </c>
      <c r="IM2" s="75" t="s">
        <v>451</v>
      </c>
      <c r="IN2" s="75" t="s">
        <v>452</v>
      </c>
      <c r="IO2" s="75" t="s">
        <v>453</v>
      </c>
      <c r="IP2" s="75" t="s">
        <v>583</v>
      </c>
      <c r="IQ2" s="75" t="s">
        <v>584</v>
      </c>
      <c r="IR2" s="75" t="s">
        <v>585</v>
      </c>
      <c r="IS2" s="75" t="s">
        <v>586</v>
      </c>
      <c r="IT2" s="75" t="s">
        <v>587</v>
      </c>
      <c r="IU2" s="75" t="s">
        <v>588</v>
      </c>
      <c r="IV2" s="75" t="s">
        <v>589</v>
      </c>
      <c r="IW2" s="75" t="s">
        <v>590</v>
      </c>
      <c r="IX2" s="75" t="s">
        <v>591</v>
      </c>
      <c r="IY2" s="75" t="s">
        <v>592</v>
      </c>
      <c r="IZ2" s="75" t="s">
        <v>593</v>
      </c>
      <c r="JA2" s="75" t="s">
        <v>594</v>
      </c>
      <c r="JB2" s="75" t="s">
        <v>595</v>
      </c>
      <c r="JC2" s="75" t="s">
        <v>596</v>
      </c>
      <c r="JD2" s="75" t="s">
        <v>597</v>
      </c>
      <c r="JE2" s="75" t="s">
        <v>598</v>
      </c>
      <c r="JF2" s="75" t="s">
        <v>599</v>
      </c>
      <c r="JG2" s="75" t="s">
        <v>600</v>
      </c>
      <c r="JH2" s="75" t="s">
        <v>601</v>
      </c>
      <c r="JI2" s="75" t="s">
        <v>602</v>
      </c>
      <c r="JJ2" s="75" t="s">
        <v>603</v>
      </c>
      <c r="JK2" s="75" t="s">
        <v>604</v>
      </c>
      <c r="JL2" s="75" t="s">
        <v>605</v>
      </c>
      <c r="JM2" s="75" t="s">
        <v>606</v>
      </c>
    </row>
    <row r="3" spans="1:273" ht="52.5" customHeight="1">
      <c r="A3" s="76"/>
      <c r="B3" s="76"/>
      <c r="C3" s="76"/>
      <c r="D3" s="83"/>
      <c r="E3" s="76"/>
      <c r="F3" s="76"/>
      <c r="G3" s="76"/>
      <c r="H3" s="76"/>
      <c r="I3" s="76"/>
      <c r="J3" s="76"/>
      <c r="K3" s="76"/>
      <c r="L3" s="76"/>
      <c r="M3" s="76"/>
      <c r="N3" s="76"/>
      <c r="O3" s="78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  <c r="CO3" s="76"/>
      <c r="CP3" s="76"/>
      <c r="CQ3" s="76"/>
      <c r="CR3" s="76"/>
      <c r="CS3" s="76"/>
      <c r="CT3" s="76"/>
      <c r="CU3" s="76"/>
      <c r="CV3" s="76"/>
      <c r="CW3" s="76"/>
      <c r="CX3" s="76"/>
      <c r="CY3" s="76"/>
      <c r="CZ3" s="76"/>
      <c r="DA3" s="76"/>
      <c r="DB3" s="76"/>
      <c r="DC3" s="76"/>
      <c r="DD3" s="76"/>
      <c r="DE3" s="76"/>
      <c r="DF3" s="76"/>
      <c r="DG3" s="76"/>
      <c r="DH3" s="76"/>
      <c r="DI3" s="76"/>
      <c r="DJ3" s="76"/>
      <c r="DK3" s="76"/>
      <c r="DL3" s="76"/>
      <c r="DM3" s="76"/>
      <c r="DN3" s="76"/>
      <c r="DO3" s="76"/>
      <c r="DP3" s="76"/>
      <c r="DQ3" s="76"/>
      <c r="DR3" s="76"/>
      <c r="DS3" s="76"/>
      <c r="DT3" s="76"/>
      <c r="DU3" s="76"/>
      <c r="DV3" s="76"/>
      <c r="DW3" s="76"/>
      <c r="DX3" s="76"/>
      <c r="DY3" s="76"/>
      <c r="DZ3" s="76"/>
      <c r="EA3" s="76"/>
      <c r="EB3" s="76"/>
      <c r="EC3" s="76"/>
      <c r="ED3" s="76"/>
      <c r="EE3" s="76"/>
      <c r="EF3" s="76"/>
      <c r="EG3" s="76"/>
      <c r="EH3" s="76"/>
      <c r="EI3" s="76"/>
      <c r="EJ3" s="76"/>
      <c r="EK3" s="76"/>
      <c r="EL3" s="76"/>
      <c r="EM3" s="76"/>
      <c r="EN3" s="76"/>
      <c r="EO3" s="76"/>
      <c r="EP3" s="76"/>
      <c r="EQ3" s="76"/>
      <c r="ER3" s="76"/>
      <c r="ES3" s="76"/>
      <c r="ET3" s="76"/>
      <c r="EU3" s="76"/>
      <c r="EV3" s="76"/>
      <c r="EW3" s="76"/>
      <c r="EX3" s="76"/>
      <c r="EY3" s="76"/>
      <c r="EZ3" s="76"/>
      <c r="FA3" s="76"/>
      <c r="FB3" s="76"/>
      <c r="FC3" s="76"/>
      <c r="FD3" s="76"/>
      <c r="FE3" s="76"/>
      <c r="FF3" s="76"/>
      <c r="FG3" s="76"/>
      <c r="FH3" s="76"/>
      <c r="FI3" s="76"/>
      <c r="FJ3" s="76"/>
      <c r="FK3" s="76"/>
      <c r="FL3" s="76"/>
      <c r="FM3" s="76"/>
      <c r="FN3" s="76"/>
      <c r="FO3" s="76"/>
      <c r="FP3" s="76"/>
      <c r="FQ3" s="76"/>
      <c r="FR3" s="76"/>
      <c r="FS3" s="76"/>
      <c r="FT3" s="76"/>
      <c r="FU3" s="76"/>
      <c r="FV3" s="76"/>
      <c r="FW3" s="76"/>
      <c r="FX3" s="76"/>
      <c r="FY3" s="76"/>
      <c r="FZ3" s="76"/>
      <c r="GA3" s="76"/>
      <c r="GB3" s="76"/>
      <c r="GC3" s="76"/>
      <c r="GD3" s="76"/>
      <c r="GE3" s="76"/>
      <c r="GF3" s="76"/>
      <c r="GG3" s="76"/>
      <c r="GH3" s="76"/>
      <c r="GI3" s="76"/>
      <c r="GJ3" s="76"/>
      <c r="GK3" s="76"/>
      <c r="GL3" s="76"/>
      <c r="GM3" s="76"/>
      <c r="GN3" s="76"/>
      <c r="GO3" s="76"/>
      <c r="GP3" s="76"/>
      <c r="GQ3" s="76"/>
      <c r="GR3" s="76"/>
      <c r="GS3" s="76"/>
      <c r="GT3" s="76"/>
      <c r="GU3" s="76"/>
      <c r="GV3" s="76"/>
      <c r="GW3" s="76"/>
      <c r="GX3" s="76"/>
      <c r="GY3" s="76"/>
      <c r="GZ3" s="76"/>
      <c r="HA3" s="76"/>
      <c r="HB3" s="76"/>
      <c r="HC3" s="76"/>
      <c r="HD3" s="76"/>
      <c r="HE3" s="76"/>
      <c r="HF3" s="76"/>
      <c r="HG3" s="76"/>
      <c r="HH3" s="76"/>
      <c r="HI3" s="76"/>
      <c r="HJ3" s="76"/>
      <c r="HK3" s="76"/>
      <c r="HL3" s="76"/>
      <c r="HM3" s="76"/>
      <c r="HN3" s="76"/>
      <c r="HO3" s="76"/>
      <c r="HP3" s="76"/>
      <c r="HQ3" s="76"/>
      <c r="HR3" s="76"/>
      <c r="HS3" s="76"/>
      <c r="HT3" s="76"/>
      <c r="HU3" s="76"/>
      <c r="HV3" s="76"/>
      <c r="HW3" s="76"/>
      <c r="HX3" s="76"/>
      <c r="HY3" s="76"/>
      <c r="HZ3" s="76"/>
      <c r="IA3" s="76"/>
      <c r="IB3" s="76"/>
      <c r="IC3" s="76"/>
      <c r="ID3" s="76"/>
      <c r="IE3" s="76"/>
      <c r="IF3" s="76"/>
      <c r="IG3" s="76"/>
      <c r="IH3" s="76"/>
      <c r="II3" s="76"/>
      <c r="IJ3" s="76"/>
      <c r="IK3" s="76"/>
      <c r="IL3" s="76"/>
      <c r="IM3" s="76"/>
      <c r="IN3" s="76"/>
      <c r="IO3" s="76"/>
      <c r="IP3" s="76"/>
      <c r="IQ3" s="76"/>
      <c r="IR3" s="76"/>
      <c r="IS3" s="76"/>
      <c r="IT3" s="76"/>
      <c r="IU3" s="76"/>
      <c r="IV3" s="76"/>
      <c r="IW3" s="76"/>
      <c r="IX3" s="76"/>
      <c r="IY3" s="76"/>
      <c r="IZ3" s="76"/>
      <c r="JA3" s="76"/>
      <c r="JB3" s="76"/>
      <c r="JC3" s="76"/>
      <c r="JD3" s="76"/>
      <c r="JE3" s="76"/>
      <c r="JF3" s="76"/>
      <c r="JG3" s="76"/>
      <c r="JH3" s="76"/>
      <c r="JI3" s="76"/>
      <c r="JJ3" s="76"/>
      <c r="JK3" s="76"/>
      <c r="JL3" s="76"/>
      <c r="JM3" s="76"/>
    </row>
    <row r="4" spans="1:273">
      <c r="A4" s="42" t="s">
        <v>208</v>
      </c>
      <c r="B4" s="42" t="s">
        <v>209</v>
      </c>
      <c r="C4" s="42" t="s">
        <v>225</v>
      </c>
      <c r="D4" s="60">
        <v>41541</v>
      </c>
      <c r="E4" s="42" t="s">
        <v>227</v>
      </c>
      <c r="F4" s="42">
        <v>0.60750157991999998</v>
      </c>
      <c r="G4" s="42">
        <v>5.48780487804878</v>
      </c>
      <c r="H4" s="42">
        <v>21</v>
      </c>
      <c r="I4" s="42">
        <v>1</v>
      </c>
      <c r="J4" s="42">
        <v>0</v>
      </c>
      <c r="K4" s="42">
        <v>0</v>
      </c>
      <c r="L4" s="42" t="s">
        <v>454</v>
      </c>
      <c r="M4" s="42" t="s">
        <v>614</v>
      </c>
      <c r="N4" s="42">
        <v>0.80477247768666604</v>
      </c>
      <c r="O4" s="61" t="s">
        <v>455</v>
      </c>
      <c r="P4" s="42">
        <v>23.610664594430364</v>
      </c>
      <c r="Q4" s="42">
        <v>6.8561798327244308</v>
      </c>
      <c r="R4" s="42">
        <v>4.0694622398512541</v>
      </c>
      <c r="S4" s="42">
        <v>0.54391171643270031</v>
      </c>
      <c r="T4" s="42" t="s">
        <v>455</v>
      </c>
      <c r="U4" s="42" t="s">
        <v>455</v>
      </c>
      <c r="V4" s="42" t="s">
        <v>456</v>
      </c>
      <c r="W4" s="42" t="s">
        <v>455</v>
      </c>
      <c r="X4" s="42">
        <v>0</v>
      </c>
      <c r="Y4" s="42">
        <v>2.0097376359084502</v>
      </c>
      <c r="Z4" s="42" t="s">
        <v>456</v>
      </c>
      <c r="AA4" s="42" t="s">
        <v>455</v>
      </c>
      <c r="AB4" s="42" t="s">
        <v>456</v>
      </c>
      <c r="AC4" s="42" t="s">
        <v>455</v>
      </c>
      <c r="AD4" s="42" t="s">
        <v>613</v>
      </c>
      <c r="AE4" s="42" t="s">
        <v>123</v>
      </c>
      <c r="AF4" s="42">
        <v>0.79779941005412924</v>
      </c>
      <c r="AG4" s="42">
        <v>12</v>
      </c>
      <c r="AH4" s="62">
        <v>42880.574386574073</v>
      </c>
      <c r="AJ4" s="63" t="s">
        <v>671</v>
      </c>
      <c r="AK4" s="61">
        <v>99.792781320861877</v>
      </c>
      <c r="AL4" s="61">
        <v>0.41407336231041936</v>
      </c>
      <c r="AM4" s="61">
        <v>0.13144776599930141</v>
      </c>
      <c r="AN4" s="61" t="s">
        <v>455</v>
      </c>
      <c r="AO4" s="61" t="s">
        <v>455</v>
      </c>
      <c r="AP4" s="61">
        <v>0.17988005062369949</v>
      </c>
      <c r="AQ4" s="61">
        <v>-0.97859079633667678</v>
      </c>
      <c r="AR4" s="61">
        <v>4.8564909609689355</v>
      </c>
      <c r="AS4" s="61">
        <v>633737.7126959723</v>
      </c>
      <c r="AT4" s="61" t="s">
        <v>455</v>
      </c>
      <c r="AU4" s="61" t="s">
        <v>455</v>
      </c>
      <c r="AV4" s="42">
        <v>4.4477003383180896E-6</v>
      </c>
      <c r="AW4" s="42">
        <v>4.4477003383180903E-8</v>
      </c>
      <c r="AX4" s="42">
        <v>2.5373849131212002E-7</v>
      </c>
      <c r="AY4" s="42">
        <v>3.8060773696818E-9</v>
      </c>
      <c r="AZ4" s="42" t="s">
        <v>455</v>
      </c>
      <c r="BA4" s="42" t="s">
        <v>455</v>
      </c>
      <c r="BB4" s="42" t="s">
        <v>455</v>
      </c>
      <c r="BC4" s="42" t="s">
        <v>455</v>
      </c>
      <c r="BD4" s="42" t="s">
        <v>455</v>
      </c>
      <c r="BE4" s="42" t="s">
        <v>455</v>
      </c>
      <c r="BF4" s="42" t="s">
        <v>455</v>
      </c>
      <c r="BG4" s="42" t="s">
        <v>455</v>
      </c>
      <c r="BH4" s="42" t="s">
        <v>455</v>
      </c>
      <c r="BI4" s="42" t="s">
        <v>455</v>
      </c>
      <c r="BJ4" s="42" t="s">
        <v>455</v>
      </c>
      <c r="BK4" s="42" t="s">
        <v>455</v>
      </c>
      <c r="BL4" s="42" t="s">
        <v>455</v>
      </c>
      <c r="BM4" s="42" t="s">
        <v>455</v>
      </c>
      <c r="BN4" s="42" t="s">
        <v>455</v>
      </c>
      <c r="BO4" s="42" t="s">
        <v>455</v>
      </c>
      <c r="BP4" s="42" t="s">
        <v>455</v>
      </c>
      <c r="BQ4" s="42" t="s">
        <v>455</v>
      </c>
      <c r="BR4" s="42" t="s">
        <v>455</v>
      </c>
      <c r="BS4" s="42" t="s">
        <v>455</v>
      </c>
      <c r="BT4" s="42" t="s">
        <v>455</v>
      </c>
      <c r="BU4" s="42" t="s">
        <v>455</v>
      </c>
      <c r="BV4" s="42" t="s">
        <v>455</v>
      </c>
      <c r="BW4" s="42" t="s">
        <v>455</v>
      </c>
      <c r="BX4" s="42" t="s">
        <v>455</v>
      </c>
      <c r="BY4" s="42" t="s">
        <v>455</v>
      </c>
      <c r="BZ4" s="42" t="s">
        <v>455</v>
      </c>
      <c r="CA4" s="42" t="s">
        <v>455</v>
      </c>
      <c r="CB4" s="42" t="s">
        <v>455</v>
      </c>
      <c r="CC4" s="42" t="s">
        <v>455</v>
      </c>
      <c r="CD4" s="42" t="s">
        <v>455</v>
      </c>
      <c r="CE4" s="42" t="s">
        <v>455</v>
      </c>
      <c r="CF4" s="42" t="s">
        <v>455</v>
      </c>
      <c r="CG4" s="42" t="s">
        <v>455</v>
      </c>
      <c r="CH4" s="42" t="s">
        <v>455</v>
      </c>
      <c r="CI4" s="42" t="s">
        <v>455</v>
      </c>
      <c r="CJ4" s="42" t="s">
        <v>455</v>
      </c>
      <c r="CK4" s="42" t="s">
        <v>455</v>
      </c>
      <c r="CL4" s="42" t="s">
        <v>455</v>
      </c>
      <c r="CM4" s="42" t="s">
        <v>455</v>
      </c>
      <c r="CN4" s="42" t="s">
        <v>455</v>
      </c>
      <c r="CO4" s="42" t="s">
        <v>455</v>
      </c>
      <c r="CP4" s="42" t="s">
        <v>455</v>
      </c>
      <c r="CQ4" s="42" t="s">
        <v>455</v>
      </c>
      <c r="CR4" s="42">
        <v>0.58365456838212904</v>
      </c>
      <c r="CS4" s="42">
        <v>5.8365456838212905E-2</v>
      </c>
      <c r="CT4" s="42" t="s">
        <v>455</v>
      </c>
      <c r="CU4" s="42" t="s">
        <v>455</v>
      </c>
      <c r="CV4" s="42" t="s">
        <v>455</v>
      </c>
      <c r="CW4" s="42" t="s">
        <v>455</v>
      </c>
      <c r="CX4" s="42">
        <v>16.401067505721102</v>
      </c>
      <c r="CY4" s="42">
        <v>1.6401067505721103</v>
      </c>
      <c r="CZ4" s="42">
        <v>0.18079081595203</v>
      </c>
      <c r="DA4" s="42">
        <v>1.8079081595203002E-2</v>
      </c>
      <c r="DB4" s="42">
        <v>3.0709621470881099</v>
      </c>
      <c r="DC4" s="42">
        <v>0.30709621470881099</v>
      </c>
      <c r="DD4" s="42">
        <v>20.007606112844801</v>
      </c>
      <c r="DE4" s="42">
        <v>2.00076061128448</v>
      </c>
      <c r="DF4" s="42" t="s">
        <v>455</v>
      </c>
      <c r="DG4" s="42" t="s">
        <v>455</v>
      </c>
      <c r="DH4" s="42" t="s">
        <v>455</v>
      </c>
      <c r="DI4" s="42" t="s">
        <v>455</v>
      </c>
      <c r="DJ4" s="42">
        <v>0.99785540276097739</v>
      </c>
      <c r="DK4" s="42">
        <v>0.99933903722158868</v>
      </c>
      <c r="DL4" s="42">
        <v>2.8738824491893848E-2</v>
      </c>
      <c r="DM4" s="42">
        <v>0.99931947987309844</v>
      </c>
      <c r="DN4" s="42">
        <v>4.4127171410811284E-8</v>
      </c>
      <c r="DO4" s="42">
        <v>1.7943799669455834E-7</v>
      </c>
      <c r="DP4" s="42">
        <v>2.8977370999601706E-4</v>
      </c>
      <c r="DQ4" s="42">
        <v>6.3518556257888583E-8</v>
      </c>
      <c r="DR4" s="42">
        <v>8.5222749301288297E-9</v>
      </c>
      <c r="DS4" s="42">
        <v>1.1139052709810209E-2</v>
      </c>
      <c r="DT4" s="42">
        <v>5.9278050690252451E-3</v>
      </c>
      <c r="DU4" s="42">
        <v>2.6580773090511872E-4</v>
      </c>
      <c r="DV4" s="42">
        <v>4.4204418405972434E-8</v>
      </c>
      <c r="DW4" s="42">
        <v>9.9262549456827261E-9</v>
      </c>
      <c r="DX4" s="42">
        <v>1.7882930377065724E-7</v>
      </c>
      <c r="DY4" s="42">
        <v>2.1323982136820577E-8</v>
      </c>
      <c r="DZ4" s="42">
        <v>7.3982823520495818E-8</v>
      </c>
      <c r="EA4" s="42">
        <v>3.8008777320210714E-5</v>
      </c>
      <c r="EB4" s="42">
        <v>4.6391869534304291E-9</v>
      </c>
      <c r="EC4" s="42">
        <v>3.5404321486705936E-10</v>
      </c>
      <c r="ED4" s="42">
        <v>3.1775988953654539E-3</v>
      </c>
      <c r="EE4" s="42">
        <v>8.52389560759244E-4</v>
      </c>
      <c r="EF4" s="42">
        <v>1.4243117839479215E-6</v>
      </c>
      <c r="EG4" s="42">
        <v>5.7379417581902679E-9</v>
      </c>
      <c r="EH4" s="42">
        <v>2.3602880991137274E-9</v>
      </c>
      <c r="EI4" s="42">
        <v>1.3022279167524114E-9</v>
      </c>
      <c r="EJ4" s="42">
        <v>6.5451153547631861E-8</v>
      </c>
      <c r="EK4" s="42">
        <v>2.5342082021505416E-7</v>
      </c>
      <c r="EL4" s="42">
        <v>3.2778248731622778E-4</v>
      </c>
      <c r="EM4" s="42">
        <v>6.8157743211319012E-8</v>
      </c>
      <c r="EN4" s="42">
        <v>8.876318144995889E-9</v>
      </c>
      <c r="EO4" s="42">
        <v>1.4316651605175663E-2</v>
      </c>
      <c r="EP4" s="42">
        <v>6.7801946297844891E-3</v>
      </c>
      <c r="EQ4" s="42">
        <v>2.6723204268906664E-4</v>
      </c>
      <c r="ER4" s="42">
        <v>4.9942360164162702E-8</v>
      </c>
      <c r="ES4" s="42">
        <v>1.2286543044796453E-8</v>
      </c>
      <c r="ET4" s="42">
        <v>1.8013153168740965E-7</v>
      </c>
      <c r="EU4" s="42">
        <v>1.9636746205477717E-6</v>
      </c>
      <c r="EV4" s="42">
        <v>7.9851108290664228E-6</v>
      </c>
      <c r="EW4" s="42">
        <v>1.2912975847034497E-2</v>
      </c>
      <c r="EX4" s="42">
        <v>2.8357920569209573E-6</v>
      </c>
      <c r="EY4" s="42">
        <v>3.8196199705638948E-7</v>
      </c>
      <c r="EZ4" s="42">
        <v>0.49621333993409023</v>
      </c>
      <c r="FA4" s="42">
        <v>0.26390168263767061</v>
      </c>
      <c r="FB4" s="42">
        <v>1.1914904109397993E-2</v>
      </c>
      <c r="FC4" s="42">
        <v>1.9679493946777188E-6</v>
      </c>
      <c r="FD4" s="42">
        <v>4.4190983879416349E-7</v>
      </c>
      <c r="FE4" s="42">
        <v>7.9613539278814284E-6</v>
      </c>
      <c r="FF4" s="42">
        <v>9.4892469180178426E-7</v>
      </c>
      <c r="FG4" s="42">
        <v>3.2922851131916161E-6</v>
      </c>
      <c r="FH4" s="42">
        <v>1.6937575997420171E-3</v>
      </c>
      <c r="FI4" s="42">
        <v>2.071169479938469E-7</v>
      </c>
      <c r="FJ4" s="42">
        <v>1.5867952454432519E-8</v>
      </c>
      <c r="FK4" s="42">
        <v>0.14155305679193908</v>
      </c>
      <c r="FL4" s="42">
        <v>3.794777944412725E-2</v>
      </c>
      <c r="FM4" s="42">
        <v>6.3845164585085018E-5</v>
      </c>
      <c r="FN4" s="42">
        <v>2.5544910253136341E-7</v>
      </c>
      <c r="FO4" s="42">
        <v>1.0507835423275941E-7</v>
      </c>
      <c r="FP4" s="42">
        <v>5.7974264404281141E-8</v>
      </c>
      <c r="FQ4" s="42">
        <v>2.912599312349556E-6</v>
      </c>
      <c r="FR4" s="42">
        <v>1.1277395942258039E-5</v>
      </c>
      <c r="FS4" s="42">
        <v>1.4606733446776514E-2</v>
      </c>
      <c r="FT4" s="42">
        <v>3.0429090049148042E-6</v>
      </c>
      <c r="FU4" s="42">
        <v>3.97829949510822E-7</v>
      </c>
      <c r="FV4" s="42">
        <v>0.63776639672602931</v>
      </c>
      <c r="FW4" s="42">
        <v>0.30184946208179786</v>
      </c>
      <c r="FX4" s="42">
        <v>1.1978749273983078E-2</v>
      </c>
      <c r="FY4" s="42">
        <v>2.2233984972090822E-6</v>
      </c>
      <c r="FZ4" s="42">
        <v>5.469881930269229E-7</v>
      </c>
      <c r="GA4" s="42">
        <v>8.0193281922857095E-6</v>
      </c>
      <c r="GB4" s="42">
        <v>7.8598437024318462E-6</v>
      </c>
      <c r="GC4" s="42">
        <v>1.611371409973117E-4</v>
      </c>
      <c r="GD4" s="42">
        <v>0.51584755913733404</v>
      </c>
      <c r="GE4" s="42">
        <v>2.3763370278586239E-4</v>
      </c>
      <c r="GF4" s="42">
        <v>5.0148936479524544E-5</v>
      </c>
      <c r="GG4" s="42">
        <v>13.900622776909643</v>
      </c>
      <c r="GH4" s="42">
        <v>8.4445371623862933</v>
      </c>
      <c r="GI4" s="42">
        <v>0.52436897240255098</v>
      </c>
      <c r="GJ4" s="42">
        <v>3.157074944614151E-5</v>
      </c>
      <c r="GK4" s="42">
        <v>8.908372058283784E-7</v>
      </c>
      <c r="GL4" s="42">
        <v>3.504014781570597E-4</v>
      </c>
      <c r="GM4" s="42" t="s">
        <v>455</v>
      </c>
      <c r="GN4" s="42" t="s">
        <v>455</v>
      </c>
      <c r="GO4" s="42" t="s">
        <v>455</v>
      </c>
      <c r="GP4" s="42" t="s">
        <v>455</v>
      </c>
      <c r="GQ4" s="42" t="s">
        <v>455</v>
      </c>
      <c r="GR4" s="42" t="s">
        <v>455</v>
      </c>
      <c r="GS4" s="42" t="s">
        <v>455</v>
      </c>
      <c r="GT4" s="42" t="s">
        <v>455</v>
      </c>
      <c r="GU4" s="42" t="s">
        <v>455</v>
      </c>
      <c r="GV4" s="42" t="s">
        <v>455</v>
      </c>
      <c r="GW4" s="42" t="s">
        <v>455</v>
      </c>
      <c r="GX4" s="42" t="s">
        <v>455</v>
      </c>
      <c r="GY4" s="42" t="s">
        <v>455</v>
      </c>
      <c r="GZ4" s="42" t="s">
        <v>455</v>
      </c>
      <c r="HA4" s="42" t="s">
        <v>455</v>
      </c>
      <c r="HB4" s="42" t="s">
        <v>455</v>
      </c>
      <c r="HC4" s="42" t="s">
        <v>455</v>
      </c>
      <c r="HD4" s="42" t="s">
        <v>455</v>
      </c>
      <c r="HE4" s="42" t="s">
        <v>455</v>
      </c>
      <c r="HF4" s="42" t="s">
        <v>455</v>
      </c>
      <c r="HG4" s="42" t="s">
        <v>455</v>
      </c>
      <c r="HH4" s="42" t="s">
        <v>455</v>
      </c>
      <c r="HI4" s="42" t="s">
        <v>455</v>
      </c>
      <c r="HJ4" s="42" t="s">
        <v>455</v>
      </c>
      <c r="HK4" s="42" t="s">
        <v>455</v>
      </c>
      <c r="HL4" s="42" t="s">
        <v>455</v>
      </c>
      <c r="HM4" s="42" t="s">
        <v>455</v>
      </c>
      <c r="HN4" s="42" t="s">
        <v>455</v>
      </c>
      <c r="HO4" s="42" t="s">
        <v>455</v>
      </c>
      <c r="HP4" s="42" t="s">
        <v>455</v>
      </c>
      <c r="HQ4" s="42" t="s">
        <v>455</v>
      </c>
      <c r="HR4" s="42" t="s">
        <v>455</v>
      </c>
      <c r="HS4" s="42" t="s">
        <v>455</v>
      </c>
      <c r="HT4" s="42" t="s">
        <v>455</v>
      </c>
      <c r="HU4" s="42" t="s">
        <v>455</v>
      </c>
      <c r="HV4" s="42" t="s">
        <v>455</v>
      </c>
      <c r="HW4" s="42" t="s">
        <v>455</v>
      </c>
      <c r="HX4" s="42" t="s">
        <v>455</v>
      </c>
      <c r="HY4" s="42" t="s">
        <v>455</v>
      </c>
      <c r="HZ4" s="42" t="s">
        <v>455</v>
      </c>
      <c r="IA4" s="42" t="s">
        <v>455</v>
      </c>
      <c r="IB4" s="42" t="s">
        <v>455</v>
      </c>
      <c r="IC4" s="42" t="s">
        <v>455</v>
      </c>
      <c r="ID4" s="42" t="s">
        <v>455</v>
      </c>
      <c r="IE4" s="42" t="s">
        <v>455</v>
      </c>
      <c r="IF4" s="42" t="s">
        <v>455</v>
      </c>
      <c r="IG4" s="42" t="s">
        <v>455</v>
      </c>
      <c r="IH4" s="42" t="s">
        <v>455</v>
      </c>
      <c r="II4" s="42" t="s">
        <v>455</v>
      </c>
      <c r="IJ4" s="42" t="s">
        <v>455</v>
      </c>
      <c r="IK4" s="42" t="s">
        <v>455</v>
      </c>
      <c r="IL4" s="42" t="s">
        <v>455</v>
      </c>
      <c r="IM4" s="42" t="s">
        <v>455</v>
      </c>
      <c r="IN4" s="42" t="s">
        <v>455</v>
      </c>
      <c r="IO4" s="42" t="s">
        <v>455</v>
      </c>
      <c r="IP4" s="42" t="s">
        <v>455</v>
      </c>
      <c r="IQ4" s="42" t="s">
        <v>455</v>
      </c>
      <c r="IR4" s="42" t="s">
        <v>455</v>
      </c>
      <c r="IS4" s="42" t="s">
        <v>455</v>
      </c>
      <c r="IT4" s="42" t="s">
        <v>455</v>
      </c>
      <c r="IU4" s="42" t="s">
        <v>455</v>
      </c>
      <c r="IV4" s="42" t="s">
        <v>455</v>
      </c>
      <c r="IW4" s="42" t="s">
        <v>455</v>
      </c>
      <c r="IX4" s="42" t="s">
        <v>455</v>
      </c>
      <c r="IY4" s="42" t="s">
        <v>455</v>
      </c>
      <c r="IZ4" s="42" t="s">
        <v>455</v>
      </c>
      <c r="JA4" s="42" t="s">
        <v>455</v>
      </c>
      <c r="JB4" s="42" t="s">
        <v>455</v>
      </c>
      <c r="JC4" s="42" t="s">
        <v>455</v>
      </c>
      <c r="JD4" s="42" t="s">
        <v>455</v>
      </c>
      <c r="JE4" s="42" t="s">
        <v>455</v>
      </c>
      <c r="JF4" s="42" t="s">
        <v>455</v>
      </c>
      <c r="JG4" s="42" t="s">
        <v>455</v>
      </c>
      <c r="JH4" s="42" t="s">
        <v>455</v>
      </c>
      <c r="JI4" s="42" t="s">
        <v>455</v>
      </c>
      <c r="JJ4" s="42" t="s">
        <v>455</v>
      </c>
      <c r="JK4" s="42" t="s">
        <v>455</v>
      </c>
      <c r="JL4" s="42" t="s">
        <v>455</v>
      </c>
      <c r="JM4" s="42" t="s">
        <v>455</v>
      </c>
    </row>
    <row r="5" spans="1:273">
      <c r="A5" s="42" t="s">
        <v>208</v>
      </c>
      <c r="B5" s="42" t="s">
        <v>209</v>
      </c>
      <c r="C5" s="42" t="s">
        <v>225</v>
      </c>
      <c r="D5" s="60">
        <v>41541</v>
      </c>
      <c r="E5" s="42" t="s">
        <v>226</v>
      </c>
      <c r="F5" s="42">
        <v>0.60750157991999998</v>
      </c>
      <c r="G5" s="42">
        <v>5.48780487804878</v>
      </c>
      <c r="H5" s="42">
        <v>21</v>
      </c>
      <c r="I5" s="42">
        <v>1</v>
      </c>
      <c r="J5" s="42">
        <v>0</v>
      </c>
      <c r="K5" s="42">
        <v>0</v>
      </c>
      <c r="L5" s="42" t="s">
        <v>454</v>
      </c>
      <c r="M5" s="42" t="s">
        <v>614</v>
      </c>
      <c r="N5" s="42">
        <v>1.1362658029419817</v>
      </c>
      <c r="O5" s="61" t="s">
        <v>455</v>
      </c>
      <c r="P5" s="42">
        <v>24.771653331522945</v>
      </c>
      <c r="Q5" s="42">
        <v>7.0117201550685602</v>
      </c>
      <c r="R5" s="42">
        <v>4.151276565406798</v>
      </c>
      <c r="S5" s="42">
        <v>0.54183641229979407</v>
      </c>
      <c r="T5" s="42" t="s">
        <v>455</v>
      </c>
      <c r="U5" s="42" t="s">
        <v>455</v>
      </c>
      <c r="V5" s="42" t="s">
        <v>456</v>
      </c>
      <c r="W5" s="42" t="s">
        <v>455</v>
      </c>
      <c r="X5" s="42">
        <v>0</v>
      </c>
      <c r="Y5" s="42">
        <v>1.9622407290640105</v>
      </c>
      <c r="Z5" s="42" t="s">
        <v>456</v>
      </c>
      <c r="AA5" s="42" t="s">
        <v>455</v>
      </c>
      <c r="AB5" s="42" t="s">
        <v>456</v>
      </c>
      <c r="AC5" s="42" t="s">
        <v>455</v>
      </c>
      <c r="AD5" s="42" t="s">
        <v>613</v>
      </c>
      <c r="AE5" s="42" t="s">
        <v>123</v>
      </c>
      <c r="AF5" s="42">
        <v>1.1293178915976843</v>
      </c>
      <c r="AG5" s="42">
        <v>12</v>
      </c>
      <c r="AH5" s="62">
        <v>42880.574386574073</v>
      </c>
      <c r="AJ5" s="63" t="s">
        <v>670</v>
      </c>
      <c r="AK5" s="61">
        <v>100.11218604065442</v>
      </c>
      <c r="AL5" s="61">
        <v>0.42588891879499036</v>
      </c>
      <c r="AM5" s="61">
        <v>0.13685316395009672</v>
      </c>
      <c r="AN5" s="61" t="s">
        <v>455</v>
      </c>
      <c r="AO5" s="61" t="s">
        <v>455</v>
      </c>
      <c r="AP5" s="61">
        <v>0.17212240077633445</v>
      </c>
      <c r="AQ5" s="61">
        <v>-0.97920421549293513</v>
      </c>
      <c r="AR5" s="61">
        <v>5.0882143715302099</v>
      </c>
      <c r="AS5" s="61">
        <v>647511.69268238393</v>
      </c>
      <c r="AT5" s="61" t="s">
        <v>455</v>
      </c>
      <c r="AU5" s="61" t="s">
        <v>455</v>
      </c>
      <c r="AV5" s="42">
        <v>4.4477003383180896E-6</v>
      </c>
      <c r="AW5" s="42">
        <v>4.4477003383180903E-8</v>
      </c>
      <c r="AX5" s="42">
        <v>2.5373849131212002E-7</v>
      </c>
      <c r="AY5" s="42">
        <v>3.8060773696818E-9</v>
      </c>
      <c r="AZ5" s="42" t="s">
        <v>455</v>
      </c>
      <c r="BA5" s="42" t="s">
        <v>455</v>
      </c>
      <c r="BB5" s="42" t="s">
        <v>455</v>
      </c>
      <c r="BC5" s="42" t="s">
        <v>455</v>
      </c>
      <c r="BD5" s="42" t="s">
        <v>455</v>
      </c>
      <c r="BE5" s="42" t="s">
        <v>455</v>
      </c>
      <c r="BF5" s="42" t="s">
        <v>455</v>
      </c>
      <c r="BG5" s="42" t="s">
        <v>455</v>
      </c>
      <c r="BH5" s="42" t="s">
        <v>455</v>
      </c>
      <c r="BI5" s="42" t="s">
        <v>455</v>
      </c>
      <c r="BJ5" s="42" t="s">
        <v>455</v>
      </c>
      <c r="BK5" s="42" t="s">
        <v>455</v>
      </c>
      <c r="BL5" s="42" t="s">
        <v>455</v>
      </c>
      <c r="BM5" s="42" t="s">
        <v>455</v>
      </c>
      <c r="BN5" s="42" t="s">
        <v>455</v>
      </c>
      <c r="BO5" s="42" t="s">
        <v>455</v>
      </c>
      <c r="BP5" s="42" t="s">
        <v>455</v>
      </c>
      <c r="BQ5" s="42" t="s">
        <v>455</v>
      </c>
      <c r="BR5" s="42" t="s">
        <v>455</v>
      </c>
      <c r="BS5" s="42" t="s">
        <v>455</v>
      </c>
      <c r="BT5" s="42" t="s">
        <v>455</v>
      </c>
      <c r="BU5" s="42" t="s">
        <v>455</v>
      </c>
      <c r="BV5" s="42" t="s">
        <v>455</v>
      </c>
      <c r="BW5" s="42" t="s">
        <v>455</v>
      </c>
      <c r="BX5" s="42" t="s">
        <v>455</v>
      </c>
      <c r="BY5" s="42" t="s">
        <v>455</v>
      </c>
      <c r="BZ5" s="42" t="s">
        <v>455</v>
      </c>
      <c r="CA5" s="42" t="s">
        <v>455</v>
      </c>
      <c r="CB5" s="42" t="s">
        <v>455</v>
      </c>
      <c r="CC5" s="42" t="s">
        <v>455</v>
      </c>
      <c r="CD5" s="42" t="s">
        <v>455</v>
      </c>
      <c r="CE5" s="42" t="s">
        <v>455</v>
      </c>
      <c r="CF5" s="42" t="s">
        <v>455</v>
      </c>
      <c r="CG5" s="42" t="s">
        <v>455</v>
      </c>
      <c r="CH5" s="42" t="s">
        <v>455</v>
      </c>
      <c r="CI5" s="42" t="s">
        <v>455</v>
      </c>
      <c r="CJ5" s="42" t="s">
        <v>455</v>
      </c>
      <c r="CK5" s="42" t="s">
        <v>455</v>
      </c>
      <c r="CL5" s="42" t="s">
        <v>455</v>
      </c>
      <c r="CM5" s="42" t="s">
        <v>455</v>
      </c>
      <c r="CN5" s="42" t="s">
        <v>455</v>
      </c>
      <c r="CO5" s="42" t="s">
        <v>455</v>
      </c>
      <c r="CP5" s="42" t="s">
        <v>455</v>
      </c>
      <c r="CQ5" s="42" t="s">
        <v>455</v>
      </c>
      <c r="CR5" s="42">
        <v>0.57388255002350497</v>
      </c>
      <c r="CS5" s="42">
        <v>5.7388255002350501E-2</v>
      </c>
      <c r="CT5" s="42" t="s">
        <v>455</v>
      </c>
      <c r="CU5" s="42" t="s">
        <v>455</v>
      </c>
      <c r="CV5" s="42" t="s">
        <v>455</v>
      </c>
      <c r="CW5" s="42" t="s">
        <v>455</v>
      </c>
      <c r="CX5" s="42">
        <v>15.976578116515901</v>
      </c>
      <c r="CY5" s="42">
        <v>1.5976578116515903</v>
      </c>
      <c r="CZ5" s="42">
        <v>0.17185644692194399</v>
      </c>
      <c r="DA5" s="42">
        <v>1.7185644692194399E-2</v>
      </c>
      <c r="DB5" s="42">
        <v>3.08614385762084</v>
      </c>
      <c r="DC5" s="42">
        <v>0.308614385762084</v>
      </c>
      <c r="DD5" s="42">
        <v>19.967107110891799</v>
      </c>
      <c r="DE5" s="42">
        <v>1.99671071108918</v>
      </c>
      <c r="DF5" s="42" t="s">
        <v>455</v>
      </c>
      <c r="DG5" s="42" t="s">
        <v>455</v>
      </c>
      <c r="DH5" s="42" t="s">
        <v>455</v>
      </c>
      <c r="DI5" s="42" t="s">
        <v>455</v>
      </c>
      <c r="DJ5" s="42">
        <v>0.99756585324983738</v>
      </c>
      <c r="DK5" s="42">
        <v>0.99933903722158868</v>
      </c>
      <c r="DL5" s="42">
        <v>3.0811571518555569E-2</v>
      </c>
      <c r="DM5" s="42">
        <v>0.99931802448421003</v>
      </c>
      <c r="DN5" s="42">
        <v>4.39877774626472E-8</v>
      </c>
      <c r="DO5" s="42">
        <v>1.7795109280080021E-7</v>
      </c>
      <c r="DP5" s="42">
        <v>2.836496709769027E-4</v>
      </c>
      <c r="DQ5" s="42">
        <v>6.1814482769065432E-8</v>
      </c>
      <c r="DR5" s="42">
        <v>8.2454755091950983E-9</v>
      </c>
      <c r="DS5" s="42">
        <v>1.0925739476725984E-2</v>
      </c>
      <c r="DT5" s="42">
        <v>5.8027601646542084E-3</v>
      </c>
      <c r="DU5" s="42">
        <v>2.5702945232827345E-4</v>
      </c>
      <c r="DV5" s="42">
        <v>4.3189053790237308E-8</v>
      </c>
      <c r="DW5" s="42">
        <v>9.8405042336136135E-9</v>
      </c>
      <c r="DX5" s="42">
        <v>1.7262518082511763E-7</v>
      </c>
      <c r="DY5" s="42">
        <v>2.1752689202731618E-8</v>
      </c>
      <c r="DZ5" s="42">
        <v>7.5470207959095548E-8</v>
      </c>
      <c r="EA5" s="42">
        <v>3.8772923120899505E-5</v>
      </c>
      <c r="EB5" s="42">
        <v>4.7324552845637511E-9</v>
      </c>
      <c r="EC5" s="42">
        <v>3.6116106119039209E-10</v>
      </c>
      <c r="ED5" s="42">
        <v>3.241482793332244E-3</v>
      </c>
      <c r="EE5" s="42">
        <v>8.6952638939010764E-4</v>
      </c>
      <c r="EF5" s="42">
        <v>1.4529467978924055E-6</v>
      </c>
      <c r="EG5" s="42">
        <v>5.853299957223588E-9</v>
      </c>
      <c r="EH5" s="42">
        <v>2.4077404079359434E-9</v>
      </c>
      <c r="EI5" s="42">
        <v>1.3284085009301711E-9</v>
      </c>
      <c r="EJ5" s="42">
        <v>6.5740466665378819E-8</v>
      </c>
      <c r="EK5" s="42">
        <v>2.5342130075989576E-7</v>
      </c>
      <c r="EL5" s="42">
        <v>3.224225940978022E-4</v>
      </c>
      <c r="EM5" s="42">
        <v>6.6546938053629183E-8</v>
      </c>
      <c r="EN5" s="42">
        <v>8.6066365703854904E-9</v>
      </c>
      <c r="EO5" s="42">
        <v>1.4167222270058228E-2</v>
      </c>
      <c r="EP5" s="42">
        <v>6.672286554044316E-3</v>
      </c>
      <c r="EQ5" s="42">
        <v>2.5848239912616586E-4</v>
      </c>
      <c r="ER5" s="42">
        <v>4.9042353747460896E-8</v>
      </c>
      <c r="ES5" s="42">
        <v>1.2248244641549557E-8</v>
      </c>
      <c r="ET5" s="42">
        <v>1.739535893260478E-7</v>
      </c>
      <c r="EU5" s="42">
        <v>1.9569035378486011E-6</v>
      </c>
      <c r="EV5" s="42">
        <v>7.9166447576846679E-6</v>
      </c>
      <c r="EW5" s="42">
        <v>1.2636406940758845E-2</v>
      </c>
      <c r="EX5" s="42">
        <v>2.7589127409403904E-6</v>
      </c>
      <c r="EY5" s="42">
        <v>3.6944881900238214E-7</v>
      </c>
      <c r="EZ5" s="42">
        <v>0.48656960806133165</v>
      </c>
      <c r="FA5" s="42">
        <v>0.25825981060308029</v>
      </c>
      <c r="FB5" s="42">
        <v>1.1518072185534904E-2</v>
      </c>
      <c r="FC5" s="42">
        <v>1.9221881545155352E-6</v>
      </c>
      <c r="FD5" s="42">
        <v>4.3796515580500582E-7</v>
      </c>
      <c r="FE5" s="42">
        <v>7.6829207549842017E-6</v>
      </c>
      <c r="FF5" s="42">
        <v>9.6772141976697219E-7</v>
      </c>
      <c r="FG5" s="42">
        <v>3.3575001805106015E-6</v>
      </c>
      <c r="FH5" s="42">
        <v>1.7273083136357305E-3</v>
      </c>
      <c r="FI5" s="42">
        <v>2.1121961384505182E-7</v>
      </c>
      <c r="FJ5" s="42">
        <v>1.6182272008162499E-8</v>
      </c>
      <c r="FK5" s="42">
        <v>0.14435700353728809</v>
      </c>
      <c r="FL5" s="42">
        <v>3.8699466162005591E-2</v>
      </c>
      <c r="FM5" s="42">
        <v>6.5109838379503668E-5</v>
      </c>
      <c r="FN5" s="42">
        <v>2.6050915348242078E-7</v>
      </c>
      <c r="FO5" s="42">
        <v>1.0715979363106671E-7</v>
      </c>
      <c r="FP5" s="42">
        <v>5.9122644761968365E-8</v>
      </c>
      <c r="FQ5" s="42">
        <v>2.9246249576155733E-6</v>
      </c>
      <c r="FR5" s="42">
        <v>1.1274144938195269E-5</v>
      </c>
      <c r="FS5" s="42">
        <v>1.4363715254394576E-2</v>
      </c>
      <c r="FT5" s="42">
        <v>2.9701323547854422E-6</v>
      </c>
      <c r="FU5" s="42">
        <v>3.8563109101054464E-7</v>
      </c>
      <c r="FV5" s="42">
        <v>0.63092661159861974</v>
      </c>
      <c r="FW5" s="42">
        <v>0.29695927676508588</v>
      </c>
      <c r="FX5" s="42">
        <v>1.1583182023914408E-2</v>
      </c>
      <c r="FY5" s="42">
        <v>2.182697307997956E-6</v>
      </c>
      <c r="FZ5" s="42">
        <v>5.4512494943607253E-7</v>
      </c>
      <c r="GA5" s="42">
        <v>7.7420433997461701E-6</v>
      </c>
      <c r="GB5" s="42">
        <v>7.8327416300442744E-6</v>
      </c>
      <c r="GC5" s="42">
        <v>1.5975551621664929E-4</v>
      </c>
      <c r="GD5" s="42">
        <v>0.50479918446943439</v>
      </c>
      <c r="GE5" s="42">
        <v>2.3119136986532283E-4</v>
      </c>
      <c r="GF5" s="42">
        <v>4.8506043793279759E-5</v>
      </c>
      <c r="GG5" s="42">
        <v>13.630469058465309</v>
      </c>
      <c r="GH5" s="42">
        <v>8.2640040275258446</v>
      </c>
      <c r="GI5" s="42">
        <v>0.50690459784929842</v>
      </c>
      <c r="GJ5" s="42">
        <v>3.0836626581289289E-5</v>
      </c>
      <c r="GK5" s="42">
        <v>8.8288519828419516E-7</v>
      </c>
      <c r="GL5" s="42">
        <v>3.3814685460496866E-4</v>
      </c>
      <c r="GM5" s="42" t="s">
        <v>455</v>
      </c>
      <c r="GN5" s="42" t="s">
        <v>455</v>
      </c>
      <c r="GO5" s="42" t="s">
        <v>455</v>
      </c>
      <c r="GP5" s="42" t="s">
        <v>455</v>
      </c>
      <c r="GQ5" s="42" t="s">
        <v>455</v>
      </c>
      <c r="GR5" s="42" t="s">
        <v>455</v>
      </c>
      <c r="GS5" s="42" t="s">
        <v>455</v>
      </c>
      <c r="GT5" s="42" t="s">
        <v>455</v>
      </c>
      <c r="GU5" s="42" t="s">
        <v>455</v>
      </c>
      <c r="GV5" s="42" t="s">
        <v>455</v>
      </c>
      <c r="GW5" s="42" t="s">
        <v>455</v>
      </c>
      <c r="GX5" s="42" t="s">
        <v>455</v>
      </c>
      <c r="GY5" s="42" t="s">
        <v>455</v>
      </c>
      <c r="GZ5" s="42" t="s">
        <v>455</v>
      </c>
      <c r="HA5" s="42" t="s">
        <v>455</v>
      </c>
      <c r="HB5" s="42" t="s">
        <v>455</v>
      </c>
      <c r="HC5" s="42" t="s">
        <v>455</v>
      </c>
      <c r="HD5" s="42" t="s">
        <v>455</v>
      </c>
      <c r="HE5" s="42" t="s">
        <v>455</v>
      </c>
      <c r="HF5" s="42" t="s">
        <v>455</v>
      </c>
      <c r="HG5" s="42" t="s">
        <v>455</v>
      </c>
      <c r="HH5" s="42" t="s">
        <v>455</v>
      </c>
      <c r="HI5" s="42" t="s">
        <v>455</v>
      </c>
      <c r="HJ5" s="42" t="s">
        <v>455</v>
      </c>
      <c r="HK5" s="42" t="s">
        <v>455</v>
      </c>
      <c r="HL5" s="42" t="s">
        <v>455</v>
      </c>
      <c r="HM5" s="42" t="s">
        <v>455</v>
      </c>
      <c r="HN5" s="42" t="s">
        <v>455</v>
      </c>
      <c r="HO5" s="42" t="s">
        <v>455</v>
      </c>
      <c r="HP5" s="42" t="s">
        <v>455</v>
      </c>
      <c r="HQ5" s="42" t="s">
        <v>455</v>
      </c>
      <c r="HR5" s="42" t="s">
        <v>455</v>
      </c>
      <c r="HS5" s="42" t="s">
        <v>455</v>
      </c>
      <c r="HT5" s="42" t="s">
        <v>455</v>
      </c>
      <c r="HU5" s="42" t="s">
        <v>455</v>
      </c>
      <c r="HV5" s="42" t="s">
        <v>455</v>
      </c>
      <c r="HW5" s="42" t="s">
        <v>455</v>
      </c>
      <c r="HX5" s="42" t="s">
        <v>455</v>
      </c>
      <c r="HY5" s="42" t="s">
        <v>455</v>
      </c>
      <c r="HZ5" s="42" t="s">
        <v>455</v>
      </c>
      <c r="IA5" s="42" t="s">
        <v>455</v>
      </c>
      <c r="IB5" s="42" t="s">
        <v>455</v>
      </c>
      <c r="IC5" s="42" t="s">
        <v>455</v>
      </c>
      <c r="ID5" s="42" t="s">
        <v>455</v>
      </c>
      <c r="IE5" s="42" t="s">
        <v>455</v>
      </c>
      <c r="IF5" s="42" t="s">
        <v>455</v>
      </c>
      <c r="IG5" s="42" t="s">
        <v>455</v>
      </c>
      <c r="IH5" s="42" t="s">
        <v>455</v>
      </c>
      <c r="II5" s="42" t="s">
        <v>455</v>
      </c>
      <c r="IJ5" s="42" t="s">
        <v>455</v>
      </c>
      <c r="IK5" s="42" t="s">
        <v>455</v>
      </c>
      <c r="IL5" s="42" t="s">
        <v>455</v>
      </c>
      <c r="IM5" s="42" t="s">
        <v>455</v>
      </c>
      <c r="IN5" s="42" t="s">
        <v>455</v>
      </c>
      <c r="IO5" s="42" t="s">
        <v>455</v>
      </c>
      <c r="IP5" s="42" t="s">
        <v>455</v>
      </c>
      <c r="IQ5" s="42" t="s">
        <v>455</v>
      </c>
      <c r="IR5" s="42" t="s">
        <v>455</v>
      </c>
      <c r="IS5" s="42" t="s">
        <v>455</v>
      </c>
      <c r="IT5" s="42" t="s">
        <v>455</v>
      </c>
      <c r="IU5" s="42" t="s">
        <v>455</v>
      </c>
      <c r="IV5" s="42" t="s">
        <v>455</v>
      </c>
      <c r="IW5" s="42" t="s">
        <v>455</v>
      </c>
      <c r="IX5" s="42" t="s">
        <v>455</v>
      </c>
      <c r="IY5" s="42" t="s">
        <v>455</v>
      </c>
      <c r="IZ5" s="42" t="s">
        <v>455</v>
      </c>
      <c r="JA5" s="42" t="s">
        <v>455</v>
      </c>
      <c r="JB5" s="42" t="s">
        <v>455</v>
      </c>
      <c r="JC5" s="42" t="s">
        <v>455</v>
      </c>
      <c r="JD5" s="42" t="s">
        <v>455</v>
      </c>
      <c r="JE5" s="42" t="s">
        <v>455</v>
      </c>
      <c r="JF5" s="42" t="s">
        <v>455</v>
      </c>
      <c r="JG5" s="42" t="s">
        <v>455</v>
      </c>
      <c r="JH5" s="42" t="s">
        <v>455</v>
      </c>
      <c r="JI5" s="42" t="s">
        <v>455</v>
      </c>
      <c r="JJ5" s="42" t="s">
        <v>455</v>
      </c>
      <c r="JK5" s="42" t="s">
        <v>455</v>
      </c>
      <c r="JL5" s="42" t="s">
        <v>455</v>
      </c>
      <c r="JM5" s="42" t="s">
        <v>455</v>
      </c>
    </row>
    <row r="6" spans="1:273">
      <c r="A6" s="42" t="s">
        <v>208</v>
      </c>
      <c r="B6" s="42" t="s">
        <v>209</v>
      </c>
      <c r="C6" s="42" t="s">
        <v>222</v>
      </c>
      <c r="D6" s="60">
        <v>41541</v>
      </c>
      <c r="E6" s="42" t="s">
        <v>223</v>
      </c>
      <c r="F6" s="42">
        <v>0.60581683578000001</v>
      </c>
      <c r="G6" s="42">
        <v>9.1463414634146307</v>
      </c>
      <c r="H6" s="42">
        <v>20.879999160800001</v>
      </c>
      <c r="I6" s="42">
        <v>1</v>
      </c>
      <c r="J6" s="42">
        <v>0</v>
      </c>
      <c r="K6" s="42">
        <v>0</v>
      </c>
      <c r="L6" s="42" t="s">
        <v>454</v>
      </c>
      <c r="M6" s="42" t="s">
        <v>614</v>
      </c>
      <c r="N6" s="42">
        <v>8.4645861094695158E-26</v>
      </c>
      <c r="O6" s="61" t="s">
        <v>455</v>
      </c>
      <c r="P6" s="42">
        <v>15.427332234696777</v>
      </c>
      <c r="Q6" s="42">
        <v>5.7812858694894356</v>
      </c>
      <c r="R6" s="42">
        <v>3.2256100774440539</v>
      </c>
      <c r="S6" s="42">
        <v>0.56451547424541204</v>
      </c>
      <c r="T6" s="42" t="s">
        <v>455</v>
      </c>
      <c r="U6" s="42" t="s">
        <v>455</v>
      </c>
      <c r="V6" s="42" t="s">
        <v>456</v>
      </c>
      <c r="W6" s="42" t="s">
        <v>455</v>
      </c>
      <c r="X6" s="42">
        <v>2.3726134914221597E-2</v>
      </c>
      <c r="Y6" s="42">
        <v>2.3475884382667993</v>
      </c>
      <c r="Z6" s="42" t="s">
        <v>456</v>
      </c>
      <c r="AA6" s="42" t="s">
        <v>455</v>
      </c>
      <c r="AB6" s="42" t="s">
        <v>456</v>
      </c>
      <c r="AC6" s="42" t="s">
        <v>455</v>
      </c>
      <c r="AD6" s="42" t="s">
        <v>613</v>
      </c>
      <c r="AE6" s="42" t="s">
        <v>91</v>
      </c>
      <c r="AF6" s="42">
        <v>7.229633474718461E-14</v>
      </c>
      <c r="AG6" s="42">
        <v>4</v>
      </c>
      <c r="AH6" s="62">
        <v>42880.574386574073</v>
      </c>
      <c r="AJ6" s="63" t="s">
        <v>669</v>
      </c>
      <c r="AK6" s="61">
        <v>41.306708725591072</v>
      </c>
      <c r="AL6" s="61">
        <v>0.30670198540320559</v>
      </c>
      <c r="AM6" s="61">
        <v>8.8461590689476566E-2</v>
      </c>
      <c r="AN6" s="61" t="s">
        <v>455</v>
      </c>
      <c r="AO6" s="61" t="s">
        <v>455</v>
      </c>
      <c r="AP6" s="61">
        <v>0.19655966262632596</v>
      </c>
      <c r="AQ6" s="61">
        <v>-0.97814321792441061</v>
      </c>
      <c r="AR6" s="61">
        <v>7.179029727733754</v>
      </c>
      <c r="AS6" s="61">
        <v>288243.19645709591</v>
      </c>
      <c r="AT6" s="61" t="s">
        <v>455</v>
      </c>
      <c r="AU6" s="61" t="s">
        <v>455</v>
      </c>
      <c r="AV6" s="42">
        <v>1.9146646739520499E-6</v>
      </c>
      <c r="AW6" s="42">
        <v>1.91466467395205E-8</v>
      </c>
      <c r="AX6" s="42">
        <v>2.49842150704935E-7</v>
      </c>
      <c r="AY6" s="42">
        <v>3.7476322605740302E-9</v>
      </c>
      <c r="AZ6" s="42" t="s">
        <v>455</v>
      </c>
      <c r="BA6" s="42" t="s">
        <v>455</v>
      </c>
      <c r="BB6" s="42" t="s">
        <v>455</v>
      </c>
      <c r="BC6" s="42" t="s">
        <v>455</v>
      </c>
      <c r="BD6" s="42" t="s">
        <v>455</v>
      </c>
      <c r="BE6" s="42" t="s">
        <v>455</v>
      </c>
      <c r="BF6" s="42" t="s">
        <v>455</v>
      </c>
      <c r="BG6" s="42" t="s">
        <v>455</v>
      </c>
      <c r="BH6" s="42" t="s">
        <v>455</v>
      </c>
      <c r="BI6" s="42" t="s">
        <v>455</v>
      </c>
      <c r="BJ6" s="42" t="s">
        <v>455</v>
      </c>
      <c r="BK6" s="42" t="s">
        <v>455</v>
      </c>
      <c r="BL6" s="42" t="s">
        <v>455</v>
      </c>
      <c r="BM6" s="42" t="s">
        <v>455</v>
      </c>
      <c r="BN6" s="42" t="s">
        <v>455</v>
      </c>
      <c r="BO6" s="42" t="s">
        <v>455</v>
      </c>
      <c r="BP6" s="42" t="s">
        <v>455</v>
      </c>
      <c r="BQ6" s="42" t="s">
        <v>455</v>
      </c>
      <c r="BR6" s="42" t="s">
        <v>455</v>
      </c>
      <c r="BS6" s="42" t="s">
        <v>455</v>
      </c>
      <c r="BT6" s="42" t="s">
        <v>455</v>
      </c>
      <c r="BU6" s="42" t="s">
        <v>455</v>
      </c>
      <c r="BV6" s="42" t="s">
        <v>455</v>
      </c>
      <c r="BW6" s="42" t="s">
        <v>455</v>
      </c>
      <c r="BX6" s="42" t="s">
        <v>455</v>
      </c>
      <c r="BY6" s="42" t="s">
        <v>455</v>
      </c>
      <c r="BZ6" s="42" t="s">
        <v>455</v>
      </c>
      <c r="CA6" s="42" t="s">
        <v>455</v>
      </c>
      <c r="CB6" s="42" t="s">
        <v>455</v>
      </c>
      <c r="CC6" s="42" t="s">
        <v>455</v>
      </c>
      <c r="CD6" s="42" t="s">
        <v>455</v>
      </c>
      <c r="CE6" s="42" t="s">
        <v>455</v>
      </c>
      <c r="CF6" s="42" t="s">
        <v>455</v>
      </c>
      <c r="CG6" s="42" t="s">
        <v>455</v>
      </c>
      <c r="CH6" s="42" t="s">
        <v>455</v>
      </c>
      <c r="CI6" s="42" t="s">
        <v>455</v>
      </c>
      <c r="CJ6" s="42" t="s">
        <v>455</v>
      </c>
      <c r="CK6" s="42" t="s">
        <v>455</v>
      </c>
      <c r="CL6" s="42" t="s">
        <v>455</v>
      </c>
      <c r="CM6" s="42" t="s">
        <v>455</v>
      </c>
      <c r="CN6" s="42" t="s">
        <v>455</v>
      </c>
      <c r="CO6" s="42" t="s">
        <v>455</v>
      </c>
      <c r="CP6" s="42" t="s">
        <v>455</v>
      </c>
      <c r="CQ6" s="42" t="s">
        <v>455</v>
      </c>
      <c r="CR6" s="42">
        <v>0.66099284040362405</v>
      </c>
      <c r="CS6" s="42">
        <v>6.6099284040362402E-2</v>
      </c>
      <c r="CT6" s="42" t="s">
        <v>455</v>
      </c>
      <c r="CU6" s="42" t="s">
        <v>455</v>
      </c>
      <c r="CV6" s="42" t="s">
        <v>455</v>
      </c>
      <c r="CW6" s="42" t="s">
        <v>455</v>
      </c>
      <c r="CX6" s="42">
        <v>19.3097996592066</v>
      </c>
      <c r="CY6" s="42">
        <v>1.9309799659206601</v>
      </c>
      <c r="CZ6" s="42">
        <v>0.21733141820341101</v>
      </c>
      <c r="DA6" s="42">
        <v>2.1733141820341102E-2</v>
      </c>
      <c r="DB6" s="42">
        <v>5.5177978456922503</v>
      </c>
      <c r="DC6" s="42">
        <v>0.55177978456922505</v>
      </c>
      <c r="DD6" s="42">
        <v>10.861860644179901</v>
      </c>
      <c r="DE6" s="42">
        <v>1.0861860644179901</v>
      </c>
      <c r="DF6" s="42" t="s">
        <v>455</v>
      </c>
      <c r="DG6" s="42" t="s">
        <v>455</v>
      </c>
      <c r="DH6" s="42" t="s">
        <v>455</v>
      </c>
      <c r="DI6" s="42" t="s">
        <v>455</v>
      </c>
      <c r="DJ6" s="42">
        <v>0.99950474984957283</v>
      </c>
      <c r="DK6" s="42">
        <v>0.99889863809369528</v>
      </c>
      <c r="DL6" s="42">
        <v>1.7275680863728247E-2</v>
      </c>
      <c r="DM6" s="42">
        <v>0.99887927683801214</v>
      </c>
      <c r="DN6" s="42">
        <v>4.5256762618215225E-8</v>
      </c>
      <c r="DO6" s="42">
        <v>1.9120055949700104E-7</v>
      </c>
      <c r="DP6" s="42">
        <v>3.4056812553918172E-4</v>
      </c>
      <c r="DQ6" s="42">
        <v>7.7926018462044182E-8</v>
      </c>
      <c r="DR6" s="42">
        <v>1.0924781071461797E-8</v>
      </c>
      <c r="DS6" s="42">
        <v>1.2910413777455901E-2</v>
      </c>
      <c r="DT6" s="42">
        <v>6.9684647129992375E-3</v>
      </c>
      <c r="DU6" s="42">
        <v>3.4141089135209527E-4</v>
      </c>
      <c r="DV6" s="42">
        <v>5.2675321482773476E-8</v>
      </c>
      <c r="DW6" s="42">
        <v>1.060833766148386E-8</v>
      </c>
      <c r="DX6" s="42">
        <v>2.3277859016902068E-7</v>
      </c>
      <c r="DY6" s="42">
        <v>1.6902196805806839E-8</v>
      </c>
      <c r="DZ6" s="42">
        <v>5.8641591207932906E-8</v>
      </c>
      <c r="EA6" s="42">
        <v>3.0127198123327441E-5</v>
      </c>
      <c r="EB6" s="42">
        <v>3.6771954882862175E-9</v>
      </c>
      <c r="EC6" s="42">
        <v>2.8062807673763298E-10</v>
      </c>
      <c r="ED6" s="42">
        <v>2.5376571760189984E-3</v>
      </c>
      <c r="EE6" s="42">
        <v>6.7563628682143148E-4</v>
      </c>
      <c r="EF6" s="42">
        <v>1.1289635271054125E-6</v>
      </c>
      <c r="EG6" s="42">
        <v>4.5481102091961184E-9</v>
      </c>
      <c r="EH6" s="42">
        <v>1.8708538449175504E-9</v>
      </c>
      <c r="EI6" s="42">
        <v>1.0321952247821077E-9</v>
      </c>
      <c r="EJ6" s="42">
        <v>6.2158959424022064E-8</v>
      </c>
      <c r="EK6" s="42">
        <v>2.4984215070493394E-7</v>
      </c>
      <c r="EL6" s="42">
        <v>3.7069532366250916E-4</v>
      </c>
      <c r="EM6" s="42">
        <v>8.16032139503304E-8</v>
      </c>
      <c r="EN6" s="42">
        <v>1.120540914819943E-8</v>
      </c>
      <c r="EO6" s="42">
        <v>1.5448070953474899E-2</v>
      </c>
      <c r="EP6" s="42">
        <v>7.644100999820669E-3</v>
      </c>
      <c r="EQ6" s="42">
        <v>3.4253985487920068E-4</v>
      </c>
      <c r="ER6" s="42">
        <v>5.7223431691969594E-8</v>
      </c>
      <c r="ES6" s="42">
        <v>1.247919150640141E-8</v>
      </c>
      <c r="ET6" s="42">
        <v>2.3381078539380279E-7</v>
      </c>
      <c r="EU6" s="42">
        <v>2.017270653952084E-6</v>
      </c>
      <c r="EV6" s="42">
        <v>8.5226164561787018E-6</v>
      </c>
      <c r="EW6" s="42">
        <v>1.5201575675465392E-2</v>
      </c>
      <c r="EX6" s="42">
        <v>3.4847650285035664E-6</v>
      </c>
      <c r="EY6" s="42">
        <v>4.9044985072274874E-7</v>
      </c>
      <c r="EZ6" s="42">
        <v>0.57607308818228498</v>
      </c>
      <c r="FA6" s="42">
        <v>0.31074389130908708</v>
      </c>
      <c r="FB6" s="42">
        <v>1.5329132004707591E-2</v>
      </c>
      <c r="FC6" s="42">
        <v>2.3489441430304866E-6</v>
      </c>
      <c r="FD6" s="42">
        <v>4.7305629877135838E-7</v>
      </c>
      <c r="FE6" s="42">
        <v>1.0380267089195289E-5</v>
      </c>
      <c r="FF6" s="42">
        <v>7.5339692083837892E-7</v>
      </c>
      <c r="FG6" s="42">
        <v>2.6139033879399925E-6</v>
      </c>
      <c r="FH6" s="42">
        <v>1.3447555652380382E-3</v>
      </c>
      <c r="FI6" s="42">
        <v>1.6444009964133348E-7</v>
      </c>
      <c r="FJ6" s="42">
        <v>1.2598330112455771E-8</v>
      </c>
      <c r="FK6" s="42">
        <v>0.11323273186121252</v>
      </c>
      <c r="FL6" s="42">
        <v>3.0128565978796706E-2</v>
      </c>
      <c r="FM6" s="42">
        <v>5.0689744744116666E-5</v>
      </c>
      <c r="FN6" s="42">
        <v>2.0281332010934478E-7</v>
      </c>
      <c r="FO6" s="42">
        <v>8.3426755789659522E-8</v>
      </c>
      <c r="FP6" s="42">
        <v>4.6028554918431993E-8</v>
      </c>
      <c r="FQ6" s="42">
        <v>2.7706675747904629E-6</v>
      </c>
      <c r="FR6" s="42">
        <v>1.1136519844118694E-5</v>
      </c>
      <c r="FS6" s="42">
        <v>1.654633124070343E-2</v>
      </c>
      <c r="FT6" s="42">
        <v>3.6492051281448999E-6</v>
      </c>
      <c r="FU6" s="42">
        <v>5.0304818083520451E-7</v>
      </c>
      <c r="FV6" s="42">
        <v>0.6893058200434975</v>
      </c>
      <c r="FW6" s="42">
        <v>0.34087245728788379</v>
      </c>
      <c r="FX6" s="42">
        <v>1.5379821749451707E-2</v>
      </c>
      <c r="FY6" s="42">
        <v>2.5517574631398314E-6</v>
      </c>
      <c r="FZ6" s="42">
        <v>5.564830545610179E-7</v>
      </c>
      <c r="GA6" s="42">
        <v>1.0426295644113721E-5</v>
      </c>
      <c r="GB6" s="42">
        <v>8.0743682683758207E-6</v>
      </c>
      <c r="GC6" s="42">
        <v>1.7198384330074936E-4</v>
      </c>
      <c r="GD6" s="42">
        <v>0.60727254508349149</v>
      </c>
      <c r="GE6" s="42">
        <v>2.9201633985854189E-4</v>
      </c>
      <c r="GF6" s="42">
        <v>6.4392632250941857E-5</v>
      </c>
      <c r="GG6" s="42">
        <v>16.137765848485621</v>
      </c>
      <c r="GH6" s="42">
        <v>9.9434316292212159</v>
      </c>
      <c r="GI6" s="42">
        <v>0.67462743496117872</v>
      </c>
      <c r="GJ6" s="42">
        <v>3.7682842456800856E-5</v>
      </c>
      <c r="GK6" s="42">
        <v>9.5362473156720597E-7</v>
      </c>
      <c r="GL6" s="42">
        <v>4.568646193433344E-4</v>
      </c>
      <c r="GM6" s="42" t="s">
        <v>455</v>
      </c>
      <c r="GN6" s="42" t="s">
        <v>455</v>
      </c>
      <c r="GO6" s="42" t="s">
        <v>455</v>
      </c>
      <c r="GP6" s="42" t="s">
        <v>455</v>
      </c>
      <c r="GQ6" s="42" t="s">
        <v>455</v>
      </c>
      <c r="GR6" s="42" t="s">
        <v>455</v>
      </c>
      <c r="GS6" s="42" t="s">
        <v>455</v>
      </c>
      <c r="GT6" s="42" t="s">
        <v>455</v>
      </c>
      <c r="GU6" s="42" t="s">
        <v>455</v>
      </c>
      <c r="GV6" s="42" t="s">
        <v>455</v>
      </c>
      <c r="GW6" s="42" t="s">
        <v>455</v>
      </c>
      <c r="GX6" s="42" t="s">
        <v>455</v>
      </c>
      <c r="GY6" s="42" t="s">
        <v>455</v>
      </c>
      <c r="GZ6" s="42" t="s">
        <v>455</v>
      </c>
      <c r="HA6" s="42" t="s">
        <v>455</v>
      </c>
      <c r="HB6" s="42" t="s">
        <v>455</v>
      </c>
      <c r="HC6" s="42" t="s">
        <v>455</v>
      </c>
      <c r="HD6" s="42" t="s">
        <v>455</v>
      </c>
      <c r="HE6" s="42" t="s">
        <v>455</v>
      </c>
      <c r="HF6" s="42" t="s">
        <v>455</v>
      </c>
      <c r="HG6" s="42" t="s">
        <v>455</v>
      </c>
      <c r="HH6" s="42" t="s">
        <v>455</v>
      </c>
      <c r="HI6" s="42" t="s">
        <v>455</v>
      </c>
      <c r="HJ6" s="42" t="s">
        <v>455</v>
      </c>
      <c r="HK6" s="42" t="s">
        <v>455</v>
      </c>
      <c r="HL6" s="42" t="s">
        <v>455</v>
      </c>
      <c r="HM6" s="42" t="s">
        <v>455</v>
      </c>
      <c r="HN6" s="42" t="s">
        <v>455</v>
      </c>
      <c r="HO6" s="42" t="s">
        <v>455</v>
      </c>
      <c r="HP6" s="42" t="s">
        <v>455</v>
      </c>
      <c r="HQ6" s="42" t="s">
        <v>455</v>
      </c>
      <c r="HR6" s="42" t="s">
        <v>455</v>
      </c>
      <c r="HS6" s="42" t="s">
        <v>455</v>
      </c>
      <c r="HT6" s="42" t="s">
        <v>455</v>
      </c>
      <c r="HU6" s="42" t="s">
        <v>455</v>
      </c>
      <c r="HV6" s="42" t="s">
        <v>455</v>
      </c>
      <c r="HW6" s="42" t="s">
        <v>455</v>
      </c>
      <c r="HX6" s="42" t="s">
        <v>455</v>
      </c>
      <c r="HY6" s="42" t="s">
        <v>455</v>
      </c>
      <c r="HZ6" s="42" t="s">
        <v>455</v>
      </c>
      <c r="IA6" s="42" t="s">
        <v>455</v>
      </c>
      <c r="IB6" s="42" t="s">
        <v>455</v>
      </c>
      <c r="IC6" s="42" t="s">
        <v>455</v>
      </c>
      <c r="ID6" s="42" t="s">
        <v>455</v>
      </c>
      <c r="IE6" s="42" t="s">
        <v>455</v>
      </c>
      <c r="IF6" s="42" t="s">
        <v>455</v>
      </c>
      <c r="IG6" s="42" t="s">
        <v>455</v>
      </c>
      <c r="IH6" s="42" t="s">
        <v>455</v>
      </c>
      <c r="II6" s="42" t="s">
        <v>455</v>
      </c>
      <c r="IJ6" s="42" t="s">
        <v>455</v>
      </c>
      <c r="IK6" s="42" t="s">
        <v>455</v>
      </c>
      <c r="IL6" s="42" t="s">
        <v>455</v>
      </c>
      <c r="IM6" s="42" t="s">
        <v>455</v>
      </c>
      <c r="IN6" s="42" t="s">
        <v>455</v>
      </c>
      <c r="IO6" s="42" t="s">
        <v>455</v>
      </c>
      <c r="IP6" s="42" t="s">
        <v>455</v>
      </c>
      <c r="IQ6" s="42" t="s">
        <v>455</v>
      </c>
      <c r="IR6" s="42" t="s">
        <v>455</v>
      </c>
      <c r="IS6" s="42" t="s">
        <v>455</v>
      </c>
      <c r="IT6" s="42" t="s">
        <v>455</v>
      </c>
      <c r="IU6" s="42" t="s">
        <v>455</v>
      </c>
      <c r="IV6" s="42" t="s">
        <v>455</v>
      </c>
      <c r="IW6" s="42" t="s">
        <v>455</v>
      </c>
      <c r="IX6" s="42" t="s">
        <v>455</v>
      </c>
      <c r="IY6" s="42" t="s">
        <v>455</v>
      </c>
      <c r="IZ6" s="42" t="s">
        <v>455</v>
      </c>
      <c r="JA6" s="42" t="s">
        <v>455</v>
      </c>
      <c r="JB6" s="42" t="s">
        <v>455</v>
      </c>
      <c r="JC6" s="42" t="s">
        <v>455</v>
      </c>
      <c r="JD6" s="42" t="s">
        <v>455</v>
      </c>
      <c r="JE6" s="42" t="s">
        <v>455</v>
      </c>
      <c r="JF6" s="42" t="s">
        <v>455</v>
      </c>
      <c r="JG6" s="42" t="s">
        <v>455</v>
      </c>
      <c r="JH6" s="42" t="s">
        <v>455</v>
      </c>
      <c r="JI6" s="42" t="s">
        <v>455</v>
      </c>
      <c r="JJ6" s="42" t="s">
        <v>455</v>
      </c>
      <c r="JK6" s="42" t="s">
        <v>455</v>
      </c>
      <c r="JL6" s="42" t="s">
        <v>455</v>
      </c>
      <c r="JM6" s="42" t="s">
        <v>455</v>
      </c>
    </row>
    <row r="7" spans="1:273">
      <c r="A7" s="42" t="s">
        <v>208</v>
      </c>
      <c r="B7" s="42" t="s">
        <v>209</v>
      </c>
      <c r="C7" s="42" t="s">
        <v>222</v>
      </c>
      <c r="D7" s="60">
        <v>41541</v>
      </c>
      <c r="E7" s="42" t="s">
        <v>224</v>
      </c>
      <c r="F7" s="42">
        <v>0.60581683578000001</v>
      </c>
      <c r="G7" s="42">
        <v>9.1463414634146307</v>
      </c>
      <c r="H7" s="42">
        <v>20.879999160800001</v>
      </c>
      <c r="I7" s="42">
        <v>1</v>
      </c>
      <c r="J7" s="42">
        <v>0</v>
      </c>
      <c r="K7" s="42">
        <v>0</v>
      </c>
      <c r="L7" s="42" t="s">
        <v>454</v>
      </c>
      <c r="M7" s="42" t="s">
        <v>614</v>
      </c>
      <c r="N7" s="42">
        <v>1.026420989975446E-24</v>
      </c>
      <c r="O7" s="61" t="s">
        <v>455</v>
      </c>
      <c r="P7" s="42">
        <v>13.768578640869395</v>
      </c>
      <c r="Q7" s="42">
        <v>5.5839354642770092</v>
      </c>
      <c r="R7" s="42">
        <v>3.0741039925765734</v>
      </c>
      <c r="S7" s="42">
        <v>0.57177494749860613</v>
      </c>
      <c r="T7" s="42" t="s">
        <v>455</v>
      </c>
      <c r="U7" s="42" t="s">
        <v>455</v>
      </c>
      <c r="V7" s="42" t="s">
        <v>456</v>
      </c>
      <c r="W7" s="42" t="s">
        <v>455</v>
      </c>
      <c r="X7" s="42">
        <v>0.43387851642663172</v>
      </c>
      <c r="Y7" s="42">
        <v>2.4384493042604469</v>
      </c>
      <c r="Z7" s="42" t="s">
        <v>456</v>
      </c>
      <c r="AA7" s="42" t="s">
        <v>455</v>
      </c>
      <c r="AB7" s="42" t="s">
        <v>456</v>
      </c>
      <c r="AC7" s="42" t="s">
        <v>455</v>
      </c>
      <c r="AD7" s="42" t="s">
        <v>613</v>
      </c>
      <c r="AE7" s="42" t="s">
        <v>91</v>
      </c>
      <c r="AF7" s="42">
        <v>8.0753701216221254E-12</v>
      </c>
      <c r="AG7" s="42">
        <v>4</v>
      </c>
      <c r="AH7" s="62">
        <v>42880.574386574073</v>
      </c>
      <c r="AJ7" s="63" t="s">
        <v>668</v>
      </c>
      <c r="AK7" s="61">
        <v>41.047721869368075</v>
      </c>
      <c r="AL7" s="61">
        <v>0.28814533185125946</v>
      </c>
      <c r="AM7" s="61">
        <v>8.1363671028368945E-2</v>
      </c>
      <c r="AN7" s="61" t="s">
        <v>455</v>
      </c>
      <c r="AO7" s="61" t="s">
        <v>455</v>
      </c>
      <c r="AP7" s="61">
        <v>0.20594266535731753</v>
      </c>
      <c r="AQ7" s="61">
        <v>-0.97889881400831757</v>
      </c>
      <c r="AR7" s="61">
        <v>5.6567735968357251</v>
      </c>
      <c r="AS7" s="61">
        <v>300460.90273969009</v>
      </c>
      <c r="AT7" s="61" t="s">
        <v>455</v>
      </c>
      <c r="AU7" s="61" t="s">
        <v>455</v>
      </c>
      <c r="AV7" s="42">
        <v>1.9146646739520499E-6</v>
      </c>
      <c r="AW7" s="42">
        <v>1.91466467395205E-8</v>
      </c>
      <c r="AX7" s="42">
        <v>2.49842150704935E-7</v>
      </c>
      <c r="AY7" s="42">
        <v>3.7476322605740302E-9</v>
      </c>
      <c r="AZ7" s="42" t="s">
        <v>455</v>
      </c>
      <c r="BA7" s="42" t="s">
        <v>455</v>
      </c>
      <c r="BB7" s="42" t="s">
        <v>455</v>
      </c>
      <c r="BC7" s="42" t="s">
        <v>455</v>
      </c>
      <c r="BD7" s="42" t="s">
        <v>455</v>
      </c>
      <c r="BE7" s="42" t="s">
        <v>455</v>
      </c>
      <c r="BF7" s="42" t="s">
        <v>455</v>
      </c>
      <c r="BG7" s="42" t="s">
        <v>455</v>
      </c>
      <c r="BH7" s="42" t="s">
        <v>455</v>
      </c>
      <c r="BI7" s="42" t="s">
        <v>455</v>
      </c>
      <c r="BJ7" s="42" t="s">
        <v>455</v>
      </c>
      <c r="BK7" s="42" t="s">
        <v>455</v>
      </c>
      <c r="BL7" s="42" t="s">
        <v>455</v>
      </c>
      <c r="BM7" s="42" t="s">
        <v>455</v>
      </c>
      <c r="BN7" s="42" t="s">
        <v>455</v>
      </c>
      <c r="BO7" s="42" t="s">
        <v>455</v>
      </c>
      <c r="BP7" s="42" t="s">
        <v>455</v>
      </c>
      <c r="BQ7" s="42" t="s">
        <v>455</v>
      </c>
      <c r="BR7" s="42" t="s">
        <v>455</v>
      </c>
      <c r="BS7" s="42" t="s">
        <v>455</v>
      </c>
      <c r="BT7" s="42" t="s">
        <v>455</v>
      </c>
      <c r="BU7" s="42" t="s">
        <v>455</v>
      </c>
      <c r="BV7" s="42" t="s">
        <v>455</v>
      </c>
      <c r="BW7" s="42" t="s">
        <v>455</v>
      </c>
      <c r="BX7" s="42" t="s">
        <v>455</v>
      </c>
      <c r="BY7" s="42" t="s">
        <v>455</v>
      </c>
      <c r="BZ7" s="42" t="s">
        <v>455</v>
      </c>
      <c r="CA7" s="42" t="s">
        <v>455</v>
      </c>
      <c r="CB7" s="42" t="s">
        <v>455</v>
      </c>
      <c r="CC7" s="42" t="s">
        <v>455</v>
      </c>
      <c r="CD7" s="42" t="s">
        <v>455</v>
      </c>
      <c r="CE7" s="42" t="s">
        <v>455</v>
      </c>
      <c r="CF7" s="42" t="s">
        <v>455</v>
      </c>
      <c r="CG7" s="42" t="s">
        <v>455</v>
      </c>
      <c r="CH7" s="42" t="s">
        <v>455</v>
      </c>
      <c r="CI7" s="42" t="s">
        <v>455</v>
      </c>
      <c r="CJ7" s="42" t="s">
        <v>455</v>
      </c>
      <c r="CK7" s="42" t="s">
        <v>455</v>
      </c>
      <c r="CL7" s="42" t="s">
        <v>455</v>
      </c>
      <c r="CM7" s="42" t="s">
        <v>455</v>
      </c>
      <c r="CN7" s="42" t="s">
        <v>455</v>
      </c>
      <c r="CO7" s="42" t="s">
        <v>455</v>
      </c>
      <c r="CP7" s="42" t="s">
        <v>455</v>
      </c>
      <c r="CQ7" s="42" t="s">
        <v>455</v>
      </c>
      <c r="CR7" s="42">
        <v>0.68060090183963495</v>
      </c>
      <c r="CS7" s="42">
        <v>6.8060090183963501E-2</v>
      </c>
      <c r="CT7" s="42" t="s">
        <v>455</v>
      </c>
      <c r="CU7" s="42" t="s">
        <v>455</v>
      </c>
      <c r="CV7" s="42" t="s">
        <v>455</v>
      </c>
      <c r="CW7" s="42" t="s">
        <v>455</v>
      </c>
      <c r="CX7" s="42">
        <v>20.114661816637302</v>
      </c>
      <c r="CY7" s="42">
        <v>2.0114661816637303</v>
      </c>
      <c r="CZ7" s="42">
        <v>0.21751086087864399</v>
      </c>
      <c r="DA7" s="42">
        <v>2.1751086087864399E-2</v>
      </c>
      <c r="DB7" s="42">
        <v>4.74185952300469</v>
      </c>
      <c r="DC7" s="42">
        <v>0.474185952300469</v>
      </c>
      <c r="DD7" s="42">
        <v>11.7724135076755</v>
      </c>
      <c r="DE7" s="42">
        <v>1.1772413507675501</v>
      </c>
      <c r="DF7" s="42" t="s">
        <v>455</v>
      </c>
      <c r="DG7" s="42" t="s">
        <v>455</v>
      </c>
      <c r="DH7" s="42" t="s">
        <v>455</v>
      </c>
      <c r="DI7" s="42" t="s">
        <v>455</v>
      </c>
      <c r="DJ7" s="42">
        <v>0.99974919564107212</v>
      </c>
      <c r="DK7" s="42">
        <v>0.99889863809369528</v>
      </c>
      <c r="DL7" s="42">
        <v>1.5519895822727408E-2</v>
      </c>
      <c r="DM7" s="42">
        <v>0.99888127560767204</v>
      </c>
      <c r="DN7" s="42">
        <v>4.5535515096405028E-8</v>
      </c>
      <c r="DO7" s="42">
        <v>1.9395494011989634E-7</v>
      </c>
      <c r="DP7" s="42">
        <v>3.5288637948306987E-4</v>
      </c>
      <c r="DQ7" s="42">
        <v>8.1475285295917639E-8</v>
      </c>
      <c r="DR7" s="42">
        <v>1.1532858924938099E-8</v>
      </c>
      <c r="DS7" s="42">
        <v>1.3340638794922444E-2</v>
      </c>
      <c r="DT7" s="42">
        <v>7.2221864153036407E-3</v>
      </c>
      <c r="DU7" s="42">
        <v>3.6040604712423113E-4</v>
      </c>
      <c r="DV7" s="42">
        <v>5.4756216789869208E-8</v>
      </c>
      <c r="DW7" s="42">
        <v>1.0770801353605041E-8</v>
      </c>
      <c r="DX7" s="42">
        <v>2.4646016701631525E-7</v>
      </c>
      <c r="DY7" s="42">
        <v>1.6108304921101239E-8</v>
      </c>
      <c r="DZ7" s="42">
        <v>5.5887210585042107E-8</v>
      </c>
      <c r="EA7" s="42">
        <v>2.8712131290665208E-5</v>
      </c>
      <c r="EB7" s="42">
        <v>3.5044785515372877E-9</v>
      </c>
      <c r="EC7" s="42">
        <v>2.6744704735416131E-10</v>
      </c>
      <c r="ED7" s="42">
        <v>2.7473196760273207E-3</v>
      </c>
      <c r="EE7" s="42">
        <v>6.4390182228508952E-4</v>
      </c>
      <c r="EF7" s="42">
        <v>1.0759363974017968E-6</v>
      </c>
      <c r="EG7" s="42">
        <v>4.3344866295329656E-9</v>
      </c>
      <c r="EH7" s="42">
        <v>1.7829803156944126E-9</v>
      </c>
      <c r="EI7" s="42">
        <v>9.8371327762449345E-10</v>
      </c>
      <c r="EJ7" s="42">
        <v>6.1643820017506267E-8</v>
      </c>
      <c r="EK7" s="42">
        <v>2.4984215070493844E-7</v>
      </c>
      <c r="EL7" s="42">
        <v>3.8159851077373508E-4</v>
      </c>
      <c r="EM7" s="42">
        <v>8.4979763847454926E-8</v>
      </c>
      <c r="EN7" s="42">
        <v>1.180030597229226E-8</v>
      </c>
      <c r="EO7" s="42">
        <v>1.6087958470949765E-2</v>
      </c>
      <c r="EP7" s="42">
        <v>7.8660882375887302E-3</v>
      </c>
      <c r="EQ7" s="42">
        <v>3.6148198352163293E-4</v>
      </c>
      <c r="ER7" s="42">
        <v>5.9090703419402174E-8</v>
      </c>
      <c r="ES7" s="42">
        <v>1.2553781669299454E-8</v>
      </c>
      <c r="ET7" s="42">
        <v>2.4744388029393975E-7</v>
      </c>
      <c r="EU7" s="42">
        <v>2.0301921369566457E-6</v>
      </c>
      <c r="EV7" s="42">
        <v>8.6475052099852327E-6</v>
      </c>
      <c r="EW7" s="42">
        <v>1.5755264694547397E-2</v>
      </c>
      <c r="EX7" s="42">
        <v>3.6443753764610424E-6</v>
      </c>
      <c r="EY7" s="42">
        <v>5.1787511733740562E-7</v>
      </c>
      <c r="EZ7" s="42">
        <v>0.59541565924248085</v>
      </c>
      <c r="FA7" s="42">
        <v>0.3221368367747699</v>
      </c>
      <c r="FB7" s="42">
        <v>1.6185960007035999E-2</v>
      </c>
      <c r="FC7" s="42">
        <v>2.4423344200954719E-6</v>
      </c>
      <c r="FD7" s="42">
        <v>4.8041848798413542E-7</v>
      </c>
      <c r="FE7" s="42">
        <v>1.099305584599471E-5</v>
      </c>
      <c r="FF7" s="42">
        <v>7.1818566060542128E-7</v>
      </c>
      <c r="FG7" s="42">
        <v>2.4917382584168426E-6</v>
      </c>
      <c r="FH7" s="42">
        <v>1.2819061735725897E-3</v>
      </c>
      <c r="FI7" s="42">
        <v>1.5675471763212489E-7</v>
      </c>
      <c r="FJ7" s="42">
        <v>1.2009526166194946E-8</v>
      </c>
      <c r="FK7" s="42">
        <v>0.1226214878599009</v>
      </c>
      <c r="FL7" s="42">
        <v>2.8720457254454268E-2</v>
      </c>
      <c r="FM7" s="42">
        <v>4.8320675075846919E-5</v>
      </c>
      <c r="FN7" s="42">
        <v>1.9333450171288328E-7</v>
      </c>
      <c r="FO7" s="42">
        <v>7.9527667371256902E-8</v>
      </c>
      <c r="FP7" s="42">
        <v>4.3877333722072248E-8</v>
      </c>
      <c r="FQ7" s="42">
        <v>2.748377797562067E-6</v>
      </c>
      <c r="FR7" s="42">
        <v>1.1139243468402075E-5</v>
      </c>
      <c r="FS7" s="42">
        <v>1.7037170868119986E-2</v>
      </c>
      <c r="FT7" s="42">
        <v>3.8011300940931673E-6</v>
      </c>
      <c r="FU7" s="42">
        <v>5.2988464350360057E-7</v>
      </c>
      <c r="FV7" s="42">
        <v>0.71803714710238176</v>
      </c>
      <c r="FW7" s="42">
        <v>0.35085729402922416</v>
      </c>
      <c r="FX7" s="42">
        <v>1.6234280682111846E-2</v>
      </c>
      <c r="FY7" s="42">
        <v>2.6356689218083551E-6</v>
      </c>
      <c r="FZ7" s="42">
        <v>5.5994615535539232E-7</v>
      </c>
      <c r="GA7" s="42">
        <v>1.1036933179716782E-5</v>
      </c>
      <c r="GB7" s="42">
        <v>8.1260880572638357E-6</v>
      </c>
      <c r="GC7" s="42">
        <v>1.74504060885939E-4</v>
      </c>
      <c r="GD7" s="42">
        <v>0.62939131401777937</v>
      </c>
      <c r="GE7" s="42">
        <v>3.0539136779668245E-4</v>
      </c>
      <c r="GF7" s="42">
        <v>6.7993377780579996E-5</v>
      </c>
      <c r="GG7" s="42">
        <v>16.679617028623312</v>
      </c>
      <c r="GH7" s="42">
        <v>10.307992212588507</v>
      </c>
      <c r="GI7" s="42">
        <v>0.71233600692965082</v>
      </c>
      <c r="GJ7" s="42">
        <v>3.9181052241004799E-5</v>
      </c>
      <c r="GK7" s="42">
        <v>9.6846602155745907E-7</v>
      </c>
      <c r="GL7" s="42">
        <v>4.8383516833859594E-4</v>
      </c>
      <c r="GM7" s="42" t="s">
        <v>455</v>
      </c>
      <c r="GN7" s="42" t="s">
        <v>455</v>
      </c>
      <c r="GO7" s="42" t="s">
        <v>455</v>
      </c>
      <c r="GP7" s="42" t="s">
        <v>455</v>
      </c>
      <c r="GQ7" s="42" t="s">
        <v>455</v>
      </c>
      <c r="GR7" s="42" t="s">
        <v>455</v>
      </c>
      <c r="GS7" s="42" t="s">
        <v>455</v>
      </c>
      <c r="GT7" s="42" t="s">
        <v>455</v>
      </c>
      <c r="GU7" s="42" t="s">
        <v>455</v>
      </c>
      <c r="GV7" s="42" t="s">
        <v>455</v>
      </c>
      <c r="GW7" s="42" t="s">
        <v>455</v>
      </c>
      <c r="GX7" s="42" t="s">
        <v>455</v>
      </c>
      <c r="GY7" s="42" t="s">
        <v>455</v>
      </c>
      <c r="GZ7" s="42" t="s">
        <v>455</v>
      </c>
      <c r="HA7" s="42" t="s">
        <v>455</v>
      </c>
      <c r="HB7" s="42" t="s">
        <v>455</v>
      </c>
      <c r="HC7" s="42" t="s">
        <v>455</v>
      </c>
      <c r="HD7" s="42" t="s">
        <v>455</v>
      </c>
      <c r="HE7" s="42" t="s">
        <v>455</v>
      </c>
      <c r="HF7" s="42" t="s">
        <v>455</v>
      </c>
      <c r="HG7" s="42" t="s">
        <v>455</v>
      </c>
      <c r="HH7" s="42" t="s">
        <v>455</v>
      </c>
      <c r="HI7" s="42" t="s">
        <v>455</v>
      </c>
      <c r="HJ7" s="42" t="s">
        <v>455</v>
      </c>
      <c r="HK7" s="42" t="s">
        <v>455</v>
      </c>
      <c r="HL7" s="42" t="s">
        <v>455</v>
      </c>
      <c r="HM7" s="42" t="s">
        <v>455</v>
      </c>
      <c r="HN7" s="42" t="s">
        <v>455</v>
      </c>
      <c r="HO7" s="42" t="s">
        <v>455</v>
      </c>
      <c r="HP7" s="42" t="s">
        <v>455</v>
      </c>
      <c r="HQ7" s="42" t="s">
        <v>455</v>
      </c>
      <c r="HR7" s="42" t="s">
        <v>455</v>
      </c>
      <c r="HS7" s="42" t="s">
        <v>455</v>
      </c>
      <c r="HT7" s="42" t="s">
        <v>455</v>
      </c>
      <c r="HU7" s="42" t="s">
        <v>455</v>
      </c>
      <c r="HV7" s="42" t="s">
        <v>455</v>
      </c>
      <c r="HW7" s="42" t="s">
        <v>455</v>
      </c>
      <c r="HX7" s="42" t="s">
        <v>455</v>
      </c>
      <c r="HY7" s="42" t="s">
        <v>455</v>
      </c>
      <c r="HZ7" s="42" t="s">
        <v>455</v>
      </c>
      <c r="IA7" s="42" t="s">
        <v>455</v>
      </c>
      <c r="IB7" s="42" t="s">
        <v>455</v>
      </c>
      <c r="IC7" s="42" t="s">
        <v>455</v>
      </c>
      <c r="ID7" s="42" t="s">
        <v>455</v>
      </c>
      <c r="IE7" s="42" t="s">
        <v>455</v>
      </c>
      <c r="IF7" s="42" t="s">
        <v>455</v>
      </c>
      <c r="IG7" s="42" t="s">
        <v>455</v>
      </c>
      <c r="IH7" s="42" t="s">
        <v>455</v>
      </c>
      <c r="II7" s="42" t="s">
        <v>455</v>
      </c>
      <c r="IJ7" s="42" t="s">
        <v>455</v>
      </c>
      <c r="IK7" s="42" t="s">
        <v>455</v>
      </c>
      <c r="IL7" s="42" t="s">
        <v>455</v>
      </c>
      <c r="IM7" s="42" t="s">
        <v>455</v>
      </c>
      <c r="IN7" s="42" t="s">
        <v>455</v>
      </c>
      <c r="IO7" s="42" t="s">
        <v>455</v>
      </c>
      <c r="IP7" s="42" t="s">
        <v>455</v>
      </c>
      <c r="IQ7" s="42" t="s">
        <v>455</v>
      </c>
      <c r="IR7" s="42" t="s">
        <v>455</v>
      </c>
      <c r="IS7" s="42" t="s">
        <v>455</v>
      </c>
      <c r="IT7" s="42" t="s">
        <v>455</v>
      </c>
      <c r="IU7" s="42" t="s">
        <v>455</v>
      </c>
      <c r="IV7" s="42" t="s">
        <v>455</v>
      </c>
      <c r="IW7" s="42" t="s">
        <v>455</v>
      </c>
      <c r="IX7" s="42" t="s">
        <v>455</v>
      </c>
      <c r="IY7" s="42" t="s">
        <v>455</v>
      </c>
      <c r="IZ7" s="42" t="s">
        <v>455</v>
      </c>
      <c r="JA7" s="42" t="s">
        <v>455</v>
      </c>
      <c r="JB7" s="42" t="s">
        <v>455</v>
      </c>
      <c r="JC7" s="42" t="s">
        <v>455</v>
      </c>
      <c r="JD7" s="42" t="s">
        <v>455</v>
      </c>
      <c r="JE7" s="42" t="s">
        <v>455</v>
      </c>
      <c r="JF7" s="42" t="s">
        <v>455</v>
      </c>
      <c r="JG7" s="42" t="s">
        <v>455</v>
      </c>
      <c r="JH7" s="42" t="s">
        <v>455</v>
      </c>
      <c r="JI7" s="42" t="s">
        <v>455</v>
      </c>
      <c r="JJ7" s="42" t="s">
        <v>455</v>
      </c>
      <c r="JK7" s="42" t="s">
        <v>455</v>
      </c>
      <c r="JL7" s="42" t="s">
        <v>455</v>
      </c>
      <c r="JM7" s="42" t="s">
        <v>455</v>
      </c>
    </row>
    <row r="8" spans="1:273">
      <c r="A8" s="42" t="s">
        <v>208</v>
      </c>
      <c r="B8" s="42" t="s">
        <v>209</v>
      </c>
      <c r="C8" s="42" t="s">
        <v>237</v>
      </c>
      <c r="D8" s="60">
        <v>41493</v>
      </c>
      <c r="E8" s="42" t="s">
        <v>239</v>
      </c>
      <c r="F8" s="42">
        <v>0.27351300200000001</v>
      </c>
      <c r="G8" s="42">
        <v>32.317073170731703</v>
      </c>
      <c r="H8" s="42">
        <v>20.790000915499999</v>
      </c>
      <c r="I8" s="42">
        <v>1</v>
      </c>
      <c r="J8" s="42">
        <v>0</v>
      </c>
      <c r="K8" s="42">
        <v>0</v>
      </c>
      <c r="L8" s="42" t="s">
        <v>454</v>
      </c>
      <c r="M8" s="42" t="s">
        <v>614</v>
      </c>
      <c r="N8" s="42">
        <v>3.176913473826568E-22</v>
      </c>
      <c r="O8" s="61" t="s">
        <v>455</v>
      </c>
      <c r="P8" s="42">
        <v>12.235194849771506</v>
      </c>
      <c r="Q8" s="42">
        <v>0.63552001464497554</v>
      </c>
      <c r="R8" s="42">
        <v>2.4641938112003907</v>
      </c>
      <c r="S8" s="42">
        <v>0.55703606754867618</v>
      </c>
      <c r="T8" s="42" t="s">
        <v>455</v>
      </c>
      <c r="U8" s="42" t="s">
        <v>455</v>
      </c>
      <c r="V8" s="42" t="s">
        <v>456</v>
      </c>
      <c r="W8" s="42" t="s">
        <v>455</v>
      </c>
      <c r="X8" s="42">
        <v>0.6</v>
      </c>
      <c r="Y8" s="42">
        <v>0.31622776601683794</v>
      </c>
      <c r="Z8" s="42" t="s">
        <v>456</v>
      </c>
      <c r="AA8" s="42" t="s">
        <v>455</v>
      </c>
      <c r="AB8" s="42" t="s">
        <v>456</v>
      </c>
      <c r="AC8" s="42" t="s">
        <v>455</v>
      </c>
      <c r="AD8" s="42" t="s">
        <v>622</v>
      </c>
      <c r="AE8" s="42" t="s">
        <v>123</v>
      </c>
      <c r="AF8" s="42">
        <v>6.3535544418075941E-7</v>
      </c>
      <c r="AG8" s="42">
        <v>19</v>
      </c>
      <c r="AH8" s="62">
        <v>42880.56287037037</v>
      </c>
      <c r="AI8" s="42" t="s">
        <v>621</v>
      </c>
      <c r="AJ8" s="63" t="s">
        <v>667</v>
      </c>
      <c r="AK8" s="61" t="s">
        <v>455</v>
      </c>
      <c r="AL8" s="61" t="s">
        <v>455</v>
      </c>
      <c r="AM8" s="61">
        <v>6.326267307761424E-2</v>
      </c>
      <c r="AN8" s="61" t="s">
        <v>455</v>
      </c>
      <c r="AO8" s="61" t="s">
        <v>455</v>
      </c>
      <c r="AP8" s="61">
        <v>0.1748842824717427</v>
      </c>
      <c r="AQ8" s="61">
        <v>-0.97521285488689857</v>
      </c>
      <c r="AR8" s="61">
        <v>5.4057267387675143</v>
      </c>
      <c r="AS8" s="61" t="s">
        <v>455</v>
      </c>
      <c r="AT8" s="61" t="s">
        <v>455</v>
      </c>
      <c r="AU8" s="61" t="s">
        <v>455</v>
      </c>
      <c r="AV8" s="42" t="s">
        <v>455</v>
      </c>
      <c r="AW8" s="42" t="s">
        <v>455</v>
      </c>
      <c r="AX8" s="42" t="s">
        <v>455</v>
      </c>
      <c r="AY8" s="42" t="s">
        <v>455</v>
      </c>
      <c r="AZ8" s="42" t="s">
        <v>455</v>
      </c>
      <c r="BA8" s="42" t="s">
        <v>455</v>
      </c>
      <c r="BB8" s="42" t="s">
        <v>455</v>
      </c>
      <c r="BC8" s="42" t="s">
        <v>455</v>
      </c>
      <c r="BD8" s="42" t="s">
        <v>455</v>
      </c>
      <c r="BE8" s="42" t="s">
        <v>455</v>
      </c>
      <c r="BF8" s="42" t="s">
        <v>455</v>
      </c>
      <c r="BG8" s="42" t="s">
        <v>455</v>
      </c>
      <c r="BH8" s="42" t="s">
        <v>455</v>
      </c>
      <c r="BI8" s="42" t="s">
        <v>455</v>
      </c>
      <c r="BJ8" s="42" t="s">
        <v>455</v>
      </c>
      <c r="BK8" s="42" t="s">
        <v>455</v>
      </c>
      <c r="BL8" s="42" t="s">
        <v>455</v>
      </c>
      <c r="BM8" s="42" t="s">
        <v>455</v>
      </c>
      <c r="BN8" s="42" t="s">
        <v>455</v>
      </c>
      <c r="BO8" s="42" t="s">
        <v>455</v>
      </c>
      <c r="BP8" s="42" t="s">
        <v>455</v>
      </c>
      <c r="BQ8" s="42" t="s">
        <v>455</v>
      </c>
      <c r="BR8" s="42" t="s">
        <v>455</v>
      </c>
      <c r="BS8" s="42" t="s">
        <v>455</v>
      </c>
      <c r="BT8" s="42" t="s">
        <v>455</v>
      </c>
      <c r="BU8" s="42" t="s">
        <v>455</v>
      </c>
      <c r="BV8" s="42" t="s">
        <v>455</v>
      </c>
      <c r="BW8" s="42" t="s">
        <v>455</v>
      </c>
      <c r="BX8" s="42" t="s">
        <v>455</v>
      </c>
      <c r="BY8" s="42" t="s">
        <v>455</v>
      </c>
      <c r="BZ8" s="42" t="s">
        <v>455</v>
      </c>
      <c r="CA8" s="42" t="s">
        <v>455</v>
      </c>
      <c r="CB8" s="42" t="s">
        <v>455</v>
      </c>
      <c r="CC8" s="42" t="s">
        <v>455</v>
      </c>
      <c r="CD8" s="42" t="s">
        <v>455</v>
      </c>
      <c r="CE8" s="42" t="s">
        <v>455</v>
      </c>
      <c r="CF8" s="42" t="s">
        <v>455</v>
      </c>
      <c r="CG8" s="42" t="s">
        <v>455</v>
      </c>
      <c r="CH8" s="42" t="s">
        <v>455</v>
      </c>
      <c r="CI8" s="42" t="s">
        <v>455</v>
      </c>
      <c r="CJ8" s="42" t="s">
        <v>455</v>
      </c>
      <c r="CK8" s="42" t="s">
        <v>455</v>
      </c>
      <c r="CL8" s="42" t="s">
        <v>455</v>
      </c>
      <c r="CM8" s="42" t="s">
        <v>455</v>
      </c>
      <c r="CN8" s="42" t="s">
        <v>455</v>
      </c>
      <c r="CO8" s="42" t="s">
        <v>455</v>
      </c>
      <c r="CP8" s="42" t="s">
        <v>455</v>
      </c>
      <c r="CQ8" s="42" t="s">
        <v>455</v>
      </c>
      <c r="CR8" s="42">
        <v>0.69179577183219998</v>
      </c>
      <c r="CS8" s="42">
        <v>6.9179577183220001E-2</v>
      </c>
      <c r="CT8" s="42" t="s">
        <v>455</v>
      </c>
      <c r="CU8" s="42" t="s">
        <v>455</v>
      </c>
      <c r="CV8" s="42" t="s">
        <v>455</v>
      </c>
      <c r="CW8" s="42" t="s">
        <v>455</v>
      </c>
      <c r="CX8" s="42">
        <v>20.2103243014305</v>
      </c>
      <c r="CY8" s="42">
        <v>2.02103243014305</v>
      </c>
      <c r="CZ8" s="42">
        <v>0.264204248523283</v>
      </c>
      <c r="DA8" s="42">
        <v>2.6420424852328303E-2</v>
      </c>
      <c r="DB8" s="42">
        <v>4.7976683685938299</v>
      </c>
      <c r="DC8" s="42">
        <v>0.47976683685938304</v>
      </c>
      <c r="DD8" s="42" t="s">
        <v>455</v>
      </c>
      <c r="DE8" s="42" t="s">
        <v>455</v>
      </c>
      <c r="DF8" s="42" t="s">
        <v>455</v>
      </c>
      <c r="DG8" s="42" t="s">
        <v>455</v>
      </c>
      <c r="DH8" s="42" t="s">
        <v>455</v>
      </c>
      <c r="DI8" s="42" t="s">
        <v>455</v>
      </c>
      <c r="DJ8" s="42">
        <v>0.99968637617989697</v>
      </c>
      <c r="DK8" s="42">
        <v>0.99611394704900091</v>
      </c>
      <c r="DL8" s="42">
        <v>1.4040892917580657E-2</v>
      </c>
      <c r="DM8" s="42">
        <v>0.9960586063629977</v>
      </c>
      <c r="DN8" s="42">
        <v>4.576457193546748E-8</v>
      </c>
      <c r="DO8" s="42">
        <v>1.9646547394233773E-7</v>
      </c>
      <c r="DP8" s="42">
        <v>3.6482011534362275E-4</v>
      </c>
      <c r="DQ8" s="42">
        <v>8.4949193434808138E-8</v>
      </c>
      <c r="DR8" s="42">
        <v>1.2130089982536971E-8</v>
      </c>
      <c r="DS8" s="42">
        <v>1.375929015477303E-2</v>
      </c>
      <c r="DT8" s="42">
        <v>7.4685310307234711E-3</v>
      </c>
      <c r="DU8" s="42">
        <v>3.7896253611999936E-4</v>
      </c>
      <c r="DV8" s="42">
        <v>5.6794456717535717E-8</v>
      </c>
      <c r="DW8" s="42">
        <v>1.0919562030491383E-8</v>
      </c>
      <c r="DX8" s="42">
        <v>2.5993192050144944E-7</v>
      </c>
      <c r="DY8" s="42">
        <v>1.291237557069005E-8</v>
      </c>
      <c r="DZ8" s="42">
        <v>4.4799043487623077E-8</v>
      </c>
      <c r="EA8" s="42">
        <v>2.3015570196611643E-5</v>
      </c>
      <c r="EB8" s="42">
        <v>2.8091809447684395E-9</v>
      </c>
      <c r="EC8" s="42">
        <v>2.1438486157443446E-10</v>
      </c>
      <c r="ED8" s="42">
        <v>2.4039108485844705E-3</v>
      </c>
      <c r="EE8" s="42">
        <v>5.1615003569403448E-4</v>
      </c>
      <c r="EF8" s="42">
        <v>8.6246783392011526E-7</v>
      </c>
      <c r="EG8" s="42">
        <v>3.4745132737925509E-9</v>
      </c>
      <c r="EH8" s="42">
        <v>1.4292324104962259E-9</v>
      </c>
      <c r="EI8" s="42">
        <v>7.8854201958414379E-10</v>
      </c>
      <c r="EJ8" s="42">
        <v>5.8676947506157531E-8</v>
      </c>
      <c r="EK8" s="42">
        <v>2.4126451742996081E-7</v>
      </c>
      <c r="EL8" s="42">
        <v>3.8783568554023439E-4</v>
      </c>
      <c r="EM8" s="42">
        <v>8.7758374379576577E-8</v>
      </c>
      <c r="EN8" s="42">
        <v>1.2344474844111405E-8</v>
      </c>
      <c r="EO8" s="42">
        <v>1.61632010033575E-2</v>
      </c>
      <c r="EP8" s="42">
        <v>7.9846810664175056E-3</v>
      </c>
      <c r="EQ8" s="42">
        <v>3.7982500395391947E-4</v>
      </c>
      <c r="ER8" s="42">
        <v>6.0268969991328268E-8</v>
      </c>
      <c r="ES8" s="42">
        <v>1.2348794440987609E-8</v>
      </c>
      <c r="ET8" s="42">
        <v>2.6072046252103358E-7</v>
      </c>
      <c r="EU8" s="42">
        <v>2.0402763825690192E-6</v>
      </c>
      <c r="EV8" s="42">
        <v>8.7588872725646886E-6</v>
      </c>
      <c r="EW8" s="42">
        <v>1.6287044926238226E-2</v>
      </c>
      <c r="EX8" s="42">
        <v>3.7995239259127823E-6</v>
      </c>
      <c r="EY8" s="42">
        <v>5.4465914229113715E-7</v>
      </c>
      <c r="EZ8" s="42">
        <v>0.61406220247762766</v>
      </c>
      <c r="FA8" s="42">
        <v>0.33310380661600147</v>
      </c>
      <c r="FB8" s="42">
        <v>1.7018268920612079E-2</v>
      </c>
      <c r="FC8" s="42">
        <v>2.5330884546738327E-6</v>
      </c>
      <c r="FD8" s="42">
        <v>4.8702317282651595E-7</v>
      </c>
      <c r="FE8" s="42">
        <v>1.1593218508948651E-5</v>
      </c>
      <c r="FF8" s="42">
        <v>5.7565959443232267E-7</v>
      </c>
      <c r="FG8" s="42">
        <v>1.9972454393792339E-6</v>
      </c>
      <c r="FH8" s="42">
        <v>1.0275081061309581E-3</v>
      </c>
      <c r="FI8" s="42">
        <v>1.2564628079791125E-7</v>
      </c>
      <c r="FJ8" s="42">
        <v>9.6262002172645272E-9</v>
      </c>
      <c r="FK8" s="42">
        <v>0.10729065226889456</v>
      </c>
      <c r="FL8" s="42">
        <v>2.3020797659859593E-2</v>
      </c>
      <c r="FM8" s="42">
        <v>3.8731294347213452E-5</v>
      </c>
      <c r="FN8" s="42">
        <v>1.5496669865560043E-7</v>
      </c>
      <c r="FO8" s="42">
        <v>6.374516682287108E-8</v>
      </c>
      <c r="FP8" s="42">
        <v>3.5169747212617709E-8</v>
      </c>
      <c r="FQ8" s="42">
        <v>2.6159359770013419E-6</v>
      </c>
      <c r="FR8" s="42">
        <v>1.0756132711943922E-5</v>
      </c>
      <c r="FS8" s="42">
        <v>1.7314553032369184E-2</v>
      </c>
      <c r="FT8" s="42">
        <v>3.9251702067106935E-6</v>
      </c>
      <c r="FU8" s="42">
        <v>5.5428534250840168E-7</v>
      </c>
      <c r="FV8" s="42">
        <v>0.72135285474652222</v>
      </c>
      <c r="FW8" s="42">
        <v>0.35612460427586107</v>
      </c>
      <c r="FX8" s="42">
        <v>1.7057000214959293E-2</v>
      </c>
      <c r="FY8" s="42">
        <v>2.6880551533294331E-6</v>
      </c>
      <c r="FZ8" s="42">
        <v>5.5076833964938703E-7</v>
      </c>
      <c r="GA8" s="42">
        <v>1.1628388256161268E-5</v>
      </c>
      <c r="GB8" s="42">
        <v>8.1664514624536835E-6</v>
      </c>
      <c r="GC8" s="42">
        <v>1.7675171749417364E-4</v>
      </c>
      <c r="GD8" s="42">
        <v>0.65063487071336468</v>
      </c>
      <c r="GE8" s="42">
        <v>3.1839250594363933E-4</v>
      </c>
      <c r="GF8" s="42">
        <v>7.150993276883027E-5</v>
      </c>
      <c r="GG8" s="42">
        <v>17.201970102886776</v>
      </c>
      <c r="GH8" s="42">
        <v>10.658922087144107</v>
      </c>
      <c r="GI8" s="42">
        <v>0.74896550606167733</v>
      </c>
      <c r="GJ8" s="42">
        <v>4.0636970210566768E-5</v>
      </c>
      <c r="GK8" s="42">
        <v>9.81780273637517E-7</v>
      </c>
      <c r="GL8" s="42">
        <v>5.1025000759065517E-4</v>
      </c>
      <c r="GM8" s="42" t="s">
        <v>455</v>
      </c>
      <c r="GN8" s="42" t="s">
        <v>455</v>
      </c>
      <c r="GO8" s="42" t="s">
        <v>455</v>
      </c>
      <c r="GP8" s="42" t="s">
        <v>455</v>
      </c>
      <c r="GQ8" s="42" t="s">
        <v>455</v>
      </c>
      <c r="GR8" s="42" t="s">
        <v>455</v>
      </c>
      <c r="GS8" s="42" t="s">
        <v>455</v>
      </c>
      <c r="GT8" s="42" t="s">
        <v>455</v>
      </c>
      <c r="GU8" s="42" t="s">
        <v>455</v>
      </c>
      <c r="GV8" s="42" t="s">
        <v>455</v>
      </c>
      <c r="GW8" s="42" t="s">
        <v>455</v>
      </c>
      <c r="GX8" s="42" t="s">
        <v>455</v>
      </c>
      <c r="GY8" s="42" t="s">
        <v>455</v>
      </c>
      <c r="GZ8" s="42" t="s">
        <v>455</v>
      </c>
      <c r="HA8" s="42" t="s">
        <v>455</v>
      </c>
      <c r="HB8" s="42" t="s">
        <v>455</v>
      </c>
      <c r="HC8" s="42" t="s">
        <v>455</v>
      </c>
      <c r="HD8" s="42" t="s">
        <v>455</v>
      </c>
      <c r="HE8" s="42" t="s">
        <v>455</v>
      </c>
      <c r="HF8" s="42" t="s">
        <v>455</v>
      </c>
      <c r="HG8" s="42" t="s">
        <v>455</v>
      </c>
      <c r="HH8" s="42" t="s">
        <v>455</v>
      </c>
      <c r="HI8" s="42" t="s">
        <v>455</v>
      </c>
      <c r="HJ8" s="42" t="s">
        <v>455</v>
      </c>
      <c r="HK8" s="42" t="s">
        <v>455</v>
      </c>
      <c r="HL8" s="42" t="s">
        <v>455</v>
      </c>
      <c r="HM8" s="42" t="s">
        <v>455</v>
      </c>
      <c r="HN8" s="42" t="s">
        <v>455</v>
      </c>
      <c r="HO8" s="42" t="s">
        <v>455</v>
      </c>
      <c r="HP8" s="42" t="s">
        <v>455</v>
      </c>
      <c r="HQ8" s="42" t="s">
        <v>455</v>
      </c>
      <c r="HR8" s="42" t="s">
        <v>455</v>
      </c>
      <c r="HS8" s="42" t="s">
        <v>455</v>
      </c>
      <c r="HT8" s="42" t="s">
        <v>455</v>
      </c>
      <c r="HU8" s="42" t="s">
        <v>455</v>
      </c>
      <c r="HV8" s="42" t="s">
        <v>455</v>
      </c>
      <c r="HW8" s="42" t="s">
        <v>455</v>
      </c>
      <c r="HX8" s="42" t="s">
        <v>455</v>
      </c>
      <c r="HY8" s="42" t="s">
        <v>455</v>
      </c>
      <c r="HZ8" s="42" t="s">
        <v>455</v>
      </c>
      <c r="IA8" s="42" t="s">
        <v>455</v>
      </c>
      <c r="IB8" s="42" t="s">
        <v>455</v>
      </c>
      <c r="IC8" s="42" t="s">
        <v>455</v>
      </c>
      <c r="ID8" s="42" t="s">
        <v>455</v>
      </c>
      <c r="IE8" s="42" t="s">
        <v>455</v>
      </c>
      <c r="IF8" s="42" t="s">
        <v>455</v>
      </c>
      <c r="IG8" s="42" t="s">
        <v>455</v>
      </c>
      <c r="IH8" s="42" t="s">
        <v>455</v>
      </c>
      <c r="II8" s="42" t="s">
        <v>455</v>
      </c>
      <c r="IJ8" s="42" t="s">
        <v>455</v>
      </c>
      <c r="IK8" s="42" t="s">
        <v>455</v>
      </c>
      <c r="IL8" s="42" t="s">
        <v>455</v>
      </c>
      <c r="IM8" s="42" t="s">
        <v>455</v>
      </c>
      <c r="IN8" s="42" t="s">
        <v>455</v>
      </c>
      <c r="IO8" s="42" t="s">
        <v>455</v>
      </c>
      <c r="IP8" s="42" t="s">
        <v>455</v>
      </c>
      <c r="IQ8" s="42" t="s">
        <v>455</v>
      </c>
      <c r="IR8" s="42" t="s">
        <v>455</v>
      </c>
      <c r="IS8" s="42" t="s">
        <v>455</v>
      </c>
      <c r="IT8" s="42" t="s">
        <v>455</v>
      </c>
      <c r="IU8" s="42" t="s">
        <v>455</v>
      </c>
      <c r="IV8" s="42" t="s">
        <v>455</v>
      </c>
      <c r="IW8" s="42" t="s">
        <v>455</v>
      </c>
      <c r="IX8" s="42" t="s">
        <v>455</v>
      </c>
      <c r="IY8" s="42" t="s">
        <v>455</v>
      </c>
      <c r="IZ8" s="42" t="s">
        <v>455</v>
      </c>
      <c r="JA8" s="42" t="s">
        <v>455</v>
      </c>
      <c r="JB8" s="42" t="s">
        <v>455</v>
      </c>
      <c r="JC8" s="42" t="s">
        <v>455</v>
      </c>
      <c r="JD8" s="42" t="s">
        <v>455</v>
      </c>
      <c r="JE8" s="42" t="s">
        <v>455</v>
      </c>
      <c r="JF8" s="42" t="s">
        <v>455</v>
      </c>
      <c r="JG8" s="42" t="s">
        <v>455</v>
      </c>
      <c r="JH8" s="42" t="s">
        <v>455</v>
      </c>
      <c r="JI8" s="42" t="s">
        <v>455</v>
      </c>
      <c r="JJ8" s="42" t="s">
        <v>455</v>
      </c>
      <c r="JK8" s="42" t="s">
        <v>455</v>
      </c>
      <c r="JL8" s="42" t="s">
        <v>455</v>
      </c>
      <c r="JM8" s="42" t="s">
        <v>455</v>
      </c>
    </row>
    <row r="9" spans="1:273">
      <c r="A9" s="42" t="s">
        <v>208</v>
      </c>
      <c r="B9" s="42" t="s">
        <v>209</v>
      </c>
      <c r="C9" s="42" t="s">
        <v>237</v>
      </c>
      <c r="D9" s="60">
        <v>41493</v>
      </c>
      <c r="E9" s="42" t="s">
        <v>238</v>
      </c>
      <c r="F9" s="42">
        <v>0.27351300200000001</v>
      </c>
      <c r="G9" s="42">
        <v>32.317073170731703</v>
      </c>
      <c r="H9" s="42">
        <v>20.790000915499999</v>
      </c>
      <c r="I9" s="42">
        <v>1</v>
      </c>
      <c r="J9" s="42">
        <v>0</v>
      </c>
      <c r="K9" s="42">
        <v>0</v>
      </c>
      <c r="L9" s="42" t="s">
        <v>454</v>
      </c>
      <c r="M9" s="42" t="s">
        <v>614</v>
      </c>
      <c r="N9" s="42">
        <v>2.0797335081525476E-22</v>
      </c>
      <c r="O9" s="61" t="s">
        <v>455</v>
      </c>
      <c r="P9" s="42">
        <v>12.343462207428638</v>
      </c>
      <c r="Q9" s="42">
        <v>0.63819658399004797</v>
      </c>
      <c r="R9" s="42">
        <v>2.538992622376409</v>
      </c>
      <c r="S9" s="42">
        <v>0.55704533671037149</v>
      </c>
      <c r="T9" s="42" t="s">
        <v>455</v>
      </c>
      <c r="U9" s="42" t="s">
        <v>455</v>
      </c>
      <c r="V9" s="42" t="s">
        <v>456</v>
      </c>
      <c r="W9" s="42" t="s">
        <v>455</v>
      </c>
      <c r="X9" s="42">
        <v>0.5</v>
      </c>
      <c r="Y9" s="42">
        <v>0.31622776601683783</v>
      </c>
      <c r="Z9" s="42" t="s">
        <v>456</v>
      </c>
      <c r="AA9" s="42" t="s">
        <v>455</v>
      </c>
      <c r="AB9" s="42" t="s">
        <v>456</v>
      </c>
      <c r="AC9" s="42" t="s">
        <v>455</v>
      </c>
      <c r="AD9" s="42" t="s">
        <v>622</v>
      </c>
      <c r="AE9" s="42" t="s">
        <v>104</v>
      </c>
      <c r="AF9" s="42">
        <v>3.659111562025319E-19</v>
      </c>
      <c r="AG9" s="42">
        <v>5</v>
      </c>
      <c r="AH9" s="62">
        <v>42880.56287037037</v>
      </c>
      <c r="AI9" s="42" t="s">
        <v>621</v>
      </c>
      <c r="AJ9" s="63" t="s">
        <v>666</v>
      </c>
      <c r="AK9" s="61" t="s">
        <v>455</v>
      </c>
      <c r="AL9" s="61" t="s">
        <v>455</v>
      </c>
      <c r="AM9" s="61">
        <v>6.5335618682784036E-2</v>
      </c>
      <c r="AN9" s="61" t="s">
        <v>455</v>
      </c>
      <c r="AO9" s="61" t="s">
        <v>455</v>
      </c>
      <c r="AP9" s="61">
        <v>0.17370471768613926</v>
      </c>
      <c r="AQ9" s="61">
        <v>-0.97168076290351446</v>
      </c>
      <c r="AR9" s="61">
        <v>5.5963245127149923</v>
      </c>
      <c r="AS9" s="61" t="s">
        <v>455</v>
      </c>
      <c r="AT9" s="61" t="s">
        <v>455</v>
      </c>
      <c r="AU9" s="61" t="s">
        <v>455</v>
      </c>
      <c r="AV9" s="42" t="s">
        <v>455</v>
      </c>
      <c r="AW9" s="42" t="s">
        <v>455</v>
      </c>
      <c r="AX9" s="42" t="s">
        <v>455</v>
      </c>
      <c r="AY9" s="42" t="s">
        <v>455</v>
      </c>
      <c r="AZ9" s="42" t="s">
        <v>455</v>
      </c>
      <c r="BA9" s="42" t="s">
        <v>455</v>
      </c>
      <c r="BB9" s="42" t="s">
        <v>455</v>
      </c>
      <c r="BC9" s="42" t="s">
        <v>455</v>
      </c>
      <c r="BD9" s="42" t="s">
        <v>455</v>
      </c>
      <c r="BE9" s="42" t="s">
        <v>455</v>
      </c>
      <c r="BF9" s="42" t="s">
        <v>455</v>
      </c>
      <c r="BG9" s="42" t="s">
        <v>455</v>
      </c>
      <c r="BH9" s="42" t="s">
        <v>455</v>
      </c>
      <c r="BI9" s="42" t="s">
        <v>455</v>
      </c>
      <c r="BJ9" s="42" t="s">
        <v>455</v>
      </c>
      <c r="BK9" s="42" t="s">
        <v>455</v>
      </c>
      <c r="BL9" s="42" t="s">
        <v>455</v>
      </c>
      <c r="BM9" s="42" t="s">
        <v>455</v>
      </c>
      <c r="BN9" s="42" t="s">
        <v>455</v>
      </c>
      <c r="BO9" s="42" t="s">
        <v>455</v>
      </c>
      <c r="BP9" s="42" t="s">
        <v>455</v>
      </c>
      <c r="BQ9" s="42" t="s">
        <v>455</v>
      </c>
      <c r="BR9" s="42" t="s">
        <v>455</v>
      </c>
      <c r="BS9" s="42" t="s">
        <v>455</v>
      </c>
      <c r="BT9" s="42" t="s">
        <v>455</v>
      </c>
      <c r="BU9" s="42" t="s">
        <v>455</v>
      </c>
      <c r="BV9" s="42" t="s">
        <v>455</v>
      </c>
      <c r="BW9" s="42" t="s">
        <v>455</v>
      </c>
      <c r="BX9" s="42" t="s">
        <v>455</v>
      </c>
      <c r="BY9" s="42" t="s">
        <v>455</v>
      </c>
      <c r="BZ9" s="42" t="s">
        <v>455</v>
      </c>
      <c r="CA9" s="42" t="s">
        <v>455</v>
      </c>
      <c r="CB9" s="42" t="s">
        <v>455</v>
      </c>
      <c r="CC9" s="42" t="s">
        <v>455</v>
      </c>
      <c r="CD9" s="42" t="s">
        <v>455</v>
      </c>
      <c r="CE9" s="42" t="s">
        <v>455</v>
      </c>
      <c r="CF9" s="42" t="s">
        <v>455</v>
      </c>
      <c r="CG9" s="42" t="s">
        <v>455</v>
      </c>
      <c r="CH9" s="42" t="s">
        <v>455</v>
      </c>
      <c r="CI9" s="42" t="s">
        <v>455</v>
      </c>
      <c r="CJ9" s="42" t="s">
        <v>455</v>
      </c>
      <c r="CK9" s="42" t="s">
        <v>455</v>
      </c>
      <c r="CL9" s="42" t="s">
        <v>455</v>
      </c>
      <c r="CM9" s="42" t="s">
        <v>455</v>
      </c>
      <c r="CN9" s="42" t="s">
        <v>455</v>
      </c>
      <c r="CO9" s="42" t="s">
        <v>455</v>
      </c>
      <c r="CP9" s="42" t="s">
        <v>455</v>
      </c>
      <c r="CQ9" s="42" t="s">
        <v>455</v>
      </c>
      <c r="CR9" s="42">
        <v>0.69146452140950798</v>
      </c>
      <c r="CS9" s="42">
        <v>6.9146452140950804E-2</v>
      </c>
      <c r="CT9" s="42" t="s">
        <v>455</v>
      </c>
      <c r="CU9" s="42" t="s">
        <v>455</v>
      </c>
      <c r="CV9" s="42" t="s">
        <v>455</v>
      </c>
      <c r="CW9" s="42" t="s">
        <v>455</v>
      </c>
      <c r="CX9" s="42">
        <v>20.144663031395901</v>
      </c>
      <c r="CY9" s="42">
        <v>2.01446630313959</v>
      </c>
      <c r="CZ9" s="42">
        <v>0.30111405763078403</v>
      </c>
      <c r="DA9" s="42">
        <v>3.0111405763078403E-2</v>
      </c>
      <c r="DB9" s="42">
        <v>4.9223638266329797</v>
      </c>
      <c r="DC9" s="42">
        <v>0.492236382663298</v>
      </c>
      <c r="DD9" s="42" t="s">
        <v>455</v>
      </c>
      <c r="DE9" s="42" t="s">
        <v>455</v>
      </c>
      <c r="DF9" s="42" t="s">
        <v>455</v>
      </c>
      <c r="DG9" s="42" t="s">
        <v>455</v>
      </c>
      <c r="DH9" s="42" t="s">
        <v>455</v>
      </c>
      <c r="DI9" s="42" t="s">
        <v>455</v>
      </c>
      <c r="DJ9" s="42">
        <v>0.99967354832682098</v>
      </c>
      <c r="DK9" s="42">
        <v>0.99611394704900091</v>
      </c>
      <c r="DL9" s="42">
        <v>1.4141275925250212E-2</v>
      </c>
      <c r="DM9" s="42">
        <v>0.99605820503881404</v>
      </c>
      <c r="DN9" s="42">
        <v>4.5744525247683552E-8</v>
      </c>
      <c r="DO9" s="42">
        <v>1.9627207878684508E-7</v>
      </c>
      <c r="DP9" s="42">
        <v>3.6394056729826581E-4</v>
      </c>
      <c r="DQ9" s="42">
        <v>8.469400572015785E-8</v>
      </c>
      <c r="DR9" s="42">
        <v>1.2085739886963597E-8</v>
      </c>
      <c r="DS9" s="42">
        <v>1.3728546857590075E-2</v>
      </c>
      <c r="DT9" s="42">
        <v>7.4503548244738323E-3</v>
      </c>
      <c r="DU9" s="42">
        <v>3.7758239074722939E-4</v>
      </c>
      <c r="DV9" s="42">
        <v>5.6644328346039342E-8</v>
      </c>
      <c r="DW9" s="42">
        <v>1.0908000926415953E-8</v>
      </c>
      <c r="DX9" s="42">
        <v>2.5893280379204717E-7</v>
      </c>
      <c r="DY9" s="42">
        <v>1.330432134125238E-8</v>
      </c>
      <c r="DZ9" s="42">
        <v>4.6158885874803097E-8</v>
      </c>
      <c r="EA9" s="42">
        <v>2.3714191092995632E-5</v>
      </c>
      <c r="EB9" s="42">
        <v>2.8944515895091042E-9</v>
      </c>
      <c r="EC9" s="42">
        <v>2.2089235814674838E-10</v>
      </c>
      <c r="ED9" s="42">
        <v>2.3823551267953599E-3</v>
      </c>
      <c r="EE9" s="42">
        <v>5.3181739468296206E-4</v>
      </c>
      <c r="EF9" s="42">
        <v>8.8864741783174295E-7</v>
      </c>
      <c r="EG9" s="42">
        <v>3.5799795975507411E-9</v>
      </c>
      <c r="EH9" s="42">
        <v>1.472615720978317E-9</v>
      </c>
      <c r="EI9" s="42">
        <v>8.1247763916042523E-10</v>
      </c>
      <c r="EJ9" s="42">
        <v>5.9048846588935932E-8</v>
      </c>
      <c r="EK9" s="42">
        <v>2.4243096466164818E-7</v>
      </c>
      <c r="EL9" s="42">
        <v>3.8765475839126144E-4</v>
      </c>
      <c r="EM9" s="42">
        <v>8.7588457309666954E-8</v>
      </c>
      <c r="EN9" s="42">
        <v>1.2306632245110345E-8</v>
      </c>
      <c r="EO9" s="42">
        <v>1.6110901984385435E-2</v>
      </c>
      <c r="EP9" s="42">
        <v>7.9821722191567943E-3</v>
      </c>
      <c r="EQ9" s="42">
        <v>3.7847103816506113E-4</v>
      </c>
      <c r="ER9" s="42">
        <v>6.0224307943590083E-8</v>
      </c>
      <c r="ES9" s="42">
        <v>1.238061664739427E-8</v>
      </c>
      <c r="ET9" s="42">
        <v>2.597452814312076E-7</v>
      </c>
      <c r="EU9" s="42">
        <v>2.0393564919222242E-6</v>
      </c>
      <c r="EV9" s="42">
        <v>8.7501529848901802E-6</v>
      </c>
      <c r="EW9" s="42">
        <v>1.6247569855956961E-2</v>
      </c>
      <c r="EX9" s="42">
        <v>3.7880615323756185E-6</v>
      </c>
      <c r="EY9" s="42">
        <v>5.4266079336883868E-7</v>
      </c>
      <c r="EZ9" s="42">
        <v>0.61268230048960326</v>
      </c>
      <c r="FA9" s="42">
        <v>0.33228886605137881</v>
      </c>
      <c r="FB9" s="42">
        <v>1.6956072429091553E-2</v>
      </c>
      <c r="FC9" s="42">
        <v>2.5263601637492045E-6</v>
      </c>
      <c r="FD9" s="42">
        <v>4.8650129344438678E-7</v>
      </c>
      <c r="FE9" s="42">
        <v>1.1548508733158219E-5</v>
      </c>
      <c r="FF9" s="42">
        <v>5.9312571178725664E-7</v>
      </c>
      <c r="FG9" s="42">
        <v>2.057843965953268E-6</v>
      </c>
      <c r="FH9" s="42">
        <v>1.0586837824132708E-3</v>
      </c>
      <c r="FI9" s="42">
        <v>1.294585210642991E-7</v>
      </c>
      <c r="FJ9" s="42">
        <v>9.9182692530331924E-9</v>
      </c>
      <c r="FK9" s="42">
        <v>0.10632638887508761</v>
      </c>
      <c r="FL9" s="42">
        <v>2.3719272865380669E-2</v>
      </c>
      <c r="FM9" s="42">
        <v>3.9906442540555559E-5</v>
      </c>
      <c r="FN9" s="42">
        <v>1.596685512278564E-7</v>
      </c>
      <c r="FO9" s="42">
        <v>6.5679262207203224E-8</v>
      </c>
      <c r="FP9" s="42">
        <v>3.6236834321215397E-8</v>
      </c>
      <c r="FQ9" s="42">
        <v>2.6324822037094809E-6</v>
      </c>
      <c r="FR9" s="42">
        <v>1.0807996950843448E-5</v>
      </c>
      <c r="FS9" s="42">
        <v>1.7306253638370232E-2</v>
      </c>
      <c r="FT9" s="42">
        <v>3.9175200534399175E-6</v>
      </c>
      <c r="FU9" s="42">
        <v>5.5257906262187187E-7</v>
      </c>
      <c r="FV9" s="42">
        <v>0.71900868936469087</v>
      </c>
      <c r="FW9" s="42">
        <v>0.35600813891675948</v>
      </c>
      <c r="FX9" s="42">
        <v>1.6995978871632109E-2</v>
      </c>
      <c r="FY9" s="42">
        <v>2.6860287149770609E-6</v>
      </c>
      <c r="FZ9" s="42">
        <v>5.5218055565159001E-7</v>
      </c>
      <c r="GA9" s="42">
        <v>1.1584745567479434E-5</v>
      </c>
      <c r="GB9" s="42">
        <v>8.1627694895690306E-6</v>
      </c>
      <c r="GC9" s="42">
        <v>1.7657546218918837E-4</v>
      </c>
      <c r="GD9" s="42">
        <v>0.64905792060576872</v>
      </c>
      <c r="GE9" s="42">
        <v>3.1743198029001211E-4</v>
      </c>
      <c r="GF9" s="42">
        <v>7.1247563543774936E-5</v>
      </c>
      <c r="GG9" s="42">
        <v>17.163314356535452</v>
      </c>
      <c r="GH9" s="42">
        <v>10.632844967004861</v>
      </c>
      <c r="GI9" s="42">
        <v>0.74622826956810473</v>
      </c>
      <c r="GJ9" s="42">
        <v>4.052903187254006E-5</v>
      </c>
      <c r="GK9" s="42">
        <v>9.8072822742867045E-7</v>
      </c>
      <c r="GL9" s="42">
        <v>5.0828220517074604E-4</v>
      </c>
      <c r="GM9" s="42" t="s">
        <v>455</v>
      </c>
      <c r="GN9" s="42" t="s">
        <v>455</v>
      </c>
      <c r="GO9" s="42" t="s">
        <v>455</v>
      </c>
      <c r="GP9" s="42" t="s">
        <v>455</v>
      </c>
      <c r="GQ9" s="42" t="s">
        <v>455</v>
      </c>
      <c r="GR9" s="42" t="s">
        <v>455</v>
      </c>
      <c r="GS9" s="42" t="s">
        <v>455</v>
      </c>
      <c r="GT9" s="42" t="s">
        <v>455</v>
      </c>
      <c r="GU9" s="42" t="s">
        <v>455</v>
      </c>
      <c r="GV9" s="42" t="s">
        <v>455</v>
      </c>
      <c r="GW9" s="42" t="s">
        <v>455</v>
      </c>
      <c r="GX9" s="42" t="s">
        <v>455</v>
      </c>
      <c r="GY9" s="42" t="s">
        <v>455</v>
      </c>
      <c r="GZ9" s="42" t="s">
        <v>455</v>
      </c>
      <c r="HA9" s="42" t="s">
        <v>455</v>
      </c>
      <c r="HB9" s="42" t="s">
        <v>455</v>
      </c>
      <c r="HC9" s="42" t="s">
        <v>455</v>
      </c>
      <c r="HD9" s="42" t="s">
        <v>455</v>
      </c>
      <c r="HE9" s="42" t="s">
        <v>455</v>
      </c>
      <c r="HF9" s="42" t="s">
        <v>455</v>
      </c>
      <c r="HG9" s="42" t="s">
        <v>455</v>
      </c>
      <c r="HH9" s="42" t="s">
        <v>455</v>
      </c>
      <c r="HI9" s="42" t="s">
        <v>455</v>
      </c>
      <c r="HJ9" s="42" t="s">
        <v>455</v>
      </c>
      <c r="HK9" s="42" t="s">
        <v>455</v>
      </c>
      <c r="HL9" s="42" t="s">
        <v>455</v>
      </c>
      <c r="HM9" s="42" t="s">
        <v>455</v>
      </c>
      <c r="HN9" s="42" t="s">
        <v>455</v>
      </c>
      <c r="HO9" s="42" t="s">
        <v>455</v>
      </c>
      <c r="HP9" s="42" t="s">
        <v>455</v>
      </c>
      <c r="HQ9" s="42" t="s">
        <v>455</v>
      </c>
      <c r="HR9" s="42" t="s">
        <v>455</v>
      </c>
      <c r="HS9" s="42" t="s">
        <v>455</v>
      </c>
      <c r="HT9" s="42" t="s">
        <v>455</v>
      </c>
      <c r="HU9" s="42" t="s">
        <v>455</v>
      </c>
      <c r="HV9" s="42" t="s">
        <v>455</v>
      </c>
      <c r="HW9" s="42" t="s">
        <v>455</v>
      </c>
      <c r="HX9" s="42" t="s">
        <v>455</v>
      </c>
      <c r="HY9" s="42" t="s">
        <v>455</v>
      </c>
      <c r="HZ9" s="42" t="s">
        <v>455</v>
      </c>
      <c r="IA9" s="42" t="s">
        <v>455</v>
      </c>
      <c r="IB9" s="42" t="s">
        <v>455</v>
      </c>
      <c r="IC9" s="42" t="s">
        <v>455</v>
      </c>
      <c r="ID9" s="42" t="s">
        <v>455</v>
      </c>
      <c r="IE9" s="42" t="s">
        <v>455</v>
      </c>
      <c r="IF9" s="42" t="s">
        <v>455</v>
      </c>
      <c r="IG9" s="42" t="s">
        <v>455</v>
      </c>
      <c r="IH9" s="42" t="s">
        <v>455</v>
      </c>
      <c r="II9" s="42" t="s">
        <v>455</v>
      </c>
      <c r="IJ9" s="42" t="s">
        <v>455</v>
      </c>
      <c r="IK9" s="42" t="s">
        <v>455</v>
      </c>
      <c r="IL9" s="42" t="s">
        <v>455</v>
      </c>
      <c r="IM9" s="42" t="s">
        <v>455</v>
      </c>
      <c r="IN9" s="42" t="s">
        <v>455</v>
      </c>
      <c r="IO9" s="42" t="s">
        <v>455</v>
      </c>
      <c r="IP9" s="42" t="s">
        <v>455</v>
      </c>
      <c r="IQ9" s="42" t="s">
        <v>455</v>
      </c>
      <c r="IR9" s="42" t="s">
        <v>455</v>
      </c>
      <c r="IS9" s="42" t="s">
        <v>455</v>
      </c>
      <c r="IT9" s="42" t="s">
        <v>455</v>
      </c>
      <c r="IU9" s="42" t="s">
        <v>455</v>
      </c>
      <c r="IV9" s="42" t="s">
        <v>455</v>
      </c>
      <c r="IW9" s="42" t="s">
        <v>455</v>
      </c>
      <c r="IX9" s="42" t="s">
        <v>455</v>
      </c>
      <c r="IY9" s="42" t="s">
        <v>455</v>
      </c>
      <c r="IZ9" s="42" t="s">
        <v>455</v>
      </c>
      <c r="JA9" s="42" t="s">
        <v>455</v>
      </c>
      <c r="JB9" s="42" t="s">
        <v>455</v>
      </c>
      <c r="JC9" s="42" t="s">
        <v>455</v>
      </c>
      <c r="JD9" s="42" t="s">
        <v>455</v>
      </c>
      <c r="JE9" s="42" t="s">
        <v>455</v>
      </c>
      <c r="JF9" s="42" t="s">
        <v>455</v>
      </c>
      <c r="JG9" s="42" t="s">
        <v>455</v>
      </c>
      <c r="JH9" s="42" t="s">
        <v>455</v>
      </c>
      <c r="JI9" s="42" t="s">
        <v>455</v>
      </c>
      <c r="JJ9" s="42" t="s">
        <v>455</v>
      </c>
      <c r="JK9" s="42" t="s">
        <v>455</v>
      </c>
      <c r="JL9" s="42" t="s">
        <v>455</v>
      </c>
      <c r="JM9" s="42" t="s">
        <v>455</v>
      </c>
    </row>
    <row r="10" spans="1:273">
      <c r="A10" s="42" t="s">
        <v>208</v>
      </c>
      <c r="B10" s="42" t="s">
        <v>209</v>
      </c>
      <c r="C10" s="42" t="s">
        <v>213</v>
      </c>
      <c r="D10" s="60">
        <v>41508</v>
      </c>
      <c r="E10" s="42" t="s">
        <v>214</v>
      </c>
      <c r="F10" s="42">
        <v>0.70640354088000001</v>
      </c>
      <c r="G10" s="42">
        <v>19.8170731707317</v>
      </c>
      <c r="H10" s="42">
        <v>20.159999847400002</v>
      </c>
      <c r="I10" s="42">
        <v>1</v>
      </c>
      <c r="J10" s="42">
        <v>0</v>
      </c>
      <c r="K10" s="42">
        <v>0</v>
      </c>
      <c r="L10" s="42" t="s">
        <v>454</v>
      </c>
      <c r="M10" s="42" t="s">
        <v>614</v>
      </c>
      <c r="N10" s="42">
        <v>2.7737479278449269E-25</v>
      </c>
      <c r="O10" s="61" t="s">
        <v>455</v>
      </c>
      <c r="P10" s="42">
        <v>12.686004942733291</v>
      </c>
      <c r="Q10" s="42">
        <v>0.16729321493758914</v>
      </c>
      <c r="R10" s="42">
        <v>1.7399696836991687</v>
      </c>
      <c r="S10" s="42">
        <v>0.1437303899326601</v>
      </c>
      <c r="T10" s="42" t="s">
        <v>455</v>
      </c>
      <c r="U10" s="42" t="s">
        <v>455</v>
      </c>
      <c r="V10" s="42" t="s">
        <v>456</v>
      </c>
      <c r="W10" s="42" t="s">
        <v>455</v>
      </c>
      <c r="X10" s="42">
        <v>0.10000000000000002</v>
      </c>
      <c r="Y10" s="42">
        <v>8.1649658092772595E-2</v>
      </c>
      <c r="Z10" s="42" t="s">
        <v>456</v>
      </c>
      <c r="AA10" s="42" t="s">
        <v>455</v>
      </c>
      <c r="AB10" s="42" t="s">
        <v>456</v>
      </c>
      <c r="AC10" s="42" t="s">
        <v>455</v>
      </c>
      <c r="AD10" s="42" t="s">
        <v>622</v>
      </c>
      <c r="AE10" s="42" t="s">
        <v>123</v>
      </c>
      <c r="AF10" s="42">
        <v>1.19783497026807E-5</v>
      </c>
      <c r="AG10" s="42">
        <v>16</v>
      </c>
      <c r="AH10" s="62">
        <v>42880.562835648147</v>
      </c>
      <c r="AI10" s="42" t="s">
        <v>665</v>
      </c>
      <c r="AJ10" s="63" t="s">
        <v>664</v>
      </c>
      <c r="AK10" s="61">
        <v>8.4713355917627631</v>
      </c>
      <c r="AL10" s="61">
        <v>6.6220204693919982E-2</v>
      </c>
      <c r="AM10" s="61">
        <v>4.5075049101945597E-2</v>
      </c>
      <c r="AN10" s="61" t="s">
        <v>455</v>
      </c>
      <c r="AO10" s="61" t="s">
        <v>455</v>
      </c>
      <c r="AP10" s="61">
        <v>0.10572331038105554</v>
      </c>
      <c r="AQ10" s="61">
        <v>-0.97637117068904133</v>
      </c>
      <c r="AR10" s="61">
        <v>2.1027208384411082</v>
      </c>
      <c r="AS10" s="61">
        <v>146.72985007171465</v>
      </c>
      <c r="AT10" s="61" t="s">
        <v>455</v>
      </c>
      <c r="AU10" s="61" t="s">
        <v>455</v>
      </c>
      <c r="AV10" s="42">
        <v>4.3230000000000003E-7</v>
      </c>
      <c r="AW10" s="42">
        <v>3E-10</v>
      </c>
      <c r="AX10" s="42">
        <v>2.0840000000000001E-7</v>
      </c>
      <c r="AY10" s="42">
        <v>4.8E-10</v>
      </c>
      <c r="AZ10" s="42" t="s">
        <v>455</v>
      </c>
      <c r="BA10" s="42" t="s">
        <v>455</v>
      </c>
      <c r="BB10" s="42" t="s">
        <v>455</v>
      </c>
      <c r="BC10" s="42" t="s">
        <v>455</v>
      </c>
      <c r="BD10" s="42" t="s">
        <v>455</v>
      </c>
      <c r="BE10" s="42" t="s">
        <v>455</v>
      </c>
      <c r="BF10" s="42" t="s">
        <v>455</v>
      </c>
      <c r="BG10" s="42" t="s">
        <v>455</v>
      </c>
      <c r="BH10" s="42" t="s">
        <v>455</v>
      </c>
      <c r="BI10" s="42" t="s">
        <v>455</v>
      </c>
      <c r="BJ10" s="42" t="s">
        <v>455</v>
      </c>
      <c r="BK10" s="42" t="s">
        <v>455</v>
      </c>
      <c r="BL10" s="42" t="s">
        <v>455</v>
      </c>
      <c r="BM10" s="42" t="s">
        <v>455</v>
      </c>
      <c r="BN10" s="42" t="s">
        <v>455</v>
      </c>
      <c r="BO10" s="42" t="s">
        <v>455</v>
      </c>
      <c r="BP10" s="42" t="s">
        <v>455</v>
      </c>
      <c r="BQ10" s="42" t="s">
        <v>455</v>
      </c>
      <c r="BR10" s="42" t="s">
        <v>455</v>
      </c>
      <c r="BS10" s="42" t="s">
        <v>455</v>
      </c>
      <c r="BT10" s="42" t="s">
        <v>455</v>
      </c>
      <c r="BU10" s="42" t="s">
        <v>455</v>
      </c>
      <c r="BV10" s="42" t="s">
        <v>455</v>
      </c>
      <c r="BW10" s="42" t="s">
        <v>455</v>
      </c>
      <c r="BX10" s="42" t="s">
        <v>455</v>
      </c>
      <c r="BY10" s="42" t="s">
        <v>455</v>
      </c>
      <c r="BZ10" s="42" t="s">
        <v>455</v>
      </c>
      <c r="CA10" s="42" t="s">
        <v>455</v>
      </c>
      <c r="CB10" s="42" t="s">
        <v>455</v>
      </c>
      <c r="CC10" s="42" t="s">
        <v>455</v>
      </c>
      <c r="CD10" s="42" t="s">
        <v>455</v>
      </c>
      <c r="CE10" s="42" t="s">
        <v>455</v>
      </c>
      <c r="CF10" s="42" t="s">
        <v>455</v>
      </c>
      <c r="CG10" s="42" t="s">
        <v>455</v>
      </c>
      <c r="CH10" s="42" t="s">
        <v>455</v>
      </c>
      <c r="CI10" s="42" t="s">
        <v>455</v>
      </c>
      <c r="CJ10" s="42" t="s">
        <v>455</v>
      </c>
      <c r="CK10" s="42" t="s">
        <v>455</v>
      </c>
      <c r="CL10" s="42" t="s">
        <v>455</v>
      </c>
      <c r="CM10" s="42" t="s">
        <v>455</v>
      </c>
      <c r="CN10" s="42" t="s">
        <v>455</v>
      </c>
      <c r="CO10" s="42" t="s">
        <v>455</v>
      </c>
      <c r="CP10" s="42" t="s">
        <v>455</v>
      </c>
      <c r="CQ10" s="42" t="s">
        <v>455</v>
      </c>
      <c r="CR10" s="42">
        <v>0.67235170200266103</v>
      </c>
      <c r="CS10" s="42">
        <v>6.7235170200266106E-2</v>
      </c>
      <c r="CT10" s="42" t="s">
        <v>455</v>
      </c>
      <c r="CU10" s="42" t="s">
        <v>455</v>
      </c>
      <c r="CV10" s="42" t="s">
        <v>455</v>
      </c>
      <c r="CW10" s="42" t="s">
        <v>455</v>
      </c>
      <c r="CX10" s="42">
        <v>18.817703893028099</v>
      </c>
      <c r="CY10" s="42">
        <v>1.8817703893028099</v>
      </c>
      <c r="CZ10" s="42">
        <v>0.24901772196694399</v>
      </c>
      <c r="DA10" s="42">
        <v>2.4901772196694399E-2</v>
      </c>
      <c r="DB10" s="42">
        <v>2.2874090331888501</v>
      </c>
      <c r="DC10" s="42">
        <v>0.22874090331888502</v>
      </c>
      <c r="DD10" s="42">
        <v>5.92962525906257E-3</v>
      </c>
      <c r="DE10" s="42">
        <v>5.9296252590625707E-4</v>
      </c>
      <c r="DF10" s="42" t="s">
        <v>455</v>
      </c>
      <c r="DG10" s="42" t="s">
        <v>455</v>
      </c>
      <c r="DH10" s="42" t="s">
        <v>455</v>
      </c>
      <c r="DI10" s="42" t="s">
        <v>455</v>
      </c>
      <c r="DJ10" s="42">
        <v>0.99996919740385337</v>
      </c>
      <c r="DK10" s="42">
        <v>0.99761524887060249</v>
      </c>
      <c r="DL10" s="42">
        <v>1.4459639352862331E-2</v>
      </c>
      <c r="DM10" s="42">
        <v>0.9975802603073185</v>
      </c>
      <c r="DN10" s="42">
        <v>4.5642982007307619E-8</v>
      </c>
      <c r="DO10" s="42">
        <v>1.9545681003093113E-7</v>
      </c>
      <c r="DP10" s="42">
        <v>3.6063479087548227E-4</v>
      </c>
      <c r="DQ10" s="42">
        <v>8.3756325375320498E-8</v>
      </c>
      <c r="DR10" s="42">
        <v>1.1933720710041144E-8</v>
      </c>
      <c r="DS10" s="42">
        <v>1.3608653515746959E-2</v>
      </c>
      <c r="DT10" s="42">
        <v>7.3822220465516739E-3</v>
      </c>
      <c r="DU10" s="42">
        <v>3.7291748111542355E-4</v>
      </c>
      <c r="DV10" s="42">
        <v>5.6081648449096332E-8</v>
      </c>
      <c r="DW10" s="42">
        <v>1.0861950896088757E-8</v>
      </c>
      <c r="DX10" s="42">
        <v>2.5550905905932912E-7</v>
      </c>
      <c r="DY10" s="42">
        <v>9.1174411425836432E-9</v>
      </c>
      <c r="DZ10" s="42">
        <v>3.1632648849650884E-8</v>
      </c>
      <c r="EA10" s="42">
        <v>1.6251316845750216E-5</v>
      </c>
      <c r="EB10" s="42">
        <v>1.9835654394170523E-9</v>
      </c>
      <c r="EC10" s="42">
        <v>1.513773624818274E-10</v>
      </c>
      <c r="ED10" s="42">
        <v>1.438599553327452E-3</v>
      </c>
      <c r="EE10" s="42">
        <v>3.644540499476278E-4</v>
      </c>
      <c r="EF10" s="42">
        <v>6.0898938929469966E-7</v>
      </c>
      <c r="EG10" s="42">
        <v>2.453357254015824E-9</v>
      </c>
      <c r="EH10" s="42">
        <v>1.0091824165455176E-9</v>
      </c>
      <c r="EI10" s="42">
        <v>5.5679029878372747E-10</v>
      </c>
      <c r="EJ10" s="42">
        <v>5.4760423149891263E-8</v>
      </c>
      <c r="EK10" s="42">
        <v>2.2708945888058201E-7</v>
      </c>
      <c r="EL10" s="42">
        <v>3.7688610772123248E-4</v>
      </c>
      <c r="EM10" s="42">
        <v>8.573989081473755E-8</v>
      </c>
      <c r="EN10" s="42">
        <v>1.2085098072522971E-8</v>
      </c>
      <c r="EO10" s="42">
        <v>1.5047253069074411E-2</v>
      </c>
      <c r="EP10" s="42">
        <v>7.7466760964993017E-3</v>
      </c>
      <c r="EQ10" s="42">
        <v>3.7352647050471825E-4</v>
      </c>
      <c r="ER10" s="42">
        <v>5.8535005703112156E-8</v>
      </c>
      <c r="ES10" s="42">
        <v>1.1871133312634274E-8</v>
      </c>
      <c r="ET10" s="42">
        <v>2.5606584935811284E-7</v>
      </c>
      <c r="EU10" s="42">
        <v>2.0354313406788548E-6</v>
      </c>
      <c r="EV10" s="42">
        <v>8.7163839462983547E-6</v>
      </c>
      <c r="EW10" s="42">
        <v>1.6104750026020572E-2</v>
      </c>
      <c r="EX10" s="42">
        <v>3.7472303261557613E-6</v>
      </c>
      <c r="EY10" s="42">
        <v>5.3599346390568748E-7</v>
      </c>
      <c r="EZ10" s="42">
        <v>0.60751127496548496</v>
      </c>
      <c r="FA10" s="42">
        <v>0.32934749062850488</v>
      </c>
      <c r="FB10" s="42">
        <v>1.675153830864996E-2</v>
      </c>
      <c r="FC10" s="42">
        <v>2.502004148689565E-6</v>
      </c>
      <c r="FD10" s="42">
        <v>4.845907165076265E-7</v>
      </c>
      <c r="FE10" s="42">
        <v>1.1399178581108731E-5</v>
      </c>
      <c r="FF10" s="42">
        <v>4.0658880362896494E-7</v>
      </c>
      <c r="FG10" s="42">
        <v>1.4106559529358793E-6</v>
      </c>
      <c r="FH10" s="42">
        <v>7.2572974659239342E-4</v>
      </c>
      <c r="FI10" s="42">
        <v>8.8744062435769285E-8</v>
      </c>
      <c r="FJ10" s="42">
        <v>6.7989924387347218E-9</v>
      </c>
      <c r="FK10" s="42">
        <v>6.4221412071179151E-2</v>
      </c>
      <c r="FL10" s="42">
        <v>1.6259606666222615E-2</v>
      </c>
      <c r="FM10" s="42">
        <v>2.7355942268564998E-5</v>
      </c>
      <c r="FN10" s="42">
        <v>1.0945309557611896E-7</v>
      </c>
      <c r="FO10" s="42">
        <v>4.5023259173155324E-8</v>
      </c>
      <c r="FP10" s="42">
        <v>2.4840418854154837E-8</v>
      </c>
      <c r="FQ10" s="42">
        <v>2.4420201443078197E-6</v>
      </c>
      <c r="FR10" s="42">
        <v>1.0127039899234234E-5</v>
      </c>
      <c r="FS10" s="42">
        <v>1.6830479772612966E-2</v>
      </c>
      <c r="FT10" s="42">
        <v>3.8359743885915306E-6</v>
      </c>
      <c r="FU10" s="42">
        <v>5.427924563444222E-7</v>
      </c>
      <c r="FV10" s="42">
        <v>0.67173268703666411</v>
      </c>
      <c r="FW10" s="42">
        <v>0.34560709729472749</v>
      </c>
      <c r="FX10" s="42">
        <v>1.6778894250918525E-2</v>
      </c>
      <c r="FY10" s="42">
        <v>2.611457244265684E-6</v>
      </c>
      <c r="FZ10" s="42">
        <v>5.2961397568078183E-7</v>
      </c>
      <c r="GA10" s="42">
        <v>1.1424018999962886E-5</v>
      </c>
      <c r="GB10" s="42">
        <v>8.1470585999142651E-6</v>
      </c>
      <c r="GC10" s="42">
        <v>1.7589401312111691E-4</v>
      </c>
      <c r="GD10" s="42">
        <v>0.64335255403946978</v>
      </c>
      <c r="GE10" s="42">
        <v>3.1401040687120051E-4</v>
      </c>
      <c r="GF10" s="42">
        <v>7.0372189856569427E-5</v>
      </c>
      <c r="GG10" s="42">
        <v>17.018456350118118</v>
      </c>
      <c r="GH10" s="42">
        <v>10.538724483123401</v>
      </c>
      <c r="GI10" s="42">
        <v>0.73722682519453042</v>
      </c>
      <c r="GJ10" s="42">
        <v>4.0138301475186396E-5</v>
      </c>
      <c r="GK10" s="42">
        <v>9.7687673359339412E-7</v>
      </c>
      <c r="GL10" s="42">
        <v>5.0170976705462232E-4</v>
      </c>
      <c r="GM10" s="42" t="s">
        <v>455</v>
      </c>
      <c r="GN10" s="42" t="s">
        <v>455</v>
      </c>
      <c r="GO10" s="42" t="s">
        <v>455</v>
      </c>
      <c r="GP10" s="42" t="s">
        <v>455</v>
      </c>
      <c r="GQ10" s="42" t="s">
        <v>455</v>
      </c>
      <c r="GR10" s="42" t="s">
        <v>455</v>
      </c>
      <c r="GS10" s="42" t="s">
        <v>455</v>
      </c>
      <c r="GT10" s="42" t="s">
        <v>455</v>
      </c>
      <c r="GU10" s="42" t="s">
        <v>455</v>
      </c>
      <c r="GV10" s="42" t="s">
        <v>455</v>
      </c>
      <c r="GW10" s="42" t="s">
        <v>455</v>
      </c>
      <c r="GX10" s="42" t="s">
        <v>455</v>
      </c>
      <c r="GY10" s="42" t="s">
        <v>455</v>
      </c>
      <c r="GZ10" s="42" t="s">
        <v>455</v>
      </c>
      <c r="HA10" s="42" t="s">
        <v>455</v>
      </c>
      <c r="HB10" s="42" t="s">
        <v>455</v>
      </c>
      <c r="HC10" s="42" t="s">
        <v>455</v>
      </c>
      <c r="HD10" s="42" t="s">
        <v>455</v>
      </c>
      <c r="HE10" s="42" t="s">
        <v>455</v>
      </c>
      <c r="HF10" s="42" t="s">
        <v>455</v>
      </c>
      <c r="HG10" s="42" t="s">
        <v>455</v>
      </c>
      <c r="HH10" s="42" t="s">
        <v>455</v>
      </c>
      <c r="HI10" s="42" t="s">
        <v>455</v>
      </c>
      <c r="HJ10" s="42" t="s">
        <v>455</v>
      </c>
      <c r="HK10" s="42" t="s">
        <v>455</v>
      </c>
      <c r="HL10" s="42" t="s">
        <v>455</v>
      </c>
      <c r="HM10" s="42" t="s">
        <v>455</v>
      </c>
      <c r="HN10" s="42" t="s">
        <v>455</v>
      </c>
      <c r="HO10" s="42" t="s">
        <v>455</v>
      </c>
      <c r="HP10" s="42" t="s">
        <v>455</v>
      </c>
      <c r="HQ10" s="42" t="s">
        <v>455</v>
      </c>
      <c r="HR10" s="42" t="s">
        <v>455</v>
      </c>
      <c r="HS10" s="42" t="s">
        <v>455</v>
      </c>
      <c r="HT10" s="42" t="s">
        <v>455</v>
      </c>
      <c r="HU10" s="42" t="s">
        <v>455</v>
      </c>
      <c r="HV10" s="42" t="s">
        <v>455</v>
      </c>
      <c r="HW10" s="42" t="s">
        <v>455</v>
      </c>
      <c r="HX10" s="42" t="s">
        <v>455</v>
      </c>
      <c r="HY10" s="42" t="s">
        <v>455</v>
      </c>
      <c r="HZ10" s="42" t="s">
        <v>455</v>
      </c>
      <c r="IA10" s="42" t="s">
        <v>455</v>
      </c>
      <c r="IB10" s="42" t="s">
        <v>455</v>
      </c>
      <c r="IC10" s="42" t="s">
        <v>455</v>
      </c>
      <c r="ID10" s="42" t="s">
        <v>455</v>
      </c>
      <c r="IE10" s="42" t="s">
        <v>455</v>
      </c>
      <c r="IF10" s="42" t="s">
        <v>455</v>
      </c>
      <c r="IG10" s="42" t="s">
        <v>455</v>
      </c>
      <c r="IH10" s="42" t="s">
        <v>455</v>
      </c>
      <c r="II10" s="42" t="s">
        <v>455</v>
      </c>
      <c r="IJ10" s="42" t="s">
        <v>455</v>
      </c>
      <c r="IK10" s="42" t="s">
        <v>455</v>
      </c>
      <c r="IL10" s="42" t="s">
        <v>455</v>
      </c>
      <c r="IM10" s="42" t="s">
        <v>455</v>
      </c>
      <c r="IN10" s="42" t="s">
        <v>455</v>
      </c>
      <c r="IO10" s="42" t="s">
        <v>455</v>
      </c>
      <c r="IP10" s="42" t="s">
        <v>455</v>
      </c>
      <c r="IQ10" s="42" t="s">
        <v>455</v>
      </c>
      <c r="IR10" s="42" t="s">
        <v>455</v>
      </c>
      <c r="IS10" s="42" t="s">
        <v>455</v>
      </c>
      <c r="IT10" s="42" t="s">
        <v>455</v>
      </c>
      <c r="IU10" s="42" t="s">
        <v>455</v>
      </c>
      <c r="IV10" s="42" t="s">
        <v>455</v>
      </c>
      <c r="IW10" s="42" t="s">
        <v>455</v>
      </c>
      <c r="IX10" s="42" t="s">
        <v>455</v>
      </c>
      <c r="IY10" s="42" t="s">
        <v>455</v>
      </c>
      <c r="IZ10" s="42" t="s">
        <v>455</v>
      </c>
      <c r="JA10" s="42" t="s">
        <v>455</v>
      </c>
      <c r="JB10" s="42" t="s">
        <v>455</v>
      </c>
      <c r="JC10" s="42" t="s">
        <v>455</v>
      </c>
      <c r="JD10" s="42" t="s">
        <v>455</v>
      </c>
      <c r="JE10" s="42" t="s">
        <v>455</v>
      </c>
      <c r="JF10" s="42" t="s">
        <v>455</v>
      </c>
      <c r="JG10" s="42" t="s">
        <v>455</v>
      </c>
      <c r="JH10" s="42" t="s">
        <v>455</v>
      </c>
      <c r="JI10" s="42" t="s">
        <v>455</v>
      </c>
      <c r="JJ10" s="42" t="s">
        <v>455</v>
      </c>
      <c r="JK10" s="42" t="s">
        <v>455</v>
      </c>
      <c r="JL10" s="42" t="s">
        <v>455</v>
      </c>
      <c r="JM10" s="42" t="s">
        <v>455</v>
      </c>
    </row>
    <row r="11" spans="1:273">
      <c r="A11" s="42" t="s">
        <v>208</v>
      </c>
      <c r="B11" s="42" t="s">
        <v>209</v>
      </c>
      <c r="C11" s="42" t="s">
        <v>213</v>
      </c>
      <c r="D11" s="60">
        <v>41508</v>
      </c>
      <c r="E11" s="42" t="s">
        <v>215</v>
      </c>
      <c r="F11" s="42">
        <v>0.70640354088000001</v>
      </c>
      <c r="G11" s="42">
        <v>19.8170731707317</v>
      </c>
      <c r="H11" s="42">
        <v>20.159999847400002</v>
      </c>
      <c r="I11" s="42">
        <v>1</v>
      </c>
      <c r="J11" s="42">
        <v>0</v>
      </c>
      <c r="K11" s="42">
        <v>0</v>
      </c>
      <c r="L11" s="42" t="s">
        <v>454</v>
      </c>
      <c r="M11" s="42" t="s">
        <v>614</v>
      </c>
      <c r="N11" s="42">
        <v>1.1919088565333783E-24</v>
      </c>
      <c r="O11" s="61" t="s">
        <v>455</v>
      </c>
      <c r="P11" s="42">
        <v>12.549990624909505</v>
      </c>
      <c r="Q11" s="42">
        <v>0.1019086224770609</v>
      </c>
      <c r="R11" s="42">
        <v>1.7452930315252524</v>
      </c>
      <c r="S11" s="42">
        <v>8.8015962414266347E-2</v>
      </c>
      <c r="T11" s="42" t="s">
        <v>455</v>
      </c>
      <c r="U11" s="42" t="s">
        <v>455</v>
      </c>
      <c r="V11" s="42" t="s">
        <v>456</v>
      </c>
      <c r="W11" s="42" t="s">
        <v>455</v>
      </c>
      <c r="X11" s="42">
        <v>0.05</v>
      </c>
      <c r="Y11" s="42">
        <v>0.05</v>
      </c>
      <c r="Z11" s="42" t="s">
        <v>456</v>
      </c>
      <c r="AA11" s="42" t="s">
        <v>455</v>
      </c>
      <c r="AB11" s="42" t="s">
        <v>456</v>
      </c>
      <c r="AC11" s="42" t="s">
        <v>455</v>
      </c>
      <c r="AD11" s="42" t="s">
        <v>622</v>
      </c>
      <c r="AE11" s="42" t="s">
        <v>104</v>
      </c>
      <c r="AF11" s="42">
        <v>4.0660299181920313E-10</v>
      </c>
      <c r="AG11" s="42">
        <v>4</v>
      </c>
      <c r="AH11" s="62">
        <v>42880.562835648147</v>
      </c>
      <c r="AI11" s="42" t="s">
        <v>663</v>
      </c>
      <c r="AJ11" s="63" t="s">
        <v>662</v>
      </c>
      <c r="AK11" s="61">
        <v>8.4662113608506715</v>
      </c>
      <c r="AL11" s="61">
        <v>6.4915255634100166E-2</v>
      </c>
      <c r="AM11" s="61">
        <v>4.5069460662984673E-2</v>
      </c>
      <c r="AN11" s="61" t="s">
        <v>455</v>
      </c>
      <c r="AO11" s="61" t="s">
        <v>455</v>
      </c>
      <c r="AP11" s="61">
        <v>0.10279668735548819</v>
      </c>
      <c r="AQ11" s="61">
        <v>-0.97652920620273054</v>
      </c>
      <c r="AR11" s="61">
        <v>2.0962945210719188</v>
      </c>
      <c r="AS11" s="61">
        <v>141.12318477308284</v>
      </c>
      <c r="AT11" s="61" t="s">
        <v>455</v>
      </c>
      <c r="AU11" s="61" t="s">
        <v>455</v>
      </c>
      <c r="AV11" s="42">
        <v>4.3230000000000003E-7</v>
      </c>
      <c r="AW11" s="42">
        <v>3E-10</v>
      </c>
      <c r="AX11" s="42">
        <v>2.0840000000000001E-7</v>
      </c>
      <c r="AY11" s="42">
        <v>4.8E-10</v>
      </c>
      <c r="AZ11" s="42" t="s">
        <v>455</v>
      </c>
      <c r="BA11" s="42" t="s">
        <v>455</v>
      </c>
      <c r="BB11" s="42" t="s">
        <v>455</v>
      </c>
      <c r="BC11" s="42" t="s">
        <v>455</v>
      </c>
      <c r="BD11" s="42" t="s">
        <v>455</v>
      </c>
      <c r="BE11" s="42" t="s">
        <v>455</v>
      </c>
      <c r="BF11" s="42" t="s">
        <v>455</v>
      </c>
      <c r="BG11" s="42" t="s">
        <v>455</v>
      </c>
      <c r="BH11" s="42" t="s">
        <v>455</v>
      </c>
      <c r="BI11" s="42" t="s">
        <v>455</v>
      </c>
      <c r="BJ11" s="42" t="s">
        <v>455</v>
      </c>
      <c r="BK11" s="42" t="s">
        <v>455</v>
      </c>
      <c r="BL11" s="42" t="s">
        <v>455</v>
      </c>
      <c r="BM11" s="42" t="s">
        <v>455</v>
      </c>
      <c r="BN11" s="42" t="s">
        <v>455</v>
      </c>
      <c r="BO11" s="42" t="s">
        <v>455</v>
      </c>
      <c r="BP11" s="42" t="s">
        <v>455</v>
      </c>
      <c r="BQ11" s="42" t="s">
        <v>455</v>
      </c>
      <c r="BR11" s="42" t="s">
        <v>455</v>
      </c>
      <c r="BS11" s="42" t="s">
        <v>455</v>
      </c>
      <c r="BT11" s="42" t="s">
        <v>455</v>
      </c>
      <c r="BU11" s="42" t="s">
        <v>455</v>
      </c>
      <c r="BV11" s="42" t="s">
        <v>455</v>
      </c>
      <c r="BW11" s="42" t="s">
        <v>455</v>
      </c>
      <c r="BX11" s="42" t="s">
        <v>455</v>
      </c>
      <c r="BY11" s="42" t="s">
        <v>455</v>
      </c>
      <c r="BZ11" s="42" t="s">
        <v>455</v>
      </c>
      <c r="CA11" s="42" t="s">
        <v>455</v>
      </c>
      <c r="CB11" s="42" t="s">
        <v>455</v>
      </c>
      <c r="CC11" s="42" t="s">
        <v>455</v>
      </c>
      <c r="CD11" s="42" t="s">
        <v>455</v>
      </c>
      <c r="CE11" s="42" t="s">
        <v>455</v>
      </c>
      <c r="CF11" s="42" t="s">
        <v>455</v>
      </c>
      <c r="CG11" s="42" t="s">
        <v>455</v>
      </c>
      <c r="CH11" s="42" t="s">
        <v>455</v>
      </c>
      <c r="CI11" s="42" t="s">
        <v>455</v>
      </c>
      <c r="CJ11" s="42" t="s">
        <v>455</v>
      </c>
      <c r="CK11" s="42" t="s">
        <v>455</v>
      </c>
      <c r="CL11" s="42" t="s">
        <v>455</v>
      </c>
      <c r="CM11" s="42" t="s">
        <v>455</v>
      </c>
      <c r="CN11" s="42" t="s">
        <v>455</v>
      </c>
      <c r="CO11" s="42" t="s">
        <v>455</v>
      </c>
      <c r="CP11" s="42" t="s">
        <v>455</v>
      </c>
      <c r="CQ11" s="42" t="s">
        <v>455</v>
      </c>
      <c r="CR11" s="42">
        <v>0.67438778880241201</v>
      </c>
      <c r="CS11" s="42">
        <v>6.7438778880241204E-2</v>
      </c>
      <c r="CT11" s="42" t="s">
        <v>455</v>
      </c>
      <c r="CU11" s="42" t="s">
        <v>455</v>
      </c>
      <c r="CV11" s="42" t="s">
        <v>455</v>
      </c>
      <c r="CW11" s="42" t="s">
        <v>455</v>
      </c>
      <c r="CX11" s="42">
        <v>18.820636805411599</v>
      </c>
      <c r="CY11" s="42">
        <v>1.8820636805411599</v>
      </c>
      <c r="CZ11" s="42">
        <v>0.24810933146247199</v>
      </c>
      <c r="DA11" s="42">
        <v>2.4810933146247202E-2</v>
      </c>
      <c r="DB11" s="42">
        <v>2.2931443891349099</v>
      </c>
      <c r="DC11" s="42">
        <v>0.22931443891349101</v>
      </c>
      <c r="DD11" s="42">
        <v>5.7235381249341596E-3</v>
      </c>
      <c r="DE11" s="42">
        <v>5.7235381249341603E-4</v>
      </c>
      <c r="DF11" s="42" t="s">
        <v>455</v>
      </c>
      <c r="DG11" s="42" t="s">
        <v>455</v>
      </c>
      <c r="DH11" s="42" t="s">
        <v>455</v>
      </c>
      <c r="DI11" s="42" t="s">
        <v>455</v>
      </c>
      <c r="DJ11" s="42">
        <v>0.99998601623539962</v>
      </c>
      <c r="DK11" s="42">
        <v>0.99761524887060249</v>
      </c>
      <c r="DL11" s="42">
        <v>1.4331141284075003E-2</v>
      </c>
      <c r="DM11" s="42">
        <v>0.99758057575999282</v>
      </c>
      <c r="DN11" s="42">
        <v>4.5667689376539741E-8</v>
      </c>
      <c r="DO11" s="42">
        <v>1.9569632315569462E-7</v>
      </c>
      <c r="DP11" s="42">
        <v>3.6172275380253572E-4</v>
      </c>
      <c r="DQ11" s="42">
        <v>8.4071720071014438E-8</v>
      </c>
      <c r="DR11" s="42">
        <v>1.1988440281620594E-8</v>
      </c>
      <c r="DS11" s="42">
        <v>1.3646665556499949E-2</v>
      </c>
      <c r="DT11" s="42">
        <v>7.4046932045443012E-3</v>
      </c>
      <c r="DU11" s="42">
        <v>3.7462214411263726E-4</v>
      </c>
      <c r="DV11" s="42">
        <v>5.6267047213531006E-8</v>
      </c>
      <c r="DW11" s="42">
        <v>1.0876247533468032E-8</v>
      </c>
      <c r="DX11" s="42">
        <v>2.5674183900533584E-7</v>
      </c>
      <c r="DY11" s="42">
        <v>9.1453354851923218E-9</v>
      </c>
      <c r="DZ11" s="42">
        <v>3.1729427313129095E-8</v>
      </c>
      <c r="EA11" s="42">
        <v>1.6301036914445871E-5</v>
      </c>
      <c r="EB11" s="42">
        <v>1.9896340559387862E-9</v>
      </c>
      <c r="EC11" s="42">
        <v>1.5184049374269705E-10</v>
      </c>
      <c r="ED11" s="42">
        <v>1.4027754234900748E-3</v>
      </c>
      <c r="EE11" s="42">
        <v>3.6556907838327952E-4</v>
      </c>
      <c r="EF11" s="42">
        <v>6.1085256103382427E-7</v>
      </c>
      <c r="EG11" s="42">
        <v>2.4608631744506085E-9</v>
      </c>
      <c r="EH11" s="42">
        <v>1.0122699582846459E-9</v>
      </c>
      <c r="EI11" s="42">
        <v>5.5849377008808961E-10</v>
      </c>
      <c r="EJ11" s="42">
        <v>5.4813024861732063E-8</v>
      </c>
      <c r="EK11" s="42">
        <v>2.2742575046882372E-7</v>
      </c>
      <c r="EL11" s="42">
        <v>3.7802379071698159E-4</v>
      </c>
      <c r="EM11" s="42">
        <v>8.6061354126953225E-8</v>
      </c>
      <c r="EN11" s="42">
        <v>1.2140280775363291E-8</v>
      </c>
      <c r="EO11" s="42">
        <v>1.5049440979990024E-2</v>
      </c>
      <c r="EP11" s="42">
        <v>7.7702622829275807E-3</v>
      </c>
      <c r="EQ11" s="42">
        <v>3.7523299667367109E-4</v>
      </c>
      <c r="ER11" s="42">
        <v>5.8727910387981614E-8</v>
      </c>
      <c r="ES11" s="42">
        <v>1.1888517491752678E-8</v>
      </c>
      <c r="ET11" s="42">
        <v>2.5730033277542393E-7</v>
      </c>
      <c r="EU11" s="42">
        <v>2.0365674095313073E-6</v>
      </c>
      <c r="EV11" s="42">
        <v>8.7272118023410581E-6</v>
      </c>
      <c r="EW11" s="42">
        <v>1.6153606519570315E-2</v>
      </c>
      <c r="EX11" s="42">
        <v>3.7614042439510731E-6</v>
      </c>
      <c r="EY11" s="42">
        <v>5.3846020583434373E-7</v>
      </c>
      <c r="EZ11" s="42">
        <v>0.6092184375577836</v>
      </c>
      <c r="FA11" s="42">
        <v>0.33035556612195904</v>
      </c>
      <c r="FB11" s="42">
        <v>1.682839519719509E-2</v>
      </c>
      <c r="FC11" s="42">
        <v>2.5103176759341484E-6</v>
      </c>
      <c r="FD11" s="42">
        <v>4.8523670217644276E-7</v>
      </c>
      <c r="FE11" s="42">
        <v>1.1454369982506294E-5</v>
      </c>
      <c r="FF11" s="42">
        <v>4.0783960065956148E-7</v>
      </c>
      <c r="FG11" s="42">
        <v>1.4149955812320285E-6</v>
      </c>
      <c r="FH11" s="42">
        <v>7.2796232310200562E-4</v>
      </c>
      <c r="FI11" s="42">
        <v>8.9017067518021727E-8</v>
      </c>
      <c r="FJ11" s="42">
        <v>6.8199083111776583E-9</v>
      </c>
      <c r="FK11" s="42">
        <v>6.2623135945764186E-2</v>
      </c>
      <c r="FL11" s="42">
        <v>1.630962640989303E-2</v>
      </c>
      <c r="FM11" s="42">
        <v>2.7440097884884329E-5</v>
      </c>
      <c r="FN11" s="42">
        <v>1.0978980825909094E-7</v>
      </c>
      <c r="FO11" s="42">
        <v>4.5161765099484138E-8</v>
      </c>
      <c r="FP11" s="42">
        <v>2.4916835916956941E-8</v>
      </c>
      <c r="FQ11" s="42">
        <v>2.4444070101908688E-6</v>
      </c>
      <c r="FR11" s="42">
        <v>1.0142207383573087E-5</v>
      </c>
      <c r="FS11" s="42">
        <v>1.688156884267232E-2</v>
      </c>
      <c r="FT11" s="42">
        <v>3.8504213114690948E-6</v>
      </c>
      <c r="FU11" s="42">
        <v>5.4528011414552138E-7</v>
      </c>
      <c r="FV11" s="42">
        <v>0.67184157350354778</v>
      </c>
      <c r="FW11" s="42">
        <v>0.34666519253185207</v>
      </c>
      <c r="FX11" s="42">
        <v>1.6855835295079974E-2</v>
      </c>
      <c r="FY11" s="42">
        <v>2.6201074841932393E-6</v>
      </c>
      <c r="FZ11" s="42">
        <v>5.3039846727592689E-7</v>
      </c>
      <c r="GA11" s="42">
        <v>1.1479286818423251E-5</v>
      </c>
      <c r="GB11" s="42">
        <v>8.1516058520516822E-6</v>
      </c>
      <c r="GC11" s="42">
        <v>1.7611251600770184E-4</v>
      </c>
      <c r="GD11" s="42">
        <v>0.64530427324379491</v>
      </c>
      <c r="GE11" s="42">
        <v>3.1519815283461203E-4</v>
      </c>
      <c r="GF11" s="42">
        <v>7.0696055804608495E-5</v>
      </c>
      <c r="GG11" s="42">
        <v>17.066279778681217</v>
      </c>
      <c r="GH11" s="42">
        <v>10.570981689223343</v>
      </c>
      <c r="GI11" s="42">
        <v>0.74060925843095737</v>
      </c>
      <c r="GJ11" s="42">
        <v>4.0271670903466532E-5</v>
      </c>
      <c r="GK11" s="42">
        <v>9.7817896318344747E-7</v>
      </c>
      <c r="GL11" s="42">
        <v>5.0413889516605305E-4</v>
      </c>
      <c r="GM11" s="42" t="s">
        <v>455</v>
      </c>
      <c r="GN11" s="42" t="s">
        <v>455</v>
      </c>
      <c r="GO11" s="42" t="s">
        <v>455</v>
      </c>
      <c r="GP11" s="42" t="s">
        <v>455</v>
      </c>
      <c r="GQ11" s="42" t="s">
        <v>455</v>
      </c>
      <c r="GR11" s="42" t="s">
        <v>455</v>
      </c>
      <c r="GS11" s="42" t="s">
        <v>455</v>
      </c>
      <c r="GT11" s="42" t="s">
        <v>455</v>
      </c>
      <c r="GU11" s="42" t="s">
        <v>455</v>
      </c>
      <c r="GV11" s="42" t="s">
        <v>455</v>
      </c>
      <c r="GW11" s="42" t="s">
        <v>455</v>
      </c>
      <c r="GX11" s="42" t="s">
        <v>455</v>
      </c>
      <c r="GY11" s="42" t="s">
        <v>455</v>
      </c>
      <c r="GZ11" s="42" t="s">
        <v>455</v>
      </c>
      <c r="HA11" s="42" t="s">
        <v>455</v>
      </c>
      <c r="HB11" s="42" t="s">
        <v>455</v>
      </c>
      <c r="HC11" s="42" t="s">
        <v>455</v>
      </c>
      <c r="HD11" s="42" t="s">
        <v>455</v>
      </c>
      <c r="HE11" s="42" t="s">
        <v>455</v>
      </c>
      <c r="HF11" s="42" t="s">
        <v>455</v>
      </c>
      <c r="HG11" s="42" t="s">
        <v>455</v>
      </c>
      <c r="HH11" s="42" t="s">
        <v>455</v>
      </c>
      <c r="HI11" s="42" t="s">
        <v>455</v>
      </c>
      <c r="HJ11" s="42" t="s">
        <v>455</v>
      </c>
      <c r="HK11" s="42" t="s">
        <v>455</v>
      </c>
      <c r="HL11" s="42" t="s">
        <v>455</v>
      </c>
      <c r="HM11" s="42" t="s">
        <v>455</v>
      </c>
      <c r="HN11" s="42" t="s">
        <v>455</v>
      </c>
      <c r="HO11" s="42" t="s">
        <v>455</v>
      </c>
      <c r="HP11" s="42" t="s">
        <v>455</v>
      </c>
      <c r="HQ11" s="42" t="s">
        <v>455</v>
      </c>
      <c r="HR11" s="42" t="s">
        <v>455</v>
      </c>
      <c r="HS11" s="42" t="s">
        <v>455</v>
      </c>
      <c r="HT11" s="42" t="s">
        <v>455</v>
      </c>
      <c r="HU11" s="42" t="s">
        <v>455</v>
      </c>
      <c r="HV11" s="42" t="s">
        <v>455</v>
      </c>
      <c r="HW11" s="42" t="s">
        <v>455</v>
      </c>
      <c r="HX11" s="42" t="s">
        <v>455</v>
      </c>
      <c r="HY11" s="42" t="s">
        <v>455</v>
      </c>
      <c r="HZ11" s="42" t="s">
        <v>455</v>
      </c>
      <c r="IA11" s="42" t="s">
        <v>455</v>
      </c>
      <c r="IB11" s="42" t="s">
        <v>455</v>
      </c>
      <c r="IC11" s="42" t="s">
        <v>455</v>
      </c>
      <c r="ID11" s="42" t="s">
        <v>455</v>
      </c>
      <c r="IE11" s="42" t="s">
        <v>455</v>
      </c>
      <c r="IF11" s="42" t="s">
        <v>455</v>
      </c>
      <c r="IG11" s="42" t="s">
        <v>455</v>
      </c>
      <c r="IH11" s="42" t="s">
        <v>455</v>
      </c>
      <c r="II11" s="42" t="s">
        <v>455</v>
      </c>
      <c r="IJ11" s="42" t="s">
        <v>455</v>
      </c>
      <c r="IK11" s="42" t="s">
        <v>455</v>
      </c>
      <c r="IL11" s="42" t="s">
        <v>455</v>
      </c>
      <c r="IM11" s="42" t="s">
        <v>455</v>
      </c>
      <c r="IN11" s="42" t="s">
        <v>455</v>
      </c>
      <c r="IO11" s="42" t="s">
        <v>455</v>
      </c>
      <c r="IP11" s="42" t="s">
        <v>455</v>
      </c>
      <c r="IQ11" s="42" t="s">
        <v>455</v>
      </c>
      <c r="IR11" s="42" t="s">
        <v>455</v>
      </c>
      <c r="IS11" s="42" t="s">
        <v>455</v>
      </c>
      <c r="IT11" s="42" t="s">
        <v>455</v>
      </c>
      <c r="IU11" s="42" t="s">
        <v>455</v>
      </c>
      <c r="IV11" s="42" t="s">
        <v>455</v>
      </c>
      <c r="IW11" s="42" t="s">
        <v>455</v>
      </c>
      <c r="IX11" s="42" t="s">
        <v>455</v>
      </c>
      <c r="IY11" s="42" t="s">
        <v>455</v>
      </c>
      <c r="IZ11" s="42" t="s">
        <v>455</v>
      </c>
      <c r="JA11" s="42" t="s">
        <v>455</v>
      </c>
      <c r="JB11" s="42" t="s">
        <v>455</v>
      </c>
      <c r="JC11" s="42" t="s">
        <v>455</v>
      </c>
      <c r="JD11" s="42" t="s">
        <v>455</v>
      </c>
      <c r="JE11" s="42" t="s">
        <v>455</v>
      </c>
      <c r="JF11" s="42" t="s">
        <v>455</v>
      </c>
      <c r="JG11" s="42" t="s">
        <v>455</v>
      </c>
      <c r="JH11" s="42" t="s">
        <v>455</v>
      </c>
      <c r="JI11" s="42" t="s">
        <v>455</v>
      </c>
      <c r="JJ11" s="42" t="s">
        <v>455</v>
      </c>
      <c r="JK11" s="42" t="s">
        <v>455</v>
      </c>
      <c r="JL11" s="42" t="s">
        <v>455</v>
      </c>
      <c r="JM11" s="42" t="s">
        <v>455</v>
      </c>
    </row>
    <row r="12" spans="1:273">
      <c r="A12" s="42" t="s">
        <v>208</v>
      </c>
      <c r="B12" s="42" t="s">
        <v>209</v>
      </c>
      <c r="C12" s="42" t="s">
        <v>219</v>
      </c>
      <c r="D12" s="60">
        <v>41540</v>
      </c>
      <c r="E12" s="42" t="s">
        <v>220</v>
      </c>
      <c r="F12" s="42">
        <v>0.31042765472</v>
      </c>
      <c r="G12" s="42">
        <v>7.9268292682926802</v>
      </c>
      <c r="H12" s="42">
        <v>20.010000228900001</v>
      </c>
      <c r="I12" s="42">
        <v>1</v>
      </c>
      <c r="J12" s="42">
        <v>0</v>
      </c>
      <c r="K12" s="42">
        <v>0</v>
      </c>
      <c r="L12" s="42" t="s">
        <v>454</v>
      </c>
      <c r="M12" s="42" t="s">
        <v>614</v>
      </c>
      <c r="N12" s="42">
        <v>6.6372017242685571E-3</v>
      </c>
      <c r="O12" s="61" t="s">
        <v>455</v>
      </c>
      <c r="P12" s="42">
        <v>13.928045196433484</v>
      </c>
      <c r="Q12" s="42">
        <v>5.5456286524990368</v>
      </c>
      <c r="R12" s="42">
        <v>2.7467883846537662</v>
      </c>
      <c r="S12" s="42">
        <v>0.51913641960466661</v>
      </c>
      <c r="T12" s="42" t="s">
        <v>455</v>
      </c>
      <c r="U12" s="42" t="s">
        <v>455</v>
      </c>
      <c r="V12" s="42" t="s">
        <v>456</v>
      </c>
      <c r="W12" s="42" t="s">
        <v>455</v>
      </c>
      <c r="X12" s="42">
        <v>0</v>
      </c>
      <c r="Y12" s="42">
        <v>2.3523612358360233</v>
      </c>
      <c r="Z12" s="42" t="s">
        <v>456</v>
      </c>
      <c r="AA12" s="42" t="s">
        <v>455</v>
      </c>
      <c r="AB12" s="42" t="s">
        <v>456</v>
      </c>
      <c r="AC12" s="42" t="s">
        <v>455</v>
      </c>
      <c r="AD12" s="42" t="s">
        <v>613</v>
      </c>
      <c r="AE12" s="42" t="s">
        <v>123</v>
      </c>
      <c r="AF12" s="42">
        <v>5.3015570717710857E-3</v>
      </c>
      <c r="AG12" s="42">
        <v>16</v>
      </c>
      <c r="AH12" s="62">
        <v>42880.574386574073</v>
      </c>
      <c r="AJ12" s="63" t="s">
        <v>661</v>
      </c>
      <c r="AK12" s="61">
        <v>19.066732056449254</v>
      </c>
      <c r="AL12" s="61">
        <v>0.25739551621246992</v>
      </c>
      <c r="AM12" s="61">
        <v>7.2835530543271743E-2</v>
      </c>
      <c r="AN12" s="61" t="s">
        <v>455</v>
      </c>
      <c r="AO12" s="61" t="s">
        <v>455</v>
      </c>
      <c r="AP12" s="61">
        <v>0.15247823520781267</v>
      </c>
      <c r="AQ12" s="61">
        <v>-0.9753507703084684</v>
      </c>
      <c r="AR12" s="61">
        <v>2.8922760969772927</v>
      </c>
      <c r="AS12" s="61">
        <v>43939.121293184922</v>
      </c>
      <c r="AT12" s="61" t="s">
        <v>455</v>
      </c>
      <c r="AU12" s="61" t="s">
        <v>455</v>
      </c>
      <c r="AV12" s="42">
        <v>9.1480000000000001E-7</v>
      </c>
      <c r="AW12" s="42">
        <v>3.3000000000000002E-9</v>
      </c>
      <c r="AX12" s="42">
        <v>2.4400000000000001E-7</v>
      </c>
      <c r="AY12" s="42">
        <v>3.1999999999999998E-10</v>
      </c>
      <c r="AZ12" s="42" t="s">
        <v>455</v>
      </c>
      <c r="BA12" s="42" t="s">
        <v>455</v>
      </c>
      <c r="BB12" s="42" t="s">
        <v>455</v>
      </c>
      <c r="BC12" s="42" t="s">
        <v>455</v>
      </c>
      <c r="BD12" s="42" t="s">
        <v>455</v>
      </c>
      <c r="BE12" s="42" t="s">
        <v>455</v>
      </c>
      <c r="BF12" s="42" t="s">
        <v>455</v>
      </c>
      <c r="BG12" s="42" t="s">
        <v>455</v>
      </c>
      <c r="BH12" s="42" t="s">
        <v>455</v>
      </c>
      <c r="BI12" s="42" t="s">
        <v>455</v>
      </c>
      <c r="BJ12" s="42" t="s">
        <v>455</v>
      </c>
      <c r="BK12" s="42" t="s">
        <v>455</v>
      </c>
      <c r="BL12" s="42" t="s">
        <v>455</v>
      </c>
      <c r="BM12" s="42" t="s">
        <v>455</v>
      </c>
      <c r="BN12" s="42" t="s">
        <v>455</v>
      </c>
      <c r="BO12" s="42" t="s">
        <v>455</v>
      </c>
      <c r="BP12" s="42" t="s">
        <v>455</v>
      </c>
      <c r="BQ12" s="42" t="s">
        <v>455</v>
      </c>
      <c r="BR12" s="42" t="s">
        <v>455</v>
      </c>
      <c r="BS12" s="42" t="s">
        <v>455</v>
      </c>
      <c r="BT12" s="42" t="s">
        <v>455</v>
      </c>
      <c r="BU12" s="42" t="s">
        <v>455</v>
      </c>
      <c r="BV12" s="42" t="s">
        <v>455</v>
      </c>
      <c r="BW12" s="42" t="s">
        <v>455</v>
      </c>
      <c r="BX12" s="42" t="s">
        <v>455</v>
      </c>
      <c r="BY12" s="42" t="s">
        <v>455</v>
      </c>
      <c r="BZ12" s="42" t="s">
        <v>455</v>
      </c>
      <c r="CA12" s="42" t="s">
        <v>455</v>
      </c>
      <c r="CB12" s="42" t="s">
        <v>455</v>
      </c>
      <c r="CC12" s="42" t="s">
        <v>455</v>
      </c>
      <c r="CD12" s="42" t="s">
        <v>455</v>
      </c>
      <c r="CE12" s="42" t="s">
        <v>455</v>
      </c>
      <c r="CF12" s="42" t="s">
        <v>455</v>
      </c>
      <c r="CG12" s="42" t="s">
        <v>455</v>
      </c>
      <c r="CH12" s="42" t="s">
        <v>455</v>
      </c>
      <c r="CI12" s="42" t="s">
        <v>455</v>
      </c>
      <c r="CJ12" s="42" t="s">
        <v>455</v>
      </c>
      <c r="CK12" s="42" t="s">
        <v>455</v>
      </c>
      <c r="CL12" s="42" t="s">
        <v>455</v>
      </c>
      <c r="CM12" s="42" t="s">
        <v>455</v>
      </c>
      <c r="CN12" s="42" t="s">
        <v>455</v>
      </c>
      <c r="CO12" s="42" t="s">
        <v>455</v>
      </c>
      <c r="CP12" s="42" t="s">
        <v>455</v>
      </c>
      <c r="CQ12" s="42" t="s">
        <v>455</v>
      </c>
      <c r="CR12" s="42">
        <v>0.67422035038596395</v>
      </c>
      <c r="CS12" s="42">
        <v>6.7422035038596395E-2</v>
      </c>
      <c r="CT12" s="42" t="s">
        <v>455</v>
      </c>
      <c r="CU12" s="42" t="s">
        <v>455</v>
      </c>
      <c r="CV12" s="42" t="s">
        <v>455</v>
      </c>
      <c r="CW12" s="42" t="s">
        <v>455</v>
      </c>
      <c r="CX12" s="42">
        <v>19.201807533848399</v>
      </c>
      <c r="CY12" s="42">
        <v>1.9201807533848401</v>
      </c>
      <c r="CZ12" s="42">
        <v>0.25369470158651303</v>
      </c>
      <c r="DA12" s="42">
        <v>2.5369470158651306E-2</v>
      </c>
      <c r="DB12" s="42">
        <v>2.7623707827761299</v>
      </c>
      <c r="DC12" s="42">
        <v>0.27623707827761301</v>
      </c>
      <c r="DD12" s="42">
        <v>1.7186421281020601</v>
      </c>
      <c r="DE12" s="42">
        <v>0.17186421281020603</v>
      </c>
      <c r="DF12" s="42" t="s">
        <v>455</v>
      </c>
      <c r="DG12" s="42" t="s">
        <v>455</v>
      </c>
      <c r="DH12" s="42" t="s">
        <v>455</v>
      </c>
      <c r="DI12" s="42" t="s">
        <v>455</v>
      </c>
      <c r="DJ12" s="42">
        <v>0.99949786385315165</v>
      </c>
      <c r="DK12" s="42">
        <v>0.99904541623436038</v>
      </c>
      <c r="DL12" s="42">
        <v>1.5684107430405655E-2</v>
      </c>
      <c r="DM12" s="42">
        <v>0.99903020587918412</v>
      </c>
      <c r="DN12" s="42">
        <v>4.5587891313174338E-8</v>
      </c>
      <c r="DO12" s="42">
        <v>1.9405190877010397E-7</v>
      </c>
      <c r="DP12" s="42">
        <v>3.5244556727428761E-4</v>
      </c>
      <c r="DQ12" s="42">
        <v>8.1310032749242863E-8</v>
      </c>
      <c r="DR12" s="42">
        <v>1.1494391504347983E-8</v>
      </c>
      <c r="DS12" s="42">
        <v>1.332935466567443E-2</v>
      </c>
      <c r="DT12" s="42">
        <v>7.2129322120533359E-3</v>
      </c>
      <c r="DU12" s="42">
        <v>3.5916556961475212E-4</v>
      </c>
      <c r="DV12" s="42">
        <v>5.4675244523415285E-8</v>
      </c>
      <c r="DW12" s="42">
        <v>1.077401654418101E-8</v>
      </c>
      <c r="DX12" s="42">
        <v>2.4558051965625665E-7</v>
      </c>
      <c r="DY12" s="42">
        <v>1.4393171135585729E-8</v>
      </c>
      <c r="DZ12" s="42">
        <v>4.9936612833005448E-8</v>
      </c>
      <c r="EA12" s="42">
        <v>2.5655003512666148E-5</v>
      </c>
      <c r="EB12" s="42">
        <v>3.1313387585052974E-9</v>
      </c>
      <c r="EC12" s="42">
        <v>2.3897058946487742E-10</v>
      </c>
      <c r="ED12" s="42">
        <v>2.1448022422730466E-3</v>
      </c>
      <c r="EE12" s="42">
        <v>5.7534229504957804E-4</v>
      </c>
      <c r="EF12" s="42">
        <v>9.6137593462881097E-7</v>
      </c>
      <c r="EG12" s="42">
        <v>3.8729716223618106E-9</v>
      </c>
      <c r="EH12" s="42">
        <v>1.5931372630991839E-9</v>
      </c>
      <c r="EI12" s="42">
        <v>8.7897228308917935E-10</v>
      </c>
      <c r="EJ12" s="42">
        <v>5.9981062448760067E-8</v>
      </c>
      <c r="EK12" s="42">
        <v>2.4398852160310941E-7</v>
      </c>
      <c r="EL12" s="42">
        <v>3.7810057078695376E-4</v>
      </c>
      <c r="EM12" s="42">
        <v>8.444137150774816E-8</v>
      </c>
      <c r="EN12" s="42">
        <v>1.1733362093812861E-8</v>
      </c>
      <c r="EO12" s="42">
        <v>1.5474156907947477E-2</v>
      </c>
      <c r="EP12" s="42">
        <v>7.7882745071029139E-3</v>
      </c>
      <c r="EQ12" s="42">
        <v>3.6012694554938093E-4</v>
      </c>
      <c r="ER12" s="42">
        <v>5.8548216145777095E-8</v>
      </c>
      <c r="ES12" s="42">
        <v>1.2367153807280194E-8</v>
      </c>
      <c r="ET12" s="42">
        <v>2.4645949193934583E-7</v>
      </c>
      <c r="EU12" s="42">
        <v>2.0320163535769731E-6</v>
      </c>
      <c r="EV12" s="42">
        <v>8.6496535443071286E-6</v>
      </c>
      <c r="EW12" s="42">
        <v>1.5731627974121677E-2</v>
      </c>
      <c r="EX12" s="42">
        <v>3.6360693397965376E-6</v>
      </c>
      <c r="EY12" s="42">
        <v>5.1601800732427672E-7</v>
      </c>
      <c r="EZ12" s="42">
        <v>0.59476247132842741</v>
      </c>
      <c r="FA12" s="42">
        <v>0.32164318453042279</v>
      </c>
      <c r="FB12" s="42">
        <v>1.6126194672276412E-2</v>
      </c>
      <c r="FC12" s="42">
        <v>2.438109668368087E-6</v>
      </c>
      <c r="FD12" s="42">
        <v>4.8044108686657596E-7</v>
      </c>
      <c r="FE12" s="42">
        <v>1.0951066512018179E-5</v>
      </c>
      <c r="FF12" s="42">
        <v>6.4155542809435017E-7</v>
      </c>
      <c r="FG12" s="42">
        <v>2.2258704019934035E-6</v>
      </c>
      <c r="FH12" s="42">
        <v>1.1451271016325627E-3</v>
      </c>
      <c r="FI12" s="42">
        <v>1.4002902799745444E-7</v>
      </c>
      <c r="FJ12" s="42">
        <v>1.0728112692014031E-8</v>
      </c>
      <c r="FK12" s="42">
        <v>9.5702148687670574E-2</v>
      </c>
      <c r="FL12" s="42">
        <v>2.5655991562702873E-2</v>
      </c>
      <c r="FM12" s="42">
        <v>4.3164870986090592E-5</v>
      </c>
      <c r="FN12" s="42">
        <v>1.7270575815626401E-7</v>
      </c>
      <c r="FO12" s="42">
        <v>7.1042084915342682E-8</v>
      </c>
      <c r="FP12" s="42">
        <v>3.9195633056740323E-8</v>
      </c>
      <c r="FQ12" s="42">
        <v>2.6735717816713233E-6</v>
      </c>
      <c r="FR12" s="42">
        <v>1.0875523946300532E-5</v>
      </c>
      <c r="FS12" s="42">
        <v>1.687675507575424E-2</v>
      </c>
      <c r="FT12" s="42">
        <v>3.776098367793992E-6</v>
      </c>
      <c r="FU12" s="42">
        <v>5.2674612001629076E-7</v>
      </c>
      <c r="FV12" s="42">
        <v>0.69046462001609799</v>
      </c>
      <c r="FW12" s="42">
        <v>0.34729917609312566</v>
      </c>
      <c r="FX12" s="42">
        <v>1.6169359543262502E-2</v>
      </c>
      <c r="FY12" s="42">
        <v>2.610815426524351E-6</v>
      </c>
      <c r="FZ12" s="42">
        <v>5.5148317178191864E-7</v>
      </c>
      <c r="GA12" s="42">
        <v>1.0990262145074919E-5</v>
      </c>
      <c r="GB12" s="42">
        <v>8.1333897035575352E-6</v>
      </c>
      <c r="GC12" s="42">
        <v>1.7454741362805457E-4</v>
      </c>
      <c r="GD12" s="42">
        <v>0.62844707431021274</v>
      </c>
      <c r="GE12" s="42">
        <v>3.0469533853627026E-4</v>
      </c>
      <c r="GF12" s="42">
        <v>6.7749552235626265E-5</v>
      </c>
      <c r="GG12" s="42">
        <v>16.661319014311768</v>
      </c>
      <c r="GH12" s="42">
        <v>10.292195933152092</v>
      </c>
      <c r="GI12" s="42">
        <v>0.7097057644295488</v>
      </c>
      <c r="GJ12" s="42">
        <v>3.9113276830408297E-5</v>
      </c>
      <c r="GK12" s="42">
        <v>9.6851157819259326E-7</v>
      </c>
      <c r="GL12" s="42">
        <v>4.8198710018015369E-4</v>
      </c>
      <c r="GM12" s="42" t="s">
        <v>455</v>
      </c>
      <c r="GN12" s="42" t="s">
        <v>455</v>
      </c>
      <c r="GO12" s="42" t="s">
        <v>455</v>
      </c>
      <c r="GP12" s="42" t="s">
        <v>455</v>
      </c>
      <c r="GQ12" s="42" t="s">
        <v>455</v>
      </c>
      <c r="GR12" s="42" t="s">
        <v>455</v>
      </c>
      <c r="GS12" s="42" t="s">
        <v>455</v>
      </c>
      <c r="GT12" s="42" t="s">
        <v>455</v>
      </c>
      <c r="GU12" s="42" t="s">
        <v>455</v>
      </c>
      <c r="GV12" s="42" t="s">
        <v>455</v>
      </c>
      <c r="GW12" s="42" t="s">
        <v>455</v>
      </c>
      <c r="GX12" s="42" t="s">
        <v>455</v>
      </c>
      <c r="GY12" s="42" t="s">
        <v>455</v>
      </c>
      <c r="GZ12" s="42" t="s">
        <v>455</v>
      </c>
      <c r="HA12" s="42" t="s">
        <v>455</v>
      </c>
      <c r="HB12" s="42" t="s">
        <v>455</v>
      </c>
      <c r="HC12" s="42" t="s">
        <v>455</v>
      </c>
      <c r="HD12" s="42" t="s">
        <v>455</v>
      </c>
      <c r="HE12" s="42" t="s">
        <v>455</v>
      </c>
      <c r="HF12" s="42" t="s">
        <v>455</v>
      </c>
      <c r="HG12" s="42" t="s">
        <v>455</v>
      </c>
      <c r="HH12" s="42" t="s">
        <v>455</v>
      </c>
      <c r="HI12" s="42" t="s">
        <v>455</v>
      </c>
      <c r="HJ12" s="42" t="s">
        <v>455</v>
      </c>
      <c r="HK12" s="42" t="s">
        <v>455</v>
      </c>
      <c r="HL12" s="42" t="s">
        <v>455</v>
      </c>
      <c r="HM12" s="42" t="s">
        <v>455</v>
      </c>
      <c r="HN12" s="42" t="s">
        <v>455</v>
      </c>
      <c r="HO12" s="42" t="s">
        <v>455</v>
      </c>
      <c r="HP12" s="42" t="s">
        <v>455</v>
      </c>
      <c r="HQ12" s="42" t="s">
        <v>455</v>
      </c>
      <c r="HR12" s="42" t="s">
        <v>455</v>
      </c>
      <c r="HS12" s="42" t="s">
        <v>455</v>
      </c>
      <c r="HT12" s="42" t="s">
        <v>455</v>
      </c>
      <c r="HU12" s="42" t="s">
        <v>455</v>
      </c>
      <c r="HV12" s="42" t="s">
        <v>455</v>
      </c>
      <c r="HW12" s="42" t="s">
        <v>455</v>
      </c>
      <c r="HX12" s="42" t="s">
        <v>455</v>
      </c>
      <c r="HY12" s="42" t="s">
        <v>455</v>
      </c>
      <c r="HZ12" s="42" t="s">
        <v>455</v>
      </c>
      <c r="IA12" s="42" t="s">
        <v>455</v>
      </c>
      <c r="IB12" s="42" t="s">
        <v>455</v>
      </c>
      <c r="IC12" s="42" t="s">
        <v>455</v>
      </c>
      <c r="ID12" s="42" t="s">
        <v>455</v>
      </c>
      <c r="IE12" s="42" t="s">
        <v>455</v>
      </c>
      <c r="IF12" s="42" t="s">
        <v>455</v>
      </c>
      <c r="IG12" s="42" t="s">
        <v>455</v>
      </c>
      <c r="IH12" s="42" t="s">
        <v>455</v>
      </c>
      <c r="II12" s="42" t="s">
        <v>455</v>
      </c>
      <c r="IJ12" s="42" t="s">
        <v>455</v>
      </c>
      <c r="IK12" s="42" t="s">
        <v>455</v>
      </c>
      <c r="IL12" s="42" t="s">
        <v>455</v>
      </c>
      <c r="IM12" s="42" t="s">
        <v>455</v>
      </c>
      <c r="IN12" s="42" t="s">
        <v>455</v>
      </c>
      <c r="IO12" s="42" t="s">
        <v>455</v>
      </c>
      <c r="IP12" s="42" t="s">
        <v>455</v>
      </c>
      <c r="IQ12" s="42" t="s">
        <v>455</v>
      </c>
      <c r="IR12" s="42" t="s">
        <v>455</v>
      </c>
      <c r="IS12" s="42" t="s">
        <v>455</v>
      </c>
      <c r="IT12" s="42" t="s">
        <v>455</v>
      </c>
      <c r="IU12" s="42" t="s">
        <v>455</v>
      </c>
      <c r="IV12" s="42" t="s">
        <v>455</v>
      </c>
      <c r="IW12" s="42" t="s">
        <v>455</v>
      </c>
      <c r="IX12" s="42" t="s">
        <v>455</v>
      </c>
      <c r="IY12" s="42" t="s">
        <v>455</v>
      </c>
      <c r="IZ12" s="42" t="s">
        <v>455</v>
      </c>
      <c r="JA12" s="42" t="s">
        <v>455</v>
      </c>
      <c r="JB12" s="42" t="s">
        <v>455</v>
      </c>
      <c r="JC12" s="42" t="s">
        <v>455</v>
      </c>
      <c r="JD12" s="42" t="s">
        <v>455</v>
      </c>
      <c r="JE12" s="42" t="s">
        <v>455</v>
      </c>
      <c r="JF12" s="42" t="s">
        <v>455</v>
      </c>
      <c r="JG12" s="42" t="s">
        <v>455</v>
      </c>
      <c r="JH12" s="42" t="s">
        <v>455</v>
      </c>
      <c r="JI12" s="42" t="s">
        <v>455</v>
      </c>
      <c r="JJ12" s="42" t="s">
        <v>455</v>
      </c>
      <c r="JK12" s="42" t="s">
        <v>455</v>
      </c>
      <c r="JL12" s="42" t="s">
        <v>455</v>
      </c>
      <c r="JM12" s="42" t="s">
        <v>455</v>
      </c>
    </row>
    <row r="13" spans="1:273">
      <c r="A13" s="42" t="s">
        <v>208</v>
      </c>
      <c r="B13" s="42" t="s">
        <v>209</v>
      </c>
      <c r="C13" s="42" t="s">
        <v>219</v>
      </c>
      <c r="D13" s="60">
        <v>41540</v>
      </c>
      <c r="E13" s="42" t="s">
        <v>221</v>
      </c>
      <c r="F13" s="42">
        <v>0.31042765472</v>
      </c>
      <c r="G13" s="42">
        <v>7.9268292682926802</v>
      </c>
      <c r="H13" s="42">
        <v>20.010000228900001</v>
      </c>
      <c r="I13" s="42">
        <v>1</v>
      </c>
      <c r="J13" s="42">
        <v>0</v>
      </c>
      <c r="K13" s="42">
        <v>0</v>
      </c>
      <c r="L13" s="42" t="s">
        <v>454</v>
      </c>
      <c r="M13" s="42" t="s">
        <v>614</v>
      </c>
      <c r="N13" s="42">
        <v>6.1203895092076723E-4</v>
      </c>
      <c r="O13" s="61" t="s">
        <v>455</v>
      </c>
      <c r="P13" s="42">
        <v>13.276896865107274</v>
      </c>
      <c r="Q13" s="42">
        <v>5.4705851616099617</v>
      </c>
      <c r="R13" s="42">
        <v>2.6855112634098681</v>
      </c>
      <c r="S13" s="42">
        <v>0.52256035275304069</v>
      </c>
      <c r="T13" s="42" t="s">
        <v>455</v>
      </c>
      <c r="U13" s="42" t="s">
        <v>455</v>
      </c>
      <c r="V13" s="42" t="s">
        <v>456</v>
      </c>
      <c r="W13" s="42" t="s">
        <v>455</v>
      </c>
      <c r="X13" s="42">
        <v>0</v>
      </c>
      <c r="Y13" s="42">
        <v>2.3853417011995051</v>
      </c>
      <c r="Z13" s="42" t="s">
        <v>456</v>
      </c>
      <c r="AA13" s="42" t="s">
        <v>455</v>
      </c>
      <c r="AB13" s="42" t="s">
        <v>456</v>
      </c>
      <c r="AC13" s="42" t="s">
        <v>455</v>
      </c>
      <c r="AD13" s="42" t="s">
        <v>613</v>
      </c>
      <c r="AE13" s="42" t="s">
        <v>91</v>
      </c>
      <c r="AF13" s="42">
        <v>1.2781545613608249E-3</v>
      </c>
      <c r="AG13" s="42">
        <v>17</v>
      </c>
      <c r="AH13" s="62">
        <v>42880.574386574073</v>
      </c>
      <c r="AJ13" s="63" t="s">
        <v>660</v>
      </c>
      <c r="AK13" s="61">
        <v>19.016490801801321</v>
      </c>
      <c r="AL13" s="61">
        <v>0.25018867477156492</v>
      </c>
      <c r="AM13" s="61">
        <v>7.0192460526068201E-2</v>
      </c>
      <c r="AN13" s="61" t="s">
        <v>455</v>
      </c>
      <c r="AO13" s="61" t="s">
        <v>455</v>
      </c>
      <c r="AP13" s="61">
        <v>0.15384621442721302</v>
      </c>
      <c r="AQ13" s="61">
        <v>-0.97660159979923455</v>
      </c>
      <c r="AR13" s="61">
        <v>2.8792343830536868</v>
      </c>
      <c r="AS13" s="61">
        <v>43150.852550342803</v>
      </c>
      <c r="AT13" s="61" t="s">
        <v>455</v>
      </c>
      <c r="AU13" s="61" t="s">
        <v>455</v>
      </c>
      <c r="AV13" s="42">
        <v>9.1480000000000001E-7</v>
      </c>
      <c r="AW13" s="42">
        <v>3.3000000000000002E-9</v>
      </c>
      <c r="AX13" s="42">
        <v>2.4400000000000001E-7</v>
      </c>
      <c r="AY13" s="42">
        <v>3.1999999999999998E-10</v>
      </c>
      <c r="AZ13" s="42" t="s">
        <v>455</v>
      </c>
      <c r="BA13" s="42" t="s">
        <v>455</v>
      </c>
      <c r="BB13" s="42" t="s">
        <v>455</v>
      </c>
      <c r="BC13" s="42" t="s">
        <v>455</v>
      </c>
      <c r="BD13" s="42" t="s">
        <v>455</v>
      </c>
      <c r="BE13" s="42" t="s">
        <v>455</v>
      </c>
      <c r="BF13" s="42" t="s">
        <v>455</v>
      </c>
      <c r="BG13" s="42" t="s">
        <v>455</v>
      </c>
      <c r="BH13" s="42" t="s">
        <v>455</v>
      </c>
      <c r="BI13" s="42" t="s">
        <v>455</v>
      </c>
      <c r="BJ13" s="42" t="s">
        <v>455</v>
      </c>
      <c r="BK13" s="42" t="s">
        <v>455</v>
      </c>
      <c r="BL13" s="42" t="s">
        <v>455</v>
      </c>
      <c r="BM13" s="42" t="s">
        <v>455</v>
      </c>
      <c r="BN13" s="42" t="s">
        <v>455</v>
      </c>
      <c r="BO13" s="42" t="s">
        <v>455</v>
      </c>
      <c r="BP13" s="42" t="s">
        <v>455</v>
      </c>
      <c r="BQ13" s="42" t="s">
        <v>455</v>
      </c>
      <c r="BR13" s="42" t="s">
        <v>455</v>
      </c>
      <c r="BS13" s="42" t="s">
        <v>455</v>
      </c>
      <c r="BT13" s="42" t="s">
        <v>455</v>
      </c>
      <c r="BU13" s="42" t="s">
        <v>455</v>
      </c>
      <c r="BV13" s="42" t="s">
        <v>455</v>
      </c>
      <c r="BW13" s="42" t="s">
        <v>455</v>
      </c>
      <c r="BX13" s="42" t="s">
        <v>455</v>
      </c>
      <c r="BY13" s="42" t="s">
        <v>455</v>
      </c>
      <c r="BZ13" s="42" t="s">
        <v>455</v>
      </c>
      <c r="CA13" s="42" t="s">
        <v>455</v>
      </c>
      <c r="CB13" s="42" t="s">
        <v>455</v>
      </c>
      <c r="CC13" s="42" t="s">
        <v>455</v>
      </c>
      <c r="CD13" s="42" t="s">
        <v>455</v>
      </c>
      <c r="CE13" s="42" t="s">
        <v>455</v>
      </c>
      <c r="CF13" s="42" t="s">
        <v>455</v>
      </c>
      <c r="CG13" s="42" t="s">
        <v>455</v>
      </c>
      <c r="CH13" s="42" t="s">
        <v>455</v>
      </c>
      <c r="CI13" s="42" t="s">
        <v>455</v>
      </c>
      <c r="CJ13" s="42" t="s">
        <v>455</v>
      </c>
      <c r="CK13" s="42" t="s">
        <v>455</v>
      </c>
      <c r="CL13" s="42" t="s">
        <v>455</v>
      </c>
      <c r="CM13" s="42" t="s">
        <v>455</v>
      </c>
      <c r="CN13" s="42" t="s">
        <v>455</v>
      </c>
      <c r="CO13" s="42" t="s">
        <v>455</v>
      </c>
      <c r="CP13" s="42" t="s">
        <v>455</v>
      </c>
      <c r="CQ13" s="42" t="s">
        <v>455</v>
      </c>
      <c r="CR13" s="42">
        <v>0.68223279055933905</v>
      </c>
      <c r="CS13" s="42">
        <v>6.8223279055933908E-2</v>
      </c>
      <c r="CT13" s="42" t="s">
        <v>455</v>
      </c>
      <c r="CU13" s="42" t="s">
        <v>455</v>
      </c>
      <c r="CV13" s="42" t="s">
        <v>455</v>
      </c>
      <c r="CW13" s="42" t="s">
        <v>455</v>
      </c>
      <c r="CX13" s="42">
        <v>19.480198141090799</v>
      </c>
      <c r="CY13" s="42">
        <v>1.9480198141090801</v>
      </c>
      <c r="CZ13" s="42">
        <v>0.244311715275465</v>
      </c>
      <c r="DA13" s="42">
        <v>2.4431171527546501E-2</v>
      </c>
      <c r="DB13" s="42">
        <v>2.8133324084219602</v>
      </c>
      <c r="DC13" s="42">
        <v>0.28133324084219602</v>
      </c>
      <c r="DD13" s="42">
        <v>1.7143416136557299</v>
      </c>
      <c r="DE13" s="42">
        <v>0.17143416136557299</v>
      </c>
      <c r="DF13" s="42" t="s">
        <v>455</v>
      </c>
      <c r="DG13" s="42" t="s">
        <v>455</v>
      </c>
      <c r="DH13" s="42" t="s">
        <v>455</v>
      </c>
      <c r="DI13" s="42" t="s">
        <v>455</v>
      </c>
      <c r="DJ13" s="42">
        <v>0.99958563018941649</v>
      </c>
      <c r="DK13" s="42">
        <v>0.99904541623436038</v>
      </c>
      <c r="DL13" s="42">
        <v>1.5032955330878792E-2</v>
      </c>
      <c r="DM13" s="42">
        <v>0.99903084700061184</v>
      </c>
      <c r="DN13" s="42">
        <v>4.5702316607748022E-8</v>
      </c>
      <c r="DO13" s="42">
        <v>1.9517054099420939E-7</v>
      </c>
      <c r="DP13" s="42">
        <v>3.5748342681621661E-4</v>
      </c>
      <c r="DQ13" s="42">
        <v>8.2765969347545845E-8</v>
      </c>
      <c r="DR13" s="42">
        <v>1.1745305323217067E-8</v>
      </c>
      <c r="DS13" s="42">
        <v>1.3505387523736982E-2</v>
      </c>
      <c r="DT13" s="42">
        <v>7.3168440643664925E-3</v>
      </c>
      <c r="DU13" s="42">
        <v>3.6698917965915509E-4</v>
      </c>
      <c r="DV13" s="42">
        <v>5.5529826998775656E-8</v>
      </c>
      <c r="DW13" s="42">
        <v>1.0840344072145717E-8</v>
      </c>
      <c r="DX13" s="42">
        <v>2.5122830405488683E-7</v>
      </c>
      <c r="DY13" s="42">
        <v>1.4072079020267716E-8</v>
      </c>
      <c r="DZ13" s="42">
        <v>4.8822594768791425E-8</v>
      </c>
      <c r="EA13" s="42">
        <v>2.5082675200248144E-5</v>
      </c>
      <c r="EB13" s="42">
        <v>3.0614828402872479E-9</v>
      </c>
      <c r="EC13" s="42">
        <v>2.3363947991665844E-10</v>
      </c>
      <c r="ED13" s="42">
        <v>2.0969546149209612E-3</v>
      </c>
      <c r="EE13" s="42">
        <v>5.6250718923383028E-4</v>
      </c>
      <c r="EF13" s="42">
        <v>9.3992894219344396E-7</v>
      </c>
      <c r="EG13" s="42">
        <v>3.7865708814079146E-9</v>
      </c>
      <c r="EH13" s="42">
        <v>1.5575965327777235E-9</v>
      </c>
      <c r="EI13" s="42">
        <v>8.5936360429113315E-10</v>
      </c>
      <c r="EJ13" s="42">
        <v>5.9774395628015737E-8</v>
      </c>
      <c r="EK13" s="42">
        <v>2.4399313576300081E-7</v>
      </c>
      <c r="EL13" s="42">
        <v>3.8256610201646476E-4</v>
      </c>
      <c r="EM13" s="42">
        <v>8.5827452187833093E-8</v>
      </c>
      <c r="EN13" s="42">
        <v>1.1978944803133726E-8</v>
      </c>
      <c r="EO13" s="42">
        <v>1.5602342138657943E-2</v>
      </c>
      <c r="EP13" s="42">
        <v>7.8793512536003227E-3</v>
      </c>
      <c r="EQ13" s="42">
        <v>3.6792910860134853E-4</v>
      </c>
      <c r="ER13" s="42">
        <v>5.9316397880183571E-8</v>
      </c>
      <c r="ES13" s="42">
        <v>1.2397940604923441E-8</v>
      </c>
      <c r="ET13" s="42">
        <v>2.5208766765917796E-7</v>
      </c>
      <c r="EU13" s="42">
        <v>2.0372955807812702E-6</v>
      </c>
      <c r="EV13" s="42">
        <v>8.7002792716399624E-6</v>
      </c>
      <c r="EW13" s="42">
        <v>1.5957897127342427E-2</v>
      </c>
      <c r="EX13" s="42">
        <v>3.7015017613881418E-6</v>
      </c>
      <c r="EY13" s="42">
        <v>5.2732858859867617E-7</v>
      </c>
      <c r="EZ13" s="42">
        <v>0.60267006156110536</v>
      </c>
      <c r="FA13" s="42">
        <v>0.32630553159085712</v>
      </c>
      <c r="FB13" s="42">
        <v>1.6478914263613205E-2</v>
      </c>
      <c r="FC13" s="42">
        <v>2.4764351349549584E-6</v>
      </c>
      <c r="FD13" s="42">
        <v>4.8344124925608466E-7</v>
      </c>
      <c r="FE13" s="42">
        <v>1.1203899465964236E-5</v>
      </c>
      <c r="FF13" s="42">
        <v>6.2729827563130393E-7</v>
      </c>
      <c r="FG13" s="42">
        <v>2.1764053483214782E-6</v>
      </c>
      <c r="FH13" s="42">
        <v>1.1196791809033498E-3</v>
      </c>
      <c r="FI13" s="42">
        <v>1.3691719211549126E-7</v>
      </c>
      <c r="FJ13" s="42">
        <v>1.0489704081326884E-8</v>
      </c>
      <c r="FK13" s="42">
        <v>9.3575379798918279E-2</v>
      </c>
      <c r="FL13" s="42">
        <v>2.5085843813526187E-2</v>
      </c>
      <c r="FM13" s="42">
        <v>4.220562706148609E-5</v>
      </c>
      <c r="FN13" s="42">
        <v>1.6886775411568766E-7</v>
      </c>
      <c r="FO13" s="42">
        <v>6.946333148021199E-8</v>
      </c>
      <c r="FP13" s="42">
        <v>3.8324596678737649E-8</v>
      </c>
      <c r="FQ13" s="42">
        <v>2.6645938564125741E-6</v>
      </c>
      <c r="FR13" s="42">
        <v>1.0876684619961441E-5</v>
      </c>
      <c r="FS13" s="42">
        <v>1.7077576308245777E-2</v>
      </c>
      <c r="FT13" s="42">
        <v>3.8384189535036331E-6</v>
      </c>
      <c r="FU13" s="42">
        <v>5.3781829268000306E-7</v>
      </c>
      <c r="FV13" s="42">
        <v>0.69624544136002364</v>
      </c>
      <c r="FW13" s="42">
        <v>0.35139137540438331</v>
      </c>
      <c r="FX13" s="42">
        <v>1.6521119890674691E-2</v>
      </c>
      <c r="FY13" s="42">
        <v>2.645302889070646E-6</v>
      </c>
      <c r="FZ13" s="42">
        <v>5.5290458073629665E-7</v>
      </c>
      <c r="GA13" s="42">
        <v>1.1242224062642973E-5</v>
      </c>
      <c r="GB13" s="42">
        <v>8.1545204450058445E-6</v>
      </c>
      <c r="GC13" s="42">
        <v>1.7556902561791294E-4</v>
      </c>
      <c r="GD13" s="42">
        <v>0.63748607444307526</v>
      </c>
      <c r="GE13" s="42">
        <v>3.1017844460080353E-4</v>
      </c>
      <c r="GF13" s="42">
        <v>6.9234552382885995E-5</v>
      </c>
      <c r="GG13" s="42">
        <v>16.882837502535871</v>
      </c>
      <c r="GH13" s="42">
        <v>10.441385444269519</v>
      </c>
      <c r="GI13" s="42">
        <v>0.72522877728448543</v>
      </c>
      <c r="GJ13" s="42">
        <v>3.9728111595109519E-5</v>
      </c>
      <c r="GK13" s="42">
        <v>9.745595455503559E-7</v>
      </c>
      <c r="GL13" s="42">
        <v>4.9311498641559071E-4</v>
      </c>
      <c r="GM13" s="42" t="s">
        <v>455</v>
      </c>
      <c r="GN13" s="42" t="s">
        <v>455</v>
      </c>
      <c r="GO13" s="42" t="s">
        <v>455</v>
      </c>
      <c r="GP13" s="42" t="s">
        <v>455</v>
      </c>
      <c r="GQ13" s="42" t="s">
        <v>455</v>
      </c>
      <c r="GR13" s="42" t="s">
        <v>455</v>
      </c>
      <c r="GS13" s="42" t="s">
        <v>455</v>
      </c>
      <c r="GT13" s="42" t="s">
        <v>455</v>
      </c>
      <c r="GU13" s="42" t="s">
        <v>455</v>
      </c>
      <c r="GV13" s="42" t="s">
        <v>455</v>
      </c>
      <c r="GW13" s="42" t="s">
        <v>455</v>
      </c>
      <c r="GX13" s="42" t="s">
        <v>455</v>
      </c>
      <c r="GY13" s="42" t="s">
        <v>455</v>
      </c>
      <c r="GZ13" s="42" t="s">
        <v>455</v>
      </c>
      <c r="HA13" s="42" t="s">
        <v>455</v>
      </c>
      <c r="HB13" s="42" t="s">
        <v>455</v>
      </c>
      <c r="HC13" s="42" t="s">
        <v>455</v>
      </c>
      <c r="HD13" s="42" t="s">
        <v>455</v>
      </c>
      <c r="HE13" s="42" t="s">
        <v>455</v>
      </c>
      <c r="HF13" s="42" t="s">
        <v>455</v>
      </c>
      <c r="HG13" s="42" t="s">
        <v>455</v>
      </c>
      <c r="HH13" s="42" t="s">
        <v>455</v>
      </c>
      <c r="HI13" s="42" t="s">
        <v>455</v>
      </c>
      <c r="HJ13" s="42" t="s">
        <v>455</v>
      </c>
      <c r="HK13" s="42" t="s">
        <v>455</v>
      </c>
      <c r="HL13" s="42" t="s">
        <v>455</v>
      </c>
      <c r="HM13" s="42" t="s">
        <v>455</v>
      </c>
      <c r="HN13" s="42" t="s">
        <v>455</v>
      </c>
      <c r="HO13" s="42" t="s">
        <v>455</v>
      </c>
      <c r="HP13" s="42" t="s">
        <v>455</v>
      </c>
      <c r="HQ13" s="42" t="s">
        <v>455</v>
      </c>
      <c r="HR13" s="42" t="s">
        <v>455</v>
      </c>
      <c r="HS13" s="42" t="s">
        <v>455</v>
      </c>
      <c r="HT13" s="42" t="s">
        <v>455</v>
      </c>
      <c r="HU13" s="42" t="s">
        <v>455</v>
      </c>
      <c r="HV13" s="42" t="s">
        <v>455</v>
      </c>
      <c r="HW13" s="42" t="s">
        <v>455</v>
      </c>
      <c r="HX13" s="42" t="s">
        <v>455</v>
      </c>
      <c r="HY13" s="42" t="s">
        <v>455</v>
      </c>
      <c r="HZ13" s="42" t="s">
        <v>455</v>
      </c>
      <c r="IA13" s="42" t="s">
        <v>455</v>
      </c>
      <c r="IB13" s="42" t="s">
        <v>455</v>
      </c>
      <c r="IC13" s="42" t="s">
        <v>455</v>
      </c>
      <c r="ID13" s="42" t="s">
        <v>455</v>
      </c>
      <c r="IE13" s="42" t="s">
        <v>455</v>
      </c>
      <c r="IF13" s="42" t="s">
        <v>455</v>
      </c>
      <c r="IG13" s="42" t="s">
        <v>455</v>
      </c>
      <c r="IH13" s="42" t="s">
        <v>455</v>
      </c>
      <c r="II13" s="42" t="s">
        <v>455</v>
      </c>
      <c r="IJ13" s="42" t="s">
        <v>455</v>
      </c>
      <c r="IK13" s="42" t="s">
        <v>455</v>
      </c>
      <c r="IL13" s="42" t="s">
        <v>455</v>
      </c>
      <c r="IM13" s="42" t="s">
        <v>455</v>
      </c>
      <c r="IN13" s="42" t="s">
        <v>455</v>
      </c>
      <c r="IO13" s="42" t="s">
        <v>455</v>
      </c>
      <c r="IP13" s="42" t="s">
        <v>455</v>
      </c>
      <c r="IQ13" s="42" t="s">
        <v>455</v>
      </c>
      <c r="IR13" s="42" t="s">
        <v>455</v>
      </c>
      <c r="IS13" s="42" t="s">
        <v>455</v>
      </c>
      <c r="IT13" s="42" t="s">
        <v>455</v>
      </c>
      <c r="IU13" s="42" t="s">
        <v>455</v>
      </c>
      <c r="IV13" s="42" t="s">
        <v>455</v>
      </c>
      <c r="IW13" s="42" t="s">
        <v>455</v>
      </c>
      <c r="IX13" s="42" t="s">
        <v>455</v>
      </c>
      <c r="IY13" s="42" t="s">
        <v>455</v>
      </c>
      <c r="IZ13" s="42" t="s">
        <v>455</v>
      </c>
      <c r="JA13" s="42" t="s">
        <v>455</v>
      </c>
      <c r="JB13" s="42" t="s">
        <v>455</v>
      </c>
      <c r="JC13" s="42" t="s">
        <v>455</v>
      </c>
      <c r="JD13" s="42" t="s">
        <v>455</v>
      </c>
      <c r="JE13" s="42" t="s">
        <v>455</v>
      </c>
      <c r="JF13" s="42" t="s">
        <v>455</v>
      </c>
      <c r="JG13" s="42" t="s">
        <v>455</v>
      </c>
      <c r="JH13" s="42" t="s">
        <v>455</v>
      </c>
      <c r="JI13" s="42" t="s">
        <v>455</v>
      </c>
      <c r="JJ13" s="42" t="s">
        <v>455</v>
      </c>
      <c r="JK13" s="42" t="s">
        <v>455</v>
      </c>
      <c r="JL13" s="42" t="s">
        <v>455</v>
      </c>
      <c r="JM13" s="42" t="s">
        <v>455</v>
      </c>
    </row>
    <row r="14" spans="1:273">
      <c r="A14" s="42" t="s">
        <v>208</v>
      </c>
      <c r="B14" s="42" t="s">
        <v>209</v>
      </c>
      <c r="C14" s="42" t="s">
        <v>210</v>
      </c>
      <c r="D14" s="60">
        <v>41507</v>
      </c>
      <c r="E14" s="42" t="s">
        <v>211</v>
      </c>
      <c r="F14" s="42">
        <v>0.22376201802000001</v>
      </c>
      <c r="G14" s="42">
        <v>39.024390243902403</v>
      </c>
      <c r="H14" s="42">
        <v>20.090000152599998</v>
      </c>
      <c r="I14" s="42">
        <v>1</v>
      </c>
      <c r="J14" s="42">
        <v>0</v>
      </c>
      <c r="K14" s="42">
        <v>0</v>
      </c>
      <c r="L14" s="42" t="s">
        <v>454</v>
      </c>
      <c r="M14" s="42" t="s">
        <v>614</v>
      </c>
      <c r="N14" s="42">
        <v>1.793225485719617E-2</v>
      </c>
      <c r="O14" s="61" t="s">
        <v>455</v>
      </c>
      <c r="P14" s="42">
        <v>16.75958769321862</v>
      </c>
      <c r="Q14" s="42">
        <v>5.7890602445337596</v>
      </c>
      <c r="R14" s="42">
        <v>2.4074200675801829</v>
      </c>
      <c r="S14" s="42">
        <v>0.49669236242562165</v>
      </c>
      <c r="T14" s="42" t="s">
        <v>455</v>
      </c>
      <c r="U14" s="42" t="s">
        <v>455</v>
      </c>
      <c r="V14" s="42" t="s">
        <v>456</v>
      </c>
      <c r="W14" s="42" t="s">
        <v>455</v>
      </c>
      <c r="X14" s="42">
        <v>0</v>
      </c>
      <c r="Y14" s="42">
        <v>2.187983502428863</v>
      </c>
      <c r="Z14" s="42" t="s">
        <v>456</v>
      </c>
      <c r="AA14" s="42" t="s">
        <v>455</v>
      </c>
      <c r="AB14" s="42" t="s">
        <v>456</v>
      </c>
      <c r="AC14" s="42" t="s">
        <v>455</v>
      </c>
      <c r="AD14" s="42" t="s">
        <v>613</v>
      </c>
      <c r="AE14" s="42" t="s">
        <v>91</v>
      </c>
      <c r="AF14" s="42">
        <v>2.0125621276462197E-2</v>
      </c>
      <c r="AG14" s="42">
        <v>14</v>
      </c>
      <c r="AH14" s="62">
        <v>42880.574386574073</v>
      </c>
      <c r="AJ14" s="63" t="s">
        <v>659</v>
      </c>
      <c r="AK14" s="61">
        <v>0.46089990215215271</v>
      </c>
      <c r="AL14" s="61">
        <v>0.23193103851745533</v>
      </c>
      <c r="AM14" s="61">
        <v>6.8038819930406058E-2</v>
      </c>
      <c r="AN14" s="61" t="s">
        <v>455</v>
      </c>
      <c r="AO14" s="61" t="s">
        <v>455</v>
      </c>
      <c r="AP14" s="61">
        <v>0.13775049988054033</v>
      </c>
      <c r="AQ14" s="61">
        <v>-0.85219695083881086</v>
      </c>
      <c r="AR14" s="61">
        <v>22.926450010836191</v>
      </c>
      <c r="AS14" s="61" t="s">
        <v>455</v>
      </c>
      <c r="AT14" s="61" t="s">
        <v>455</v>
      </c>
      <c r="AU14" s="61" t="s">
        <v>455</v>
      </c>
      <c r="AV14" s="42">
        <v>6.5699999999999999E-8</v>
      </c>
      <c r="AW14" s="42">
        <v>6.5700000000000001E-10</v>
      </c>
      <c r="AX14" s="42">
        <v>2.326E-7</v>
      </c>
      <c r="AY14" s="42">
        <v>2.8000000000000002E-10</v>
      </c>
      <c r="AZ14" s="42" t="s">
        <v>455</v>
      </c>
      <c r="BA14" s="42" t="s">
        <v>455</v>
      </c>
      <c r="BB14" s="42" t="s">
        <v>455</v>
      </c>
      <c r="BC14" s="42" t="s">
        <v>455</v>
      </c>
      <c r="BD14" s="42" t="s">
        <v>455</v>
      </c>
      <c r="BE14" s="42" t="s">
        <v>455</v>
      </c>
      <c r="BF14" s="42" t="s">
        <v>455</v>
      </c>
      <c r="BG14" s="42" t="s">
        <v>455</v>
      </c>
      <c r="BH14" s="42" t="s">
        <v>455</v>
      </c>
      <c r="BI14" s="42" t="s">
        <v>455</v>
      </c>
      <c r="BJ14" s="42" t="s">
        <v>455</v>
      </c>
      <c r="BK14" s="42" t="s">
        <v>455</v>
      </c>
      <c r="BL14" s="42" t="s">
        <v>455</v>
      </c>
      <c r="BM14" s="42" t="s">
        <v>455</v>
      </c>
      <c r="BN14" s="42" t="s">
        <v>455</v>
      </c>
      <c r="BO14" s="42" t="s">
        <v>455</v>
      </c>
      <c r="BP14" s="42" t="s">
        <v>455</v>
      </c>
      <c r="BQ14" s="42" t="s">
        <v>455</v>
      </c>
      <c r="BR14" s="42" t="s">
        <v>455</v>
      </c>
      <c r="BS14" s="42" t="s">
        <v>455</v>
      </c>
      <c r="BT14" s="42" t="s">
        <v>455</v>
      </c>
      <c r="BU14" s="42" t="s">
        <v>455</v>
      </c>
      <c r="BV14" s="42" t="s">
        <v>455</v>
      </c>
      <c r="BW14" s="42" t="s">
        <v>455</v>
      </c>
      <c r="BX14" s="42" t="s">
        <v>455</v>
      </c>
      <c r="BY14" s="42" t="s">
        <v>455</v>
      </c>
      <c r="BZ14" s="42" t="s">
        <v>455</v>
      </c>
      <c r="CA14" s="42" t="s">
        <v>455</v>
      </c>
      <c r="CB14" s="42" t="s">
        <v>455</v>
      </c>
      <c r="CC14" s="42" t="s">
        <v>455</v>
      </c>
      <c r="CD14" s="42" t="s">
        <v>455</v>
      </c>
      <c r="CE14" s="42" t="s">
        <v>455</v>
      </c>
      <c r="CF14" s="42" t="s">
        <v>455</v>
      </c>
      <c r="CG14" s="42" t="s">
        <v>455</v>
      </c>
      <c r="CH14" s="42" t="s">
        <v>455</v>
      </c>
      <c r="CI14" s="42" t="s">
        <v>455</v>
      </c>
      <c r="CJ14" s="42" t="s">
        <v>455</v>
      </c>
      <c r="CK14" s="42" t="s">
        <v>455</v>
      </c>
      <c r="CL14" s="42" t="s">
        <v>455</v>
      </c>
      <c r="CM14" s="42" t="s">
        <v>455</v>
      </c>
      <c r="CN14" s="42" t="s">
        <v>455</v>
      </c>
      <c r="CO14" s="42" t="s">
        <v>455</v>
      </c>
      <c r="CP14" s="42" t="s">
        <v>455</v>
      </c>
      <c r="CQ14" s="42" t="s">
        <v>455</v>
      </c>
      <c r="CR14" s="42">
        <v>0.62979533697440104</v>
      </c>
      <c r="CS14" s="42">
        <v>6.297953369744011E-2</v>
      </c>
      <c r="CT14" s="42" t="s">
        <v>455</v>
      </c>
      <c r="CU14" s="42" t="s">
        <v>455</v>
      </c>
      <c r="CV14" s="42" t="s">
        <v>455</v>
      </c>
      <c r="CW14" s="42" t="s">
        <v>455</v>
      </c>
      <c r="CX14" s="42">
        <v>17.871653837796998</v>
      </c>
      <c r="CY14" s="42">
        <v>1.7871653837796999</v>
      </c>
      <c r="CZ14" s="42">
        <v>1.42687857026998</v>
      </c>
      <c r="DA14" s="42">
        <v>0.14268785702699802</v>
      </c>
      <c r="DB14" s="42">
        <v>15.4357918899496</v>
      </c>
      <c r="DC14" s="42">
        <v>1.5435791889949602</v>
      </c>
      <c r="DD14" s="42" t="s">
        <v>455</v>
      </c>
      <c r="DE14" s="42" t="s">
        <v>455</v>
      </c>
      <c r="DF14" s="42" t="s">
        <v>455</v>
      </c>
      <c r="DG14" s="42" t="s">
        <v>455</v>
      </c>
      <c r="DH14" s="42" t="s">
        <v>455</v>
      </c>
      <c r="DI14" s="42" t="s">
        <v>455</v>
      </c>
      <c r="DJ14" s="42">
        <v>0.99899106232764889</v>
      </c>
      <c r="DK14" s="42">
        <v>0.99530930208322277</v>
      </c>
      <c r="DL14" s="42">
        <v>1.8813693216746776E-2</v>
      </c>
      <c r="DM14" s="42">
        <v>0.99521936060017457</v>
      </c>
      <c r="DN14" s="42">
        <v>4.497228037541298E-8</v>
      </c>
      <c r="DO14" s="42">
        <v>1.8880926994088743E-7</v>
      </c>
      <c r="DP14" s="42">
        <v>3.3086895067243189E-4</v>
      </c>
      <c r="DQ14" s="42">
        <v>7.5174667872081928E-8</v>
      </c>
      <c r="DR14" s="42">
        <v>1.045467134234142E-8</v>
      </c>
      <c r="DS14" s="42">
        <v>1.2572965395737094E-2</v>
      </c>
      <c r="DT14" s="42">
        <v>6.769049575119198E-3</v>
      </c>
      <c r="DU14" s="42">
        <v>3.2665347325441514E-4</v>
      </c>
      <c r="DV14" s="42">
        <v>5.1056851912845998E-8</v>
      </c>
      <c r="DW14" s="42">
        <v>1.0467779234729657E-8</v>
      </c>
      <c r="DX14" s="42">
        <v>2.2224703512836524E-7</v>
      </c>
      <c r="DY14" s="42">
        <v>1.2614881154120162E-8</v>
      </c>
      <c r="DZ14" s="42">
        <v>4.3766896828607721E-8</v>
      </c>
      <c r="EA14" s="42">
        <v>2.2485303431198881E-5</v>
      </c>
      <c r="EB14" s="42">
        <v>2.7444588770414138E-9</v>
      </c>
      <c r="EC14" s="42">
        <v>2.0944554587947522E-10</v>
      </c>
      <c r="ED14" s="42">
        <v>1.8798098855693102E-3</v>
      </c>
      <c r="EE14" s="42">
        <v>5.0425820735534518E-4</v>
      </c>
      <c r="EF14" s="42">
        <v>8.4259702365303878E-7</v>
      </c>
      <c r="EG14" s="42">
        <v>3.3944622952880589E-9</v>
      </c>
      <c r="EH14" s="42">
        <v>1.3963036391965064E-9</v>
      </c>
      <c r="EI14" s="42">
        <v>7.703744216256642E-10</v>
      </c>
      <c r="EJ14" s="42">
        <v>5.7587161529533142E-8</v>
      </c>
      <c r="EK14" s="42">
        <v>2.3257616676949515E-7</v>
      </c>
      <c r="EL14" s="42">
        <v>3.5335425410363077E-4</v>
      </c>
      <c r="EM14" s="42">
        <v>7.7919126749123342E-8</v>
      </c>
      <c r="EN14" s="42">
        <v>1.0664116888220895E-8</v>
      </c>
      <c r="EO14" s="42">
        <v>1.4452775281306405E-2</v>
      </c>
      <c r="EP14" s="42">
        <v>7.2733077824745432E-3</v>
      </c>
      <c r="EQ14" s="42">
        <v>3.2749607027806818E-4</v>
      </c>
      <c r="ER14" s="42">
        <v>5.4451314208134057E-8</v>
      </c>
      <c r="ES14" s="42">
        <v>1.1864082873926163E-8</v>
      </c>
      <c r="ET14" s="42">
        <v>2.230174095499909E-7</v>
      </c>
      <c r="EU14" s="42">
        <v>2.0035599261994626E-6</v>
      </c>
      <c r="EV14" s="42">
        <v>8.4117012312842645E-6</v>
      </c>
      <c r="EW14" s="42">
        <v>1.4761053738972241E-2</v>
      </c>
      <c r="EX14" s="42">
        <v>3.359999951574943E-6</v>
      </c>
      <c r="EY14" s="42">
        <v>4.6910384125092054E-7</v>
      </c>
      <c r="EZ14" s="42">
        <v>0.56072753924653329</v>
      </c>
      <c r="FA14" s="42">
        <v>0.30169626242512931</v>
      </c>
      <c r="FB14" s="42">
        <v>1.4658995564415097E-2</v>
      </c>
      <c r="FC14" s="42">
        <v>2.2756017993896438E-6</v>
      </c>
      <c r="FD14" s="42">
        <v>4.6654849192084778E-7</v>
      </c>
      <c r="FE14" s="42">
        <v>9.9055412564493561E-6</v>
      </c>
      <c r="FF14" s="42">
        <v>5.6200553192277138E-7</v>
      </c>
      <c r="FG14" s="42">
        <v>1.9498728005142584E-6</v>
      </c>
      <c r="FH14" s="42">
        <v>1.0031366545893254E-3</v>
      </c>
      <c r="FI14" s="42">
        <v>1.2266607828118073E-7</v>
      </c>
      <c r="FJ14" s="42">
        <v>9.3978764982347216E-9</v>
      </c>
      <c r="FK14" s="42">
        <v>8.3835526322530884E-2</v>
      </c>
      <c r="FL14" s="42">
        <v>2.2474767656525008E-2</v>
      </c>
      <c r="FM14" s="42">
        <v>3.7812627275202182E-5</v>
      </c>
      <c r="FN14" s="42">
        <v>1.5129104552516144E-7</v>
      </c>
      <c r="FO14" s="42">
        <v>6.223319603162667E-8</v>
      </c>
      <c r="FP14" s="42">
        <v>3.4335556431241892E-8</v>
      </c>
      <c r="FQ14" s="42">
        <v>2.565565458122234E-6</v>
      </c>
      <c r="FR14" s="42">
        <v>1.0361574031798523E-5</v>
      </c>
      <c r="FS14" s="42">
        <v>1.5764190393561566E-2</v>
      </c>
      <c r="FT14" s="42">
        <v>3.4826660298561238E-6</v>
      </c>
      <c r="FU14" s="42">
        <v>4.7850171774915526E-7</v>
      </c>
      <c r="FV14" s="42">
        <v>0.64456306556906418</v>
      </c>
      <c r="FW14" s="42">
        <v>0.32417103008165432</v>
      </c>
      <c r="FX14" s="42">
        <v>1.4696808191690299E-2</v>
      </c>
      <c r="FY14" s="42">
        <v>2.4268928449148052E-6</v>
      </c>
      <c r="FZ14" s="42">
        <v>5.2878168795247445E-7</v>
      </c>
      <c r="GA14" s="42">
        <v>9.939876812880598E-6</v>
      </c>
      <c r="GB14" s="42">
        <v>8.0194894325164782E-6</v>
      </c>
      <c r="GC14" s="42">
        <v>1.6974560733694707E-4</v>
      </c>
      <c r="GD14" s="42">
        <v>0.58967457476446306</v>
      </c>
      <c r="GE14" s="42">
        <v>2.8156127594207707E-4</v>
      </c>
      <c r="GF14" s="42">
        <v>6.159005062935711E-5</v>
      </c>
      <c r="GG14" s="42">
        <v>15.707884847928836</v>
      </c>
      <c r="GH14" s="42">
        <v>9.653918362089227</v>
      </c>
      <c r="GI14" s="42">
        <v>0.64513506529212628</v>
      </c>
      <c r="GJ14" s="42">
        <v>3.6506250842636382E-5</v>
      </c>
      <c r="GK14" s="42">
        <v>9.405057738933987E-7</v>
      </c>
      <c r="GL14" s="42">
        <v>4.3597060621185419E-4</v>
      </c>
      <c r="GM14" s="42" t="s">
        <v>455</v>
      </c>
      <c r="GN14" s="42" t="s">
        <v>455</v>
      </c>
      <c r="GO14" s="42" t="s">
        <v>455</v>
      </c>
      <c r="GP14" s="42" t="s">
        <v>455</v>
      </c>
      <c r="GQ14" s="42" t="s">
        <v>455</v>
      </c>
      <c r="GR14" s="42" t="s">
        <v>455</v>
      </c>
      <c r="GS14" s="42" t="s">
        <v>455</v>
      </c>
      <c r="GT14" s="42" t="s">
        <v>455</v>
      </c>
      <c r="GU14" s="42" t="s">
        <v>455</v>
      </c>
      <c r="GV14" s="42" t="s">
        <v>455</v>
      </c>
      <c r="GW14" s="42" t="s">
        <v>455</v>
      </c>
      <c r="GX14" s="42" t="s">
        <v>455</v>
      </c>
      <c r="GY14" s="42" t="s">
        <v>455</v>
      </c>
      <c r="GZ14" s="42" t="s">
        <v>455</v>
      </c>
      <c r="HA14" s="42" t="s">
        <v>455</v>
      </c>
      <c r="HB14" s="42" t="s">
        <v>455</v>
      </c>
      <c r="HC14" s="42" t="s">
        <v>455</v>
      </c>
      <c r="HD14" s="42" t="s">
        <v>455</v>
      </c>
      <c r="HE14" s="42" t="s">
        <v>455</v>
      </c>
      <c r="HF14" s="42" t="s">
        <v>455</v>
      </c>
      <c r="HG14" s="42" t="s">
        <v>455</v>
      </c>
      <c r="HH14" s="42" t="s">
        <v>455</v>
      </c>
      <c r="HI14" s="42" t="s">
        <v>455</v>
      </c>
      <c r="HJ14" s="42" t="s">
        <v>455</v>
      </c>
      <c r="HK14" s="42" t="s">
        <v>455</v>
      </c>
      <c r="HL14" s="42" t="s">
        <v>455</v>
      </c>
      <c r="HM14" s="42" t="s">
        <v>455</v>
      </c>
      <c r="HN14" s="42" t="s">
        <v>455</v>
      </c>
      <c r="HO14" s="42" t="s">
        <v>455</v>
      </c>
      <c r="HP14" s="42" t="s">
        <v>455</v>
      </c>
      <c r="HQ14" s="42" t="s">
        <v>455</v>
      </c>
      <c r="HR14" s="42" t="s">
        <v>455</v>
      </c>
      <c r="HS14" s="42" t="s">
        <v>455</v>
      </c>
      <c r="HT14" s="42" t="s">
        <v>455</v>
      </c>
      <c r="HU14" s="42" t="s">
        <v>455</v>
      </c>
      <c r="HV14" s="42" t="s">
        <v>455</v>
      </c>
      <c r="HW14" s="42" t="s">
        <v>455</v>
      </c>
      <c r="HX14" s="42" t="s">
        <v>455</v>
      </c>
      <c r="HY14" s="42" t="s">
        <v>455</v>
      </c>
      <c r="HZ14" s="42" t="s">
        <v>455</v>
      </c>
      <c r="IA14" s="42" t="s">
        <v>455</v>
      </c>
      <c r="IB14" s="42" t="s">
        <v>455</v>
      </c>
      <c r="IC14" s="42" t="s">
        <v>455</v>
      </c>
      <c r="ID14" s="42" t="s">
        <v>455</v>
      </c>
      <c r="IE14" s="42" t="s">
        <v>455</v>
      </c>
      <c r="IF14" s="42" t="s">
        <v>455</v>
      </c>
      <c r="IG14" s="42" t="s">
        <v>455</v>
      </c>
      <c r="IH14" s="42" t="s">
        <v>455</v>
      </c>
      <c r="II14" s="42" t="s">
        <v>455</v>
      </c>
      <c r="IJ14" s="42" t="s">
        <v>455</v>
      </c>
      <c r="IK14" s="42" t="s">
        <v>455</v>
      </c>
      <c r="IL14" s="42" t="s">
        <v>455</v>
      </c>
      <c r="IM14" s="42" t="s">
        <v>455</v>
      </c>
      <c r="IN14" s="42" t="s">
        <v>455</v>
      </c>
      <c r="IO14" s="42" t="s">
        <v>455</v>
      </c>
      <c r="IP14" s="42" t="s">
        <v>455</v>
      </c>
      <c r="IQ14" s="42" t="s">
        <v>455</v>
      </c>
      <c r="IR14" s="42" t="s">
        <v>455</v>
      </c>
      <c r="IS14" s="42" t="s">
        <v>455</v>
      </c>
      <c r="IT14" s="42" t="s">
        <v>455</v>
      </c>
      <c r="IU14" s="42" t="s">
        <v>455</v>
      </c>
      <c r="IV14" s="42" t="s">
        <v>455</v>
      </c>
      <c r="IW14" s="42" t="s">
        <v>455</v>
      </c>
      <c r="IX14" s="42" t="s">
        <v>455</v>
      </c>
      <c r="IY14" s="42" t="s">
        <v>455</v>
      </c>
      <c r="IZ14" s="42" t="s">
        <v>455</v>
      </c>
      <c r="JA14" s="42" t="s">
        <v>455</v>
      </c>
      <c r="JB14" s="42" t="s">
        <v>455</v>
      </c>
      <c r="JC14" s="42" t="s">
        <v>455</v>
      </c>
      <c r="JD14" s="42" t="s">
        <v>455</v>
      </c>
      <c r="JE14" s="42" t="s">
        <v>455</v>
      </c>
      <c r="JF14" s="42" t="s">
        <v>455</v>
      </c>
      <c r="JG14" s="42" t="s">
        <v>455</v>
      </c>
      <c r="JH14" s="42" t="s">
        <v>455</v>
      </c>
      <c r="JI14" s="42" t="s">
        <v>455</v>
      </c>
      <c r="JJ14" s="42" t="s">
        <v>455</v>
      </c>
      <c r="JK14" s="42" t="s">
        <v>455</v>
      </c>
      <c r="JL14" s="42" t="s">
        <v>455</v>
      </c>
      <c r="JM14" s="42" t="s">
        <v>455</v>
      </c>
    </row>
    <row r="15" spans="1:273">
      <c r="A15" s="42" t="s">
        <v>208</v>
      </c>
      <c r="B15" s="42" t="s">
        <v>209</v>
      </c>
      <c r="C15" s="42" t="s">
        <v>210</v>
      </c>
      <c r="D15" s="60">
        <v>41507</v>
      </c>
      <c r="E15" s="42" t="s">
        <v>212</v>
      </c>
      <c r="F15" s="42">
        <v>0.22376201802000001</v>
      </c>
      <c r="G15" s="42">
        <v>39.024390243902403</v>
      </c>
      <c r="H15" s="42">
        <v>20.090000152599998</v>
      </c>
      <c r="I15" s="42">
        <v>1</v>
      </c>
      <c r="J15" s="42">
        <v>0</v>
      </c>
      <c r="K15" s="42">
        <v>0</v>
      </c>
      <c r="L15" s="42" t="s">
        <v>454</v>
      </c>
      <c r="M15" s="42" t="s">
        <v>614</v>
      </c>
      <c r="N15" s="42">
        <v>3.4406461269163469E-2</v>
      </c>
      <c r="O15" s="61" t="s">
        <v>455</v>
      </c>
      <c r="P15" s="42">
        <v>17.439438983254476</v>
      </c>
      <c r="Q15" s="42">
        <v>5.868579958363016</v>
      </c>
      <c r="R15" s="42">
        <v>2.4651471106276364</v>
      </c>
      <c r="S15" s="42">
        <v>0.4937707258151674</v>
      </c>
      <c r="T15" s="42" t="s">
        <v>455</v>
      </c>
      <c r="U15" s="42" t="s">
        <v>455</v>
      </c>
      <c r="V15" s="42" t="s">
        <v>456</v>
      </c>
      <c r="W15" s="42" t="s">
        <v>455</v>
      </c>
      <c r="X15" s="42">
        <v>0</v>
      </c>
      <c r="Y15" s="42">
        <v>2.1580057903971266</v>
      </c>
      <c r="Z15" s="42" t="s">
        <v>456</v>
      </c>
      <c r="AA15" s="42" t="s">
        <v>455</v>
      </c>
      <c r="AB15" s="42" t="s">
        <v>456</v>
      </c>
      <c r="AC15" s="42" t="s">
        <v>455</v>
      </c>
      <c r="AD15" s="42" t="s">
        <v>613</v>
      </c>
      <c r="AE15" s="42" t="s">
        <v>123</v>
      </c>
      <c r="AF15" s="42">
        <v>2.6923415727255835E-2</v>
      </c>
      <c r="AG15" s="42">
        <v>14</v>
      </c>
      <c r="AH15" s="62">
        <v>42880.574386574073</v>
      </c>
      <c r="AJ15" s="63" t="s">
        <v>658</v>
      </c>
      <c r="AK15" s="61">
        <v>0.46428646527242856</v>
      </c>
      <c r="AL15" s="61">
        <v>0.23881717672924996</v>
      </c>
      <c r="AM15" s="61">
        <v>7.0640601880188392E-2</v>
      </c>
      <c r="AN15" s="61" t="s">
        <v>455</v>
      </c>
      <c r="AO15" s="61" t="s">
        <v>455</v>
      </c>
      <c r="AP15" s="61">
        <v>0.13635789270674192</v>
      </c>
      <c r="AQ15" s="61">
        <v>-0.81506035776591723</v>
      </c>
      <c r="AR15" s="61">
        <v>27.186458845983275</v>
      </c>
      <c r="AS15" s="61" t="s">
        <v>455</v>
      </c>
      <c r="AT15" s="61" t="s">
        <v>455</v>
      </c>
      <c r="AU15" s="61" t="s">
        <v>455</v>
      </c>
      <c r="AV15" s="42">
        <v>6.5699999999999999E-8</v>
      </c>
      <c r="AW15" s="42">
        <v>6.5700000000000001E-10</v>
      </c>
      <c r="AX15" s="42">
        <v>2.326E-7</v>
      </c>
      <c r="AY15" s="42">
        <v>2.8000000000000002E-10</v>
      </c>
      <c r="AZ15" s="42" t="s">
        <v>455</v>
      </c>
      <c r="BA15" s="42" t="s">
        <v>455</v>
      </c>
      <c r="BB15" s="42" t="s">
        <v>455</v>
      </c>
      <c r="BC15" s="42" t="s">
        <v>455</v>
      </c>
      <c r="BD15" s="42" t="s">
        <v>455</v>
      </c>
      <c r="BE15" s="42" t="s">
        <v>455</v>
      </c>
      <c r="BF15" s="42" t="s">
        <v>455</v>
      </c>
      <c r="BG15" s="42" t="s">
        <v>455</v>
      </c>
      <c r="BH15" s="42" t="s">
        <v>455</v>
      </c>
      <c r="BI15" s="42" t="s">
        <v>455</v>
      </c>
      <c r="BJ15" s="42" t="s">
        <v>455</v>
      </c>
      <c r="BK15" s="42" t="s">
        <v>455</v>
      </c>
      <c r="BL15" s="42" t="s">
        <v>455</v>
      </c>
      <c r="BM15" s="42" t="s">
        <v>455</v>
      </c>
      <c r="BN15" s="42" t="s">
        <v>455</v>
      </c>
      <c r="BO15" s="42" t="s">
        <v>455</v>
      </c>
      <c r="BP15" s="42" t="s">
        <v>455</v>
      </c>
      <c r="BQ15" s="42" t="s">
        <v>455</v>
      </c>
      <c r="BR15" s="42" t="s">
        <v>455</v>
      </c>
      <c r="BS15" s="42" t="s">
        <v>455</v>
      </c>
      <c r="BT15" s="42" t="s">
        <v>455</v>
      </c>
      <c r="BU15" s="42" t="s">
        <v>455</v>
      </c>
      <c r="BV15" s="42" t="s">
        <v>455</v>
      </c>
      <c r="BW15" s="42" t="s">
        <v>455</v>
      </c>
      <c r="BX15" s="42" t="s">
        <v>455</v>
      </c>
      <c r="BY15" s="42" t="s">
        <v>455</v>
      </c>
      <c r="BZ15" s="42" t="s">
        <v>455</v>
      </c>
      <c r="CA15" s="42" t="s">
        <v>455</v>
      </c>
      <c r="CB15" s="42" t="s">
        <v>455</v>
      </c>
      <c r="CC15" s="42" t="s">
        <v>455</v>
      </c>
      <c r="CD15" s="42" t="s">
        <v>455</v>
      </c>
      <c r="CE15" s="42" t="s">
        <v>455</v>
      </c>
      <c r="CF15" s="42" t="s">
        <v>455</v>
      </c>
      <c r="CG15" s="42" t="s">
        <v>455</v>
      </c>
      <c r="CH15" s="42" t="s">
        <v>455</v>
      </c>
      <c r="CI15" s="42" t="s">
        <v>455</v>
      </c>
      <c r="CJ15" s="42" t="s">
        <v>455</v>
      </c>
      <c r="CK15" s="42" t="s">
        <v>455</v>
      </c>
      <c r="CL15" s="42" t="s">
        <v>455</v>
      </c>
      <c r="CM15" s="42" t="s">
        <v>455</v>
      </c>
      <c r="CN15" s="42" t="s">
        <v>455</v>
      </c>
      <c r="CO15" s="42" t="s">
        <v>455</v>
      </c>
      <c r="CP15" s="42" t="s">
        <v>455</v>
      </c>
      <c r="CQ15" s="42" t="s">
        <v>455</v>
      </c>
      <c r="CR15" s="42">
        <v>0.62248640074703598</v>
      </c>
      <c r="CS15" s="42">
        <v>6.2248640074703598E-2</v>
      </c>
      <c r="CT15" s="42" t="s">
        <v>455</v>
      </c>
      <c r="CU15" s="42" t="s">
        <v>455</v>
      </c>
      <c r="CV15" s="42" t="s">
        <v>455</v>
      </c>
      <c r="CW15" s="42" t="s">
        <v>455</v>
      </c>
      <c r="CX15" s="42">
        <v>17.619880809601302</v>
      </c>
      <c r="CY15" s="42">
        <v>1.7619880809601303</v>
      </c>
      <c r="CZ15" s="42">
        <v>1.7602966267139499</v>
      </c>
      <c r="DA15" s="42">
        <v>0.176029662671395</v>
      </c>
      <c r="DB15" s="42">
        <v>17.795517366134199</v>
      </c>
      <c r="DC15" s="42">
        <v>1.7795517366134199</v>
      </c>
      <c r="DD15" s="42" t="s">
        <v>455</v>
      </c>
      <c r="DE15" s="42" t="s">
        <v>455</v>
      </c>
      <c r="DF15" s="42" t="s">
        <v>455</v>
      </c>
      <c r="DG15" s="42" t="s">
        <v>455</v>
      </c>
      <c r="DH15" s="42" t="s">
        <v>455</v>
      </c>
      <c r="DI15" s="42" t="s">
        <v>455</v>
      </c>
      <c r="DJ15" s="42">
        <v>0.99887187788781528</v>
      </c>
      <c r="DK15" s="42">
        <v>0.99530930208322277</v>
      </c>
      <c r="DL15" s="42">
        <v>1.9641801209395994E-2</v>
      </c>
      <c r="DM15" s="42">
        <v>0.99521532239689148</v>
      </c>
      <c r="DN15" s="42">
        <v>4.4868269671383326E-8</v>
      </c>
      <c r="DO15" s="42">
        <v>1.8775974725674632E-7</v>
      </c>
      <c r="DP15" s="42">
        <v>3.262733386571026E-4</v>
      </c>
      <c r="DQ15" s="42">
        <v>7.3861568290836979E-8</v>
      </c>
      <c r="DR15" s="42">
        <v>1.0233224055094212E-8</v>
      </c>
      <c r="DS15" s="42">
        <v>1.2412511430804407E-2</v>
      </c>
      <c r="DT15" s="42">
        <v>6.6746997269021132E-3</v>
      </c>
      <c r="DU15" s="42">
        <v>3.1971171497146585E-4</v>
      </c>
      <c r="DV15" s="42">
        <v>5.0287379531047039E-8</v>
      </c>
      <c r="DW15" s="42">
        <v>1.0406629040773957E-8</v>
      </c>
      <c r="DX15" s="42">
        <v>2.1727186030687422E-7</v>
      </c>
      <c r="DY15" s="42">
        <v>1.2917370859688812E-8</v>
      </c>
      <c r="DZ15" s="42">
        <v>4.4816374471210413E-8</v>
      </c>
      <c r="EA15" s="42">
        <v>2.3024474013262142E-5</v>
      </c>
      <c r="EB15" s="42">
        <v>2.8102677061155028E-9</v>
      </c>
      <c r="EC15" s="42">
        <v>2.1446779862460513E-10</v>
      </c>
      <c r="ED15" s="42">
        <v>1.9248854698624834E-3</v>
      </c>
      <c r="EE15" s="42">
        <v>5.1634971379206467E-4</v>
      </c>
      <c r="EF15" s="42">
        <v>8.6280148871965097E-7</v>
      </c>
      <c r="EG15" s="42">
        <v>3.4758574259849674E-9</v>
      </c>
      <c r="EH15" s="42">
        <v>1.4297853241640282E-9</v>
      </c>
      <c r="EI15" s="42">
        <v>7.8884707540085681E-10</v>
      </c>
      <c r="EJ15" s="42">
        <v>5.7785640531072138E-8</v>
      </c>
      <c r="EK15" s="42">
        <v>2.3257612172795673E-7</v>
      </c>
      <c r="EL15" s="42">
        <v>3.4929781267036475E-4</v>
      </c>
      <c r="EM15" s="42">
        <v>7.6671835996952482E-8</v>
      </c>
      <c r="EN15" s="42">
        <v>1.0447691853718818E-8</v>
      </c>
      <c r="EO15" s="42">
        <v>1.4337396900666891E-2</v>
      </c>
      <c r="EP15" s="42">
        <v>7.1910494406941779E-3</v>
      </c>
      <c r="EQ15" s="42">
        <v>3.205745164601855E-4</v>
      </c>
      <c r="ER15" s="42">
        <v>5.3763236957032006E-8</v>
      </c>
      <c r="ES15" s="42">
        <v>1.1836414364937985E-8</v>
      </c>
      <c r="ET15" s="42">
        <v>2.1806070738227508E-7</v>
      </c>
      <c r="EU15" s="42">
        <v>1.998687664134725E-6</v>
      </c>
      <c r="EV15" s="42">
        <v>8.3639456377266839E-6</v>
      </c>
      <c r="EW15" s="42">
        <v>1.4554293134054853E-2</v>
      </c>
      <c r="EX15" s="42">
        <v>3.3009159128877233E-6</v>
      </c>
      <c r="EY15" s="42">
        <v>4.5911266258917289E-7</v>
      </c>
      <c r="EZ15" s="42">
        <v>0.55350558961425267</v>
      </c>
      <c r="FA15" s="42">
        <v>0.29745560143428218</v>
      </c>
      <c r="FB15" s="42">
        <v>1.4345763492937516E-2</v>
      </c>
      <c r="FC15" s="42">
        <v>2.2410390481946206E-6</v>
      </c>
      <c r="FD15" s="42">
        <v>4.6376769396090633E-7</v>
      </c>
      <c r="FE15" s="42">
        <v>9.6826425946688007E-6</v>
      </c>
      <c r="FF15" s="42">
        <v>5.7541309213401214E-7</v>
      </c>
      <c r="FG15" s="42">
        <v>1.9963902020204574E-6</v>
      </c>
      <c r="FH15" s="42">
        <v>1.0270681184852311E-3</v>
      </c>
      <c r="FI15" s="42">
        <v>1.2559247799971173E-7</v>
      </c>
      <c r="FJ15" s="42">
        <v>9.6220781970628208E-9</v>
      </c>
      <c r="FK15" s="42">
        <v>8.5835559779790294E-2</v>
      </c>
      <c r="FL15" s="42">
        <v>2.301093995994985E-2</v>
      </c>
      <c r="FM15" s="42">
        <v>3.871470927998763E-5</v>
      </c>
      <c r="FN15" s="42">
        <v>1.5490034060693802E-7</v>
      </c>
      <c r="FO15" s="42">
        <v>6.3717870604272451E-8</v>
      </c>
      <c r="FP15" s="42">
        <v>3.5154687229942925E-8</v>
      </c>
      <c r="FQ15" s="42">
        <v>2.5741007562687371E-6</v>
      </c>
      <c r="FR15" s="42">
        <v>1.0360335839747141E-5</v>
      </c>
      <c r="FS15" s="42">
        <v>1.5581361252540084E-2</v>
      </c>
      <c r="FT15" s="42">
        <v>3.426508390887435E-6</v>
      </c>
      <c r="FU15" s="42">
        <v>4.6873474078623571E-7</v>
      </c>
      <c r="FV15" s="42">
        <v>0.63934114939404296</v>
      </c>
      <c r="FW15" s="42">
        <v>0.32046654139423203</v>
      </c>
      <c r="FX15" s="42">
        <v>1.4384478202217504E-2</v>
      </c>
      <c r="FY15" s="42">
        <v>2.3959393888015587E-6</v>
      </c>
      <c r="FZ15" s="42">
        <v>5.2748556456517879E-7</v>
      </c>
      <c r="GA15" s="42">
        <v>9.7177972818987436E-6</v>
      </c>
      <c r="GB15" s="42">
        <v>7.9999876179564653E-6</v>
      </c>
      <c r="GC15" s="42">
        <v>1.6878191378563316E-4</v>
      </c>
      <c r="GD15" s="42">
        <v>0.58141490211922331</v>
      </c>
      <c r="GE15" s="42">
        <v>2.7661015166816544E-4</v>
      </c>
      <c r="GF15" s="42">
        <v>6.0278278809320277E-5</v>
      </c>
      <c r="GG15" s="42">
        <v>15.505573484099907</v>
      </c>
      <c r="GH15" s="42">
        <v>9.5182222991753083</v>
      </c>
      <c r="GI15" s="42">
        <v>0.63134987844243362</v>
      </c>
      <c r="GJ15" s="42">
        <v>3.5951779289100273E-5</v>
      </c>
      <c r="GK15" s="42">
        <v>9.3490001890191189E-7</v>
      </c>
      <c r="GL15" s="42">
        <v>4.2616021199063899E-4</v>
      </c>
      <c r="GM15" s="42" t="s">
        <v>455</v>
      </c>
      <c r="GN15" s="42" t="s">
        <v>455</v>
      </c>
      <c r="GO15" s="42" t="s">
        <v>455</v>
      </c>
      <c r="GP15" s="42" t="s">
        <v>455</v>
      </c>
      <c r="GQ15" s="42" t="s">
        <v>455</v>
      </c>
      <c r="GR15" s="42" t="s">
        <v>455</v>
      </c>
      <c r="GS15" s="42" t="s">
        <v>455</v>
      </c>
      <c r="GT15" s="42" t="s">
        <v>455</v>
      </c>
      <c r="GU15" s="42" t="s">
        <v>455</v>
      </c>
      <c r="GV15" s="42" t="s">
        <v>455</v>
      </c>
      <c r="GW15" s="42" t="s">
        <v>455</v>
      </c>
      <c r="GX15" s="42" t="s">
        <v>455</v>
      </c>
      <c r="GY15" s="42" t="s">
        <v>455</v>
      </c>
      <c r="GZ15" s="42" t="s">
        <v>455</v>
      </c>
      <c r="HA15" s="42" t="s">
        <v>455</v>
      </c>
      <c r="HB15" s="42" t="s">
        <v>455</v>
      </c>
      <c r="HC15" s="42" t="s">
        <v>455</v>
      </c>
      <c r="HD15" s="42" t="s">
        <v>455</v>
      </c>
      <c r="HE15" s="42" t="s">
        <v>455</v>
      </c>
      <c r="HF15" s="42" t="s">
        <v>455</v>
      </c>
      <c r="HG15" s="42" t="s">
        <v>455</v>
      </c>
      <c r="HH15" s="42" t="s">
        <v>455</v>
      </c>
      <c r="HI15" s="42" t="s">
        <v>455</v>
      </c>
      <c r="HJ15" s="42" t="s">
        <v>455</v>
      </c>
      <c r="HK15" s="42" t="s">
        <v>455</v>
      </c>
      <c r="HL15" s="42" t="s">
        <v>455</v>
      </c>
      <c r="HM15" s="42" t="s">
        <v>455</v>
      </c>
      <c r="HN15" s="42" t="s">
        <v>455</v>
      </c>
      <c r="HO15" s="42" t="s">
        <v>455</v>
      </c>
      <c r="HP15" s="42" t="s">
        <v>455</v>
      </c>
      <c r="HQ15" s="42" t="s">
        <v>455</v>
      </c>
      <c r="HR15" s="42" t="s">
        <v>455</v>
      </c>
      <c r="HS15" s="42" t="s">
        <v>455</v>
      </c>
      <c r="HT15" s="42" t="s">
        <v>455</v>
      </c>
      <c r="HU15" s="42" t="s">
        <v>455</v>
      </c>
      <c r="HV15" s="42" t="s">
        <v>455</v>
      </c>
      <c r="HW15" s="42" t="s">
        <v>455</v>
      </c>
      <c r="HX15" s="42" t="s">
        <v>455</v>
      </c>
      <c r="HY15" s="42" t="s">
        <v>455</v>
      </c>
      <c r="HZ15" s="42" t="s">
        <v>455</v>
      </c>
      <c r="IA15" s="42" t="s">
        <v>455</v>
      </c>
      <c r="IB15" s="42" t="s">
        <v>455</v>
      </c>
      <c r="IC15" s="42" t="s">
        <v>455</v>
      </c>
      <c r="ID15" s="42" t="s">
        <v>455</v>
      </c>
      <c r="IE15" s="42" t="s">
        <v>455</v>
      </c>
      <c r="IF15" s="42" t="s">
        <v>455</v>
      </c>
      <c r="IG15" s="42" t="s">
        <v>455</v>
      </c>
      <c r="IH15" s="42" t="s">
        <v>455</v>
      </c>
      <c r="II15" s="42" t="s">
        <v>455</v>
      </c>
      <c r="IJ15" s="42" t="s">
        <v>455</v>
      </c>
      <c r="IK15" s="42" t="s">
        <v>455</v>
      </c>
      <c r="IL15" s="42" t="s">
        <v>455</v>
      </c>
      <c r="IM15" s="42" t="s">
        <v>455</v>
      </c>
      <c r="IN15" s="42" t="s">
        <v>455</v>
      </c>
      <c r="IO15" s="42" t="s">
        <v>455</v>
      </c>
      <c r="IP15" s="42" t="s">
        <v>455</v>
      </c>
      <c r="IQ15" s="42" t="s">
        <v>455</v>
      </c>
      <c r="IR15" s="42" t="s">
        <v>455</v>
      </c>
      <c r="IS15" s="42" t="s">
        <v>455</v>
      </c>
      <c r="IT15" s="42" t="s">
        <v>455</v>
      </c>
      <c r="IU15" s="42" t="s">
        <v>455</v>
      </c>
      <c r="IV15" s="42" t="s">
        <v>455</v>
      </c>
      <c r="IW15" s="42" t="s">
        <v>455</v>
      </c>
      <c r="IX15" s="42" t="s">
        <v>455</v>
      </c>
      <c r="IY15" s="42" t="s">
        <v>455</v>
      </c>
      <c r="IZ15" s="42" t="s">
        <v>455</v>
      </c>
      <c r="JA15" s="42" t="s">
        <v>455</v>
      </c>
      <c r="JB15" s="42" t="s">
        <v>455</v>
      </c>
      <c r="JC15" s="42" t="s">
        <v>455</v>
      </c>
      <c r="JD15" s="42" t="s">
        <v>455</v>
      </c>
      <c r="JE15" s="42" t="s">
        <v>455</v>
      </c>
      <c r="JF15" s="42" t="s">
        <v>455</v>
      </c>
      <c r="JG15" s="42" t="s">
        <v>455</v>
      </c>
      <c r="JH15" s="42" t="s">
        <v>455</v>
      </c>
      <c r="JI15" s="42" t="s">
        <v>455</v>
      </c>
      <c r="JJ15" s="42" t="s">
        <v>455</v>
      </c>
      <c r="JK15" s="42" t="s">
        <v>455</v>
      </c>
      <c r="JL15" s="42" t="s">
        <v>455</v>
      </c>
      <c r="JM15" s="42" t="s">
        <v>455</v>
      </c>
    </row>
    <row r="16" spans="1:273">
      <c r="A16" s="42" t="s">
        <v>208</v>
      </c>
      <c r="B16" s="42" t="s">
        <v>209</v>
      </c>
      <c r="C16" s="42" t="s">
        <v>231</v>
      </c>
      <c r="D16" s="60">
        <v>41506</v>
      </c>
      <c r="E16" s="42" t="s">
        <v>232</v>
      </c>
      <c r="F16" s="42">
        <v>0.37143129450000001</v>
      </c>
      <c r="G16" s="42">
        <v>92.073170731707293</v>
      </c>
      <c r="H16" s="42">
        <v>20.090000152599998</v>
      </c>
      <c r="I16" s="42">
        <v>1</v>
      </c>
      <c r="J16" s="42">
        <v>0</v>
      </c>
      <c r="K16" s="42">
        <v>0</v>
      </c>
      <c r="L16" s="42" t="s">
        <v>454</v>
      </c>
      <c r="M16" s="42" t="s">
        <v>614</v>
      </c>
      <c r="N16" s="42">
        <v>5.8231200097761603E-26</v>
      </c>
      <c r="O16" s="61" t="s">
        <v>455</v>
      </c>
      <c r="P16" s="42">
        <v>15.736258067240243</v>
      </c>
      <c r="Q16" s="42">
        <v>0.46250502385526343</v>
      </c>
      <c r="R16" s="42">
        <v>2.1754402125339829</v>
      </c>
      <c r="S16" s="42">
        <v>0.35233286111620277</v>
      </c>
      <c r="T16" s="42" t="s">
        <v>455</v>
      </c>
      <c r="U16" s="42" t="s">
        <v>455</v>
      </c>
      <c r="V16" s="42" t="s">
        <v>456</v>
      </c>
      <c r="W16" s="42" t="s">
        <v>455</v>
      </c>
      <c r="X16" s="42">
        <v>0.3</v>
      </c>
      <c r="Y16" s="42">
        <v>0.2</v>
      </c>
      <c r="Z16" s="42" t="s">
        <v>456</v>
      </c>
      <c r="AA16" s="42" t="s">
        <v>455</v>
      </c>
      <c r="AB16" s="42" t="s">
        <v>456</v>
      </c>
      <c r="AC16" s="42" t="s">
        <v>455</v>
      </c>
      <c r="AD16" s="42" t="s">
        <v>622</v>
      </c>
      <c r="AE16" s="42" t="s">
        <v>104</v>
      </c>
      <c r="AF16" s="42">
        <v>1.699757512045065E-12</v>
      </c>
      <c r="AG16" s="42">
        <v>4</v>
      </c>
      <c r="AH16" s="62">
        <v>42880.56287037037</v>
      </c>
      <c r="AI16" s="42" t="s">
        <v>656</v>
      </c>
      <c r="AJ16" s="63" t="s">
        <v>657</v>
      </c>
      <c r="AK16" s="61" t="s">
        <v>455</v>
      </c>
      <c r="AL16" s="61" t="s">
        <v>455</v>
      </c>
      <c r="AM16" s="61">
        <v>6.0649876504451639E-2</v>
      </c>
      <c r="AN16" s="61" t="s">
        <v>455</v>
      </c>
      <c r="AO16" s="61" t="s">
        <v>455</v>
      </c>
      <c r="AP16" s="61">
        <v>0.15242827858739227</v>
      </c>
      <c r="AQ16" s="61">
        <v>-0.9755233164325513</v>
      </c>
      <c r="AR16" s="61">
        <v>45.164191178850047</v>
      </c>
      <c r="AS16" s="61" t="s">
        <v>455</v>
      </c>
      <c r="AT16" s="61" t="s">
        <v>455</v>
      </c>
      <c r="AU16" s="61" t="s">
        <v>455</v>
      </c>
      <c r="AV16" s="42" t="s">
        <v>455</v>
      </c>
      <c r="AW16" s="42" t="s">
        <v>455</v>
      </c>
      <c r="AX16" s="42" t="s">
        <v>455</v>
      </c>
      <c r="AY16" s="42" t="s">
        <v>455</v>
      </c>
      <c r="AZ16" s="42" t="s">
        <v>455</v>
      </c>
      <c r="BA16" s="42" t="s">
        <v>455</v>
      </c>
      <c r="BB16" s="42" t="s">
        <v>455</v>
      </c>
      <c r="BC16" s="42" t="s">
        <v>455</v>
      </c>
      <c r="BD16" s="42" t="s">
        <v>455</v>
      </c>
      <c r="BE16" s="42" t="s">
        <v>455</v>
      </c>
      <c r="BF16" s="42" t="s">
        <v>455</v>
      </c>
      <c r="BG16" s="42" t="s">
        <v>455</v>
      </c>
      <c r="BH16" s="42" t="s">
        <v>455</v>
      </c>
      <c r="BI16" s="42" t="s">
        <v>455</v>
      </c>
      <c r="BJ16" s="42" t="s">
        <v>455</v>
      </c>
      <c r="BK16" s="42" t="s">
        <v>455</v>
      </c>
      <c r="BL16" s="42" t="s">
        <v>455</v>
      </c>
      <c r="BM16" s="42" t="s">
        <v>455</v>
      </c>
      <c r="BN16" s="42" t="s">
        <v>455</v>
      </c>
      <c r="BO16" s="42" t="s">
        <v>455</v>
      </c>
      <c r="BP16" s="42" t="s">
        <v>455</v>
      </c>
      <c r="BQ16" s="42" t="s">
        <v>455</v>
      </c>
      <c r="BR16" s="42" t="s">
        <v>455</v>
      </c>
      <c r="BS16" s="42" t="s">
        <v>455</v>
      </c>
      <c r="BT16" s="42" t="s">
        <v>455</v>
      </c>
      <c r="BU16" s="42" t="s">
        <v>455</v>
      </c>
      <c r="BV16" s="42" t="s">
        <v>455</v>
      </c>
      <c r="BW16" s="42" t="s">
        <v>455</v>
      </c>
      <c r="BX16" s="42" t="s">
        <v>455</v>
      </c>
      <c r="BY16" s="42" t="s">
        <v>455</v>
      </c>
      <c r="BZ16" s="42" t="s">
        <v>455</v>
      </c>
      <c r="CA16" s="42" t="s">
        <v>455</v>
      </c>
      <c r="CB16" s="42" t="s">
        <v>455</v>
      </c>
      <c r="CC16" s="42" t="s">
        <v>455</v>
      </c>
      <c r="CD16" s="42" t="s">
        <v>455</v>
      </c>
      <c r="CE16" s="42" t="s">
        <v>455</v>
      </c>
      <c r="CF16" s="42" t="s">
        <v>455</v>
      </c>
      <c r="CG16" s="42" t="s">
        <v>455</v>
      </c>
      <c r="CH16" s="42" t="s">
        <v>455</v>
      </c>
      <c r="CI16" s="42" t="s">
        <v>455</v>
      </c>
      <c r="CJ16" s="42" t="s">
        <v>455</v>
      </c>
      <c r="CK16" s="42" t="s">
        <v>455</v>
      </c>
      <c r="CL16" s="42" t="s">
        <v>455</v>
      </c>
      <c r="CM16" s="42" t="s">
        <v>455</v>
      </c>
      <c r="CN16" s="42" t="s">
        <v>455</v>
      </c>
      <c r="CO16" s="42" t="s">
        <v>455</v>
      </c>
      <c r="CP16" s="42" t="s">
        <v>455</v>
      </c>
      <c r="CQ16" s="42" t="s">
        <v>455</v>
      </c>
      <c r="CR16" s="42">
        <v>0.63432553069565001</v>
      </c>
      <c r="CS16" s="42">
        <v>6.3432553069565009E-2</v>
      </c>
      <c r="CT16" s="42" t="s">
        <v>455</v>
      </c>
      <c r="CU16" s="42" t="s">
        <v>455</v>
      </c>
      <c r="CV16" s="42" t="s">
        <v>455</v>
      </c>
      <c r="CW16" s="42" t="s">
        <v>455</v>
      </c>
      <c r="CX16" s="42">
        <v>18.326753672812099</v>
      </c>
      <c r="CY16" s="42">
        <v>1.8326753672812099</v>
      </c>
      <c r="CZ16" s="42">
        <v>0.23967773892000799</v>
      </c>
      <c r="DA16" s="42">
        <v>2.3967773892000801E-2</v>
      </c>
      <c r="DB16" s="42">
        <v>30.555954762211801</v>
      </c>
      <c r="DC16" s="42">
        <v>3.0555954762211801</v>
      </c>
      <c r="DD16" s="42" t="s">
        <v>455</v>
      </c>
      <c r="DE16" s="42" t="s">
        <v>455</v>
      </c>
      <c r="DF16" s="42" t="s">
        <v>455</v>
      </c>
      <c r="DG16" s="42" t="s">
        <v>455</v>
      </c>
      <c r="DH16" s="42" t="s">
        <v>455</v>
      </c>
      <c r="DI16" s="42" t="s">
        <v>455</v>
      </c>
      <c r="DJ16" s="42">
        <v>0.99927473856120286</v>
      </c>
      <c r="DK16" s="42">
        <v>0.98896814903526253</v>
      </c>
      <c r="DL16" s="42">
        <v>1.7623517607846386E-2</v>
      </c>
      <c r="DM16" s="42">
        <v>0.98877024118301959</v>
      </c>
      <c r="DN16" s="42">
        <v>4.4805723365918622E-8</v>
      </c>
      <c r="DO16" s="42">
        <v>1.8903078601935786E-7</v>
      </c>
      <c r="DP16" s="42">
        <v>3.3547522387380476E-4</v>
      </c>
      <c r="DQ16" s="42">
        <v>7.6638281086326463E-8</v>
      </c>
      <c r="DR16" s="42">
        <v>1.0722072077305282E-8</v>
      </c>
      <c r="DS16" s="42">
        <v>1.2725309136800917E-2</v>
      </c>
      <c r="DT16" s="42">
        <v>6.8639781531204128E-3</v>
      </c>
      <c r="DU16" s="42">
        <v>3.3504562703578117E-4</v>
      </c>
      <c r="DV16" s="42">
        <v>5.1861519218806782E-8</v>
      </c>
      <c r="DW16" s="42">
        <v>1.048549244672339E-8</v>
      </c>
      <c r="DX16" s="42">
        <v>2.2834366474536143E-7</v>
      </c>
      <c r="DY16" s="42">
        <v>1.1399306713678072E-8</v>
      </c>
      <c r="DZ16" s="42">
        <v>3.9549503063867823E-8</v>
      </c>
      <c r="EA16" s="42">
        <v>2.0318611585067384E-5</v>
      </c>
      <c r="EB16" s="42">
        <v>2.4800018422887389E-9</v>
      </c>
      <c r="EC16" s="42">
        <v>1.8926329849045705E-10</v>
      </c>
      <c r="ED16" s="42">
        <v>1.9385556120784138E-3</v>
      </c>
      <c r="EE16" s="42">
        <v>4.5566770691736827E-4</v>
      </c>
      <c r="EF16" s="42">
        <v>7.6140407438690791E-7</v>
      </c>
      <c r="EG16" s="42">
        <v>3.0673706996729139E-9</v>
      </c>
      <c r="EH16" s="42">
        <v>1.2617553232697104E-9</v>
      </c>
      <c r="EI16" s="42">
        <v>6.961408680108829E-10</v>
      </c>
      <c r="EJ16" s="42">
        <v>5.6205030079596694E-8</v>
      </c>
      <c r="EK16" s="42">
        <v>2.2858028908322569E-7</v>
      </c>
      <c r="EL16" s="42">
        <v>3.5579383545887214E-4</v>
      </c>
      <c r="EM16" s="42">
        <v>7.9118282928615202E-8</v>
      </c>
      <c r="EN16" s="42">
        <v>1.0911335375795739E-8</v>
      </c>
      <c r="EO16" s="42">
        <v>1.466386474887933E-2</v>
      </c>
      <c r="EP16" s="42">
        <v>7.3196458600377811E-3</v>
      </c>
      <c r="EQ16" s="42">
        <v>3.3580703111016808E-4</v>
      </c>
      <c r="ER16" s="42">
        <v>5.4928889918479696E-8</v>
      </c>
      <c r="ES16" s="42">
        <v>1.1747247769993101E-8</v>
      </c>
      <c r="ET16" s="42">
        <v>2.2903980561337232E-7</v>
      </c>
      <c r="EU16" s="42">
        <v>1.9967064746477992E-6</v>
      </c>
      <c r="EV16" s="42">
        <v>8.4239614759020505E-6</v>
      </c>
      <c r="EW16" s="42">
        <v>1.4970803310334018E-2</v>
      </c>
      <c r="EX16" s="42">
        <v>3.4263901623526834E-6</v>
      </c>
      <c r="EY16" s="42">
        <v>4.8123879735319724E-7</v>
      </c>
      <c r="EZ16" s="42">
        <v>0.5676829013961725</v>
      </c>
      <c r="FA16" s="42">
        <v>0.30601409719145212</v>
      </c>
      <c r="FB16" s="42">
        <v>1.5039873831465546E-2</v>
      </c>
      <c r="FC16" s="42">
        <v>2.3121221584170582E-6</v>
      </c>
      <c r="FD16" s="42">
        <v>4.6747067562170885E-7</v>
      </c>
      <c r="FE16" s="42">
        <v>1.0180157753659678E-5</v>
      </c>
      <c r="FF16" s="42">
        <v>5.079946893349407E-7</v>
      </c>
      <c r="FG16" s="42">
        <v>1.762482700394498E-6</v>
      </c>
      <c r="FH16" s="42">
        <v>9.0673145416408744E-4</v>
      </c>
      <c r="FI16" s="42">
        <v>1.1087740740770275E-7</v>
      </c>
      <c r="FJ16" s="42">
        <v>8.494705267038002E-9</v>
      </c>
      <c r="FK16" s="42">
        <v>8.6487777961162582E-2</v>
      </c>
      <c r="FL16" s="42">
        <v>2.031485806641542E-2</v>
      </c>
      <c r="FM16" s="42">
        <v>3.4178691764629246E-5</v>
      </c>
      <c r="FN16" s="42">
        <v>1.367514077802242E-7</v>
      </c>
      <c r="FO16" s="42">
        <v>5.6252352136546105E-8</v>
      </c>
      <c r="FP16" s="42">
        <v>3.1035780489128476E-8</v>
      </c>
      <c r="FQ16" s="42">
        <v>2.5047011639827399E-6</v>
      </c>
      <c r="FR16" s="42">
        <v>1.0186444176296549E-5</v>
      </c>
      <c r="FS16" s="42">
        <v>1.5877534764498106E-2</v>
      </c>
      <c r="FT16" s="42">
        <v>3.5372675697603861E-6</v>
      </c>
      <c r="FU16" s="42">
        <v>4.8973350262023525E-7</v>
      </c>
      <c r="FV16" s="42">
        <v>0.65417067935733508</v>
      </c>
      <c r="FW16" s="42">
        <v>0.32632895525786754</v>
      </c>
      <c r="FX16" s="42">
        <v>1.5074052523230175E-2</v>
      </c>
      <c r="FY16" s="42">
        <v>2.4488735661972824E-6</v>
      </c>
      <c r="FZ16" s="42">
        <v>5.2372302775825495E-7</v>
      </c>
      <c r="GA16" s="42">
        <v>1.0211193534148806E-5</v>
      </c>
      <c r="GB16" s="42">
        <v>7.9920576688960688E-6</v>
      </c>
      <c r="GC16" s="42">
        <v>1.6999301539526062E-4</v>
      </c>
      <c r="GD16" s="42">
        <v>0.5980536506412234</v>
      </c>
      <c r="GE16" s="42">
        <v>2.8712464282483019E-4</v>
      </c>
      <c r="GF16" s="42">
        <v>6.3183285420893336E-5</v>
      </c>
      <c r="GG16" s="42">
        <v>15.902728189971539</v>
      </c>
      <c r="GH16" s="42">
        <v>9.7920838932098384</v>
      </c>
      <c r="GI16" s="42">
        <v>0.66189732738588303</v>
      </c>
      <c r="GJ16" s="42">
        <v>3.7092127241519319E-5</v>
      </c>
      <c r="GK16" s="42">
        <v>9.4236478557229053E-7</v>
      </c>
      <c r="GL16" s="42">
        <v>4.4805724718027264E-4</v>
      </c>
      <c r="GM16" s="42" t="s">
        <v>455</v>
      </c>
      <c r="GN16" s="42" t="s">
        <v>455</v>
      </c>
      <c r="GO16" s="42" t="s">
        <v>455</v>
      </c>
      <c r="GP16" s="42" t="s">
        <v>455</v>
      </c>
      <c r="GQ16" s="42" t="s">
        <v>455</v>
      </c>
      <c r="GR16" s="42" t="s">
        <v>455</v>
      </c>
      <c r="GS16" s="42" t="s">
        <v>455</v>
      </c>
      <c r="GT16" s="42" t="s">
        <v>455</v>
      </c>
      <c r="GU16" s="42" t="s">
        <v>455</v>
      </c>
      <c r="GV16" s="42" t="s">
        <v>455</v>
      </c>
      <c r="GW16" s="42" t="s">
        <v>455</v>
      </c>
      <c r="GX16" s="42" t="s">
        <v>455</v>
      </c>
      <c r="GY16" s="42" t="s">
        <v>455</v>
      </c>
      <c r="GZ16" s="42" t="s">
        <v>455</v>
      </c>
      <c r="HA16" s="42" t="s">
        <v>455</v>
      </c>
      <c r="HB16" s="42" t="s">
        <v>455</v>
      </c>
      <c r="HC16" s="42" t="s">
        <v>455</v>
      </c>
      <c r="HD16" s="42" t="s">
        <v>455</v>
      </c>
      <c r="HE16" s="42" t="s">
        <v>455</v>
      </c>
      <c r="HF16" s="42" t="s">
        <v>455</v>
      </c>
      <c r="HG16" s="42" t="s">
        <v>455</v>
      </c>
      <c r="HH16" s="42" t="s">
        <v>455</v>
      </c>
      <c r="HI16" s="42" t="s">
        <v>455</v>
      </c>
      <c r="HJ16" s="42" t="s">
        <v>455</v>
      </c>
      <c r="HK16" s="42" t="s">
        <v>455</v>
      </c>
      <c r="HL16" s="42" t="s">
        <v>455</v>
      </c>
      <c r="HM16" s="42" t="s">
        <v>455</v>
      </c>
      <c r="HN16" s="42" t="s">
        <v>455</v>
      </c>
      <c r="HO16" s="42" t="s">
        <v>455</v>
      </c>
      <c r="HP16" s="42" t="s">
        <v>455</v>
      </c>
      <c r="HQ16" s="42" t="s">
        <v>455</v>
      </c>
      <c r="HR16" s="42" t="s">
        <v>455</v>
      </c>
      <c r="HS16" s="42" t="s">
        <v>455</v>
      </c>
      <c r="HT16" s="42" t="s">
        <v>455</v>
      </c>
      <c r="HU16" s="42" t="s">
        <v>455</v>
      </c>
      <c r="HV16" s="42" t="s">
        <v>455</v>
      </c>
      <c r="HW16" s="42" t="s">
        <v>455</v>
      </c>
      <c r="HX16" s="42" t="s">
        <v>455</v>
      </c>
      <c r="HY16" s="42" t="s">
        <v>455</v>
      </c>
      <c r="HZ16" s="42" t="s">
        <v>455</v>
      </c>
      <c r="IA16" s="42" t="s">
        <v>455</v>
      </c>
      <c r="IB16" s="42" t="s">
        <v>455</v>
      </c>
      <c r="IC16" s="42" t="s">
        <v>455</v>
      </c>
      <c r="ID16" s="42" t="s">
        <v>455</v>
      </c>
      <c r="IE16" s="42" t="s">
        <v>455</v>
      </c>
      <c r="IF16" s="42" t="s">
        <v>455</v>
      </c>
      <c r="IG16" s="42" t="s">
        <v>455</v>
      </c>
      <c r="IH16" s="42" t="s">
        <v>455</v>
      </c>
      <c r="II16" s="42" t="s">
        <v>455</v>
      </c>
      <c r="IJ16" s="42" t="s">
        <v>455</v>
      </c>
      <c r="IK16" s="42" t="s">
        <v>455</v>
      </c>
      <c r="IL16" s="42" t="s">
        <v>455</v>
      </c>
      <c r="IM16" s="42" t="s">
        <v>455</v>
      </c>
      <c r="IN16" s="42" t="s">
        <v>455</v>
      </c>
      <c r="IO16" s="42" t="s">
        <v>455</v>
      </c>
      <c r="IP16" s="42" t="s">
        <v>455</v>
      </c>
      <c r="IQ16" s="42" t="s">
        <v>455</v>
      </c>
      <c r="IR16" s="42" t="s">
        <v>455</v>
      </c>
      <c r="IS16" s="42" t="s">
        <v>455</v>
      </c>
      <c r="IT16" s="42" t="s">
        <v>455</v>
      </c>
      <c r="IU16" s="42" t="s">
        <v>455</v>
      </c>
      <c r="IV16" s="42" t="s">
        <v>455</v>
      </c>
      <c r="IW16" s="42" t="s">
        <v>455</v>
      </c>
      <c r="IX16" s="42" t="s">
        <v>455</v>
      </c>
      <c r="IY16" s="42" t="s">
        <v>455</v>
      </c>
      <c r="IZ16" s="42" t="s">
        <v>455</v>
      </c>
      <c r="JA16" s="42" t="s">
        <v>455</v>
      </c>
      <c r="JB16" s="42" t="s">
        <v>455</v>
      </c>
      <c r="JC16" s="42" t="s">
        <v>455</v>
      </c>
      <c r="JD16" s="42" t="s">
        <v>455</v>
      </c>
      <c r="JE16" s="42" t="s">
        <v>455</v>
      </c>
      <c r="JF16" s="42" t="s">
        <v>455</v>
      </c>
      <c r="JG16" s="42" t="s">
        <v>455</v>
      </c>
      <c r="JH16" s="42" t="s">
        <v>455</v>
      </c>
      <c r="JI16" s="42" t="s">
        <v>455</v>
      </c>
      <c r="JJ16" s="42" t="s">
        <v>455</v>
      </c>
      <c r="JK16" s="42" t="s">
        <v>455</v>
      </c>
      <c r="JL16" s="42" t="s">
        <v>455</v>
      </c>
      <c r="JM16" s="42" t="s">
        <v>455</v>
      </c>
    </row>
    <row r="17" spans="1:273">
      <c r="A17" s="42" t="s">
        <v>208</v>
      </c>
      <c r="B17" s="42" t="s">
        <v>209</v>
      </c>
      <c r="C17" s="42" t="s">
        <v>231</v>
      </c>
      <c r="D17" s="60">
        <v>41506</v>
      </c>
      <c r="E17" s="42" t="s">
        <v>233</v>
      </c>
      <c r="F17" s="42">
        <v>0.37143129450000001</v>
      </c>
      <c r="G17" s="42">
        <v>92.073170731707293</v>
      </c>
      <c r="H17" s="42">
        <v>20.090000152599998</v>
      </c>
      <c r="I17" s="42">
        <v>1</v>
      </c>
      <c r="J17" s="42">
        <v>0</v>
      </c>
      <c r="K17" s="42">
        <v>0</v>
      </c>
      <c r="L17" s="42" t="s">
        <v>454</v>
      </c>
      <c r="M17" s="42" t="s">
        <v>614</v>
      </c>
      <c r="N17" s="42">
        <v>5.1735921856994736E-26</v>
      </c>
      <c r="O17" s="61" t="s">
        <v>455</v>
      </c>
      <c r="P17" s="42">
        <v>15.466006541588428</v>
      </c>
      <c r="Q17" s="42">
        <v>0.45790256850846561</v>
      </c>
      <c r="R17" s="42">
        <v>2.1894303529963581</v>
      </c>
      <c r="S17" s="42">
        <v>0.35232590602605801</v>
      </c>
      <c r="T17" s="42" t="s">
        <v>455</v>
      </c>
      <c r="U17" s="42" t="s">
        <v>455</v>
      </c>
      <c r="V17" s="42" t="s">
        <v>456</v>
      </c>
      <c r="W17" s="42" t="s">
        <v>455</v>
      </c>
      <c r="X17" s="42">
        <v>0.3</v>
      </c>
      <c r="Y17" s="42">
        <v>0.2</v>
      </c>
      <c r="Z17" s="42" t="s">
        <v>456</v>
      </c>
      <c r="AA17" s="42" t="s">
        <v>455</v>
      </c>
      <c r="AB17" s="42" t="s">
        <v>456</v>
      </c>
      <c r="AC17" s="42" t="s">
        <v>455</v>
      </c>
      <c r="AD17" s="42" t="s">
        <v>622</v>
      </c>
      <c r="AE17" s="42" t="s">
        <v>104</v>
      </c>
      <c r="AF17" s="42">
        <v>3.1350431467533805E-12</v>
      </c>
      <c r="AG17" s="42">
        <v>4</v>
      </c>
      <c r="AH17" s="62">
        <v>42880.56287037037</v>
      </c>
      <c r="AI17" s="42" t="s">
        <v>656</v>
      </c>
      <c r="AJ17" s="63" t="s">
        <v>655</v>
      </c>
      <c r="AK17" s="61" t="s">
        <v>455</v>
      </c>
      <c r="AL17" s="61" t="s">
        <v>455</v>
      </c>
      <c r="AM17" s="61">
        <v>6.0692031365323196E-2</v>
      </c>
      <c r="AN17" s="61" t="s">
        <v>455</v>
      </c>
      <c r="AO17" s="61" t="s">
        <v>455</v>
      </c>
      <c r="AP17" s="61">
        <v>0.15248313610352149</v>
      </c>
      <c r="AQ17" s="61">
        <v>-0.97552001795357002</v>
      </c>
      <c r="AR17" s="61">
        <v>44.945039086667499</v>
      </c>
      <c r="AS17" s="61" t="s">
        <v>455</v>
      </c>
      <c r="AT17" s="61" t="s">
        <v>455</v>
      </c>
      <c r="AU17" s="61" t="s">
        <v>455</v>
      </c>
      <c r="AV17" s="42" t="s">
        <v>455</v>
      </c>
      <c r="AW17" s="42" t="s">
        <v>455</v>
      </c>
      <c r="AX17" s="42" t="s">
        <v>455</v>
      </c>
      <c r="AY17" s="42" t="s">
        <v>455</v>
      </c>
      <c r="AZ17" s="42" t="s">
        <v>455</v>
      </c>
      <c r="BA17" s="42" t="s">
        <v>455</v>
      </c>
      <c r="BB17" s="42" t="s">
        <v>455</v>
      </c>
      <c r="BC17" s="42" t="s">
        <v>455</v>
      </c>
      <c r="BD17" s="42" t="s">
        <v>455</v>
      </c>
      <c r="BE17" s="42" t="s">
        <v>455</v>
      </c>
      <c r="BF17" s="42" t="s">
        <v>455</v>
      </c>
      <c r="BG17" s="42" t="s">
        <v>455</v>
      </c>
      <c r="BH17" s="42" t="s">
        <v>455</v>
      </c>
      <c r="BI17" s="42" t="s">
        <v>455</v>
      </c>
      <c r="BJ17" s="42" t="s">
        <v>455</v>
      </c>
      <c r="BK17" s="42" t="s">
        <v>455</v>
      </c>
      <c r="BL17" s="42" t="s">
        <v>455</v>
      </c>
      <c r="BM17" s="42" t="s">
        <v>455</v>
      </c>
      <c r="BN17" s="42" t="s">
        <v>455</v>
      </c>
      <c r="BO17" s="42" t="s">
        <v>455</v>
      </c>
      <c r="BP17" s="42" t="s">
        <v>455</v>
      </c>
      <c r="BQ17" s="42" t="s">
        <v>455</v>
      </c>
      <c r="BR17" s="42" t="s">
        <v>455</v>
      </c>
      <c r="BS17" s="42" t="s">
        <v>455</v>
      </c>
      <c r="BT17" s="42" t="s">
        <v>455</v>
      </c>
      <c r="BU17" s="42" t="s">
        <v>455</v>
      </c>
      <c r="BV17" s="42" t="s">
        <v>455</v>
      </c>
      <c r="BW17" s="42" t="s">
        <v>455</v>
      </c>
      <c r="BX17" s="42" t="s">
        <v>455</v>
      </c>
      <c r="BY17" s="42" t="s">
        <v>455</v>
      </c>
      <c r="BZ17" s="42" t="s">
        <v>455</v>
      </c>
      <c r="CA17" s="42" t="s">
        <v>455</v>
      </c>
      <c r="CB17" s="42" t="s">
        <v>455</v>
      </c>
      <c r="CC17" s="42" t="s">
        <v>455</v>
      </c>
      <c r="CD17" s="42" t="s">
        <v>455</v>
      </c>
      <c r="CE17" s="42" t="s">
        <v>455</v>
      </c>
      <c r="CF17" s="42" t="s">
        <v>455</v>
      </c>
      <c r="CG17" s="42" t="s">
        <v>455</v>
      </c>
      <c r="CH17" s="42" t="s">
        <v>455</v>
      </c>
      <c r="CI17" s="42" t="s">
        <v>455</v>
      </c>
      <c r="CJ17" s="42" t="s">
        <v>455</v>
      </c>
      <c r="CK17" s="42" t="s">
        <v>455</v>
      </c>
      <c r="CL17" s="42" t="s">
        <v>455</v>
      </c>
      <c r="CM17" s="42" t="s">
        <v>455</v>
      </c>
      <c r="CN17" s="42" t="s">
        <v>455</v>
      </c>
      <c r="CO17" s="42" t="s">
        <v>455</v>
      </c>
      <c r="CP17" s="42" t="s">
        <v>455</v>
      </c>
      <c r="CQ17" s="42" t="s">
        <v>455</v>
      </c>
      <c r="CR17" s="42">
        <v>0.63800339267051098</v>
      </c>
      <c r="CS17" s="42">
        <v>6.3800339267051101E-2</v>
      </c>
      <c r="CT17" s="42" t="s">
        <v>455</v>
      </c>
      <c r="CU17" s="42" t="s">
        <v>455</v>
      </c>
      <c r="CV17" s="42" t="s">
        <v>455</v>
      </c>
      <c r="CW17" s="42" t="s">
        <v>455</v>
      </c>
      <c r="CX17" s="42">
        <v>18.424854836301702</v>
      </c>
      <c r="CY17" s="42">
        <v>1.8424854836301703</v>
      </c>
      <c r="CZ17" s="42">
        <v>0.24109759478874701</v>
      </c>
      <c r="DA17" s="42">
        <v>2.4109759478874702E-2</v>
      </c>
      <c r="DB17" s="42">
        <v>30.6782180131869</v>
      </c>
      <c r="DC17" s="42">
        <v>3.06782180131869</v>
      </c>
      <c r="DD17" s="42" t="s">
        <v>455</v>
      </c>
      <c r="DE17" s="42" t="s">
        <v>455</v>
      </c>
      <c r="DF17" s="42" t="s">
        <v>455</v>
      </c>
      <c r="DG17" s="42" t="s">
        <v>455</v>
      </c>
      <c r="DH17" s="42" t="s">
        <v>455</v>
      </c>
      <c r="DI17" s="42" t="s">
        <v>455</v>
      </c>
      <c r="DJ17" s="42">
        <v>0.99931760139831627</v>
      </c>
      <c r="DK17" s="42">
        <v>0.98896814903526253</v>
      </c>
      <c r="DL17" s="42">
        <v>1.7320825060967073E-2</v>
      </c>
      <c r="DM17" s="42">
        <v>0.98877370026140843</v>
      </c>
      <c r="DN17" s="42">
        <v>4.4849218935191366E-8</v>
      </c>
      <c r="DO17" s="42">
        <v>1.8946350279555566E-7</v>
      </c>
      <c r="DP17" s="42">
        <v>3.3739244960497575E-4</v>
      </c>
      <c r="DQ17" s="42">
        <v>7.7188807283317531E-8</v>
      </c>
      <c r="DR17" s="42">
        <v>1.0815769072325203E-8</v>
      </c>
      <c r="DS17" s="42">
        <v>1.279226869294159E-2</v>
      </c>
      <c r="DT17" s="42">
        <v>6.9034140423054838E-3</v>
      </c>
      <c r="DU17" s="42">
        <v>3.3797626509601635E-4</v>
      </c>
      <c r="DV17" s="42">
        <v>5.2184108630448986E-8</v>
      </c>
      <c r="DW17" s="42">
        <v>1.0510872826035715E-8</v>
      </c>
      <c r="DX17" s="42">
        <v>2.304503356095702E-7</v>
      </c>
      <c r="DY17" s="42">
        <v>1.1472615049700915E-8</v>
      </c>
      <c r="DZ17" s="42">
        <v>3.980384381747379E-8</v>
      </c>
      <c r="EA17" s="42">
        <v>2.044927949698596E-5</v>
      </c>
      <c r="EB17" s="42">
        <v>2.4959506024158426E-9</v>
      </c>
      <c r="EC17" s="42">
        <v>1.9048044071068281E-10</v>
      </c>
      <c r="ED17" s="42">
        <v>1.9494796733570546E-3</v>
      </c>
      <c r="EE17" s="42">
        <v>4.5859808173861691E-4</v>
      </c>
      <c r="EF17" s="42">
        <v>7.6630062354870456E-7</v>
      </c>
      <c r="EG17" s="42">
        <v>3.0870967977248671E-9</v>
      </c>
      <c r="EH17" s="42">
        <v>1.2698696047378876E-9</v>
      </c>
      <c r="EI17" s="42">
        <v>7.0061771295884277E-10</v>
      </c>
      <c r="EJ17" s="42">
        <v>5.632183398489228E-8</v>
      </c>
      <c r="EK17" s="42">
        <v>2.2926734661302945E-7</v>
      </c>
      <c r="EL17" s="42">
        <v>3.5784172910196171E-4</v>
      </c>
      <c r="EM17" s="42">
        <v>7.9684757885733374E-8</v>
      </c>
      <c r="EN17" s="42">
        <v>1.1006249513035886E-8</v>
      </c>
      <c r="EO17" s="42">
        <v>1.4741748366298645E-2</v>
      </c>
      <c r="EP17" s="42">
        <v>7.3620121240441008E-3</v>
      </c>
      <c r="EQ17" s="42">
        <v>3.3874256571956506E-4</v>
      </c>
      <c r="ER17" s="42">
        <v>5.5271205428173853E-8</v>
      </c>
      <c r="ES17" s="42">
        <v>1.1780742430773602E-8</v>
      </c>
      <c r="ET17" s="42">
        <v>2.3115095332252904E-7</v>
      </c>
      <c r="EU17" s="42">
        <v>1.9987305256397243E-6</v>
      </c>
      <c r="EV17" s="42">
        <v>8.4436072156016563E-6</v>
      </c>
      <c r="EW17" s="42">
        <v>1.5057006600868093E-2</v>
      </c>
      <c r="EX17" s="42">
        <v>3.4511514443824821E-6</v>
      </c>
      <c r="EY17" s="42">
        <v>4.8546502251546625E-7</v>
      </c>
      <c r="EZ17" s="42">
        <v>0.57069448158516123</v>
      </c>
      <c r="FA17" s="42">
        <v>0.30778545383314759</v>
      </c>
      <c r="FB17" s="42">
        <v>1.5172078099156038E-2</v>
      </c>
      <c r="FC17" s="42">
        <v>2.326603830984628E-6</v>
      </c>
      <c r="FD17" s="42">
        <v>4.6862229950552117E-7</v>
      </c>
      <c r="FE17" s="42">
        <v>1.0274519346069093E-5</v>
      </c>
      <c r="FF17" s="42">
        <v>5.1128350622753356E-7</v>
      </c>
      <c r="FG17" s="42">
        <v>1.7738932190468648E-6</v>
      </c>
      <c r="FH17" s="42">
        <v>9.1260173939759076E-4</v>
      </c>
      <c r="FI17" s="42">
        <v>1.1159524068065832E-7</v>
      </c>
      <c r="FJ17" s="42">
        <v>8.5497009801160946E-9</v>
      </c>
      <c r="FK17" s="42">
        <v>8.6978377571856114E-2</v>
      </c>
      <c r="FL17" s="42">
        <v>2.0446378827915779E-2</v>
      </c>
      <c r="FM17" s="42">
        <v>3.439996860315174E-5</v>
      </c>
      <c r="FN17" s="42">
        <v>1.3763675235062175E-7</v>
      </c>
      <c r="FO17" s="42">
        <v>5.6616536427915295E-8</v>
      </c>
      <c r="FP17" s="42">
        <v>3.1236709753332343E-8</v>
      </c>
      <c r="FQ17" s="42">
        <v>2.5100140318672578E-6</v>
      </c>
      <c r="FR17" s="42">
        <v>1.0217500434648521E-5</v>
      </c>
      <c r="FS17" s="42">
        <v>1.5969608340265683E-2</v>
      </c>
      <c r="FT17" s="42">
        <v>3.5627466850631404E-6</v>
      </c>
      <c r="FU17" s="42">
        <v>4.9401472349558235E-7</v>
      </c>
      <c r="FV17" s="42">
        <v>0.65767285915701734</v>
      </c>
      <c r="FW17" s="42">
        <v>0.32823183266106337</v>
      </c>
      <c r="FX17" s="42">
        <v>1.520647806775919E-2</v>
      </c>
      <c r="FY17" s="42">
        <v>2.4642405833352497E-6</v>
      </c>
      <c r="FZ17" s="42">
        <v>5.2523883593343647E-7</v>
      </c>
      <c r="GA17" s="42">
        <v>1.0305756055822426E-5</v>
      </c>
      <c r="GB17" s="42">
        <v>8.0001591762821791E-6</v>
      </c>
      <c r="GC17" s="42">
        <v>1.7038946052867676E-4</v>
      </c>
      <c r="GD17" s="42">
        <v>0.60149729969147858</v>
      </c>
      <c r="GE17" s="42">
        <v>2.8919958873636323E-4</v>
      </c>
      <c r="GF17" s="42">
        <v>6.3738159201123115E-5</v>
      </c>
      <c r="GG17" s="42">
        <v>15.987092790437757</v>
      </c>
      <c r="GH17" s="42">
        <v>9.8487651801161231</v>
      </c>
      <c r="GI17" s="42">
        <v>0.66771557110480773</v>
      </c>
      <c r="GJ17" s="42">
        <v>3.7324448894417653E-5</v>
      </c>
      <c r="GK17" s="42">
        <v>9.4468632112719012E-7</v>
      </c>
      <c r="GL17" s="42">
        <v>4.522103650746698E-4</v>
      </c>
      <c r="GM17" s="42" t="s">
        <v>455</v>
      </c>
      <c r="GN17" s="42" t="s">
        <v>455</v>
      </c>
      <c r="GO17" s="42" t="s">
        <v>455</v>
      </c>
      <c r="GP17" s="42" t="s">
        <v>455</v>
      </c>
      <c r="GQ17" s="42" t="s">
        <v>455</v>
      </c>
      <c r="GR17" s="42" t="s">
        <v>455</v>
      </c>
      <c r="GS17" s="42" t="s">
        <v>455</v>
      </c>
      <c r="GT17" s="42" t="s">
        <v>455</v>
      </c>
      <c r="GU17" s="42" t="s">
        <v>455</v>
      </c>
      <c r="GV17" s="42" t="s">
        <v>455</v>
      </c>
      <c r="GW17" s="42" t="s">
        <v>455</v>
      </c>
      <c r="GX17" s="42" t="s">
        <v>455</v>
      </c>
      <c r="GY17" s="42" t="s">
        <v>455</v>
      </c>
      <c r="GZ17" s="42" t="s">
        <v>455</v>
      </c>
      <c r="HA17" s="42" t="s">
        <v>455</v>
      </c>
      <c r="HB17" s="42" t="s">
        <v>455</v>
      </c>
      <c r="HC17" s="42" t="s">
        <v>455</v>
      </c>
      <c r="HD17" s="42" t="s">
        <v>455</v>
      </c>
      <c r="HE17" s="42" t="s">
        <v>455</v>
      </c>
      <c r="HF17" s="42" t="s">
        <v>455</v>
      </c>
      <c r="HG17" s="42" t="s">
        <v>455</v>
      </c>
      <c r="HH17" s="42" t="s">
        <v>455</v>
      </c>
      <c r="HI17" s="42" t="s">
        <v>455</v>
      </c>
      <c r="HJ17" s="42" t="s">
        <v>455</v>
      </c>
      <c r="HK17" s="42" t="s">
        <v>455</v>
      </c>
      <c r="HL17" s="42" t="s">
        <v>455</v>
      </c>
      <c r="HM17" s="42" t="s">
        <v>455</v>
      </c>
      <c r="HN17" s="42" t="s">
        <v>455</v>
      </c>
      <c r="HO17" s="42" t="s">
        <v>455</v>
      </c>
      <c r="HP17" s="42" t="s">
        <v>455</v>
      </c>
      <c r="HQ17" s="42" t="s">
        <v>455</v>
      </c>
      <c r="HR17" s="42" t="s">
        <v>455</v>
      </c>
      <c r="HS17" s="42" t="s">
        <v>455</v>
      </c>
      <c r="HT17" s="42" t="s">
        <v>455</v>
      </c>
      <c r="HU17" s="42" t="s">
        <v>455</v>
      </c>
      <c r="HV17" s="42" t="s">
        <v>455</v>
      </c>
      <c r="HW17" s="42" t="s">
        <v>455</v>
      </c>
      <c r="HX17" s="42" t="s">
        <v>455</v>
      </c>
      <c r="HY17" s="42" t="s">
        <v>455</v>
      </c>
      <c r="HZ17" s="42" t="s">
        <v>455</v>
      </c>
      <c r="IA17" s="42" t="s">
        <v>455</v>
      </c>
      <c r="IB17" s="42" t="s">
        <v>455</v>
      </c>
      <c r="IC17" s="42" t="s">
        <v>455</v>
      </c>
      <c r="ID17" s="42" t="s">
        <v>455</v>
      </c>
      <c r="IE17" s="42" t="s">
        <v>455</v>
      </c>
      <c r="IF17" s="42" t="s">
        <v>455</v>
      </c>
      <c r="IG17" s="42" t="s">
        <v>455</v>
      </c>
      <c r="IH17" s="42" t="s">
        <v>455</v>
      </c>
      <c r="II17" s="42" t="s">
        <v>455</v>
      </c>
      <c r="IJ17" s="42" t="s">
        <v>455</v>
      </c>
      <c r="IK17" s="42" t="s">
        <v>455</v>
      </c>
      <c r="IL17" s="42" t="s">
        <v>455</v>
      </c>
      <c r="IM17" s="42" t="s">
        <v>455</v>
      </c>
      <c r="IN17" s="42" t="s">
        <v>455</v>
      </c>
      <c r="IO17" s="42" t="s">
        <v>455</v>
      </c>
      <c r="IP17" s="42" t="s">
        <v>455</v>
      </c>
      <c r="IQ17" s="42" t="s">
        <v>455</v>
      </c>
      <c r="IR17" s="42" t="s">
        <v>455</v>
      </c>
      <c r="IS17" s="42" t="s">
        <v>455</v>
      </c>
      <c r="IT17" s="42" t="s">
        <v>455</v>
      </c>
      <c r="IU17" s="42" t="s">
        <v>455</v>
      </c>
      <c r="IV17" s="42" t="s">
        <v>455</v>
      </c>
      <c r="IW17" s="42" t="s">
        <v>455</v>
      </c>
      <c r="IX17" s="42" t="s">
        <v>455</v>
      </c>
      <c r="IY17" s="42" t="s">
        <v>455</v>
      </c>
      <c r="IZ17" s="42" t="s">
        <v>455</v>
      </c>
      <c r="JA17" s="42" t="s">
        <v>455</v>
      </c>
      <c r="JB17" s="42" t="s">
        <v>455</v>
      </c>
      <c r="JC17" s="42" t="s">
        <v>455</v>
      </c>
      <c r="JD17" s="42" t="s">
        <v>455</v>
      </c>
      <c r="JE17" s="42" t="s">
        <v>455</v>
      </c>
      <c r="JF17" s="42" t="s">
        <v>455</v>
      </c>
      <c r="JG17" s="42" t="s">
        <v>455</v>
      </c>
      <c r="JH17" s="42" t="s">
        <v>455</v>
      </c>
      <c r="JI17" s="42" t="s">
        <v>455</v>
      </c>
      <c r="JJ17" s="42" t="s">
        <v>455</v>
      </c>
      <c r="JK17" s="42" t="s">
        <v>455</v>
      </c>
      <c r="JL17" s="42" t="s">
        <v>455</v>
      </c>
      <c r="JM17" s="42" t="s">
        <v>455</v>
      </c>
    </row>
    <row r="18" spans="1:273">
      <c r="A18" s="42" t="s">
        <v>208</v>
      </c>
      <c r="B18" s="42" t="s">
        <v>209</v>
      </c>
      <c r="C18" s="42" t="s">
        <v>234</v>
      </c>
      <c r="D18" s="60">
        <v>41507</v>
      </c>
      <c r="E18" s="42" t="s">
        <v>236</v>
      </c>
      <c r="F18" s="42">
        <v>0.31770079722</v>
      </c>
      <c r="G18" s="42">
        <v>50.304878048780402</v>
      </c>
      <c r="H18" s="42">
        <v>19.7000007629</v>
      </c>
      <c r="I18" s="42">
        <v>1</v>
      </c>
      <c r="J18" s="42">
        <v>0</v>
      </c>
      <c r="K18" s="42">
        <v>0</v>
      </c>
      <c r="L18" s="42" t="s">
        <v>454</v>
      </c>
      <c r="M18" s="42" t="s">
        <v>614</v>
      </c>
      <c r="N18" s="42">
        <v>5.5991997709386712E-26</v>
      </c>
      <c r="O18" s="61" t="s">
        <v>455</v>
      </c>
      <c r="P18" s="42">
        <v>13.001063030108252</v>
      </c>
      <c r="Q18" s="42">
        <v>0.29345512718208178</v>
      </c>
      <c r="R18" s="42">
        <v>1.9093869861557107</v>
      </c>
      <c r="S18" s="42">
        <v>0.24909101609909948</v>
      </c>
      <c r="T18" s="42" t="s">
        <v>455</v>
      </c>
      <c r="U18" s="42" t="s">
        <v>455</v>
      </c>
      <c r="V18" s="42" t="s">
        <v>456</v>
      </c>
      <c r="W18" s="42" t="s">
        <v>455</v>
      </c>
      <c r="X18" s="42">
        <v>0.2</v>
      </c>
      <c r="Y18" s="42">
        <v>0.14142135623730953</v>
      </c>
      <c r="Z18" s="42" t="s">
        <v>456</v>
      </c>
      <c r="AA18" s="42" t="s">
        <v>455</v>
      </c>
      <c r="AB18" s="42" t="s">
        <v>456</v>
      </c>
      <c r="AC18" s="42" t="s">
        <v>455</v>
      </c>
      <c r="AD18" s="42" t="s">
        <v>622</v>
      </c>
      <c r="AE18" s="42" t="s">
        <v>123</v>
      </c>
      <c r="AF18" s="42">
        <v>2.8029078305408312E-5</v>
      </c>
      <c r="AG18" s="42">
        <v>16</v>
      </c>
      <c r="AH18" s="62">
        <v>42880.56287037037</v>
      </c>
      <c r="AI18" s="42" t="s">
        <v>653</v>
      </c>
      <c r="AJ18" s="63" t="s">
        <v>654</v>
      </c>
      <c r="AK18" s="61" t="s">
        <v>455</v>
      </c>
      <c r="AL18" s="61" t="s">
        <v>455</v>
      </c>
      <c r="AM18" s="61">
        <v>4.9882007564345798E-2</v>
      </c>
      <c r="AN18" s="61" t="s">
        <v>455</v>
      </c>
      <c r="AO18" s="61" t="s">
        <v>455</v>
      </c>
      <c r="AP18" s="61">
        <v>0.12222916933972194</v>
      </c>
      <c r="AQ18" s="61">
        <v>-0.9772121759359037</v>
      </c>
      <c r="AR18" s="61">
        <v>10.632387956099008</v>
      </c>
      <c r="AS18" s="61" t="s">
        <v>455</v>
      </c>
      <c r="AT18" s="61" t="s">
        <v>455</v>
      </c>
      <c r="AU18" s="61" t="s">
        <v>455</v>
      </c>
      <c r="AV18" s="42" t="s">
        <v>455</v>
      </c>
      <c r="AW18" s="42" t="s">
        <v>455</v>
      </c>
      <c r="AX18" s="42" t="s">
        <v>455</v>
      </c>
      <c r="AY18" s="42" t="s">
        <v>455</v>
      </c>
      <c r="AZ18" s="42" t="s">
        <v>455</v>
      </c>
      <c r="BA18" s="42" t="s">
        <v>455</v>
      </c>
      <c r="BB18" s="42" t="s">
        <v>455</v>
      </c>
      <c r="BC18" s="42" t="s">
        <v>455</v>
      </c>
      <c r="BD18" s="42" t="s">
        <v>455</v>
      </c>
      <c r="BE18" s="42" t="s">
        <v>455</v>
      </c>
      <c r="BF18" s="42" t="s">
        <v>455</v>
      </c>
      <c r="BG18" s="42" t="s">
        <v>455</v>
      </c>
      <c r="BH18" s="42" t="s">
        <v>455</v>
      </c>
      <c r="BI18" s="42" t="s">
        <v>455</v>
      </c>
      <c r="BJ18" s="42" t="s">
        <v>455</v>
      </c>
      <c r="BK18" s="42" t="s">
        <v>455</v>
      </c>
      <c r="BL18" s="42" t="s">
        <v>455</v>
      </c>
      <c r="BM18" s="42" t="s">
        <v>455</v>
      </c>
      <c r="BN18" s="42" t="s">
        <v>455</v>
      </c>
      <c r="BO18" s="42" t="s">
        <v>455</v>
      </c>
      <c r="BP18" s="42" t="s">
        <v>455</v>
      </c>
      <c r="BQ18" s="42" t="s">
        <v>455</v>
      </c>
      <c r="BR18" s="42" t="s">
        <v>455</v>
      </c>
      <c r="BS18" s="42" t="s">
        <v>455</v>
      </c>
      <c r="BT18" s="42" t="s">
        <v>455</v>
      </c>
      <c r="BU18" s="42" t="s">
        <v>455</v>
      </c>
      <c r="BV18" s="42" t="s">
        <v>455</v>
      </c>
      <c r="BW18" s="42" t="s">
        <v>455</v>
      </c>
      <c r="BX18" s="42" t="s">
        <v>455</v>
      </c>
      <c r="BY18" s="42" t="s">
        <v>455</v>
      </c>
      <c r="BZ18" s="42" t="s">
        <v>455</v>
      </c>
      <c r="CA18" s="42" t="s">
        <v>455</v>
      </c>
      <c r="CB18" s="42" t="s">
        <v>455</v>
      </c>
      <c r="CC18" s="42" t="s">
        <v>455</v>
      </c>
      <c r="CD18" s="42" t="s">
        <v>455</v>
      </c>
      <c r="CE18" s="42" t="s">
        <v>455</v>
      </c>
      <c r="CF18" s="42" t="s">
        <v>455</v>
      </c>
      <c r="CG18" s="42" t="s">
        <v>455</v>
      </c>
      <c r="CH18" s="42" t="s">
        <v>455</v>
      </c>
      <c r="CI18" s="42" t="s">
        <v>455</v>
      </c>
      <c r="CJ18" s="42" t="s">
        <v>455</v>
      </c>
      <c r="CK18" s="42" t="s">
        <v>455</v>
      </c>
      <c r="CL18" s="42" t="s">
        <v>455</v>
      </c>
      <c r="CM18" s="42" t="s">
        <v>455</v>
      </c>
      <c r="CN18" s="42" t="s">
        <v>455</v>
      </c>
      <c r="CO18" s="42" t="s">
        <v>455</v>
      </c>
      <c r="CP18" s="42" t="s">
        <v>455</v>
      </c>
      <c r="CQ18" s="42" t="s">
        <v>455</v>
      </c>
      <c r="CR18" s="42">
        <v>0.66986595230105905</v>
      </c>
      <c r="CS18" s="42">
        <v>6.6986595230105903E-2</v>
      </c>
      <c r="CT18" s="42" t="s">
        <v>455</v>
      </c>
      <c r="CU18" s="42" t="s">
        <v>455</v>
      </c>
      <c r="CV18" s="42" t="s">
        <v>455</v>
      </c>
      <c r="CW18" s="42" t="s">
        <v>455</v>
      </c>
      <c r="CX18" s="42">
        <v>18.954196028004802</v>
      </c>
      <c r="CY18" s="42">
        <v>1.8954196028004802</v>
      </c>
      <c r="CZ18" s="42">
        <v>0.23815506878568601</v>
      </c>
      <c r="DA18" s="42">
        <v>2.3815506878568603E-2</v>
      </c>
      <c r="DB18" s="42">
        <v>8.4699874820986008</v>
      </c>
      <c r="DC18" s="42">
        <v>0.8469987482098601</v>
      </c>
      <c r="DD18" s="42" t="s">
        <v>455</v>
      </c>
      <c r="DE18" s="42" t="s">
        <v>455</v>
      </c>
      <c r="DF18" s="42" t="s">
        <v>455</v>
      </c>
      <c r="DG18" s="42" t="s">
        <v>455</v>
      </c>
      <c r="DH18" s="42" t="s">
        <v>455</v>
      </c>
      <c r="DI18" s="42" t="s">
        <v>455</v>
      </c>
      <c r="DJ18" s="42">
        <v>0.99962691400111658</v>
      </c>
      <c r="DK18" s="42">
        <v>0.9939575010916728</v>
      </c>
      <c r="DL18" s="42">
        <v>1.476430824891573E-2</v>
      </c>
      <c r="DM18" s="42">
        <v>0.99386695086371901</v>
      </c>
      <c r="DN18" s="42">
        <v>4.5513402597119795E-8</v>
      </c>
      <c r="DO18" s="42">
        <v>1.9463148745223392E-7</v>
      </c>
      <c r="DP18" s="42">
        <v>3.5777886739675094E-4</v>
      </c>
      <c r="DQ18" s="42">
        <v>8.2959306270607327E-8</v>
      </c>
      <c r="DR18" s="42">
        <v>1.1792202898761002E-8</v>
      </c>
      <c r="DS18" s="42">
        <v>1.3510377642130094E-2</v>
      </c>
      <c r="DT18" s="42">
        <v>7.3232642702657745E-3</v>
      </c>
      <c r="DU18" s="42">
        <v>3.6844628758243912E-4</v>
      </c>
      <c r="DV18" s="42">
        <v>5.56072727951481E-8</v>
      </c>
      <c r="DW18" s="42">
        <v>1.081230594158447E-8</v>
      </c>
      <c r="DX18" s="42">
        <v>2.5235290155409359E-7</v>
      </c>
      <c r="DY18" s="42">
        <v>1.0005187807455928E-8</v>
      </c>
      <c r="DZ18" s="42">
        <v>3.4712655408310823E-8</v>
      </c>
      <c r="EA18" s="42">
        <v>1.7833674450694326E-5</v>
      </c>
      <c r="EB18" s="42">
        <v>2.1767011642175143E-9</v>
      </c>
      <c r="EC18" s="42">
        <v>1.6611666779554639E-10</v>
      </c>
      <c r="ED18" s="42">
        <v>1.6508489852854105E-3</v>
      </c>
      <c r="EE18" s="42">
        <v>3.9994019812017532E-4</v>
      </c>
      <c r="EF18" s="42">
        <v>6.6828544515449336E-7</v>
      </c>
      <c r="EG18" s="42">
        <v>2.6922356504795547E-9</v>
      </c>
      <c r="EH18" s="42">
        <v>1.1074444519703126E-9</v>
      </c>
      <c r="EI18" s="42">
        <v>6.1100383556982764E-10</v>
      </c>
      <c r="EJ18" s="42">
        <v>5.5518590404575722E-8</v>
      </c>
      <c r="EK18" s="42">
        <v>2.2934414286054474E-7</v>
      </c>
      <c r="EL18" s="42">
        <v>3.7561254184744527E-4</v>
      </c>
      <c r="EM18" s="42">
        <v>8.5136007434824841E-8</v>
      </c>
      <c r="EN18" s="42">
        <v>1.1958319566556548E-8</v>
      </c>
      <c r="EO18" s="42">
        <v>1.5161226627415505E-2</v>
      </c>
      <c r="EP18" s="42">
        <v>7.7232044683859498E-3</v>
      </c>
      <c r="EQ18" s="42">
        <v>3.6911457302759361E-4</v>
      </c>
      <c r="ER18" s="42">
        <v>5.8299508445627655E-8</v>
      </c>
      <c r="ES18" s="42">
        <v>1.1919750393554782E-8</v>
      </c>
      <c r="ET18" s="42">
        <v>2.5296390538966341E-7</v>
      </c>
      <c r="EU18" s="42">
        <v>2.028958058533544E-6</v>
      </c>
      <c r="EV18" s="42">
        <v>8.6766077714119651E-6</v>
      </c>
      <c r="EW18" s="42">
        <v>1.597174508072071E-2</v>
      </c>
      <c r="EX18" s="42">
        <v>3.7103015061161316E-6</v>
      </c>
      <c r="EY18" s="42">
        <v>5.2945601363293284E-7</v>
      </c>
      <c r="EZ18" s="42">
        <v>0.60291764271970849</v>
      </c>
      <c r="FA18" s="42">
        <v>0.32660533875704534</v>
      </c>
      <c r="FB18" s="42">
        <v>1.6545026073905105E-2</v>
      </c>
      <c r="FC18" s="42">
        <v>2.4799913670131228E-6</v>
      </c>
      <c r="FD18" s="42">
        <v>4.8221076209610149E-7</v>
      </c>
      <c r="FE18" s="42">
        <v>1.125451736502838E-5</v>
      </c>
      <c r="FF18" s="42">
        <v>4.4602480304041017E-7</v>
      </c>
      <c r="FG18" s="42">
        <v>1.5474787745020562E-6</v>
      </c>
      <c r="FH18" s="42">
        <v>7.9611997279646629E-4</v>
      </c>
      <c r="FI18" s="42">
        <v>9.7351556697170519E-8</v>
      </c>
      <c r="FJ18" s="42">
        <v>7.458442623833891E-9</v>
      </c>
      <c r="FK18" s="42">
        <v>7.367388178504608E-2</v>
      </c>
      <c r="FL18" s="42">
        <v>1.7836663961446675E-2</v>
      </c>
      <c r="FM18" s="42">
        <v>3.0009259117363962E-5</v>
      </c>
      <c r="FN18" s="42">
        <v>1.2006920741735783E-7</v>
      </c>
      <c r="FO18" s="42">
        <v>4.9390170426998337E-8</v>
      </c>
      <c r="FP18" s="42">
        <v>2.7249749201102005E-8</v>
      </c>
      <c r="FQ18" s="42">
        <v>2.4749828615739542E-6</v>
      </c>
      <c r="FR18" s="42">
        <v>1.0224086545914021E-5</v>
      </c>
      <c r="FS18" s="42">
        <v>1.6767865053517177E-2</v>
      </c>
      <c r="FT18" s="42">
        <v>3.8076530628133022E-6</v>
      </c>
      <c r="FU18" s="42">
        <v>5.3691445625676673E-7</v>
      </c>
      <c r="FV18" s="42">
        <v>0.67659152450475457</v>
      </c>
      <c r="FW18" s="42">
        <v>0.34444200271849201</v>
      </c>
      <c r="FX18" s="42">
        <v>1.6575035333022469E-2</v>
      </c>
      <c r="FY18" s="42">
        <v>2.6000605744304806E-6</v>
      </c>
      <c r="FZ18" s="42">
        <v>5.3160093252309982E-7</v>
      </c>
      <c r="GA18" s="42">
        <v>1.1281767114229482E-5</v>
      </c>
      <c r="GB18" s="42">
        <v>8.1211485100391448E-6</v>
      </c>
      <c r="GC18" s="42">
        <v>1.7509134184476205E-4</v>
      </c>
      <c r="GD18" s="42">
        <v>0.63803927248463099</v>
      </c>
      <c r="GE18" s="42">
        <v>3.1091584560951962E-4</v>
      </c>
      <c r="GF18" s="42">
        <v>6.951386839790866E-5</v>
      </c>
      <c r="GG18" s="42">
        <v>16.889773092564283</v>
      </c>
      <c r="GH18" s="42">
        <v>10.450978913818942</v>
      </c>
      <c r="GI18" s="42">
        <v>0.7281383249995268</v>
      </c>
      <c r="GJ18" s="42">
        <v>3.9785162305653339E-5</v>
      </c>
      <c r="GK18" s="42">
        <v>9.720790310942892E-7</v>
      </c>
      <c r="GL18" s="42">
        <v>4.9534282188352105E-4</v>
      </c>
      <c r="GM18" s="42" t="s">
        <v>455</v>
      </c>
      <c r="GN18" s="42" t="s">
        <v>455</v>
      </c>
      <c r="GO18" s="42" t="s">
        <v>455</v>
      </c>
      <c r="GP18" s="42" t="s">
        <v>455</v>
      </c>
      <c r="GQ18" s="42" t="s">
        <v>455</v>
      </c>
      <c r="GR18" s="42" t="s">
        <v>455</v>
      </c>
      <c r="GS18" s="42" t="s">
        <v>455</v>
      </c>
      <c r="GT18" s="42" t="s">
        <v>455</v>
      </c>
      <c r="GU18" s="42" t="s">
        <v>455</v>
      </c>
      <c r="GV18" s="42" t="s">
        <v>455</v>
      </c>
      <c r="GW18" s="42" t="s">
        <v>455</v>
      </c>
      <c r="GX18" s="42" t="s">
        <v>455</v>
      </c>
      <c r="GY18" s="42" t="s">
        <v>455</v>
      </c>
      <c r="GZ18" s="42" t="s">
        <v>455</v>
      </c>
      <c r="HA18" s="42" t="s">
        <v>455</v>
      </c>
      <c r="HB18" s="42" t="s">
        <v>455</v>
      </c>
      <c r="HC18" s="42" t="s">
        <v>455</v>
      </c>
      <c r="HD18" s="42" t="s">
        <v>455</v>
      </c>
      <c r="HE18" s="42" t="s">
        <v>455</v>
      </c>
      <c r="HF18" s="42" t="s">
        <v>455</v>
      </c>
      <c r="HG18" s="42" t="s">
        <v>455</v>
      </c>
      <c r="HH18" s="42" t="s">
        <v>455</v>
      </c>
      <c r="HI18" s="42" t="s">
        <v>455</v>
      </c>
      <c r="HJ18" s="42" t="s">
        <v>455</v>
      </c>
      <c r="HK18" s="42" t="s">
        <v>455</v>
      </c>
      <c r="HL18" s="42" t="s">
        <v>455</v>
      </c>
      <c r="HM18" s="42" t="s">
        <v>455</v>
      </c>
      <c r="HN18" s="42" t="s">
        <v>455</v>
      </c>
      <c r="HO18" s="42" t="s">
        <v>455</v>
      </c>
      <c r="HP18" s="42" t="s">
        <v>455</v>
      </c>
      <c r="HQ18" s="42" t="s">
        <v>455</v>
      </c>
      <c r="HR18" s="42" t="s">
        <v>455</v>
      </c>
      <c r="HS18" s="42" t="s">
        <v>455</v>
      </c>
      <c r="HT18" s="42" t="s">
        <v>455</v>
      </c>
      <c r="HU18" s="42" t="s">
        <v>455</v>
      </c>
      <c r="HV18" s="42" t="s">
        <v>455</v>
      </c>
      <c r="HW18" s="42" t="s">
        <v>455</v>
      </c>
      <c r="HX18" s="42" t="s">
        <v>455</v>
      </c>
      <c r="HY18" s="42" t="s">
        <v>455</v>
      </c>
      <c r="HZ18" s="42" t="s">
        <v>455</v>
      </c>
      <c r="IA18" s="42" t="s">
        <v>455</v>
      </c>
      <c r="IB18" s="42" t="s">
        <v>455</v>
      </c>
      <c r="IC18" s="42" t="s">
        <v>455</v>
      </c>
      <c r="ID18" s="42" t="s">
        <v>455</v>
      </c>
      <c r="IE18" s="42" t="s">
        <v>455</v>
      </c>
      <c r="IF18" s="42" t="s">
        <v>455</v>
      </c>
      <c r="IG18" s="42" t="s">
        <v>455</v>
      </c>
      <c r="IH18" s="42" t="s">
        <v>455</v>
      </c>
      <c r="II18" s="42" t="s">
        <v>455</v>
      </c>
      <c r="IJ18" s="42" t="s">
        <v>455</v>
      </c>
      <c r="IK18" s="42" t="s">
        <v>455</v>
      </c>
      <c r="IL18" s="42" t="s">
        <v>455</v>
      </c>
      <c r="IM18" s="42" t="s">
        <v>455</v>
      </c>
      <c r="IN18" s="42" t="s">
        <v>455</v>
      </c>
      <c r="IO18" s="42" t="s">
        <v>455</v>
      </c>
      <c r="IP18" s="42" t="s">
        <v>455</v>
      </c>
      <c r="IQ18" s="42" t="s">
        <v>455</v>
      </c>
      <c r="IR18" s="42" t="s">
        <v>455</v>
      </c>
      <c r="IS18" s="42" t="s">
        <v>455</v>
      </c>
      <c r="IT18" s="42" t="s">
        <v>455</v>
      </c>
      <c r="IU18" s="42" t="s">
        <v>455</v>
      </c>
      <c r="IV18" s="42" t="s">
        <v>455</v>
      </c>
      <c r="IW18" s="42" t="s">
        <v>455</v>
      </c>
      <c r="IX18" s="42" t="s">
        <v>455</v>
      </c>
      <c r="IY18" s="42" t="s">
        <v>455</v>
      </c>
      <c r="IZ18" s="42" t="s">
        <v>455</v>
      </c>
      <c r="JA18" s="42" t="s">
        <v>455</v>
      </c>
      <c r="JB18" s="42" t="s">
        <v>455</v>
      </c>
      <c r="JC18" s="42" t="s">
        <v>455</v>
      </c>
      <c r="JD18" s="42" t="s">
        <v>455</v>
      </c>
      <c r="JE18" s="42" t="s">
        <v>455</v>
      </c>
      <c r="JF18" s="42" t="s">
        <v>455</v>
      </c>
      <c r="JG18" s="42" t="s">
        <v>455</v>
      </c>
      <c r="JH18" s="42" t="s">
        <v>455</v>
      </c>
      <c r="JI18" s="42" t="s">
        <v>455</v>
      </c>
      <c r="JJ18" s="42" t="s">
        <v>455</v>
      </c>
      <c r="JK18" s="42" t="s">
        <v>455</v>
      </c>
      <c r="JL18" s="42" t="s">
        <v>455</v>
      </c>
      <c r="JM18" s="42" t="s">
        <v>455</v>
      </c>
    </row>
    <row r="19" spans="1:273">
      <c r="A19" s="42" t="s">
        <v>208</v>
      </c>
      <c r="B19" s="42" t="s">
        <v>209</v>
      </c>
      <c r="C19" s="42" t="s">
        <v>234</v>
      </c>
      <c r="D19" s="60">
        <v>41507</v>
      </c>
      <c r="E19" s="42" t="s">
        <v>235</v>
      </c>
      <c r="F19" s="42">
        <v>0.31770079722</v>
      </c>
      <c r="G19" s="42">
        <v>50.304878048780402</v>
      </c>
      <c r="H19" s="42">
        <v>19.7000007629</v>
      </c>
      <c r="I19" s="42">
        <v>1</v>
      </c>
      <c r="J19" s="42">
        <v>0</v>
      </c>
      <c r="K19" s="42">
        <v>0</v>
      </c>
      <c r="L19" s="42" t="s">
        <v>454</v>
      </c>
      <c r="M19" s="42" t="s">
        <v>614</v>
      </c>
      <c r="N19" s="42">
        <v>5.3254645871308829E-26</v>
      </c>
      <c r="O19" s="61" t="s">
        <v>455</v>
      </c>
      <c r="P19" s="42">
        <v>13.303027496490397</v>
      </c>
      <c r="Q19" s="42">
        <v>0.29687232102456335</v>
      </c>
      <c r="R19" s="42">
        <v>1.9121145612720589</v>
      </c>
      <c r="S19" s="42">
        <v>0.24909530906046981</v>
      </c>
      <c r="T19" s="42" t="s">
        <v>455</v>
      </c>
      <c r="U19" s="42" t="s">
        <v>455</v>
      </c>
      <c r="V19" s="42" t="s">
        <v>456</v>
      </c>
      <c r="W19" s="42" t="s">
        <v>455</v>
      </c>
      <c r="X19" s="42">
        <v>0.2</v>
      </c>
      <c r="Y19" s="42">
        <v>0.14142135623730953</v>
      </c>
      <c r="Z19" s="42" t="s">
        <v>456</v>
      </c>
      <c r="AA19" s="42" t="s">
        <v>455</v>
      </c>
      <c r="AB19" s="42" t="s">
        <v>456</v>
      </c>
      <c r="AC19" s="42" t="s">
        <v>455</v>
      </c>
      <c r="AD19" s="42" t="s">
        <v>622</v>
      </c>
      <c r="AE19" s="42" t="s">
        <v>123</v>
      </c>
      <c r="AF19" s="42">
        <v>1.9811901811012897E-5</v>
      </c>
      <c r="AG19" s="42">
        <v>14</v>
      </c>
      <c r="AH19" s="62">
        <v>42880.56287037037</v>
      </c>
      <c r="AI19" s="42" t="s">
        <v>653</v>
      </c>
      <c r="AJ19" s="63" t="s">
        <v>652</v>
      </c>
      <c r="AK19" s="61" t="s">
        <v>455</v>
      </c>
      <c r="AL19" s="61" t="s">
        <v>455</v>
      </c>
      <c r="AM19" s="61">
        <v>5.0285954148781009E-2</v>
      </c>
      <c r="AN19" s="61" t="s">
        <v>455</v>
      </c>
      <c r="AO19" s="61" t="s">
        <v>455</v>
      </c>
      <c r="AP19" s="61">
        <v>0.12314097679402769</v>
      </c>
      <c r="AQ19" s="61">
        <v>-0.97548036539988636</v>
      </c>
      <c r="AR19" s="61">
        <v>10.714626824803078</v>
      </c>
      <c r="AS19" s="61" t="s">
        <v>455</v>
      </c>
      <c r="AT19" s="61" t="s">
        <v>455</v>
      </c>
      <c r="AU19" s="61" t="s">
        <v>455</v>
      </c>
      <c r="AV19" s="42" t="s">
        <v>455</v>
      </c>
      <c r="AW19" s="42" t="s">
        <v>455</v>
      </c>
      <c r="AX19" s="42" t="s">
        <v>455</v>
      </c>
      <c r="AY19" s="42" t="s">
        <v>455</v>
      </c>
      <c r="AZ19" s="42" t="s">
        <v>455</v>
      </c>
      <c r="BA19" s="42" t="s">
        <v>455</v>
      </c>
      <c r="BB19" s="42" t="s">
        <v>455</v>
      </c>
      <c r="BC19" s="42" t="s">
        <v>455</v>
      </c>
      <c r="BD19" s="42" t="s">
        <v>455</v>
      </c>
      <c r="BE19" s="42" t="s">
        <v>455</v>
      </c>
      <c r="BF19" s="42" t="s">
        <v>455</v>
      </c>
      <c r="BG19" s="42" t="s">
        <v>455</v>
      </c>
      <c r="BH19" s="42" t="s">
        <v>455</v>
      </c>
      <c r="BI19" s="42" t="s">
        <v>455</v>
      </c>
      <c r="BJ19" s="42" t="s">
        <v>455</v>
      </c>
      <c r="BK19" s="42" t="s">
        <v>455</v>
      </c>
      <c r="BL19" s="42" t="s">
        <v>455</v>
      </c>
      <c r="BM19" s="42" t="s">
        <v>455</v>
      </c>
      <c r="BN19" s="42" t="s">
        <v>455</v>
      </c>
      <c r="BO19" s="42" t="s">
        <v>455</v>
      </c>
      <c r="BP19" s="42" t="s">
        <v>455</v>
      </c>
      <c r="BQ19" s="42" t="s">
        <v>455</v>
      </c>
      <c r="BR19" s="42" t="s">
        <v>455</v>
      </c>
      <c r="BS19" s="42" t="s">
        <v>455</v>
      </c>
      <c r="BT19" s="42" t="s">
        <v>455</v>
      </c>
      <c r="BU19" s="42" t="s">
        <v>455</v>
      </c>
      <c r="BV19" s="42" t="s">
        <v>455</v>
      </c>
      <c r="BW19" s="42" t="s">
        <v>455</v>
      </c>
      <c r="BX19" s="42" t="s">
        <v>455</v>
      </c>
      <c r="BY19" s="42" t="s">
        <v>455</v>
      </c>
      <c r="BZ19" s="42" t="s">
        <v>455</v>
      </c>
      <c r="CA19" s="42" t="s">
        <v>455</v>
      </c>
      <c r="CB19" s="42" t="s">
        <v>455</v>
      </c>
      <c r="CC19" s="42" t="s">
        <v>455</v>
      </c>
      <c r="CD19" s="42" t="s">
        <v>455</v>
      </c>
      <c r="CE19" s="42" t="s">
        <v>455</v>
      </c>
      <c r="CF19" s="42" t="s">
        <v>455</v>
      </c>
      <c r="CG19" s="42" t="s">
        <v>455</v>
      </c>
      <c r="CH19" s="42" t="s">
        <v>455</v>
      </c>
      <c r="CI19" s="42" t="s">
        <v>455</v>
      </c>
      <c r="CJ19" s="42" t="s">
        <v>455</v>
      </c>
      <c r="CK19" s="42" t="s">
        <v>455</v>
      </c>
      <c r="CL19" s="42" t="s">
        <v>455</v>
      </c>
      <c r="CM19" s="42" t="s">
        <v>455</v>
      </c>
      <c r="CN19" s="42" t="s">
        <v>455</v>
      </c>
      <c r="CO19" s="42" t="s">
        <v>455</v>
      </c>
      <c r="CP19" s="42" t="s">
        <v>455</v>
      </c>
      <c r="CQ19" s="42" t="s">
        <v>455</v>
      </c>
      <c r="CR19" s="42">
        <v>0.66566695574964596</v>
      </c>
      <c r="CS19" s="42">
        <v>6.6566695574964599E-2</v>
      </c>
      <c r="CT19" s="42" t="s">
        <v>455</v>
      </c>
      <c r="CU19" s="42" t="s">
        <v>455</v>
      </c>
      <c r="CV19" s="42" t="s">
        <v>455</v>
      </c>
      <c r="CW19" s="42" t="s">
        <v>455</v>
      </c>
      <c r="CX19" s="42">
        <v>18.852789007330699</v>
      </c>
      <c r="CY19" s="42">
        <v>1.8852789007330699</v>
      </c>
      <c r="CZ19" s="42">
        <v>0.25453580689320998</v>
      </c>
      <c r="DA19" s="42">
        <v>2.5453580689321E-2</v>
      </c>
      <c r="DB19" s="42">
        <v>8.4441906470059305</v>
      </c>
      <c r="DC19" s="42">
        <v>0.84441906470059314</v>
      </c>
      <c r="DD19" s="42" t="s">
        <v>455</v>
      </c>
      <c r="DE19" s="42" t="s">
        <v>455</v>
      </c>
      <c r="DF19" s="42" t="s">
        <v>455</v>
      </c>
      <c r="DG19" s="42" t="s">
        <v>455</v>
      </c>
      <c r="DH19" s="42" t="s">
        <v>455</v>
      </c>
      <c r="DI19" s="42" t="s">
        <v>455</v>
      </c>
      <c r="DJ19" s="42">
        <v>0.99958786770190333</v>
      </c>
      <c r="DK19" s="42">
        <v>0.9939575010916728</v>
      </c>
      <c r="DL19" s="42">
        <v>1.505856138332329E-2</v>
      </c>
      <c r="DM19" s="42">
        <v>0.99386511860358551</v>
      </c>
      <c r="DN19" s="42">
        <v>4.5459569699348435E-8</v>
      </c>
      <c r="DO19" s="42">
        <v>1.9410787444226224E-7</v>
      </c>
      <c r="DP19" s="42">
        <v>3.5541330294517189E-4</v>
      </c>
      <c r="DQ19" s="42">
        <v>8.2274750792776775E-8</v>
      </c>
      <c r="DR19" s="42">
        <v>1.1673891196349593E-8</v>
      </c>
      <c r="DS19" s="42">
        <v>1.3427710599094979E-2</v>
      </c>
      <c r="DT19" s="42">
        <v>7.2744404142521812E-3</v>
      </c>
      <c r="DU19" s="42">
        <v>3.6475968356784548E-4</v>
      </c>
      <c r="DV19" s="42">
        <v>5.5205184399897565E-8</v>
      </c>
      <c r="DW19" s="42">
        <v>1.0781175337091007E-8</v>
      </c>
      <c r="DX19" s="42">
        <v>2.4968908684765501E-7</v>
      </c>
      <c r="DY19" s="42">
        <v>1.0019480301065592E-8</v>
      </c>
      <c r="DZ19" s="42">
        <v>3.4762242723926034E-8</v>
      </c>
      <c r="EA19" s="42">
        <v>1.7859150002281002E-5</v>
      </c>
      <c r="EB19" s="42">
        <v>2.1798105998501475E-9</v>
      </c>
      <c r="EC19" s="42">
        <v>1.6635396683066953E-10</v>
      </c>
      <c r="ED19" s="42">
        <v>1.6529787850392604E-3</v>
      </c>
      <c r="EE19" s="42">
        <v>4.0051151600404514E-4</v>
      </c>
      <c r="EF19" s="42">
        <v>6.6924009644523785E-7</v>
      </c>
      <c r="EG19" s="42">
        <v>2.6960815313935996E-9</v>
      </c>
      <c r="EH19" s="42">
        <v>1.1090264455377936E-9</v>
      </c>
      <c r="EI19" s="42">
        <v>6.1187665960703479E-10</v>
      </c>
      <c r="EJ19" s="42">
        <v>5.5479050000414026E-8</v>
      </c>
      <c r="EK19" s="42">
        <v>2.2887011716618827E-7</v>
      </c>
      <c r="EL19" s="42">
        <v>3.7327245294745289E-4</v>
      </c>
      <c r="EM19" s="42">
        <v>8.4454561392626922E-8</v>
      </c>
      <c r="EN19" s="42">
        <v>1.1840245163180263E-8</v>
      </c>
      <c r="EO19" s="42">
        <v>1.508068938413424E-2</v>
      </c>
      <c r="EP19" s="42">
        <v>7.6749519302562264E-3</v>
      </c>
      <c r="EQ19" s="42">
        <v>3.6542892366429072E-4</v>
      </c>
      <c r="ER19" s="42">
        <v>5.7901265931291164E-8</v>
      </c>
      <c r="ES19" s="42">
        <v>1.1890201782628801E-8</v>
      </c>
      <c r="ET19" s="42">
        <v>2.5030096350726205E-7</v>
      </c>
      <c r="EU19" s="42">
        <v>2.0264790636276768E-6</v>
      </c>
      <c r="EV19" s="42">
        <v>8.6529272713520296E-6</v>
      </c>
      <c r="EW19" s="42">
        <v>1.5865523255851097E-2</v>
      </c>
      <c r="EX19" s="42">
        <v>3.6795414718488078E-6</v>
      </c>
      <c r="EY19" s="42">
        <v>5.2412348409890195E-7</v>
      </c>
      <c r="EZ19" s="42">
        <v>0.59920511526879705</v>
      </c>
      <c r="FA19" s="42">
        <v>0.32441520399780882</v>
      </c>
      <c r="FB19" s="42">
        <v>1.6378839868882961E-2</v>
      </c>
      <c r="FC19" s="42">
        <v>2.4619627268842677E-6</v>
      </c>
      <c r="FD19" s="42">
        <v>4.8080360785772936E-7</v>
      </c>
      <c r="FE19" s="42">
        <v>1.1135280713414955E-5</v>
      </c>
      <c r="FF19" s="42">
        <v>4.466445061584108E-7</v>
      </c>
      <c r="FG19" s="42">
        <v>1.5496288285238538E-6</v>
      </c>
      <c r="FH19" s="42">
        <v>7.9722609520508844E-4</v>
      </c>
      <c r="FI19" s="42">
        <v>9.7486816133004871E-8</v>
      </c>
      <c r="FJ19" s="42">
        <v>7.4688053214190989E-9</v>
      </c>
      <c r="FK19" s="42">
        <v>7.3766324179489362E-2</v>
      </c>
      <c r="FL19" s="42">
        <v>1.7861446072657272E-2</v>
      </c>
      <c r="FM19" s="42">
        <v>3.005095373012287E-5</v>
      </c>
      <c r="FN19" s="42">
        <v>1.2023603056644118E-7</v>
      </c>
      <c r="FO19" s="42">
        <v>4.9458792715273723E-8</v>
      </c>
      <c r="FP19" s="42">
        <v>2.7287609773943305E-8</v>
      </c>
      <c r="FQ19" s="42">
        <v>2.4731235697860876E-6</v>
      </c>
      <c r="FR19" s="42">
        <v>1.0202556099875883E-5</v>
      </c>
      <c r="FS19" s="42">
        <v>1.6662749351056185E-2</v>
      </c>
      <c r="FT19" s="42">
        <v>3.7770282879818126E-6</v>
      </c>
      <c r="FU19" s="42">
        <v>5.3159228942032104E-7</v>
      </c>
      <c r="FV19" s="42">
        <v>0.67297143944828641</v>
      </c>
      <c r="FW19" s="42">
        <v>0.34227665007046609</v>
      </c>
      <c r="FX19" s="42">
        <v>1.6408890822613084E-2</v>
      </c>
      <c r="FY19" s="42">
        <v>2.5821987574507088E-6</v>
      </c>
      <c r="FZ19" s="42">
        <v>5.3026240057300308E-7</v>
      </c>
      <c r="GA19" s="42">
        <v>1.1162568323188899E-5</v>
      </c>
      <c r="GB19" s="42">
        <v>8.1112260349532235E-6</v>
      </c>
      <c r="GC19" s="42">
        <v>1.7461347645770256E-4</v>
      </c>
      <c r="GD19" s="42">
        <v>0.63379592302473964</v>
      </c>
      <c r="GE19" s="42">
        <v>3.0833821625798641E-4</v>
      </c>
      <c r="GF19" s="42">
        <v>6.8813744597797136E-5</v>
      </c>
      <c r="GG19" s="42">
        <v>16.785772576070919</v>
      </c>
      <c r="GH19" s="42">
        <v>10.380897229685084</v>
      </c>
      <c r="GI19" s="42">
        <v>0.7208245532096047</v>
      </c>
      <c r="GJ19" s="42">
        <v>3.9495938567531787E-5</v>
      </c>
      <c r="GK19" s="42">
        <v>9.6924237700823957E-7</v>
      </c>
      <c r="GL19" s="42">
        <v>4.9009488298338969E-4</v>
      </c>
      <c r="GM19" s="42" t="s">
        <v>455</v>
      </c>
      <c r="GN19" s="42" t="s">
        <v>455</v>
      </c>
      <c r="GO19" s="42" t="s">
        <v>455</v>
      </c>
      <c r="GP19" s="42" t="s">
        <v>455</v>
      </c>
      <c r="GQ19" s="42" t="s">
        <v>455</v>
      </c>
      <c r="GR19" s="42" t="s">
        <v>455</v>
      </c>
      <c r="GS19" s="42" t="s">
        <v>455</v>
      </c>
      <c r="GT19" s="42" t="s">
        <v>455</v>
      </c>
      <c r="GU19" s="42" t="s">
        <v>455</v>
      </c>
      <c r="GV19" s="42" t="s">
        <v>455</v>
      </c>
      <c r="GW19" s="42" t="s">
        <v>455</v>
      </c>
      <c r="GX19" s="42" t="s">
        <v>455</v>
      </c>
      <c r="GY19" s="42" t="s">
        <v>455</v>
      </c>
      <c r="GZ19" s="42" t="s">
        <v>455</v>
      </c>
      <c r="HA19" s="42" t="s">
        <v>455</v>
      </c>
      <c r="HB19" s="42" t="s">
        <v>455</v>
      </c>
      <c r="HC19" s="42" t="s">
        <v>455</v>
      </c>
      <c r="HD19" s="42" t="s">
        <v>455</v>
      </c>
      <c r="HE19" s="42" t="s">
        <v>455</v>
      </c>
      <c r="HF19" s="42" t="s">
        <v>455</v>
      </c>
      <c r="HG19" s="42" t="s">
        <v>455</v>
      </c>
      <c r="HH19" s="42" t="s">
        <v>455</v>
      </c>
      <c r="HI19" s="42" t="s">
        <v>455</v>
      </c>
      <c r="HJ19" s="42" t="s">
        <v>455</v>
      </c>
      <c r="HK19" s="42" t="s">
        <v>455</v>
      </c>
      <c r="HL19" s="42" t="s">
        <v>455</v>
      </c>
      <c r="HM19" s="42" t="s">
        <v>455</v>
      </c>
      <c r="HN19" s="42" t="s">
        <v>455</v>
      </c>
      <c r="HO19" s="42" t="s">
        <v>455</v>
      </c>
      <c r="HP19" s="42" t="s">
        <v>455</v>
      </c>
      <c r="HQ19" s="42" t="s">
        <v>455</v>
      </c>
      <c r="HR19" s="42" t="s">
        <v>455</v>
      </c>
      <c r="HS19" s="42" t="s">
        <v>455</v>
      </c>
      <c r="HT19" s="42" t="s">
        <v>455</v>
      </c>
      <c r="HU19" s="42" t="s">
        <v>455</v>
      </c>
      <c r="HV19" s="42" t="s">
        <v>455</v>
      </c>
      <c r="HW19" s="42" t="s">
        <v>455</v>
      </c>
      <c r="HX19" s="42" t="s">
        <v>455</v>
      </c>
      <c r="HY19" s="42" t="s">
        <v>455</v>
      </c>
      <c r="HZ19" s="42" t="s">
        <v>455</v>
      </c>
      <c r="IA19" s="42" t="s">
        <v>455</v>
      </c>
      <c r="IB19" s="42" t="s">
        <v>455</v>
      </c>
      <c r="IC19" s="42" t="s">
        <v>455</v>
      </c>
      <c r="ID19" s="42" t="s">
        <v>455</v>
      </c>
      <c r="IE19" s="42" t="s">
        <v>455</v>
      </c>
      <c r="IF19" s="42" t="s">
        <v>455</v>
      </c>
      <c r="IG19" s="42" t="s">
        <v>455</v>
      </c>
      <c r="IH19" s="42" t="s">
        <v>455</v>
      </c>
      <c r="II19" s="42" t="s">
        <v>455</v>
      </c>
      <c r="IJ19" s="42" t="s">
        <v>455</v>
      </c>
      <c r="IK19" s="42" t="s">
        <v>455</v>
      </c>
      <c r="IL19" s="42" t="s">
        <v>455</v>
      </c>
      <c r="IM19" s="42" t="s">
        <v>455</v>
      </c>
      <c r="IN19" s="42" t="s">
        <v>455</v>
      </c>
      <c r="IO19" s="42" t="s">
        <v>455</v>
      </c>
      <c r="IP19" s="42" t="s">
        <v>455</v>
      </c>
      <c r="IQ19" s="42" t="s">
        <v>455</v>
      </c>
      <c r="IR19" s="42" t="s">
        <v>455</v>
      </c>
      <c r="IS19" s="42" t="s">
        <v>455</v>
      </c>
      <c r="IT19" s="42" t="s">
        <v>455</v>
      </c>
      <c r="IU19" s="42" t="s">
        <v>455</v>
      </c>
      <c r="IV19" s="42" t="s">
        <v>455</v>
      </c>
      <c r="IW19" s="42" t="s">
        <v>455</v>
      </c>
      <c r="IX19" s="42" t="s">
        <v>455</v>
      </c>
      <c r="IY19" s="42" t="s">
        <v>455</v>
      </c>
      <c r="IZ19" s="42" t="s">
        <v>455</v>
      </c>
      <c r="JA19" s="42" t="s">
        <v>455</v>
      </c>
      <c r="JB19" s="42" t="s">
        <v>455</v>
      </c>
      <c r="JC19" s="42" t="s">
        <v>455</v>
      </c>
      <c r="JD19" s="42" t="s">
        <v>455</v>
      </c>
      <c r="JE19" s="42" t="s">
        <v>455</v>
      </c>
      <c r="JF19" s="42" t="s">
        <v>455</v>
      </c>
      <c r="JG19" s="42" t="s">
        <v>455</v>
      </c>
      <c r="JH19" s="42" t="s">
        <v>455</v>
      </c>
      <c r="JI19" s="42" t="s">
        <v>455</v>
      </c>
      <c r="JJ19" s="42" t="s">
        <v>455</v>
      </c>
      <c r="JK19" s="42" t="s">
        <v>455</v>
      </c>
      <c r="JL19" s="42" t="s">
        <v>455</v>
      </c>
      <c r="JM19" s="42" t="s">
        <v>455</v>
      </c>
    </row>
    <row r="20" spans="1:273">
      <c r="A20" s="42" t="s">
        <v>208</v>
      </c>
      <c r="B20" s="42" t="s">
        <v>209</v>
      </c>
      <c r="C20" s="42" t="s">
        <v>216</v>
      </c>
      <c r="D20" s="60">
        <v>41520</v>
      </c>
      <c r="E20" s="42" t="s">
        <v>217</v>
      </c>
      <c r="F20" s="42">
        <v>0.14891640378000001</v>
      </c>
      <c r="G20" s="42">
        <v>61.585365853658502</v>
      </c>
      <c r="H20" s="42">
        <v>19.219999313399999</v>
      </c>
      <c r="I20" s="42">
        <v>1</v>
      </c>
      <c r="J20" s="42">
        <v>0</v>
      </c>
      <c r="K20" s="42">
        <v>0</v>
      </c>
      <c r="L20" s="42" t="s">
        <v>454</v>
      </c>
      <c r="M20" s="42" t="s">
        <v>614</v>
      </c>
      <c r="N20" s="42">
        <v>3.1073918030991153E-21</v>
      </c>
      <c r="O20" s="61" t="s">
        <v>455</v>
      </c>
      <c r="P20" s="42">
        <v>11.390486763298842</v>
      </c>
      <c r="Q20" s="42">
        <v>5.2562761533241567</v>
      </c>
      <c r="R20" s="42">
        <v>2.5005424904948477</v>
      </c>
      <c r="S20" s="42">
        <v>0.53095681206265988</v>
      </c>
      <c r="T20" s="42" t="s">
        <v>455</v>
      </c>
      <c r="U20" s="42" t="s">
        <v>455</v>
      </c>
      <c r="V20" s="42" t="s">
        <v>456</v>
      </c>
      <c r="W20" s="42" t="s">
        <v>455</v>
      </c>
      <c r="X20" s="42">
        <v>8.9035162279756885E-2</v>
      </c>
      <c r="Y20" s="42">
        <v>2.4539856089887269</v>
      </c>
      <c r="Z20" s="42" t="s">
        <v>456</v>
      </c>
      <c r="AA20" s="42" t="s">
        <v>455</v>
      </c>
      <c r="AB20" s="42" t="s">
        <v>456</v>
      </c>
      <c r="AC20" s="42" t="s">
        <v>455</v>
      </c>
      <c r="AD20" s="42" t="s">
        <v>613</v>
      </c>
      <c r="AE20" s="42" t="s">
        <v>91</v>
      </c>
      <c r="AF20" s="42">
        <v>1.1934887004573062E-8</v>
      </c>
      <c r="AG20" s="42">
        <v>4</v>
      </c>
      <c r="AH20" s="62">
        <v>42880.574386574073</v>
      </c>
      <c r="AJ20" s="63" t="s">
        <v>651</v>
      </c>
      <c r="AK20" s="61">
        <v>1.5725084546514774</v>
      </c>
      <c r="AL20" s="61">
        <v>0.2302463067922349</v>
      </c>
      <c r="AM20" s="61">
        <v>6.2983083137099882E-2</v>
      </c>
      <c r="AN20" s="61" t="s">
        <v>455</v>
      </c>
      <c r="AO20" s="61" t="s">
        <v>455</v>
      </c>
      <c r="AP20" s="61">
        <v>0.14489451950724708</v>
      </c>
      <c r="AQ20" s="61">
        <v>-0.97562050678687018</v>
      </c>
      <c r="AR20" s="61">
        <v>1.3800620786253708</v>
      </c>
      <c r="AS20" s="61" t="s">
        <v>455</v>
      </c>
      <c r="AT20" s="61" t="s">
        <v>455</v>
      </c>
      <c r="AU20" s="61" t="s">
        <v>455</v>
      </c>
      <c r="AV20" s="42">
        <v>1.178E-7</v>
      </c>
      <c r="AW20" s="42">
        <v>1E-10</v>
      </c>
      <c r="AX20" s="42">
        <v>2.4289999999999998E-7</v>
      </c>
      <c r="AY20" s="42">
        <v>2.8999999999999998E-10</v>
      </c>
      <c r="AZ20" s="42" t="s">
        <v>455</v>
      </c>
      <c r="BA20" s="42" t="s">
        <v>455</v>
      </c>
      <c r="BB20" s="42" t="s">
        <v>455</v>
      </c>
      <c r="BC20" s="42" t="s">
        <v>455</v>
      </c>
      <c r="BD20" s="42" t="s">
        <v>455</v>
      </c>
      <c r="BE20" s="42" t="s">
        <v>455</v>
      </c>
      <c r="BF20" s="42" t="s">
        <v>455</v>
      </c>
      <c r="BG20" s="42" t="s">
        <v>455</v>
      </c>
      <c r="BH20" s="42" t="s">
        <v>455</v>
      </c>
      <c r="BI20" s="42" t="s">
        <v>455</v>
      </c>
      <c r="BJ20" s="42" t="s">
        <v>455</v>
      </c>
      <c r="BK20" s="42" t="s">
        <v>455</v>
      </c>
      <c r="BL20" s="42" t="s">
        <v>455</v>
      </c>
      <c r="BM20" s="42" t="s">
        <v>455</v>
      </c>
      <c r="BN20" s="42" t="s">
        <v>455</v>
      </c>
      <c r="BO20" s="42" t="s">
        <v>455</v>
      </c>
      <c r="BP20" s="42" t="s">
        <v>455</v>
      </c>
      <c r="BQ20" s="42" t="s">
        <v>455</v>
      </c>
      <c r="BR20" s="42" t="s">
        <v>455</v>
      </c>
      <c r="BS20" s="42" t="s">
        <v>455</v>
      </c>
      <c r="BT20" s="42" t="s">
        <v>455</v>
      </c>
      <c r="BU20" s="42" t="s">
        <v>455</v>
      </c>
      <c r="BV20" s="42" t="s">
        <v>455</v>
      </c>
      <c r="BW20" s="42" t="s">
        <v>455</v>
      </c>
      <c r="BX20" s="42" t="s">
        <v>455</v>
      </c>
      <c r="BY20" s="42" t="s">
        <v>455</v>
      </c>
      <c r="BZ20" s="42" t="s">
        <v>455</v>
      </c>
      <c r="CA20" s="42" t="s">
        <v>455</v>
      </c>
      <c r="CB20" s="42" t="s">
        <v>455</v>
      </c>
      <c r="CC20" s="42" t="s">
        <v>455</v>
      </c>
      <c r="CD20" s="42" t="s">
        <v>455</v>
      </c>
      <c r="CE20" s="42" t="s">
        <v>455</v>
      </c>
      <c r="CF20" s="42" t="s">
        <v>455</v>
      </c>
      <c r="CG20" s="42" t="s">
        <v>455</v>
      </c>
      <c r="CH20" s="42" t="s">
        <v>455</v>
      </c>
      <c r="CI20" s="42" t="s">
        <v>455</v>
      </c>
      <c r="CJ20" s="42" t="s">
        <v>455</v>
      </c>
      <c r="CK20" s="42" t="s">
        <v>455</v>
      </c>
      <c r="CL20" s="42" t="s">
        <v>455</v>
      </c>
      <c r="CM20" s="42" t="s">
        <v>455</v>
      </c>
      <c r="CN20" s="42" t="s">
        <v>455</v>
      </c>
      <c r="CO20" s="42" t="s">
        <v>455</v>
      </c>
      <c r="CP20" s="42" t="s">
        <v>455</v>
      </c>
      <c r="CQ20" s="42" t="s">
        <v>455</v>
      </c>
      <c r="CR20" s="42">
        <v>0.70297674666724597</v>
      </c>
      <c r="CS20" s="42">
        <v>7.0297674666724597E-2</v>
      </c>
      <c r="CT20" s="42" t="s">
        <v>455</v>
      </c>
      <c r="CU20" s="42" t="s">
        <v>455</v>
      </c>
      <c r="CV20" s="42" t="s">
        <v>455</v>
      </c>
      <c r="CW20" s="42" t="s">
        <v>455</v>
      </c>
      <c r="CX20" s="42">
        <v>19.9916785275908</v>
      </c>
      <c r="CY20" s="42">
        <v>1.9991678527590802</v>
      </c>
      <c r="CZ20" s="42">
        <v>0.26417856631084802</v>
      </c>
      <c r="DA20" s="42">
        <v>2.6417856631084802E-2</v>
      </c>
      <c r="DB20" s="42">
        <v>1.8291543343152501</v>
      </c>
      <c r="DC20" s="42">
        <v>0.18291543343152503</v>
      </c>
      <c r="DD20" s="42" t="s">
        <v>455</v>
      </c>
      <c r="DE20" s="42" t="s">
        <v>455</v>
      </c>
      <c r="DF20" s="42" t="s">
        <v>455</v>
      </c>
      <c r="DG20" s="42" t="s">
        <v>455</v>
      </c>
      <c r="DH20" s="42" t="s">
        <v>455</v>
      </c>
      <c r="DI20" s="42" t="s">
        <v>455</v>
      </c>
      <c r="DJ20" s="42">
        <v>0.9996837260162259</v>
      </c>
      <c r="DK20" s="42">
        <v>0.99260753607806151</v>
      </c>
      <c r="DL20" s="42">
        <v>1.3279885488107579E-2</v>
      </c>
      <c r="DM20" s="42">
        <v>0.99250804375707358</v>
      </c>
      <c r="DN20" s="42">
        <v>4.5791880600819831E-8</v>
      </c>
      <c r="DO20" s="42">
        <v>1.9744013752281978E-7</v>
      </c>
      <c r="DP20" s="42">
        <v>3.7081491882990844E-4</v>
      </c>
      <c r="DQ20" s="42">
        <v>8.675061312727793E-8</v>
      </c>
      <c r="DR20" s="42">
        <v>1.2449363347359868E-8</v>
      </c>
      <c r="DS20" s="42">
        <v>1.396698848315215E-2</v>
      </c>
      <c r="DT20" s="42">
        <v>7.5926950750901242E-3</v>
      </c>
      <c r="DU20" s="42">
        <v>3.8886394575857403E-4</v>
      </c>
      <c r="DV20" s="42">
        <v>5.783748386010511E-8</v>
      </c>
      <c r="DW20" s="42">
        <v>1.0979921331474582E-8</v>
      </c>
      <c r="DX20" s="42">
        <v>2.671680813749646E-7</v>
      </c>
      <c r="DY20" s="42">
        <v>1.3102842650193003E-8</v>
      </c>
      <c r="DZ20" s="42">
        <v>4.5459862477196353E-8</v>
      </c>
      <c r="EA20" s="42">
        <v>2.3355066861221877E-5</v>
      </c>
      <c r="EB20" s="42">
        <v>2.850618439164131E-9</v>
      </c>
      <c r="EC20" s="42">
        <v>2.1754719667305174E-10</v>
      </c>
      <c r="ED20" s="42">
        <v>2.0237175613103918E-3</v>
      </c>
      <c r="EE20" s="42">
        <v>5.2376363005905095E-4</v>
      </c>
      <c r="EF20" s="42">
        <v>8.751898716731878E-7</v>
      </c>
      <c r="EG20" s="42">
        <v>3.5257649115977347E-9</v>
      </c>
      <c r="EH20" s="42">
        <v>1.4503146444870116E-9</v>
      </c>
      <c r="EI20" s="42">
        <v>8.0017359695832748E-10</v>
      </c>
      <c r="EJ20" s="42">
        <v>5.8894723251012834E-8</v>
      </c>
      <c r="EK20" s="42">
        <v>2.4290000000001613E-7</v>
      </c>
      <c r="EL20" s="42">
        <v>3.9416998569113032E-4</v>
      </c>
      <c r="EM20" s="42">
        <v>8.9601231566442061E-8</v>
      </c>
      <c r="EN20" s="42">
        <v>1.266691054403292E-8</v>
      </c>
      <c r="EO20" s="42">
        <v>1.5990706044462542E-2</v>
      </c>
      <c r="EP20" s="42">
        <v>8.1164587051491752E-3</v>
      </c>
      <c r="EQ20" s="42">
        <v>3.8973913563024722E-4</v>
      </c>
      <c r="ER20" s="42">
        <v>6.1363248771702844E-8</v>
      </c>
      <c r="ES20" s="42">
        <v>1.2430235975961594E-8</v>
      </c>
      <c r="ET20" s="42">
        <v>2.6796825497192293E-7</v>
      </c>
      <c r="EU20" s="42">
        <v>2.0414884456387219E-6</v>
      </c>
      <c r="EV20" s="42">
        <v>8.8023167044383362E-6</v>
      </c>
      <c r="EW20" s="42">
        <v>1.6554633304645922E-2</v>
      </c>
      <c r="EX20" s="42">
        <v>3.8800857670346759E-6</v>
      </c>
      <c r="EY20" s="42">
        <v>5.5899351093934866E-7</v>
      </c>
      <c r="EZ20" s="42">
        <v>0.6233299012482274</v>
      </c>
      <c r="FA20" s="42">
        <v>0.3386407469961249</v>
      </c>
      <c r="FB20" s="42">
        <v>1.7462870410552216E-2</v>
      </c>
      <c r="FC20" s="42">
        <v>2.5796016493563487E-6</v>
      </c>
      <c r="FD20" s="42">
        <v>4.8971395859790972E-7</v>
      </c>
      <c r="FE20" s="42">
        <v>1.1915926789574857E-5</v>
      </c>
      <c r="FF20" s="42">
        <v>5.8414945017375744E-7</v>
      </c>
      <c r="FG20" s="42">
        <v>2.0267009124132423E-6</v>
      </c>
      <c r="FH20" s="42">
        <v>1.0426618457343231E-3</v>
      </c>
      <c r="FI20" s="42">
        <v>1.2749931826786603E-7</v>
      </c>
      <c r="FJ20" s="42">
        <v>9.7681678870005497E-9</v>
      </c>
      <c r="FK20" s="42">
        <v>9.0317086535988689E-2</v>
      </c>
      <c r="FL20" s="42">
        <v>2.3360309505184973E-2</v>
      </c>
      <c r="FM20" s="42">
        <v>3.930250536300639E-5</v>
      </c>
      <c r="FN20" s="42">
        <v>1.5725215507643831E-7</v>
      </c>
      <c r="FO20" s="42">
        <v>6.468528364846404E-8</v>
      </c>
      <c r="FP20" s="42">
        <v>3.5688432357773906E-8</v>
      </c>
      <c r="FQ20" s="42">
        <v>2.6256378958124793E-6</v>
      </c>
      <c r="FR20" s="42">
        <v>1.0829017616851578E-5</v>
      </c>
      <c r="FS20" s="42">
        <v>1.7597295150380245E-2</v>
      </c>
      <c r="FT20" s="42">
        <v>4.0075850853025419E-6</v>
      </c>
      <c r="FU20" s="42">
        <v>5.6876167882634921E-7</v>
      </c>
      <c r="FV20" s="42">
        <v>0.71364698778421609</v>
      </c>
      <c r="FW20" s="42">
        <v>0.36200105650130987</v>
      </c>
      <c r="FX20" s="42">
        <v>1.7502172915915222E-2</v>
      </c>
      <c r="FY20" s="42">
        <v>2.736853804432787E-6</v>
      </c>
      <c r="FZ20" s="42">
        <v>5.5439924224637376E-7</v>
      </c>
      <c r="GA20" s="42">
        <v>1.1951615221932631E-5</v>
      </c>
      <c r="GB20" s="42">
        <v>8.1713028905801508E-6</v>
      </c>
      <c r="GC20" s="42">
        <v>1.776281104005543E-4</v>
      </c>
      <c r="GD20" s="42">
        <v>0.66132449125399528</v>
      </c>
      <c r="GE20" s="42">
        <v>3.2514342710597175E-4</v>
      </c>
      <c r="GF20" s="42">
        <v>7.3391935031759907E-5</v>
      </c>
      <c r="GG20" s="42">
        <v>17.461589855627093</v>
      </c>
      <c r="GH20" s="42">
        <v>10.836097534979601</v>
      </c>
      <c r="GI20" s="42">
        <v>0.76853219533319783</v>
      </c>
      <c r="GJ20" s="42">
        <v>4.1383156275733246E-5</v>
      </c>
      <c r="GK20" s="42">
        <v>9.872045748583543E-7</v>
      </c>
      <c r="GL20" s="42">
        <v>5.244533026042003E-4</v>
      </c>
      <c r="GM20" s="42" t="s">
        <v>455</v>
      </c>
      <c r="GN20" s="42" t="s">
        <v>455</v>
      </c>
      <c r="GO20" s="42" t="s">
        <v>455</v>
      </c>
      <c r="GP20" s="42" t="s">
        <v>455</v>
      </c>
      <c r="GQ20" s="42" t="s">
        <v>455</v>
      </c>
      <c r="GR20" s="42" t="s">
        <v>455</v>
      </c>
      <c r="GS20" s="42" t="s">
        <v>455</v>
      </c>
      <c r="GT20" s="42" t="s">
        <v>455</v>
      </c>
      <c r="GU20" s="42" t="s">
        <v>455</v>
      </c>
      <c r="GV20" s="42" t="s">
        <v>455</v>
      </c>
      <c r="GW20" s="42" t="s">
        <v>455</v>
      </c>
      <c r="GX20" s="42" t="s">
        <v>455</v>
      </c>
      <c r="GY20" s="42" t="s">
        <v>455</v>
      </c>
      <c r="GZ20" s="42" t="s">
        <v>455</v>
      </c>
      <c r="HA20" s="42" t="s">
        <v>455</v>
      </c>
      <c r="HB20" s="42" t="s">
        <v>455</v>
      </c>
      <c r="HC20" s="42" t="s">
        <v>455</v>
      </c>
      <c r="HD20" s="42" t="s">
        <v>455</v>
      </c>
      <c r="HE20" s="42" t="s">
        <v>455</v>
      </c>
      <c r="HF20" s="42" t="s">
        <v>455</v>
      </c>
      <c r="HG20" s="42" t="s">
        <v>455</v>
      </c>
      <c r="HH20" s="42" t="s">
        <v>455</v>
      </c>
      <c r="HI20" s="42" t="s">
        <v>455</v>
      </c>
      <c r="HJ20" s="42" t="s">
        <v>455</v>
      </c>
      <c r="HK20" s="42" t="s">
        <v>455</v>
      </c>
      <c r="HL20" s="42" t="s">
        <v>455</v>
      </c>
      <c r="HM20" s="42" t="s">
        <v>455</v>
      </c>
      <c r="HN20" s="42" t="s">
        <v>455</v>
      </c>
      <c r="HO20" s="42" t="s">
        <v>455</v>
      </c>
      <c r="HP20" s="42" t="s">
        <v>455</v>
      </c>
      <c r="HQ20" s="42" t="s">
        <v>455</v>
      </c>
      <c r="HR20" s="42" t="s">
        <v>455</v>
      </c>
      <c r="HS20" s="42" t="s">
        <v>455</v>
      </c>
      <c r="HT20" s="42" t="s">
        <v>455</v>
      </c>
      <c r="HU20" s="42" t="s">
        <v>455</v>
      </c>
      <c r="HV20" s="42" t="s">
        <v>455</v>
      </c>
      <c r="HW20" s="42" t="s">
        <v>455</v>
      </c>
      <c r="HX20" s="42" t="s">
        <v>455</v>
      </c>
      <c r="HY20" s="42" t="s">
        <v>455</v>
      </c>
      <c r="HZ20" s="42" t="s">
        <v>455</v>
      </c>
      <c r="IA20" s="42" t="s">
        <v>455</v>
      </c>
      <c r="IB20" s="42" t="s">
        <v>455</v>
      </c>
      <c r="IC20" s="42" t="s">
        <v>455</v>
      </c>
      <c r="ID20" s="42" t="s">
        <v>455</v>
      </c>
      <c r="IE20" s="42" t="s">
        <v>455</v>
      </c>
      <c r="IF20" s="42" t="s">
        <v>455</v>
      </c>
      <c r="IG20" s="42" t="s">
        <v>455</v>
      </c>
      <c r="IH20" s="42" t="s">
        <v>455</v>
      </c>
      <c r="II20" s="42" t="s">
        <v>455</v>
      </c>
      <c r="IJ20" s="42" t="s">
        <v>455</v>
      </c>
      <c r="IK20" s="42" t="s">
        <v>455</v>
      </c>
      <c r="IL20" s="42" t="s">
        <v>455</v>
      </c>
      <c r="IM20" s="42" t="s">
        <v>455</v>
      </c>
      <c r="IN20" s="42" t="s">
        <v>455</v>
      </c>
      <c r="IO20" s="42" t="s">
        <v>455</v>
      </c>
      <c r="IP20" s="42" t="s">
        <v>455</v>
      </c>
      <c r="IQ20" s="42" t="s">
        <v>455</v>
      </c>
      <c r="IR20" s="42" t="s">
        <v>455</v>
      </c>
      <c r="IS20" s="42" t="s">
        <v>455</v>
      </c>
      <c r="IT20" s="42" t="s">
        <v>455</v>
      </c>
      <c r="IU20" s="42" t="s">
        <v>455</v>
      </c>
      <c r="IV20" s="42" t="s">
        <v>455</v>
      </c>
      <c r="IW20" s="42" t="s">
        <v>455</v>
      </c>
      <c r="IX20" s="42" t="s">
        <v>455</v>
      </c>
      <c r="IY20" s="42" t="s">
        <v>455</v>
      </c>
      <c r="IZ20" s="42" t="s">
        <v>455</v>
      </c>
      <c r="JA20" s="42" t="s">
        <v>455</v>
      </c>
      <c r="JB20" s="42" t="s">
        <v>455</v>
      </c>
      <c r="JC20" s="42" t="s">
        <v>455</v>
      </c>
      <c r="JD20" s="42" t="s">
        <v>455</v>
      </c>
      <c r="JE20" s="42" t="s">
        <v>455</v>
      </c>
      <c r="JF20" s="42" t="s">
        <v>455</v>
      </c>
      <c r="JG20" s="42" t="s">
        <v>455</v>
      </c>
      <c r="JH20" s="42" t="s">
        <v>455</v>
      </c>
      <c r="JI20" s="42" t="s">
        <v>455</v>
      </c>
      <c r="JJ20" s="42" t="s">
        <v>455</v>
      </c>
      <c r="JK20" s="42" t="s">
        <v>455</v>
      </c>
      <c r="JL20" s="42" t="s">
        <v>455</v>
      </c>
      <c r="JM20" s="42" t="s">
        <v>455</v>
      </c>
    </row>
    <row r="21" spans="1:273">
      <c r="A21" s="42" t="s">
        <v>208</v>
      </c>
      <c r="B21" s="42" t="s">
        <v>209</v>
      </c>
      <c r="C21" s="42" t="s">
        <v>216</v>
      </c>
      <c r="D21" s="60">
        <v>41520</v>
      </c>
      <c r="E21" s="42" t="s">
        <v>218</v>
      </c>
      <c r="F21" s="42">
        <v>0.14891640378000001</v>
      </c>
      <c r="G21" s="42">
        <v>61.585365853658502</v>
      </c>
      <c r="H21" s="42">
        <v>19.219999313399999</v>
      </c>
      <c r="I21" s="42">
        <v>1</v>
      </c>
      <c r="J21" s="42">
        <v>0</v>
      </c>
      <c r="K21" s="42">
        <v>0</v>
      </c>
      <c r="L21" s="42" t="s">
        <v>454</v>
      </c>
      <c r="M21" s="42" t="s">
        <v>614</v>
      </c>
      <c r="N21" s="42">
        <v>2.887957890342621E-21</v>
      </c>
      <c r="O21" s="61" t="s">
        <v>455</v>
      </c>
      <c r="P21" s="42">
        <v>11.378677188701138</v>
      </c>
      <c r="Q21" s="42">
        <v>5.254960530443169</v>
      </c>
      <c r="R21" s="42">
        <v>2.4993500067441197</v>
      </c>
      <c r="S21" s="42">
        <v>0.53102656877266308</v>
      </c>
      <c r="T21" s="42" t="s">
        <v>455</v>
      </c>
      <c r="U21" s="42" t="s">
        <v>455</v>
      </c>
      <c r="V21" s="42" t="s">
        <v>456</v>
      </c>
      <c r="W21" s="42" t="s">
        <v>455</v>
      </c>
      <c r="X21" s="42">
        <v>8.1130982830050824E-2</v>
      </c>
      <c r="Y21" s="42">
        <v>2.4538046107305083</v>
      </c>
      <c r="Z21" s="42" t="s">
        <v>456</v>
      </c>
      <c r="AA21" s="42" t="s">
        <v>455</v>
      </c>
      <c r="AB21" s="42" t="s">
        <v>456</v>
      </c>
      <c r="AC21" s="42" t="s">
        <v>455</v>
      </c>
      <c r="AD21" s="42" t="s">
        <v>613</v>
      </c>
      <c r="AE21" s="42" t="s">
        <v>91</v>
      </c>
      <c r="AF21" s="42">
        <v>1.2268024983679736E-8</v>
      </c>
      <c r="AG21" s="42">
        <v>4</v>
      </c>
      <c r="AH21" s="62">
        <v>42880.574386574073</v>
      </c>
      <c r="AJ21" s="63" t="s">
        <v>650</v>
      </c>
      <c r="AK21" s="61">
        <v>1.5723810036861119</v>
      </c>
      <c r="AL21" s="61">
        <v>0.23011123791493571</v>
      </c>
      <c r="AM21" s="61">
        <v>6.2936206595454403E-2</v>
      </c>
      <c r="AN21" s="61" t="s">
        <v>455</v>
      </c>
      <c r="AO21" s="61" t="s">
        <v>455</v>
      </c>
      <c r="AP21" s="61">
        <v>0.1443393334392038</v>
      </c>
      <c r="AQ21" s="61">
        <v>-0.97563089530844549</v>
      </c>
      <c r="AR21" s="61">
        <v>1.5247992652193232</v>
      </c>
      <c r="AS21" s="61" t="s">
        <v>455</v>
      </c>
      <c r="AT21" s="61" t="s">
        <v>455</v>
      </c>
      <c r="AU21" s="61" t="s">
        <v>455</v>
      </c>
      <c r="AV21" s="42">
        <v>1.178E-7</v>
      </c>
      <c r="AW21" s="42">
        <v>1E-10</v>
      </c>
      <c r="AX21" s="42">
        <v>2.4289999999999998E-7</v>
      </c>
      <c r="AY21" s="42">
        <v>2.8999999999999998E-10</v>
      </c>
      <c r="AZ21" s="42" t="s">
        <v>455</v>
      </c>
      <c r="BA21" s="42" t="s">
        <v>455</v>
      </c>
      <c r="BB21" s="42" t="s">
        <v>455</v>
      </c>
      <c r="BC21" s="42" t="s">
        <v>455</v>
      </c>
      <c r="BD21" s="42" t="s">
        <v>455</v>
      </c>
      <c r="BE21" s="42" t="s">
        <v>455</v>
      </c>
      <c r="BF21" s="42" t="s">
        <v>455</v>
      </c>
      <c r="BG21" s="42" t="s">
        <v>455</v>
      </c>
      <c r="BH21" s="42" t="s">
        <v>455</v>
      </c>
      <c r="BI21" s="42" t="s">
        <v>455</v>
      </c>
      <c r="BJ21" s="42" t="s">
        <v>455</v>
      </c>
      <c r="BK21" s="42" t="s">
        <v>455</v>
      </c>
      <c r="BL21" s="42" t="s">
        <v>455</v>
      </c>
      <c r="BM21" s="42" t="s">
        <v>455</v>
      </c>
      <c r="BN21" s="42" t="s">
        <v>455</v>
      </c>
      <c r="BO21" s="42" t="s">
        <v>455</v>
      </c>
      <c r="BP21" s="42" t="s">
        <v>455</v>
      </c>
      <c r="BQ21" s="42" t="s">
        <v>455</v>
      </c>
      <c r="BR21" s="42" t="s">
        <v>455</v>
      </c>
      <c r="BS21" s="42" t="s">
        <v>455</v>
      </c>
      <c r="BT21" s="42" t="s">
        <v>455</v>
      </c>
      <c r="BU21" s="42" t="s">
        <v>455</v>
      </c>
      <c r="BV21" s="42" t="s">
        <v>455</v>
      </c>
      <c r="BW21" s="42" t="s">
        <v>455</v>
      </c>
      <c r="BX21" s="42" t="s">
        <v>455</v>
      </c>
      <c r="BY21" s="42" t="s">
        <v>455</v>
      </c>
      <c r="BZ21" s="42" t="s">
        <v>455</v>
      </c>
      <c r="CA21" s="42" t="s">
        <v>455</v>
      </c>
      <c r="CB21" s="42" t="s">
        <v>455</v>
      </c>
      <c r="CC21" s="42" t="s">
        <v>455</v>
      </c>
      <c r="CD21" s="42" t="s">
        <v>455</v>
      </c>
      <c r="CE21" s="42" t="s">
        <v>455</v>
      </c>
      <c r="CF21" s="42" t="s">
        <v>455</v>
      </c>
      <c r="CG21" s="42" t="s">
        <v>455</v>
      </c>
      <c r="CH21" s="42" t="s">
        <v>455</v>
      </c>
      <c r="CI21" s="42" t="s">
        <v>455</v>
      </c>
      <c r="CJ21" s="42" t="s">
        <v>455</v>
      </c>
      <c r="CK21" s="42" t="s">
        <v>455</v>
      </c>
      <c r="CL21" s="42" t="s">
        <v>455</v>
      </c>
      <c r="CM21" s="42" t="s">
        <v>455</v>
      </c>
      <c r="CN21" s="42" t="s">
        <v>455</v>
      </c>
      <c r="CO21" s="42" t="s">
        <v>455</v>
      </c>
      <c r="CP21" s="42" t="s">
        <v>455</v>
      </c>
      <c r="CQ21" s="42" t="s">
        <v>455</v>
      </c>
      <c r="CR21" s="42">
        <v>0.703134726960703</v>
      </c>
      <c r="CS21" s="42">
        <v>7.03134726960703E-2</v>
      </c>
      <c r="CT21" s="42" t="s">
        <v>455</v>
      </c>
      <c r="CU21" s="42" t="s">
        <v>455</v>
      </c>
      <c r="CV21" s="42" t="s">
        <v>455</v>
      </c>
      <c r="CW21" s="42" t="s">
        <v>455</v>
      </c>
      <c r="CX21" s="42">
        <v>19.986972563976199</v>
      </c>
      <c r="CY21" s="42">
        <v>1.99869725639762</v>
      </c>
      <c r="CZ21" s="42">
        <v>0.26413773772239202</v>
      </c>
      <c r="DA21" s="42">
        <v>2.6413773772239205E-2</v>
      </c>
      <c r="DB21" s="42">
        <v>1.9411742917774799</v>
      </c>
      <c r="DC21" s="42">
        <v>0.19411742917774799</v>
      </c>
      <c r="DD21" s="42" t="s">
        <v>455</v>
      </c>
      <c r="DE21" s="42" t="s">
        <v>455</v>
      </c>
      <c r="DF21" s="42" t="s">
        <v>455</v>
      </c>
      <c r="DG21" s="42" t="s">
        <v>455</v>
      </c>
      <c r="DH21" s="42" t="s">
        <v>455</v>
      </c>
      <c r="DI21" s="42" t="s">
        <v>455</v>
      </c>
      <c r="DJ21" s="42">
        <v>0.99968498557336105</v>
      </c>
      <c r="DK21" s="42">
        <v>0.99260753607806151</v>
      </c>
      <c r="DL21" s="42">
        <v>1.3269496064216837E-2</v>
      </c>
      <c r="DM21" s="42">
        <v>0.9925081226409318</v>
      </c>
      <c r="DN21" s="42">
        <v>4.5794149401351366E-8</v>
      </c>
      <c r="DO21" s="42">
        <v>1.9746181687740744E-7</v>
      </c>
      <c r="DP21" s="42">
        <v>3.7091414188592631E-4</v>
      </c>
      <c r="DQ21" s="42">
        <v>8.6779475421477971E-8</v>
      </c>
      <c r="DR21" s="42">
        <v>1.2454408773563294E-8</v>
      </c>
      <c r="DS21" s="42">
        <v>1.3970457715534084E-2</v>
      </c>
      <c r="DT21" s="42">
        <v>7.5947483180509555E-3</v>
      </c>
      <c r="DU21" s="42">
        <v>3.89020727456265E-4</v>
      </c>
      <c r="DV21" s="42">
        <v>5.7854499987258352E-8</v>
      </c>
      <c r="DW21" s="42">
        <v>1.0981225037120426E-8</v>
      </c>
      <c r="DX21" s="42">
        <v>2.672818114488408E-7</v>
      </c>
      <c r="DY21" s="42">
        <v>1.3096594035339185E-8</v>
      </c>
      <c r="DZ21" s="42">
        <v>4.5438183122608113E-8</v>
      </c>
      <c r="EA21" s="42">
        <v>2.3343929062990057E-5</v>
      </c>
      <c r="EB21" s="42">
        <v>2.8492590076882941E-9</v>
      </c>
      <c r="EC21" s="42">
        <v>2.1744345058673853E-10</v>
      </c>
      <c r="ED21" s="42">
        <v>2.0164661119274358E-3</v>
      </c>
      <c r="EE21" s="42">
        <v>5.2351385241262288E-4</v>
      </c>
      <c r="EF21" s="42">
        <v>8.7477250236046595E-7</v>
      </c>
      <c r="EG21" s="42">
        <v>3.5240835095092063E-9</v>
      </c>
      <c r="EH21" s="42">
        <v>1.4496230039115886E-9</v>
      </c>
      <c r="EI21" s="42">
        <v>7.9979200215812787E-10</v>
      </c>
      <c r="EJ21" s="42">
        <v>5.8890743436690551E-8</v>
      </c>
      <c r="EK21" s="42">
        <v>2.4290000000001555E-7</v>
      </c>
      <c r="EL21" s="42">
        <v>3.9425807094891637E-4</v>
      </c>
      <c r="EM21" s="42">
        <v>8.9628734429166265E-8</v>
      </c>
      <c r="EN21" s="42">
        <v>1.2671852224150033E-8</v>
      </c>
      <c r="EO21" s="42">
        <v>1.598692382746152E-2</v>
      </c>
      <c r="EP21" s="42">
        <v>8.1182621704635784E-3</v>
      </c>
      <c r="EQ21" s="42">
        <v>3.8989549995862546E-4</v>
      </c>
      <c r="ER21" s="42">
        <v>6.1378583496767558E-8</v>
      </c>
      <c r="ES21" s="42">
        <v>1.2430848041032015E-8</v>
      </c>
      <c r="ET21" s="42">
        <v>2.6808160345099893E-7</v>
      </c>
      <c r="EU21" s="42">
        <v>2.0415921653598974E-6</v>
      </c>
      <c r="EV21" s="42">
        <v>8.803294309617047E-6</v>
      </c>
      <c r="EW21" s="42">
        <v>1.6559083874969426E-2</v>
      </c>
      <c r="EX21" s="42">
        <v>3.8813815782665906E-6</v>
      </c>
      <c r="EY21" s="42">
        <v>5.5922076209719651E-7</v>
      </c>
      <c r="EZ21" s="42">
        <v>0.62348551448090961</v>
      </c>
      <c r="FA21" s="42">
        <v>0.33873275019024168</v>
      </c>
      <c r="FB21" s="42">
        <v>1.7469933080942218E-2</v>
      </c>
      <c r="FC21" s="42">
        <v>2.5803638344390284E-6</v>
      </c>
      <c r="FD21" s="42">
        <v>4.8977272208492744E-7</v>
      </c>
      <c r="FE21" s="42">
        <v>1.1921014268861256E-5</v>
      </c>
      <c r="FF21" s="42">
        <v>5.8387161078394484E-7</v>
      </c>
      <c r="FG21" s="42">
        <v>2.0257369513161811E-6</v>
      </c>
      <c r="FH21" s="42">
        <v>1.0421659237901809E-3</v>
      </c>
      <c r="FI21" s="42">
        <v>1.2743867568268785E-7</v>
      </c>
      <c r="FJ21" s="42">
        <v>9.7635218468399463E-9</v>
      </c>
      <c r="FK21" s="42">
        <v>8.999348356930148E-2</v>
      </c>
      <c r="FL21" s="42">
        <v>2.3349198625705725E-2</v>
      </c>
      <c r="FM21" s="42">
        <v>3.9283811886354353E-5</v>
      </c>
      <c r="FN21" s="42">
        <v>1.5717736112978651E-7</v>
      </c>
      <c r="FO21" s="42">
        <v>6.4654517344167447E-8</v>
      </c>
      <c r="FP21" s="42">
        <v>3.5671457845058135E-8</v>
      </c>
      <c r="FQ21" s="42">
        <v>2.6254637761438423E-6</v>
      </c>
      <c r="FR21" s="42">
        <v>1.0829031260933228E-5</v>
      </c>
      <c r="FS21" s="42">
        <v>1.7601249798759606E-2</v>
      </c>
      <c r="FT21" s="42">
        <v>4.0088202539492784E-6</v>
      </c>
      <c r="FU21" s="42">
        <v>5.6898428394403646E-7</v>
      </c>
      <c r="FV21" s="42">
        <v>0.71347899805021109</v>
      </c>
      <c r="FW21" s="42">
        <v>0.36208194881594741</v>
      </c>
      <c r="FX21" s="42">
        <v>1.7509216892828573E-2</v>
      </c>
      <c r="FY21" s="42">
        <v>2.7375411955688149E-6</v>
      </c>
      <c r="FZ21" s="42">
        <v>5.5442723942909489E-7</v>
      </c>
      <c r="GA21" s="42">
        <v>1.1956685726706314E-5</v>
      </c>
      <c r="GB21" s="42">
        <v>8.171718041231266E-6</v>
      </c>
      <c r="GC21" s="42">
        <v>1.7764783817977913E-4</v>
      </c>
      <c r="GD21" s="42">
        <v>0.66150228263727862</v>
      </c>
      <c r="GE21" s="42">
        <v>3.2525201349558377E-4</v>
      </c>
      <c r="GF21" s="42">
        <v>7.3421771518027227E-5</v>
      </c>
      <c r="GG21" s="42">
        <v>17.465949111359514</v>
      </c>
      <c r="GH21" s="42">
        <v>10.839041526787506</v>
      </c>
      <c r="GI21" s="42">
        <v>0.76884301992572657</v>
      </c>
      <c r="GJ21" s="42">
        <v>4.1395383599434734E-5</v>
      </c>
      <c r="GK21" s="42">
        <v>9.8732303499656367E-7</v>
      </c>
      <c r="GL21" s="42">
        <v>5.2467721681253665E-4</v>
      </c>
      <c r="GM21" s="42" t="s">
        <v>455</v>
      </c>
      <c r="GN21" s="42" t="s">
        <v>455</v>
      </c>
      <c r="GO21" s="42" t="s">
        <v>455</v>
      </c>
      <c r="GP21" s="42" t="s">
        <v>455</v>
      </c>
      <c r="GQ21" s="42" t="s">
        <v>455</v>
      </c>
      <c r="GR21" s="42" t="s">
        <v>455</v>
      </c>
      <c r="GS21" s="42" t="s">
        <v>455</v>
      </c>
      <c r="GT21" s="42" t="s">
        <v>455</v>
      </c>
      <c r="GU21" s="42" t="s">
        <v>455</v>
      </c>
      <c r="GV21" s="42" t="s">
        <v>455</v>
      </c>
      <c r="GW21" s="42" t="s">
        <v>455</v>
      </c>
      <c r="GX21" s="42" t="s">
        <v>455</v>
      </c>
      <c r="GY21" s="42" t="s">
        <v>455</v>
      </c>
      <c r="GZ21" s="42" t="s">
        <v>455</v>
      </c>
      <c r="HA21" s="42" t="s">
        <v>455</v>
      </c>
      <c r="HB21" s="42" t="s">
        <v>455</v>
      </c>
      <c r="HC21" s="42" t="s">
        <v>455</v>
      </c>
      <c r="HD21" s="42" t="s">
        <v>455</v>
      </c>
      <c r="HE21" s="42" t="s">
        <v>455</v>
      </c>
      <c r="HF21" s="42" t="s">
        <v>455</v>
      </c>
      <c r="HG21" s="42" t="s">
        <v>455</v>
      </c>
      <c r="HH21" s="42" t="s">
        <v>455</v>
      </c>
      <c r="HI21" s="42" t="s">
        <v>455</v>
      </c>
      <c r="HJ21" s="42" t="s">
        <v>455</v>
      </c>
      <c r="HK21" s="42" t="s">
        <v>455</v>
      </c>
      <c r="HL21" s="42" t="s">
        <v>455</v>
      </c>
      <c r="HM21" s="42" t="s">
        <v>455</v>
      </c>
      <c r="HN21" s="42" t="s">
        <v>455</v>
      </c>
      <c r="HO21" s="42" t="s">
        <v>455</v>
      </c>
      <c r="HP21" s="42" t="s">
        <v>455</v>
      </c>
      <c r="HQ21" s="42" t="s">
        <v>455</v>
      </c>
      <c r="HR21" s="42" t="s">
        <v>455</v>
      </c>
      <c r="HS21" s="42" t="s">
        <v>455</v>
      </c>
      <c r="HT21" s="42" t="s">
        <v>455</v>
      </c>
      <c r="HU21" s="42" t="s">
        <v>455</v>
      </c>
      <c r="HV21" s="42" t="s">
        <v>455</v>
      </c>
      <c r="HW21" s="42" t="s">
        <v>455</v>
      </c>
      <c r="HX21" s="42" t="s">
        <v>455</v>
      </c>
      <c r="HY21" s="42" t="s">
        <v>455</v>
      </c>
      <c r="HZ21" s="42" t="s">
        <v>455</v>
      </c>
      <c r="IA21" s="42" t="s">
        <v>455</v>
      </c>
      <c r="IB21" s="42" t="s">
        <v>455</v>
      </c>
      <c r="IC21" s="42" t="s">
        <v>455</v>
      </c>
      <c r="ID21" s="42" t="s">
        <v>455</v>
      </c>
      <c r="IE21" s="42" t="s">
        <v>455</v>
      </c>
      <c r="IF21" s="42" t="s">
        <v>455</v>
      </c>
      <c r="IG21" s="42" t="s">
        <v>455</v>
      </c>
      <c r="IH21" s="42" t="s">
        <v>455</v>
      </c>
      <c r="II21" s="42" t="s">
        <v>455</v>
      </c>
      <c r="IJ21" s="42" t="s">
        <v>455</v>
      </c>
      <c r="IK21" s="42" t="s">
        <v>455</v>
      </c>
      <c r="IL21" s="42" t="s">
        <v>455</v>
      </c>
      <c r="IM21" s="42" t="s">
        <v>455</v>
      </c>
      <c r="IN21" s="42" t="s">
        <v>455</v>
      </c>
      <c r="IO21" s="42" t="s">
        <v>455</v>
      </c>
      <c r="IP21" s="42" t="s">
        <v>455</v>
      </c>
      <c r="IQ21" s="42" t="s">
        <v>455</v>
      </c>
      <c r="IR21" s="42" t="s">
        <v>455</v>
      </c>
      <c r="IS21" s="42" t="s">
        <v>455</v>
      </c>
      <c r="IT21" s="42" t="s">
        <v>455</v>
      </c>
      <c r="IU21" s="42" t="s">
        <v>455</v>
      </c>
      <c r="IV21" s="42" t="s">
        <v>455</v>
      </c>
      <c r="IW21" s="42" t="s">
        <v>455</v>
      </c>
      <c r="IX21" s="42" t="s">
        <v>455</v>
      </c>
      <c r="IY21" s="42" t="s">
        <v>455</v>
      </c>
      <c r="IZ21" s="42" t="s">
        <v>455</v>
      </c>
      <c r="JA21" s="42" t="s">
        <v>455</v>
      </c>
      <c r="JB21" s="42" t="s">
        <v>455</v>
      </c>
      <c r="JC21" s="42" t="s">
        <v>455</v>
      </c>
      <c r="JD21" s="42" t="s">
        <v>455</v>
      </c>
      <c r="JE21" s="42" t="s">
        <v>455</v>
      </c>
      <c r="JF21" s="42" t="s">
        <v>455</v>
      </c>
      <c r="JG21" s="42" t="s">
        <v>455</v>
      </c>
      <c r="JH21" s="42" t="s">
        <v>455</v>
      </c>
      <c r="JI21" s="42" t="s">
        <v>455</v>
      </c>
      <c r="JJ21" s="42" t="s">
        <v>455</v>
      </c>
      <c r="JK21" s="42" t="s">
        <v>455</v>
      </c>
      <c r="JL21" s="42" t="s">
        <v>455</v>
      </c>
      <c r="JM21" s="42" t="s">
        <v>455</v>
      </c>
    </row>
    <row r="22" spans="1:273">
      <c r="A22" s="42" t="s">
        <v>208</v>
      </c>
      <c r="B22" s="42" t="s">
        <v>209</v>
      </c>
      <c r="C22" s="42" t="s">
        <v>228</v>
      </c>
      <c r="D22" s="60">
        <v>41521</v>
      </c>
      <c r="E22" s="42" t="s">
        <v>229</v>
      </c>
      <c r="F22" s="42">
        <v>0.12044944512</v>
      </c>
      <c r="G22" s="42">
        <v>61.585365853658502</v>
      </c>
      <c r="H22" s="42">
        <v>18.9500007629</v>
      </c>
      <c r="I22" s="42">
        <v>1</v>
      </c>
      <c r="J22" s="42">
        <v>0</v>
      </c>
      <c r="K22" s="42">
        <v>0</v>
      </c>
      <c r="L22" s="42" t="s">
        <v>454</v>
      </c>
      <c r="M22" s="42" t="s">
        <v>614</v>
      </c>
      <c r="N22" s="42">
        <v>1.3636754606405331E-3</v>
      </c>
      <c r="O22" s="61" t="s">
        <v>455</v>
      </c>
      <c r="P22" s="42">
        <v>12.277311284333342</v>
      </c>
      <c r="Q22" s="42">
        <v>5.4498415110904999</v>
      </c>
      <c r="R22" s="42">
        <v>3.3235533027479658</v>
      </c>
      <c r="S22" s="42">
        <v>0.53524404960508221</v>
      </c>
      <c r="T22" s="42" t="s">
        <v>455</v>
      </c>
      <c r="U22" s="42" t="s">
        <v>455</v>
      </c>
      <c r="V22" s="42" t="s">
        <v>456</v>
      </c>
      <c r="W22" s="42" t="s">
        <v>455</v>
      </c>
      <c r="X22" s="42">
        <v>0</v>
      </c>
      <c r="Y22" s="42">
        <v>2.4826198874521475</v>
      </c>
      <c r="Z22" s="42" t="s">
        <v>456</v>
      </c>
      <c r="AA22" s="42" t="s">
        <v>455</v>
      </c>
      <c r="AB22" s="42" t="s">
        <v>456</v>
      </c>
      <c r="AC22" s="42" t="s">
        <v>455</v>
      </c>
      <c r="AD22" s="42" t="s">
        <v>613</v>
      </c>
      <c r="AE22" s="42" t="s">
        <v>91</v>
      </c>
      <c r="AF22" s="42">
        <v>2.5907309566536342E-3</v>
      </c>
      <c r="AG22" s="42">
        <v>17</v>
      </c>
      <c r="AH22" s="62">
        <v>42880.574386574073</v>
      </c>
      <c r="AJ22" s="63" t="s">
        <v>649</v>
      </c>
      <c r="AK22" s="61">
        <v>3.8431120243033297</v>
      </c>
      <c r="AL22" s="61">
        <v>0.30852800913453327</v>
      </c>
      <c r="AM22" s="61">
        <v>8.5412058196710827E-2</v>
      </c>
      <c r="AN22" s="61" t="s">
        <v>455</v>
      </c>
      <c r="AO22" s="61" t="s">
        <v>455</v>
      </c>
      <c r="AP22" s="61">
        <v>0.18677045383102708</v>
      </c>
      <c r="AQ22" s="61">
        <v>-0.9752383962707496</v>
      </c>
      <c r="AR22" s="61">
        <v>14.542358518495822</v>
      </c>
      <c r="AS22" s="61" t="s">
        <v>455</v>
      </c>
      <c r="AT22" s="61" t="s">
        <v>455</v>
      </c>
      <c r="AU22" s="61" t="s">
        <v>455</v>
      </c>
      <c r="AV22" s="42">
        <v>2.2100000000000001E-7</v>
      </c>
      <c r="AW22" s="42">
        <v>4.0000000000000001E-10</v>
      </c>
      <c r="AX22" s="42">
        <v>2.5629999999999999E-7</v>
      </c>
      <c r="AY22" s="42">
        <v>2.8999999999999998E-10</v>
      </c>
      <c r="AZ22" s="42" t="s">
        <v>455</v>
      </c>
      <c r="BA22" s="42" t="s">
        <v>455</v>
      </c>
      <c r="BB22" s="42" t="s">
        <v>455</v>
      </c>
      <c r="BC22" s="42" t="s">
        <v>455</v>
      </c>
      <c r="BD22" s="42" t="s">
        <v>455</v>
      </c>
      <c r="BE22" s="42" t="s">
        <v>455</v>
      </c>
      <c r="BF22" s="42" t="s">
        <v>455</v>
      </c>
      <c r="BG22" s="42" t="s">
        <v>455</v>
      </c>
      <c r="BH22" s="42" t="s">
        <v>455</v>
      </c>
      <c r="BI22" s="42" t="s">
        <v>455</v>
      </c>
      <c r="BJ22" s="42" t="s">
        <v>455</v>
      </c>
      <c r="BK22" s="42" t="s">
        <v>455</v>
      </c>
      <c r="BL22" s="42" t="s">
        <v>455</v>
      </c>
      <c r="BM22" s="42" t="s">
        <v>455</v>
      </c>
      <c r="BN22" s="42" t="s">
        <v>455</v>
      </c>
      <c r="BO22" s="42" t="s">
        <v>455</v>
      </c>
      <c r="BP22" s="42" t="s">
        <v>455</v>
      </c>
      <c r="BQ22" s="42" t="s">
        <v>455</v>
      </c>
      <c r="BR22" s="42" t="s">
        <v>455</v>
      </c>
      <c r="BS22" s="42" t="s">
        <v>455</v>
      </c>
      <c r="BT22" s="42" t="s">
        <v>455</v>
      </c>
      <c r="BU22" s="42" t="s">
        <v>455</v>
      </c>
      <c r="BV22" s="42" t="s">
        <v>455</v>
      </c>
      <c r="BW22" s="42" t="s">
        <v>455</v>
      </c>
      <c r="BX22" s="42" t="s">
        <v>455</v>
      </c>
      <c r="BY22" s="42" t="s">
        <v>455</v>
      </c>
      <c r="BZ22" s="42" t="s">
        <v>455</v>
      </c>
      <c r="CA22" s="42" t="s">
        <v>455</v>
      </c>
      <c r="CB22" s="42" t="s">
        <v>455</v>
      </c>
      <c r="CC22" s="42" t="s">
        <v>455</v>
      </c>
      <c r="CD22" s="42" t="s">
        <v>455</v>
      </c>
      <c r="CE22" s="42" t="s">
        <v>455</v>
      </c>
      <c r="CF22" s="42" t="s">
        <v>455</v>
      </c>
      <c r="CG22" s="42" t="s">
        <v>455</v>
      </c>
      <c r="CH22" s="42" t="s">
        <v>455</v>
      </c>
      <c r="CI22" s="42" t="s">
        <v>455</v>
      </c>
      <c r="CJ22" s="42" t="s">
        <v>455</v>
      </c>
      <c r="CK22" s="42" t="s">
        <v>455</v>
      </c>
      <c r="CL22" s="42" t="s">
        <v>455</v>
      </c>
      <c r="CM22" s="42" t="s">
        <v>455</v>
      </c>
      <c r="CN22" s="42" t="s">
        <v>455</v>
      </c>
      <c r="CO22" s="42" t="s">
        <v>455</v>
      </c>
      <c r="CP22" s="42" t="s">
        <v>455</v>
      </c>
      <c r="CQ22" s="42" t="s">
        <v>455</v>
      </c>
      <c r="CR22" s="42">
        <v>0.70369649888100405</v>
      </c>
      <c r="CS22" s="42">
        <v>7.0369649888100405E-2</v>
      </c>
      <c r="CT22" s="42" t="s">
        <v>455</v>
      </c>
      <c r="CU22" s="42" t="s">
        <v>455</v>
      </c>
      <c r="CV22" s="42" t="s">
        <v>455</v>
      </c>
      <c r="CW22" s="42" t="s">
        <v>455</v>
      </c>
      <c r="CX22" s="42">
        <v>20.3451143857685</v>
      </c>
      <c r="CY22" s="42">
        <v>2.0345114385768501</v>
      </c>
      <c r="CZ22" s="42">
        <v>0.262990775540555</v>
      </c>
      <c r="DA22" s="42">
        <v>2.62990775540555E-2</v>
      </c>
      <c r="DB22" s="42">
        <v>11.591294122828</v>
      </c>
      <c r="DC22" s="42">
        <v>1.1591294122828</v>
      </c>
      <c r="DD22" s="42" t="s">
        <v>455</v>
      </c>
      <c r="DE22" s="42" t="s">
        <v>455</v>
      </c>
      <c r="DF22" s="42" t="s">
        <v>455</v>
      </c>
      <c r="DG22" s="42" t="s">
        <v>455</v>
      </c>
      <c r="DH22" s="42" t="s">
        <v>455</v>
      </c>
      <c r="DI22" s="42" t="s">
        <v>455</v>
      </c>
      <c r="DJ22" s="42">
        <v>0.99956178941617246</v>
      </c>
      <c r="DK22" s="42">
        <v>0.99260753607806151</v>
      </c>
      <c r="DL22" s="42">
        <v>1.4081039987837709E-2</v>
      </c>
      <c r="DM22" s="42">
        <v>0.99250195581810574</v>
      </c>
      <c r="DN22" s="42">
        <v>4.5631816668909359E-8</v>
      </c>
      <c r="DO22" s="42">
        <v>1.9586894450162977E-7</v>
      </c>
      <c r="DP22" s="42">
        <v>3.6356855722508117E-4</v>
      </c>
      <c r="DQ22" s="42">
        <v>8.4642005779884175E-8</v>
      </c>
      <c r="DR22" s="42">
        <v>1.208085880849725E-8</v>
      </c>
      <c r="DS22" s="42">
        <v>1.3714038954535244E-2</v>
      </c>
      <c r="DT22" s="42">
        <v>7.442824463855682E-3</v>
      </c>
      <c r="DU22" s="42">
        <v>3.7740147446160615E-4</v>
      </c>
      <c r="DV22" s="42">
        <v>5.659705883219731E-8</v>
      </c>
      <c r="DW22" s="42">
        <v>1.0885463162649356E-8</v>
      </c>
      <c r="DX22" s="42">
        <v>2.5886294560946712E-7</v>
      </c>
      <c r="DY22" s="42">
        <v>1.7415419306399344E-8</v>
      </c>
      <c r="DZ22" s="42">
        <v>6.042219904395801E-8</v>
      </c>
      <c r="EA22" s="42">
        <v>3.1041987847666016E-5</v>
      </c>
      <c r="EB22" s="42">
        <v>3.7888507651326767E-9</v>
      </c>
      <c r="EC22" s="42">
        <v>2.8914913733907316E-10</v>
      </c>
      <c r="ED22" s="42">
        <v>2.5951633609177203E-3</v>
      </c>
      <c r="EE22" s="42">
        <v>6.9615147479358888E-4</v>
      </c>
      <c r="EF22" s="42">
        <v>1.1632436559617693E-6</v>
      </c>
      <c r="EG22" s="42">
        <v>4.6862101568746316E-9</v>
      </c>
      <c r="EH22" s="42">
        <v>1.9276609155938205E-9</v>
      </c>
      <c r="EI22" s="42">
        <v>1.0635370568793246E-9</v>
      </c>
      <c r="EJ22" s="42">
        <v>6.3047235975308703E-8</v>
      </c>
      <c r="EK22" s="42">
        <v>2.5629114354558778E-7</v>
      </c>
      <c r="EL22" s="42">
        <v>3.9461054507274718E-4</v>
      </c>
      <c r="EM22" s="42">
        <v>8.8430856545016852E-8</v>
      </c>
      <c r="EN22" s="42">
        <v>1.2370007945836323E-8</v>
      </c>
      <c r="EO22" s="42">
        <v>1.6309202315452964E-2</v>
      </c>
      <c r="EP22" s="42">
        <v>8.1389759386492708E-3</v>
      </c>
      <c r="EQ22" s="42">
        <v>3.7856471811756792E-4</v>
      </c>
      <c r="ER22" s="42">
        <v>6.1283268989071942E-8</v>
      </c>
      <c r="ES22" s="42">
        <v>1.2813124078243176E-8</v>
      </c>
      <c r="ET22" s="42">
        <v>2.5992648266634644E-7</v>
      </c>
      <c r="EU22" s="42">
        <v>2.0341043530096394E-6</v>
      </c>
      <c r="EV22" s="42">
        <v>8.7312043348106311E-6</v>
      </c>
      <c r="EW22" s="42">
        <v>1.6229147488358013E-2</v>
      </c>
      <c r="EX22" s="42">
        <v>3.7853125321963309E-6</v>
      </c>
      <c r="EY22" s="42">
        <v>5.4238098599153342E-7</v>
      </c>
      <c r="EZ22" s="42">
        <v>0.61196641412994501</v>
      </c>
      <c r="FA22" s="42">
        <v>0.33191589807272459</v>
      </c>
      <c r="FB22" s="42">
        <v>1.6946053328293652E-2</v>
      </c>
      <c r="FC22" s="42">
        <v>2.5239697243688555E-6</v>
      </c>
      <c r="FD22" s="42">
        <v>4.8544182374772991E-7</v>
      </c>
      <c r="FE22" s="42">
        <v>1.1544102307796032E-5</v>
      </c>
      <c r="FF22" s="42">
        <v>7.7631755223918624E-7</v>
      </c>
      <c r="FG22" s="42">
        <v>2.6934262986596496E-6</v>
      </c>
      <c r="FH22" s="42">
        <v>1.3856671296239229E-3</v>
      </c>
      <c r="FI22" s="42">
        <v>1.6944286884192543E-7</v>
      </c>
      <c r="FJ22" s="42">
        <v>1.2981609726144631E-8</v>
      </c>
      <c r="FK22" s="42">
        <v>0.11580489317022324</v>
      </c>
      <c r="FL22" s="42">
        <v>3.1045168816337454E-2</v>
      </c>
      <c r="FM22" s="42">
        <v>5.223188132968612E-5</v>
      </c>
      <c r="FN22" s="42">
        <v>2.089835196745716E-7</v>
      </c>
      <c r="FO22" s="42">
        <v>8.5964852064717428E-8</v>
      </c>
      <c r="FP22" s="42">
        <v>4.7428883897774899E-8</v>
      </c>
      <c r="FQ22" s="42">
        <v>2.8104219052488256E-6</v>
      </c>
      <c r="FR22" s="42">
        <v>1.1424630633470281E-5</v>
      </c>
      <c r="FS22" s="42">
        <v>1.7614814617981936E-2</v>
      </c>
      <c r="FT22" s="42">
        <v>3.9547554010382564E-6</v>
      </c>
      <c r="FU22" s="42">
        <v>5.5536259571767805E-7</v>
      </c>
      <c r="FV22" s="42">
        <v>0.72777130730016826</v>
      </c>
      <c r="FW22" s="42">
        <v>0.36296106688906205</v>
      </c>
      <c r="FX22" s="42">
        <v>1.6998285209623338E-2</v>
      </c>
      <c r="FY22" s="42">
        <v>2.7329532440434271E-6</v>
      </c>
      <c r="FZ22" s="42">
        <v>5.7140667581244734E-7</v>
      </c>
      <c r="GA22" s="42">
        <v>1.1591531191693807E-5</v>
      </c>
      <c r="GB22" s="42">
        <v>8.1417471722643132E-6</v>
      </c>
      <c r="GC22" s="42">
        <v>1.7619308411517809E-4</v>
      </c>
      <c r="GD22" s="42">
        <v>0.6483219838649259</v>
      </c>
      <c r="GE22" s="42">
        <v>3.1720161957298816E-4</v>
      </c>
      <c r="GF22" s="42">
        <v>7.1210826793786407E-5</v>
      </c>
      <c r="GG22" s="42">
        <v>17.143259945587801</v>
      </c>
      <c r="GH22" s="42">
        <v>10.620910439249499</v>
      </c>
      <c r="GI22" s="42">
        <v>0.74578733395153951</v>
      </c>
      <c r="GJ22" s="42">
        <v>4.0490683344398387E-5</v>
      </c>
      <c r="GK22" s="42">
        <v>9.785924636565739E-7</v>
      </c>
      <c r="GL22" s="42">
        <v>5.0808826605256525E-4</v>
      </c>
      <c r="GM22" s="42" t="s">
        <v>455</v>
      </c>
      <c r="GN22" s="42" t="s">
        <v>455</v>
      </c>
      <c r="GO22" s="42" t="s">
        <v>455</v>
      </c>
      <c r="GP22" s="42" t="s">
        <v>455</v>
      </c>
      <c r="GQ22" s="42" t="s">
        <v>455</v>
      </c>
      <c r="GR22" s="42" t="s">
        <v>455</v>
      </c>
      <c r="GS22" s="42" t="s">
        <v>455</v>
      </c>
      <c r="GT22" s="42" t="s">
        <v>455</v>
      </c>
      <c r="GU22" s="42" t="s">
        <v>455</v>
      </c>
      <c r="GV22" s="42" t="s">
        <v>455</v>
      </c>
      <c r="GW22" s="42" t="s">
        <v>455</v>
      </c>
      <c r="GX22" s="42" t="s">
        <v>455</v>
      </c>
      <c r="GY22" s="42" t="s">
        <v>455</v>
      </c>
      <c r="GZ22" s="42" t="s">
        <v>455</v>
      </c>
      <c r="HA22" s="42" t="s">
        <v>455</v>
      </c>
      <c r="HB22" s="42" t="s">
        <v>455</v>
      </c>
      <c r="HC22" s="42" t="s">
        <v>455</v>
      </c>
      <c r="HD22" s="42" t="s">
        <v>455</v>
      </c>
      <c r="HE22" s="42" t="s">
        <v>455</v>
      </c>
      <c r="HF22" s="42" t="s">
        <v>455</v>
      </c>
      <c r="HG22" s="42" t="s">
        <v>455</v>
      </c>
      <c r="HH22" s="42" t="s">
        <v>455</v>
      </c>
      <c r="HI22" s="42" t="s">
        <v>455</v>
      </c>
      <c r="HJ22" s="42" t="s">
        <v>455</v>
      </c>
      <c r="HK22" s="42" t="s">
        <v>455</v>
      </c>
      <c r="HL22" s="42" t="s">
        <v>455</v>
      </c>
      <c r="HM22" s="42" t="s">
        <v>455</v>
      </c>
      <c r="HN22" s="42" t="s">
        <v>455</v>
      </c>
      <c r="HO22" s="42" t="s">
        <v>455</v>
      </c>
      <c r="HP22" s="42" t="s">
        <v>455</v>
      </c>
      <c r="HQ22" s="42" t="s">
        <v>455</v>
      </c>
      <c r="HR22" s="42" t="s">
        <v>455</v>
      </c>
      <c r="HS22" s="42" t="s">
        <v>455</v>
      </c>
      <c r="HT22" s="42" t="s">
        <v>455</v>
      </c>
      <c r="HU22" s="42" t="s">
        <v>455</v>
      </c>
      <c r="HV22" s="42" t="s">
        <v>455</v>
      </c>
      <c r="HW22" s="42" t="s">
        <v>455</v>
      </c>
      <c r="HX22" s="42" t="s">
        <v>455</v>
      </c>
      <c r="HY22" s="42" t="s">
        <v>455</v>
      </c>
      <c r="HZ22" s="42" t="s">
        <v>455</v>
      </c>
      <c r="IA22" s="42" t="s">
        <v>455</v>
      </c>
      <c r="IB22" s="42" t="s">
        <v>455</v>
      </c>
      <c r="IC22" s="42" t="s">
        <v>455</v>
      </c>
      <c r="ID22" s="42" t="s">
        <v>455</v>
      </c>
      <c r="IE22" s="42" t="s">
        <v>455</v>
      </c>
      <c r="IF22" s="42" t="s">
        <v>455</v>
      </c>
      <c r="IG22" s="42" t="s">
        <v>455</v>
      </c>
      <c r="IH22" s="42" t="s">
        <v>455</v>
      </c>
      <c r="II22" s="42" t="s">
        <v>455</v>
      </c>
      <c r="IJ22" s="42" t="s">
        <v>455</v>
      </c>
      <c r="IK22" s="42" t="s">
        <v>455</v>
      </c>
      <c r="IL22" s="42" t="s">
        <v>455</v>
      </c>
      <c r="IM22" s="42" t="s">
        <v>455</v>
      </c>
      <c r="IN22" s="42" t="s">
        <v>455</v>
      </c>
      <c r="IO22" s="42" t="s">
        <v>455</v>
      </c>
      <c r="IP22" s="42" t="s">
        <v>455</v>
      </c>
      <c r="IQ22" s="42" t="s">
        <v>455</v>
      </c>
      <c r="IR22" s="42" t="s">
        <v>455</v>
      </c>
      <c r="IS22" s="42" t="s">
        <v>455</v>
      </c>
      <c r="IT22" s="42" t="s">
        <v>455</v>
      </c>
      <c r="IU22" s="42" t="s">
        <v>455</v>
      </c>
      <c r="IV22" s="42" t="s">
        <v>455</v>
      </c>
      <c r="IW22" s="42" t="s">
        <v>455</v>
      </c>
      <c r="IX22" s="42" t="s">
        <v>455</v>
      </c>
      <c r="IY22" s="42" t="s">
        <v>455</v>
      </c>
      <c r="IZ22" s="42" t="s">
        <v>455</v>
      </c>
      <c r="JA22" s="42" t="s">
        <v>455</v>
      </c>
      <c r="JB22" s="42" t="s">
        <v>455</v>
      </c>
      <c r="JC22" s="42" t="s">
        <v>455</v>
      </c>
      <c r="JD22" s="42" t="s">
        <v>455</v>
      </c>
      <c r="JE22" s="42" t="s">
        <v>455</v>
      </c>
      <c r="JF22" s="42" t="s">
        <v>455</v>
      </c>
      <c r="JG22" s="42" t="s">
        <v>455</v>
      </c>
      <c r="JH22" s="42" t="s">
        <v>455</v>
      </c>
      <c r="JI22" s="42" t="s">
        <v>455</v>
      </c>
      <c r="JJ22" s="42" t="s">
        <v>455</v>
      </c>
      <c r="JK22" s="42" t="s">
        <v>455</v>
      </c>
      <c r="JL22" s="42" t="s">
        <v>455</v>
      </c>
      <c r="JM22" s="42" t="s">
        <v>455</v>
      </c>
    </row>
    <row r="23" spans="1:273">
      <c r="A23" s="42" t="s">
        <v>208</v>
      </c>
      <c r="B23" s="42" t="s">
        <v>209</v>
      </c>
      <c r="C23" s="42" t="s">
        <v>228</v>
      </c>
      <c r="D23" s="60">
        <v>41521</v>
      </c>
      <c r="E23" s="42" t="s">
        <v>230</v>
      </c>
      <c r="F23" s="42">
        <v>0.12044944512</v>
      </c>
      <c r="G23" s="42">
        <v>61.585365853658502</v>
      </c>
      <c r="H23" s="42">
        <v>18.9500007629</v>
      </c>
      <c r="I23" s="42">
        <v>1</v>
      </c>
      <c r="J23" s="42">
        <v>0</v>
      </c>
      <c r="K23" s="42">
        <v>0</v>
      </c>
      <c r="L23" s="42" t="s">
        <v>454</v>
      </c>
      <c r="M23" s="42" t="s">
        <v>614</v>
      </c>
      <c r="N23" s="42">
        <v>1.5441014070374186E-22</v>
      </c>
      <c r="O23" s="61" t="s">
        <v>455</v>
      </c>
      <c r="P23" s="42">
        <v>11.814013175131587</v>
      </c>
      <c r="Q23" s="42">
        <v>5.395829705815979</v>
      </c>
      <c r="R23" s="42">
        <v>3.2782253706641002</v>
      </c>
      <c r="S23" s="42">
        <v>0.53784909702471495</v>
      </c>
      <c r="T23" s="42" t="s">
        <v>455</v>
      </c>
      <c r="U23" s="42" t="s">
        <v>455</v>
      </c>
      <c r="V23" s="42" t="s">
        <v>456</v>
      </c>
      <c r="W23" s="42" t="s">
        <v>455</v>
      </c>
      <c r="X23" s="42">
        <v>2.2646171836390814E-4</v>
      </c>
      <c r="Y23" s="42">
        <v>2.5037827759532849</v>
      </c>
      <c r="Z23" s="42" t="s">
        <v>456</v>
      </c>
      <c r="AA23" s="42" t="s">
        <v>455</v>
      </c>
      <c r="AB23" s="42" t="s">
        <v>456</v>
      </c>
      <c r="AC23" s="42" t="s">
        <v>455</v>
      </c>
      <c r="AD23" s="42" t="s">
        <v>613</v>
      </c>
      <c r="AE23" s="42" t="s">
        <v>91</v>
      </c>
      <c r="AF23" s="42">
        <v>2.4034183081221388E-9</v>
      </c>
      <c r="AG23" s="42">
        <v>4</v>
      </c>
      <c r="AH23" s="62">
        <v>42880.574386574073</v>
      </c>
      <c r="AJ23" s="63" t="s">
        <v>648</v>
      </c>
      <c r="AK23" s="61">
        <v>3.8339357846885331</v>
      </c>
      <c r="AL23" s="61">
        <v>0.30298715224158101</v>
      </c>
      <c r="AM23" s="61">
        <v>8.3347461818263913E-2</v>
      </c>
      <c r="AN23" s="61" t="s">
        <v>455</v>
      </c>
      <c r="AO23" s="61" t="s">
        <v>455</v>
      </c>
      <c r="AP23" s="61">
        <v>0.18487896039540375</v>
      </c>
      <c r="AQ23" s="61">
        <v>-0.97586723948307119</v>
      </c>
      <c r="AR23" s="61">
        <v>13.709085752849274</v>
      </c>
      <c r="AS23" s="61" t="s">
        <v>455</v>
      </c>
      <c r="AT23" s="61" t="s">
        <v>455</v>
      </c>
      <c r="AU23" s="61" t="s">
        <v>455</v>
      </c>
      <c r="AV23" s="42">
        <v>2.2100000000000001E-7</v>
      </c>
      <c r="AW23" s="42">
        <v>4.0000000000000001E-10</v>
      </c>
      <c r="AX23" s="42">
        <v>2.5629999999999999E-7</v>
      </c>
      <c r="AY23" s="42">
        <v>2.8999999999999998E-10</v>
      </c>
      <c r="AZ23" s="42" t="s">
        <v>455</v>
      </c>
      <c r="BA23" s="42" t="s">
        <v>455</v>
      </c>
      <c r="BB23" s="42" t="s">
        <v>455</v>
      </c>
      <c r="BC23" s="42" t="s">
        <v>455</v>
      </c>
      <c r="BD23" s="42" t="s">
        <v>455</v>
      </c>
      <c r="BE23" s="42" t="s">
        <v>455</v>
      </c>
      <c r="BF23" s="42" t="s">
        <v>455</v>
      </c>
      <c r="BG23" s="42" t="s">
        <v>455</v>
      </c>
      <c r="BH23" s="42" t="s">
        <v>455</v>
      </c>
      <c r="BI23" s="42" t="s">
        <v>455</v>
      </c>
      <c r="BJ23" s="42" t="s">
        <v>455</v>
      </c>
      <c r="BK23" s="42" t="s">
        <v>455</v>
      </c>
      <c r="BL23" s="42" t="s">
        <v>455</v>
      </c>
      <c r="BM23" s="42" t="s">
        <v>455</v>
      </c>
      <c r="BN23" s="42" t="s">
        <v>455</v>
      </c>
      <c r="BO23" s="42" t="s">
        <v>455</v>
      </c>
      <c r="BP23" s="42" t="s">
        <v>455</v>
      </c>
      <c r="BQ23" s="42" t="s">
        <v>455</v>
      </c>
      <c r="BR23" s="42" t="s">
        <v>455</v>
      </c>
      <c r="BS23" s="42" t="s">
        <v>455</v>
      </c>
      <c r="BT23" s="42" t="s">
        <v>455</v>
      </c>
      <c r="BU23" s="42" t="s">
        <v>455</v>
      </c>
      <c r="BV23" s="42" t="s">
        <v>455</v>
      </c>
      <c r="BW23" s="42" t="s">
        <v>455</v>
      </c>
      <c r="BX23" s="42" t="s">
        <v>455</v>
      </c>
      <c r="BY23" s="42" t="s">
        <v>455</v>
      </c>
      <c r="BZ23" s="42" t="s">
        <v>455</v>
      </c>
      <c r="CA23" s="42" t="s">
        <v>455</v>
      </c>
      <c r="CB23" s="42" t="s">
        <v>455</v>
      </c>
      <c r="CC23" s="42" t="s">
        <v>455</v>
      </c>
      <c r="CD23" s="42" t="s">
        <v>455</v>
      </c>
      <c r="CE23" s="42" t="s">
        <v>455</v>
      </c>
      <c r="CF23" s="42" t="s">
        <v>455</v>
      </c>
      <c r="CG23" s="42" t="s">
        <v>455</v>
      </c>
      <c r="CH23" s="42" t="s">
        <v>455</v>
      </c>
      <c r="CI23" s="42" t="s">
        <v>455</v>
      </c>
      <c r="CJ23" s="42" t="s">
        <v>455</v>
      </c>
      <c r="CK23" s="42" t="s">
        <v>455</v>
      </c>
      <c r="CL23" s="42" t="s">
        <v>455</v>
      </c>
      <c r="CM23" s="42" t="s">
        <v>455</v>
      </c>
      <c r="CN23" s="42" t="s">
        <v>455</v>
      </c>
      <c r="CO23" s="42" t="s">
        <v>455</v>
      </c>
      <c r="CP23" s="42" t="s">
        <v>455</v>
      </c>
      <c r="CQ23" s="42" t="s">
        <v>455</v>
      </c>
      <c r="CR23" s="42">
        <v>0.70972263942342995</v>
      </c>
      <c r="CS23" s="42">
        <v>7.0972263942343003E-2</v>
      </c>
      <c r="CT23" s="42" t="s">
        <v>455</v>
      </c>
      <c r="CU23" s="42" t="s">
        <v>455</v>
      </c>
      <c r="CV23" s="42" t="s">
        <v>455</v>
      </c>
      <c r="CW23" s="42" t="s">
        <v>455</v>
      </c>
      <c r="CX23" s="42">
        <v>20.510170722542</v>
      </c>
      <c r="CY23" s="42">
        <v>2.0510170722542003</v>
      </c>
      <c r="CZ23" s="42">
        <v>0.25902581498662702</v>
      </c>
      <c r="DA23" s="42">
        <v>2.5902581498662702E-2</v>
      </c>
      <c r="DB23" s="42">
        <v>11.143690281924201</v>
      </c>
      <c r="DC23" s="42">
        <v>1.1143690281924201</v>
      </c>
      <c r="DD23" s="42" t="s">
        <v>455</v>
      </c>
      <c r="DE23" s="42" t="s">
        <v>455</v>
      </c>
      <c r="DF23" s="42" t="s">
        <v>455</v>
      </c>
      <c r="DG23" s="42" t="s">
        <v>455</v>
      </c>
      <c r="DH23" s="42" t="s">
        <v>455</v>
      </c>
      <c r="DI23" s="42" t="s">
        <v>455</v>
      </c>
      <c r="DJ23" s="42">
        <v>0.99961507885349354</v>
      </c>
      <c r="DK23" s="42">
        <v>0.99260753607806151</v>
      </c>
      <c r="DL23" s="42">
        <v>1.3657457879570343E-2</v>
      </c>
      <c r="DM23" s="42">
        <v>0.99250517583268161</v>
      </c>
      <c r="DN23" s="42">
        <v>4.5718439351225226E-8</v>
      </c>
      <c r="DO23" s="42">
        <v>1.9670186276133025E-7</v>
      </c>
      <c r="DP23" s="42">
        <v>3.673612164548977E-4</v>
      </c>
      <c r="DQ23" s="42">
        <v>8.5743095232956549E-8</v>
      </c>
      <c r="DR23" s="42">
        <v>1.2272497256909654E-8</v>
      </c>
      <c r="DS23" s="42">
        <v>1.3846630493563021E-2</v>
      </c>
      <c r="DT23" s="42">
        <v>7.5212309168731159E-3</v>
      </c>
      <c r="DU23" s="42">
        <v>3.8336175961058844E-4</v>
      </c>
      <c r="DV23" s="42">
        <v>5.7245221823596507E-8</v>
      </c>
      <c r="DW23" s="42">
        <v>1.0935322894950064E-8</v>
      </c>
      <c r="DX23" s="42">
        <v>2.6318048260065664E-7</v>
      </c>
      <c r="DY23" s="42">
        <v>1.7177900942279881E-8</v>
      </c>
      <c r="DZ23" s="42">
        <v>5.959813723867334E-8</v>
      </c>
      <c r="EA23" s="42">
        <v>3.0618624962002665E-5</v>
      </c>
      <c r="EB23" s="42">
        <v>3.7371769225570705E-9</v>
      </c>
      <c r="EC23" s="42">
        <v>2.8520560724777631E-10</v>
      </c>
      <c r="ED23" s="42">
        <v>2.5599505809005118E-3</v>
      </c>
      <c r="EE23" s="42">
        <v>6.8665708613930253E-4</v>
      </c>
      <c r="EF23" s="42">
        <v>1.1473788797324459E-6</v>
      </c>
      <c r="EG23" s="42">
        <v>4.6222977726363746E-9</v>
      </c>
      <c r="EH23" s="42">
        <v>1.9013707149851782E-9</v>
      </c>
      <c r="EI23" s="42">
        <v>1.0490321186125203E-9</v>
      </c>
      <c r="EJ23" s="42">
        <v>6.2896340293505107E-8</v>
      </c>
      <c r="EK23" s="42">
        <v>2.5630000000000359E-7</v>
      </c>
      <c r="EL23" s="42">
        <v>3.9797984141690037E-4</v>
      </c>
      <c r="EM23" s="42">
        <v>8.948027215551362E-8</v>
      </c>
      <c r="EN23" s="42">
        <v>1.2557702864157431E-8</v>
      </c>
      <c r="EO23" s="42">
        <v>1.6406581074463533E-2</v>
      </c>
      <c r="EP23" s="42">
        <v>8.2078880030124184E-3</v>
      </c>
      <c r="EQ23" s="42">
        <v>3.8450913849032088E-4</v>
      </c>
      <c r="ER23" s="42">
        <v>6.1867519596232881E-8</v>
      </c>
      <c r="ES23" s="42">
        <v>1.2836693609935243E-8</v>
      </c>
      <c r="ET23" s="42">
        <v>2.6422951471926916E-7</v>
      </c>
      <c r="EU23" s="42">
        <v>2.0380743342547014E-6</v>
      </c>
      <c r="EV23" s="42">
        <v>8.7688006025316505E-6</v>
      </c>
      <c r="EW23" s="42">
        <v>1.639932027565975E-2</v>
      </c>
      <c r="EX23" s="42">
        <v>3.8347592709014277E-6</v>
      </c>
      <c r="EY23" s="42">
        <v>5.510141404660633E-7</v>
      </c>
      <c r="EZ23" s="42">
        <v>0.61791603438210796</v>
      </c>
      <c r="FA23" s="42">
        <v>0.33543034871265515</v>
      </c>
      <c r="FB23" s="42">
        <v>1.7214599324493617E-2</v>
      </c>
      <c r="FC23" s="42">
        <v>2.5530109274194764E-6</v>
      </c>
      <c r="FD23" s="42">
        <v>4.8769133835655929E-7</v>
      </c>
      <c r="FE23" s="42">
        <v>1.1737270405441056E-5</v>
      </c>
      <c r="FF23" s="42">
        <v>7.6577065017185577E-7</v>
      </c>
      <c r="FG23" s="42">
        <v>2.6568339231354847E-6</v>
      </c>
      <c r="FH23" s="42">
        <v>1.3668417205217956E-3</v>
      </c>
      <c r="FI23" s="42">
        <v>1.6714085037212636E-7</v>
      </c>
      <c r="FJ23" s="42">
        <v>1.2805244054567212E-8</v>
      </c>
      <c r="FK23" s="42">
        <v>0.11423967404824131</v>
      </c>
      <c r="FL23" s="42">
        <v>3.062339507925621E-2</v>
      </c>
      <c r="FM23" s="42">
        <v>5.1522268960900452E-5</v>
      </c>
      <c r="FN23" s="42">
        <v>2.0614430947078783E-7</v>
      </c>
      <c r="FO23" s="42">
        <v>8.4796949995075951E-8</v>
      </c>
      <c r="FP23" s="42">
        <v>4.6784524135214727E-8</v>
      </c>
      <c r="FQ23" s="42">
        <v>2.8038449844265572E-6</v>
      </c>
      <c r="FR23" s="42">
        <v>1.1425634525667135E-5</v>
      </c>
      <c r="FS23" s="42">
        <v>1.7766161996181546E-2</v>
      </c>
      <c r="FT23" s="42">
        <v>4.001900121273554E-6</v>
      </c>
      <c r="FU23" s="42">
        <v>5.6381938452063051E-7</v>
      </c>
      <c r="FV23" s="42">
        <v>0.73215570843034927</v>
      </c>
      <c r="FW23" s="42">
        <v>0.36605374379191136</v>
      </c>
      <c r="FX23" s="42">
        <v>1.7266121593454517E-2</v>
      </c>
      <c r="FY23" s="42">
        <v>2.7591552368902643E-6</v>
      </c>
      <c r="FZ23" s="42">
        <v>5.7248828835163524E-7</v>
      </c>
      <c r="GA23" s="42">
        <v>1.1784054929576271E-5</v>
      </c>
      <c r="GB23" s="42">
        <v>8.1576374993894202E-6</v>
      </c>
      <c r="GC23" s="42">
        <v>1.7695176551890796E-4</v>
      </c>
      <c r="GD23" s="42">
        <v>0.65512004637205568</v>
      </c>
      <c r="GE23" s="42">
        <v>3.2134515738299786E-4</v>
      </c>
      <c r="GF23" s="42">
        <v>7.2344299544210857E-5</v>
      </c>
      <c r="GG23" s="42">
        <v>17.309929037559744</v>
      </c>
      <c r="GH23" s="42">
        <v>10.733368642386509</v>
      </c>
      <c r="GI23" s="42">
        <v>0.75760590897130187</v>
      </c>
      <c r="GJ23" s="42">
        <v>4.0956575682689851E-5</v>
      </c>
      <c r="GK23" s="42">
        <v>9.8312721516622079E-7</v>
      </c>
      <c r="GL23" s="42">
        <v>5.1659013490059616E-4</v>
      </c>
      <c r="GM23" s="42" t="s">
        <v>455</v>
      </c>
      <c r="GN23" s="42" t="s">
        <v>455</v>
      </c>
      <c r="GO23" s="42" t="s">
        <v>455</v>
      </c>
      <c r="GP23" s="42" t="s">
        <v>455</v>
      </c>
      <c r="GQ23" s="42" t="s">
        <v>455</v>
      </c>
      <c r="GR23" s="42" t="s">
        <v>455</v>
      </c>
      <c r="GS23" s="42" t="s">
        <v>455</v>
      </c>
      <c r="GT23" s="42" t="s">
        <v>455</v>
      </c>
      <c r="GU23" s="42" t="s">
        <v>455</v>
      </c>
      <c r="GV23" s="42" t="s">
        <v>455</v>
      </c>
      <c r="GW23" s="42" t="s">
        <v>455</v>
      </c>
      <c r="GX23" s="42" t="s">
        <v>455</v>
      </c>
      <c r="GY23" s="42" t="s">
        <v>455</v>
      </c>
      <c r="GZ23" s="42" t="s">
        <v>455</v>
      </c>
      <c r="HA23" s="42" t="s">
        <v>455</v>
      </c>
      <c r="HB23" s="42" t="s">
        <v>455</v>
      </c>
      <c r="HC23" s="42" t="s">
        <v>455</v>
      </c>
      <c r="HD23" s="42" t="s">
        <v>455</v>
      </c>
      <c r="HE23" s="42" t="s">
        <v>455</v>
      </c>
      <c r="HF23" s="42" t="s">
        <v>455</v>
      </c>
      <c r="HG23" s="42" t="s">
        <v>455</v>
      </c>
      <c r="HH23" s="42" t="s">
        <v>455</v>
      </c>
      <c r="HI23" s="42" t="s">
        <v>455</v>
      </c>
      <c r="HJ23" s="42" t="s">
        <v>455</v>
      </c>
      <c r="HK23" s="42" t="s">
        <v>455</v>
      </c>
      <c r="HL23" s="42" t="s">
        <v>455</v>
      </c>
      <c r="HM23" s="42" t="s">
        <v>455</v>
      </c>
      <c r="HN23" s="42" t="s">
        <v>455</v>
      </c>
      <c r="HO23" s="42" t="s">
        <v>455</v>
      </c>
      <c r="HP23" s="42" t="s">
        <v>455</v>
      </c>
      <c r="HQ23" s="42" t="s">
        <v>455</v>
      </c>
      <c r="HR23" s="42" t="s">
        <v>455</v>
      </c>
      <c r="HS23" s="42" t="s">
        <v>455</v>
      </c>
      <c r="HT23" s="42" t="s">
        <v>455</v>
      </c>
      <c r="HU23" s="42" t="s">
        <v>455</v>
      </c>
      <c r="HV23" s="42" t="s">
        <v>455</v>
      </c>
      <c r="HW23" s="42" t="s">
        <v>455</v>
      </c>
      <c r="HX23" s="42" t="s">
        <v>455</v>
      </c>
      <c r="HY23" s="42" t="s">
        <v>455</v>
      </c>
      <c r="HZ23" s="42" t="s">
        <v>455</v>
      </c>
      <c r="IA23" s="42" t="s">
        <v>455</v>
      </c>
      <c r="IB23" s="42" t="s">
        <v>455</v>
      </c>
      <c r="IC23" s="42" t="s">
        <v>455</v>
      </c>
      <c r="ID23" s="42" t="s">
        <v>455</v>
      </c>
      <c r="IE23" s="42" t="s">
        <v>455</v>
      </c>
      <c r="IF23" s="42" t="s">
        <v>455</v>
      </c>
      <c r="IG23" s="42" t="s">
        <v>455</v>
      </c>
      <c r="IH23" s="42" t="s">
        <v>455</v>
      </c>
      <c r="II23" s="42" t="s">
        <v>455</v>
      </c>
      <c r="IJ23" s="42" t="s">
        <v>455</v>
      </c>
      <c r="IK23" s="42" t="s">
        <v>455</v>
      </c>
      <c r="IL23" s="42" t="s">
        <v>455</v>
      </c>
      <c r="IM23" s="42" t="s">
        <v>455</v>
      </c>
      <c r="IN23" s="42" t="s">
        <v>455</v>
      </c>
      <c r="IO23" s="42" t="s">
        <v>455</v>
      </c>
      <c r="IP23" s="42" t="s">
        <v>455</v>
      </c>
      <c r="IQ23" s="42" t="s">
        <v>455</v>
      </c>
      <c r="IR23" s="42" t="s">
        <v>455</v>
      </c>
      <c r="IS23" s="42" t="s">
        <v>455</v>
      </c>
      <c r="IT23" s="42" t="s">
        <v>455</v>
      </c>
      <c r="IU23" s="42" t="s">
        <v>455</v>
      </c>
      <c r="IV23" s="42" t="s">
        <v>455</v>
      </c>
      <c r="IW23" s="42" t="s">
        <v>455</v>
      </c>
      <c r="IX23" s="42" t="s">
        <v>455</v>
      </c>
      <c r="IY23" s="42" t="s">
        <v>455</v>
      </c>
      <c r="IZ23" s="42" t="s">
        <v>455</v>
      </c>
      <c r="JA23" s="42" t="s">
        <v>455</v>
      </c>
      <c r="JB23" s="42" t="s">
        <v>455</v>
      </c>
      <c r="JC23" s="42" t="s">
        <v>455</v>
      </c>
      <c r="JD23" s="42" t="s">
        <v>455</v>
      </c>
      <c r="JE23" s="42" t="s">
        <v>455</v>
      </c>
      <c r="JF23" s="42" t="s">
        <v>455</v>
      </c>
      <c r="JG23" s="42" t="s">
        <v>455</v>
      </c>
      <c r="JH23" s="42" t="s">
        <v>455</v>
      </c>
      <c r="JI23" s="42" t="s">
        <v>455</v>
      </c>
      <c r="JJ23" s="42" t="s">
        <v>455</v>
      </c>
      <c r="JK23" s="42" t="s">
        <v>455</v>
      </c>
      <c r="JL23" s="42" t="s">
        <v>455</v>
      </c>
      <c r="JM23" s="42" t="s">
        <v>455</v>
      </c>
    </row>
    <row r="24" spans="1:273">
      <c r="A24" s="42" t="s">
        <v>208</v>
      </c>
      <c r="B24" s="42" t="s">
        <v>240</v>
      </c>
      <c r="C24" s="42" t="s">
        <v>249</v>
      </c>
      <c r="D24" s="60">
        <v>41527</v>
      </c>
      <c r="E24" s="42" t="s">
        <v>250</v>
      </c>
      <c r="F24" s="42">
        <v>1.04112156672</v>
      </c>
      <c r="G24" s="42">
        <v>10.670731707317</v>
      </c>
      <c r="H24" s="42">
        <v>22.4300003052</v>
      </c>
      <c r="I24" s="42">
        <v>1</v>
      </c>
      <c r="J24" s="42">
        <v>0</v>
      </c>
      <c r="K24" s="42">
        <v>0</v>
      </c>
      <c r="L24" s="42" t="s">
        <v>454</v>
      </c>
      <c r="M24" s="42" t="s">
        <v>614</v>
      </c>
      <c r="N24" s="42">
        <v>1.0126517195346371E-22</v>
      </c>
      <c r="O24" s="61" t="s">
        <v>455</v>
      </c>
      <c r="P24" s="42">
        <v>20.122090708398989</v>
      </c>
      <c r="Q24" s="42">
        <v>0.85197957043944406</v>
      </c>
      <c r="R24" s="42">
        <v>2.5244038689840882</v>
      </c>
      <c r="S24" s="42">
        <v>0.55690964099975226</v>
      </c>
      <c r="T24" s="42" t="s">
        <v>455</v>
      </c>
      <c r="U24" s="42" t="s">
        <v>455</v>
      </c>
      <c r="V24" s="42" t="s">
        <v>456</v>
      </c>
      <c r="W24" s="42" t="s">
        <v>455</v>
      </c>
      <c r="X24" s="42">
        <v>3.9000000000000012</v>
      </c>
      <c r="Y24" s="42">
        <v>0.3162277660168375</v>
      </c>
      <c r="Z24" s="42" t="s">
        <v>456</v>
      </c>
      <c r="AA24" s="42" t="s">
        <v>455</v>
      </c>
      <c r="AB24" s="42" t="s">
        <v>456</v>
      </c>
      <c r="AC24" s="42" t="s">
        <v>455</v>
      </c>
      <c r="AD24" s="42" t="s">
        <v>622</v>
      </c>
      <c r="AE24" s="42" t="s">
        <v>104</v>
      </c>
      <c r="AF24" s="42">
        <v>4.2094833999118774E-14</v>
      </c>
      <c r="AG24" s="42">
        <v>4</v>
      </c>
      <c r="AH24" s="62">
        <v>42880.562835648147</v>
      </c>
      <c r="AI24" s="42" t="s">
        <v>621</v>
      </c>
      <c r="AJ24" s="63" t="s">
        <v>647</v>
      </c>
      <c r="AK24" s="61">
        <v>17.875880447671062</v>
      </c>
      <c r="AL24" s="61">
        <v>1.3600037052334812E-2</v>
      </c>
      <c r="AM24" s="61">
        <v>7.6648415879155163E-2</v>
      </c>
      <c r="AN24" s="61" t="s">
        <v>455</v>
      </c>
      <c r="AO24" s="61" t="s">
        <v>455</v>
      </c>
      <c r="AP24" s="61">
        <v>0.43221037892622949</v>
      </c>
      <c r="AQ24" s="61">
        <v>-0.97498169725343953</v>
      </c>
      <c r="AR24" s="61">
        <v>7.2469819953856582</v>
      </c>
      <c r="AS24" s="61" t="s">
        <v>455</v>
      </c>
      <c r="AT24" s="61" t="s">
        <v>455</v>
      </c>
      <c r="AU24" s="61" t="s">
        <v>455</v>
      </c>
      <c r="AV24" s="42">
        <v>8.3900000000000004E-7</v>
      </c>
      <c r="AW24" s="42">
        <v>1.6000000000000001E-9</v>
      </c>
      <c r="AX24" s="42">
        <v>1.8610000000000001E-7</v>
      </c>
      <c r="AY24" s="42">
        <v>4.3999999999999998E-10</v>
      </c>
      <c r="AZ24" s="42" t="s">
        <v>455</v>
      </c>
      <c r="BA24" s="42" t="s">
        <v>455</v>
      </c>
      <c r="BB24" s="42" t="s">
        <v>455</v>
      </c>
      <c r="BC24" s="42" t="s">
        <v>455</v>
      </c>
      <c r="BD24" s="42" t="s">
        <v>455</v>
      </c>
      <c r="BE24" s="42" t="s">
        <v>455</v>
      </c>
      <c r="BF24" s="42" t="s">
        <v>455</v>
      </c>
      <c r="BG24" s="42" t="s">
        <v>455</v>
      </c>
      <c r="BH24" s="42" t="s">
        <v>455</v>
      </c>
      <c r="BI24" s="42" t="s">
        <v>455</v>
      </c>
      <c r="BJ24" s="42" t="s">
        <v>455</v>
      </c>
      <c r="BK24" s="42" t="s">
        <v>455</v>
      </c>
      <c r="BL24" s="42" t="s">
        <v>455</v>
      </c>
      <c r="BM24" s="42" t="s">
        <v>455</v>
      </c>
      <c r="BN24" s="42" t="s">
        <v>455</v>
      </c>
      <c r="BO24" s="42" t="s">
        <v>455</v>
      </c>
      <c r="BP24" s="42" t="s">
        <v>455</v>
      </c>
      <c r="BQ24" s="42" t="s">
        <v>455</v>
      </c>
      <c r="BR24" s="42" t="s">
        <v>455</v>
      </c>
      <c r="BS24" s="42" t="s">
        <v>455</v>
      </c>
      <c r="BT24" s="42" t="s">
        <v>455</v>
      </c>
      <c r="BU24" s="42" t="s">
        <v>455</v>
      </c>
      <c r="BV24" s="42" t="s">
        <v>455</v>
      </c>
      <c r="BW24" s="42" t="s">
        <v>455</v>
      </c>
      <c r="BX24" s="42" t="s">
        <v>455</v>
      </c>
      <c r="BY24" s="42" t="s">
        <v>455</v>
      </c>
      <c r="BZ24" s="42" t="s">
        <v>455</v>
      </c>
      <c r="CA24" s="42" t="s">
        <v>455</v>
      </c>
      <c r="CB24" s="42" t="s">
        <v>455</v>
      </c>
      <c r="CC24" s="42" t="s">
        <v>455</v>
      </c>
      <c r="CD24" s="42" t="s">
        <v>455</v>
      </c>
      <c r="CE24" s="42" t="s">
        <v>455</v>
      </c>
      <c r="CF24" s="42" t="s">
        <v>455</v>
      </c>
      <c r="CG24" s="42" t="s">
        <v>455</v>
      </c>
      <c r="CH24" s="42" t="s">
        <v>455</v>
      </c>
      <c r="CI24" s="42" t="s">
        <v>455</v>
      </c>
      <c r="CJ24" s="42" t="s">
        <v>455</v>
      </c>
      <c r="CK24" s="42" t="s">
        <v>455</v>
      </c>
      <c r="CL24" s="42" t="s">
        <v>455</v>
      </c>
      <c r="CM24" s="42" t="s">
        <v>455</v>
      </c>
      <c r="CN24" s="42" t="s">
        <v>455</v>
      </c>
      <c r="CO24" s="42" t="s">
        <v>455</v>
      </c>
      <c r="CP24" s="42" t="s">
        <v>455</v>
      </c>
      <c r="CQ24" s="42" t="s">
        <v>455</v>
      </c>
      <c r="CR24" s="42">
        <v>0.59213936518923105</v>
      </c>
      <c r="CS24" s="42">
        <v>5.9213936518923108E-2</v>
      </c>
      <c r="CT24" s="42" t="s">
        <v>455</v>
      </c>
      <c r="CU24" s="42" t="s">
        <v>455</v>
      </c>
      <c r="CV24" s="42" t="s">
        <v>455</v>
      </c>
      <c r="CW24" s="42" t="s">
        <v>455</v>
      </c>
      <c r="CX24" s="42">
        <v>21.094516715225801</v>
      </c>
      <c r="CY24" s="42">
        <v>2.1094516715225802</v>
      </c>
      <c r="CZ24" s="42">
        <v>0.22524041093274999</v>
      </c>
      <c r="DA24" s="42">
        <v>2.2524041093275E-2</v>
      </c>
      <c r="DB24" s="42">
        <v>4.7883658219171297</v>
      </c>
      <c r="DC24" s="42">
        <v>0.47883658219171299</v>
      </c>
      <c r="DD24" s="42" t="s">
        <v>455</v>
      </c>
      <c r="DE24" s="42" t="s">
        <v>455</v>
      </c>
      <c r="DF24" s="42" t="s">
        <v>455</v>
      </c>
      <c r="DG24" s="42" t="s">
        <v>455</v>
      </c>
      <c r="DH24" s="42" t="s">
        <v>455</v>
      </c>
      <c r="DI24" s="42" t="s">
        <v>455</v>
      </c>
      <c r="DJ24" s="42">
        <v>0.9989758352228082</v>
      </c>
      <c r="DK24" s="42">
        <v>0.99871519574244083</v>
      </c>
      <c r="DL24" s="42">
        <v>2.3219258018566807E-2</v>
      </c>
      <c r="DM24" s="42">
        <v>0.99868465439341803</v>
      </c>
      <c r="DN24" s="42">
        <v>4.4448257781984272E-8</v>
      </c>
      <c r="DO24" s="42">
        <v>1.8360299249909281E-7</v>
      </c>
      <c r="DP24" s="42">
        <v>3.0860308225681287E-4</v>
      </c>
      <c r="DQ24" s="42">
        <v>6.8861119658620558E-8</v>
      </c>
      <c r="DR24" s="42">
        <v>9.4128868257046755E-9</v>
      </c>
      <c r="DS24" s="42">
        <v>1.1789337331961537E-2</v>
      </c>
      <c r="DT24" s="42">
        <v>6.3127582778226693E-3</v>
      </c>
      <c r="DU24" s="42">
        <v>2.9399201036709274E-4</v>
      </c>
      <c r="DV24" s="42">
        <v>4.7336469968493563E-8</v>
      </c>
      <c r="DW24" s="42">
        <v>1.0169261073522761E-8</v>
      </c>
      <c r="DX24" s="42">
        <v>1.9882069588043726E-7</v>
      </c>
      <c r="DY24" s="42">
        <v>1.3227876273476622E-8</v>
      </c>
      <c r="DZ24" s="42">
        <v>4.5893662338130727E-8</v>
      </c>
      <c r="EA24" s="42">
        <v>2.3577932136311383E-5</v>
      </c>
      <c r="EB24" s="42">
        <v>2.877820410641854E-9</v>
      </c>
      <c r="EC24" s="42">
        <v>2.1962313660161576E-10</v>
      </c>
      <c r="ED24" s="42">
        <v>5.089658911861453E-3</v>
      </c>
      <c r="EE24" s="42">
        <v>5.2876163439740699E-4</v>
      </c>
      <c r="EF24" s="42">
        <v>8.8354135414442586E-7</v>
      </c>
      <c r="EG24" s="42">
        <v>3.5594094552675635E-9</v>
      </c>
      <c r="EH24" s="42">
        <v>1.4641542440107718E-9</v>
      </c>
      <c r="EI24" s="42">
        <v>8.0780923807490034E-10</v>
      </c>
      <c r="EJ24" s="42">
        <v>5.7676134055460895E-8</v>
      </c>
      <c r="EK24" s="42">
        <v>2.2949665483722353E-7</v>
      </c>
      <c r="EL24" s="42">
        <v>3.3218101439312425E-4</v>
      </c>
      <c r="EM24" s="42">
        <v>7.1738940069262412E-8</v>
      </c>
      <c r="EN24" s="42">
        <v>9.6325099623062913E-9</v>
      </c>
      <c r="EO24" s="42">
        <v>1.687899624382299E-2</v>
      </c>
      <c r="EP24" s="42">
        <v>6.8415199122200763E-3</v>
      </c>
      <c r="EQ24" s="42">
        <v>2.9487555172123716E-4</v>
      </c>
      <c r="ER24" s="42">
        <v>5.0895879423761126E-8</v>
      </c>
      <c r="ES24" s="42">
        <v>1.1633415317533533E-8</v>
      </c>
      <c r="ET24" s="42">
        <v>1.9962850511851216E-7</v>
      </c>
      <c r="EU24" s="42">
        <v>1.9801840138513558E-6</v>
      </c>
      <c r="EV24" s="42">
        <v>8.1796300460139459E-6</v>
      </c>
      <c r="EW24" s="42">
        <v>1.3767496882860714E-2</v>
      </c>
      <c r="EX24" s="42">
        <v>3.0777632753555661E-6</v>
      </c>
      <c r="EY24" s="42">
        <v>4.2235225934641976E-7</v>
      </c>
      <c r="EZ24" s="42">
        <v>0.52577137861879775</v>
      </c>
      <c r="FA24" s="42">
        <v>0.28135508937037551</v>
      </c>
      <c r="FB24" s="42">
        <v>1.3193069228933964E-2</v>
      </c>
      <c r="FC24" s="42">
        <v>2.1097523700934789E-6</v>
      </c>
      <c r="FD24" s="42">
        <v>4.5323664114041185E-7</v>
      </c>
      <c r="FE24" s="42">
        <v>8.861295205083418E-6</v>
      </c>
      <c r="FF24" s="42">
        <v>5.8930609299514183E-7</v>
      </c>
      <c r="FG24" s="42">
        <v>2.0445918352035979E-6</v>
      </c>
      <c r="FH24" s="42">
        <v>1.0518660566093616E-3</v>
      </c>
      <c r="FI24" s="42">
        <v>1.2862483237060423E-7</v>
      </c>
      <c r="FJ24" s="42">
        <v>9.8543974517079677E-9</v>
      </c>
      <c r="FK24" s="42">
        <v>0.22712709542961507</v>
      </c>
      <c r="FL24" s="42">
        <v>2.3566525178724318E-2</v>
      </c>
      <c r="FM24" s="42">
        <v>3.9649452504843599E-5</v>
      </c>
      <c r="FN24" s="42">
        <v>1.5864031558293387E-7</v>
      </c>
      <c r="FO24" s="42">
        <v>6.5256300027022325E-8</v>
      </c>
      <c r="FP24" s="42">
        <v>3.6003475876978273E-8</v>
      </c>
      <c r="FQ24" s="42">
        <v>2.5694901068464977E-6</v>
      </c>
      <c r="FR24" s="42">
        <v>1.0224221881217544E-5</v>
      </c>
      <c r="FS24" s="42">
        <v>1.4819362939470076E-2</v>
      </c>
      <c r="FT24" s="42">
        <v>3.2063881077261703E-6</v>
      </c>
      <c r="FU24" s="42">
        <v>4.3220665679812772E-7</v>
      </c>
      <c r="FV24" s="42">
        <v>0.75289847404841281</v>
      </c>
      <c r="FW24" s="42">
        <v>0.30492161454909983</v>
      </c>
      <c r="FX24" s="42">
        <v>1.3232718681438807E-2</v>
      </c>
      <c r="FY24" s="42">
        <v>2.2683926856764128E-6</v>
      </c>
      <c r="FZ24" s="42">
        <v>5.1849294116743417E-7</v>
      </c>
      <c r="GA24" s="42">
        <v>8.8972986809603962E-6</v>
      </c>
      <c r="GB24" s="42">
        <v>7.9259245335585172E-6</v>
      </c>
      <c r="GC24" s="42">
        <v>1.6506248043954763E-4</v>
      </c>
      <c r="GD24" s="42">
        <v>0.54998396547651984</v>
      </c>
      <c r="GE24" s="42">
        <v>2.5791040694824575E-4</v>
      </c>
      <c r="GF24" s="42">
        <v>5.5451895186369491E-5</v>
      </c>
      <c r="GG24" s="42">
        <v>14.728643937799829</v>
      </c>
      <c r="GH24" s="42">
        <v>9.003025233744772</v>
      </c>
      <c r="GI24" s="42">
        <v>0.58062038023076934</v>
      </c>
      <c r="GJ24" s="42">
        <v>3.3845618007129831E-5</v>
      </c>
      <c r="GK24" s="42">
        <v>9.1367068014213349E-7</v>
      </c>
      <c r="GL24" s="42">
        <v>3.9001041360229547E-4</v>
      </c>
      <c r="GM24" s="42" t="s">
        <v>455</v>
      </c>
      <c r="GN24" s="42" t="s">
        <v>455</v>
      </c>
      <c r="GO24" s="42" t="s">
        <v>455</v>
      </c>
      <c r="GP24" s="42" t="s">
        <v>455</v>
      </c>
      <c r="GQ24" s="42" t="s">
        <v>455</v>
      </c>
      <c r="GR24" s="42" t="s">
        <v>455</v>
      </c>
      <c r="GS24" s="42" t="s">
        <v>455</v>
      </c>
      <c r="GT24" s="42" t="s">
        <v>455</v>
      </c>
      <c r="GU24" s="42" t="s">
        <v>455</v>
      </c>
      <c r="GV24" s="42" t="s">
        <v>455</v>
      </c>
      <c r="GW24" s="42" t="s">
        <v>455</v>
      </c>
      <c r="GX24" s="42" t="s">
        <v>455</v>
      </c>
      <c r="GY24" s="42" t="s">
        <v>455</v>
      </c>
      <c r="GZ24" s="42" t="s">
        <v>455</v>
      </c>
      <c r="HA24" s="42" t="s">
        <v>455</v>
      </c>
      <c r="HB24" s="42" t="s">
        <v>455</v>
      </c>
      <c r="HC24" s="42" t="s">
        <v>455</v>
      </c>
      <c r="HD24" s="42" t="s">
        <v>455</v>
      </c>
      <c r="HE24" s="42" t="s">
        <v>455</v>
      </c>
      <c r="HF24" s="42" t="s">
        <v>455</v>
      </c>
      <c r="HG24" s="42" t="s">
        <v>455</v>
      </c>
      <c r="HH24" s="42" t="s">
        <v>455</v>
      </c>
      <c r="HI24" s="42" t="s">
        <v>455</v>
      </c>
      <c r="HJ24" s="42" t="s">
        <v>455</v>
      </c>
      <c r="HK24" s="42" t="s">
        <v>455</v>
      </c>
      <c r="HL24" s="42" t="s">
        <v>455</v>
      </c>
      <c r="HM24" s="42" t="s">
        <v>455</v>
      </c>
      <c r="HN24" s="42" t="s">
        <v>455</v>
      </c>
      <c r="HO24" s="42" t="s">
        <v>455</v>
      </c>
      <c r="HP24" s="42" t="s">
        <v>455</v>
      </c>
      <c r="HQ24" s="42" t="s">
        <v>455</v>
      </c>
      <c r="HR24" s="42" t="s">
        <v>455</v>
      </c>
      <c r="HS24" s="42" t="s">
        <v>455</v>
      </c>
      <c r="HT24" s="42" t="s">
        <v>455</v>
      </c>
      <c r="HU24" s="42" t="s">
        <v>455</v>
      </c>
      <c r="HV24" s="42" t="s">
        <v>455</v>
      </c>
      <c r="HW24" s="42" t="s">
        <v>455</v>
      </c>
      <c r="HX24" s="42" t="s">
        <v>455</v>
      </c>
      <c r="HY24" s="42" t="s">
        <v>455</v>
      </c>
      <c r="HZ24" s="42" t="s">
        <v>455</v>
      </c>
      <c r="IA24" s="42" t="s">
        <v>455</v>
      </c>
      <c r="IB24" s="42" t="s">
        <v>455</v>
      </c>
      <c r="IC24" s="42" t="s">
        <v>455</v>
      </c>
      <c r="ID24" s="42" t="s">
        <v>455</v>
      </c>
      <c r="IE24" s="42" t="s">
        <v>455</v>
      </c>
      <c r="IF24" s="42" t="s">
        <v>455</v>
      </c>
      <c r="IG24" s="42" t="s">
        <v>455</v>
      </c>
      <c r="IH24" s="42" t="s">
        <v>455</v>
      </c>
      <c r="II24" s="42" t="s">
        <v>455</v>
      </c>
      <c r="IJ24" s="42" t="s">
        <v>455</v>
      </c>
      <c r="IK24" s="42" t="s">
        <v>455</v>
      </c>
      <c r="IL24" s="42" t="s">
        <v>455</v>
      </c>
      <c r="IM24" s="42" t="s">
        <v>455</v>
      </c>
      <c r="IN24" s="42" t="s">
        <v>455</v>
      </c>
      <c r="IO24" s="42" t="s">
        <v>455</v>
      </c>
      <c r="IP24" s="42" t="s">
        <v>455</v>
      </c>
      <c r="IQ24" s="42" t="s">
        <v>455</v>
      </c>
      <c r="IR24" s="42" t="s">
        <v>455</v>
      </c>
      <c r="IS24" s="42" t="s">
        <v>455</v>
      </c>
      <c r="IT24" s="42" t="s">
        <v>455</v>
      </c>
      <c r="IU24" s="42" t="s">
        <v>455</v>
      </c>
      <c r="IV24" s="42" t="s">
        <v>455</v>
      </c>
      <c r="IW24" s="42" t="s">
        <v>455</v>
      </c>
      <c r="IX24" s="42" t="s">
        <v>455</v>
      </c>
      <c r="IY24" s="42" t="s">
        <v>455</v>
      </c>
      <c r="IZ24" s="42" t="s">
        <v>455</v>
      </c>
      <c r="JA24" s="42" t="s">
        <v>455</v>
      </c>
      <c r="JB24" s="42" t="s">
        <v>455</v>
      </c>
      <c r="JC24" s="42" t="s">
        <v>455</v>
      </c>
      <c r="JD24" s="42" t="s">
        <v>455</v>
      </c>
      <c r="JE24" s="42" t="s">
        <v>455</v>
      </c>
      <c r="JF24" s="42" t="s">
        <v>455</v>
      </c>
      <c r="JG24" s="42" t="s">
        <v>455</v>
      </c>
      <c r="JH24" s="42" t="s">
        <v>455</v>
      </c>
      <c r="JI24" s="42" t="s">
        <v>455</v>
      </c>
      <c r="JJ24" s="42" t="s">
        <v>455</v>
      </c>
      <c r="JK24" s="42" t="s">
        <v>455</v>
      </c>
      <c r="JL24" s="42" t="s">
        <v>455</v>
      </c>
      <c r="JM24" s="42" t="s">
        <v>455</v>
      </c>
    </row>
    <row r="25" spans="1:273">
      <c r="A25" s="42" t="s">
        <v>208</v>
      </c>
      <c r="B25" s="42" t="s">
        <v>240</v>
      </c>
      <c r="C25" s="42" t="s">
        <v>249</v>
      </c>
      <c r="D25" s="60">
        <v>41527</v>
      </c>
      <c r="E25" s="42" t="s">
        <v>251</v>
      </c>
      <c r="F25" s="42">
        <v>1.04112156672</v>
      </c>
      <c r="G25" s="42">
        <v>10.670731707317</v>
      </c>
      <c r="H25" s="42">
        <v>22.4300003052</v>
      </c>
      <c r="I25" s="42">
        <v>1</v>
      </c>
      <c r="J25" s="42">
        <v>0</v>
      </c>
      <c r="K25" s="42">
        <v>0</v>
      </c>
      <c r="L25" s="42" t="s">
        <v>454</v>
      </c>
      <c r="M25" s="42" t="s">
        <v>614</v>
      </c>
      <c r="N25" s="42">
        <v>7.1232118071570005E-23</v>
      </c>
      <c r="O25" s="61" t="s">
        <v>455</v>
      </c>
      <c r="P25" s="42">
        <v>19.753810396669465</v>
      </c>
      <c r="Q25" s="42">
        <v>0.91823508608412507</v>
      </c>
      <c r="R25" s="42">
        <v>2.5176014803199585</v>
      </c>
      <c r="S25" s="42">
        <v>0.60791091243343176</v>
      </c>
      <c r="T25" s="42" t="s">
        <v>455</v>
      </c>
      <c r="U25" s="42" t="s">
        <v>455</v>
      </c>
      <c r="V25" s="42" t="s">
        <v>456</v>
      </c>
      <c r="W25" s="42" t="s">
        <v>455</v>
      </c>
      <c r="X25" s="42">
        <v>3.9500000000000011</v>
      </c>
      <c r="Y25" s="42">
        <v>0.34520525295346577</v>
      </c>
      <c r="Z25" s="42" t="s">
        <v>456</v>
      </c>
      <c r="AA25" s="42" t="s">
        <v>455</v>
      </c>
      <c r="AB25" s="42" t="s">
        <v>456</v>
      </c>
      <c r="AC25" s="42" t="s">
        <v>455</v>
      </c>
      <c r="AD25" s="42" t="s">
        <v>622</v>
      </c>
      <c r="AE25" s="42" t="s">
        <v>123</v>
      </c>
      <c r="AF25" s="42">
        <v>5.1752016698208376E-5</v>
      </c>
      <c r="AG25" s="42">
        <v>15</v>
      </c>
      <c r="AH25" s="62">
        <v>42880.562835648147</v>
      </c>
      <c r="AI25" s="42" t="s">
        <v>624</v>
      </c>
      <c r="AJ25" s="63" t="s">
        <v>646</v>
      </c>
      <c r="AK25" s="61">
        <v>17.854560903982026</v>
      </c>
      <c r="AL25" s="61">
        <v>1.0724029089517861E-2</v>
      </c>
      <c r="AM25" s="61">
        <v>7.5937104820328338E-2</v>
      </c>
      <c r="AN25" s="61" t="s">
        <v>455</v>
      </c>
      <c r="AO25" s="61" t="s">
        <v>455</v>
      </c>
      <c r="AP25" s="61">
        <v>0.43231427245729792</v>
      </c>
      <c r="AQ25" s="61">
        <v>-0.97603716571209531</v>
      </c>
      <c r="AR25" s="61">
        <v>7.2701733752632638</v>
      </c>
      <c r="AS25" s="61" t="s">
        <v>455</v>
      </c>
      <c r="AT25" s="61" t="s">
        <v>455</v>
      </c>
      <c r="AU25" s="61" t="s">
        <v>455</v>
      </c>
      <c r="AV25" s="42">
        <v>8.3900000000000004E-7</v>
      </c>
      <c r="AW25" s="42">
        <v>1.6000000000000001E-9</v>
      </c>
      <c r="AX25" s="42">
        <v>1.8610000000000001E-7</v>
      </c>
      <c r="AY25" s="42">
        <v>4.3999999999999998E-10</v>
      </c>
      <c r="AZ25" s="42" t="s">
        <v>455</v>
      </c>
      <c r="BA25" s="42" t="s">
        <v>455</v>
      </c>
      <c r="BB25" s="42" t="s">
        <v>455</v>
      </c>
      <c r="BC25" s="42" t="s">
        <v>455</v>
      </c>
      <c r="BD25" s="42" t="s">
        <v>455</v>
      </c>
      <c r="BE25" s="42" t="s">
        <v>455</v>
      </c>
      <c r="BF25" s="42" t="s">
        <v>455</v>
      </c>
      <c r="BG25" s="42" t="s">
        <v>455</v>
      </c>
      <c r="BH25" s="42" t="s">
        <v>455</v>
      </c>
      <c r="BI25" s="42" t="s">
        <v>455</v>
      </c>
      <c r="BJ25" s="42" t="s">
        <v>455</v>
      </c>
      <c r="BK25" s="42" t="s">
        <v>455</v>
      </c>
      <c r="BL25" s="42" t="s">
        <v>455</v>
      </c>
      <c r="BM25" s="42" t="s">
        <v>455</v>
      </c>
      <c r="BN25" s="42" t="s">
        <v>455</v>
      </c>
      <c r="BO25" s="42" t="s">
        <v>455</v>
      </c>
      <c r="BP25" s="42" t="s">
        <v>455</v>
      </c>
      <c r="BQ25" s="42" t="s">
        <v>455</v>
      </c>
      <c r="BR25" s="42" t="s">
        <v>455</v>
      </c>
      <c r="BS25" s="42" t="s">
        <v>455</v>
      </c>
      <c r="BT25" s="42" t="s">
        <v>455</v>
      </c>
      <c r="BU25" s="42" t="s">
        <v>455</v>
      </c>
      <c r="BV25" s="42" t="s">
        <v>455</v>
      </c>
      <c r="BW25" s="42" t="s">
        <v>455</v>
      </c>
      <c r="BX25" s="42" t="s">
        <v>455</v>
      </c>
      <c r="BY25" s="42" t="s">
        <v>455</v>
      </c>
      <c r="BZ25" s="42" t="s">
        <v>455</v>
      </c>
      <c r="CA25" s="42" t="s">
        <v>455</v>
      </c>
      <c r="CB25" s="42" t="s">
        <v>455</v>
      </c>
      <c r="CC25" s="42" t="s">
        <v>455</v>
      </c>
      <c r="CD25" s="42" t="s">
        <v>455</v>
      </c>
      <c r="CE25" s="42" t="s">
        <v>455</v>
      </c>
      <c r="CF25" s="42" t="s">
        <v>455</v>
      </c>
      <c r="CG25" s="42" t="s">
        <v>455</v>
      </c>
      <c r="CH25" s="42" t="s">
        <v>455</v>
      </c>
      <c r="CI25" s="42" t="s">
        <v>455</v>
      </c>
      <c r="CJ25" s="42" t="s">
        <v>455</v>
      </c>
      <c r="CK25" s="42" t="s">
        <v>455</v>
      </c>
      <c r="CL25" s="42" t="s">
        <v>455</v>
      </c>
      <c r="CM25" s="42" t="s">
        <v>455</v>
      </c>
      <c r="CN25" s="42" t="s">
        <v>455</v>
      </c>
      <c r="CO25" s="42" t="s">
        <v>455</v>
      </c>
      <c r="CP25" s="42" t="s">
        <v>455</v>
      </c>
      <c r="CQ25" s="42" t="s">
        <v>455</v>
      </c>
      <c r="CR25" s="42">
        <v>0.59608402808070504</v>
      </c>
      <c r="CS25" s="42">
        <v>5.9608402808070504E-2</v>
      </c>
      <c r="CT25" s="42" t="s">
        <v>455</v>
      </c>
      <c r="CU25" s="42" t="s">
        <v>455</v>
      </c>
      <c r="CV25" s="42" t="s">
        <v>455</v>
      </c>
      <c r="CW25" s="42" t="s">
        <v>455</v>
      </c>
      <c r="CX25" s="42">
        <v>21.237262731869301</v>
      </c>
      <c r="CY25" s="42">
        <v>2.12372627318693</v>
      </c>
      <c r="CZ25" s="42">
        <v>0.21731980244643501</v>
      </c>
      <c r="DA25" s="42">
        <v>2.1731980244643501E-2</v>
      </c>
      <c r="DB25" s="42">
        <v>4.8563281214912699</v>
      </c>
      <c r="DC25" s="42">
        <v>0.48563281214912701</v>
      </c>
      <c r="DD25" s="42" t="s">
        <v>455</v>
      </c>
      <c r="DE25" s="42" t="s">
        <v>455</v>
      </c>
      <c r="DF25" s="42" t="s">
        <v>455</v>
      </c>
      <c r="DG25" s="42" t="s">
        <v>455</v>
      </c>
      <c r="DH25" s="42" t="s">
        <v>455</v>
      </c>
      <c r="DI25" s="42" t="s">
        <v>455</v>
      </c>
      <c r="DJ25" s="42">
        <v>0.99905226166674954</v>
      </c>
      <c r="DK25" s="42">
        <v>0.99871519574244083</v>
      </c>
      <c r="DL25" s="42">
        <v>2.269527536096547E-2</v>
      </c>
      <c r="DM25" s="42">
        <v>0.99868535961694682</v>
      </c>
      <c r="DN25" s="42">
        <v>4.4498517057631707E-8</v>
      </c>
      <c r="DO25" s="42">
        <v>1.8412543349507871E-7</v>
      </c>
      <c r="DP25" s="42">
        <v>3.1084050604583696E-4</v>
      </c>
      <c r="DQ25" s="42">
        <v>6.9494156367958521E-8</v>
      </c>
      <c r="DR25" s="42">
        <v>9.5180502550495339E-9</v>
      </c>
      <c r="DS25" s="42">
        <v>1.1867346614333451E-2</v>
      </c>
      <c r="DT25" s="42">
        <v>6.3585572437944334E-3</v>
      </c>
      <c r="DU25" s="42">
        <v>2.973058372706907E-4</v>
      </c>
      <c r="DV25" s="42">
        <v>4.7708660068401925E-8</v>
      </c>
      <c r="DW25" s="42">
        <v>1.0199451828641194E-8</v>
      </c>
      <c r="DX25" s="42">
        <v>2.0118166742824659E-7</v>
      </c>
      <c r="DY25" s="42">
        <v>1.3192231756876581E-8</v>
      </c>
      <c r="DZ25" s="42">
        <v>4.5769994912216841E-8</v>
      </c>
      <c r="EA25" s="42">
        <v>2.351439782618842E-5</v>
      </c>
      <c r="EB25" s="42">
        <v>2.8700656875647503E-9</v>
      </c>
      <c r="EC25" s="42">
        <v>2.1903132878783603E-10</v>
      </c>
      <c r="ED25" s="42">
        <v>5.1243281474508493E-3</v>
      </c>
      <c r="EE25" s="42">
        <v>5.2733680606781817E-4</v>
      </c>
      <c r="EF25" s="42">
        <v>8.8116051811197972E-7</v>
      </c>
      <c r="EG25" s="42">
        <v>3.5498180872511403E-9</v>
      </c>
      <c r="EH25" s="42">
        <v>1.4602088585855763E-9</v>
      </c>
      <c r="EI25" s="42">
        <v>8.056324737023842E-10</v>
      </c>
      <c r="EJ25" s="42">
        <v>5.7690748814508288E-8</v>
      </c>
      <c r="EK25" s="42">
        <v>2.2989542840729555E-7</v>
      </c>
      <c r="EL25" s="42">
        <v>3.3435490387202538E-4</v>
      </c>
      <c r="EM25" s="42">
        <v>7.2364222055523271E-8</v>
      </c>
      <c r="EN25" s="42">
        <v>9.7370815838373699E-9</v>
      </c>
      <c r="EO25" s="42">
        <v>1.6991674761784301E-2</v>
      </c>
      <c r="EP25" s="42">
        <v>6.8858940498622515E-3</v>
      </c>
      <c r="EQ25" s="42">
        <v>2.9818699778880268E-4</v>
      </c>
      <c r="ER25" s="42">
        <v>5.1258478155653066E-8</v>
      </c>
      <c r="ES25" s="42">
        <v>1.1659660687226771E-8</v>
      </c>
      <c r="ET25" s="42">
        <v>2.0198729990194897E-7</v>
      </c>
      <c r="EU25" s="42">
        <v>1.9825747454346368E-6</v>
      </c>
      <c r="EV25" s="42">
        <v>8.2035326861351438E-6</v>
      </c>
      <c r="EW25" s="42">
        <v>1.3868374446250482E-2</v>
      </c>
      <c r="EX25" s="42">
        <v>3.1062946221274772E-6</v>
      </c>
      <c r="EY25" s="42">
        <v>4.2710357101153113E-7</v>
      </c>
      <c r="EZ25" s="42">
        <v>0.52929086400709813</v>
      </c>
      <c r="FA25" s="42">
        <v>0.28341799747257612</v>
      </c>
      <c r="FB25" s="42">
        <v>1.334279992507121E-2</v>
      </c>
      <c r="FC25" s="42">
        <v>2.1265032900163776E-6</v>
      </c>
      <c r="FD25" s="42">
        <v>4.5461699907044926E-7</v>
      </c>
      <c r="FE25" s="42">
        <v>8.9672079883143382E-6</v>
      </c>
      <c r="FF25" s="42">
        <v>5.8776308170518407E-7</v>
      </c>
      <c r="FG25" s="42">
        <v>2.0392383723384191E-6</v>
      </c>
      <c r="FH25" s="42">
        <v>1.0491119001189344E-3</v>
      </c>
      <c r="FI25" s="42">
        <v>1.2828804717378411E-7</v>
      </c>
      <c r="FJ25" s="42">
        <v>9.8285951620245003E-9</v>
      </c>
      <c r="FK25" s="42">
        <v>0.22868178135023498</v>
      </c>
      <c r="FL25" s="42">
        <v>2.3504819700284396E-2</v>
      </c>
      <c r="FM25" s="42">
        <v>3.9545636247752605E-5</v>
      </c>
      <c r="FN25" s="42">
        <v>1.5822493926000647E-7</v>
      </c>
      <c r="FO25" s="42">
        <v>6.5085436007662336E-8</v>
      </c>
      <c r="FP25" s="42">
        <v>3.5909206073192633E-8</v>
      </c>
      <c r="FQ25" s="42">
        <v>2.5703378271398209E-6</v>
      </c>
      <c r="FR25" s="42">
        <v>1.0242771058473563E-5</v>
      </c>
      <c r="FS25" s="42">
        <v>1.4917486346369416E-2</v>
      </c>
      <c r="FT25" s="42">
        <v>3.2345826693012613E-6</v>
      </c>
      <c r="FU25" s="42">
        <v>4.3693216617355563E-7</v>
      </c>
      <c r="FV25" s="42">
        <v>0.75797264535733311</v>
      </c>
      <c r="FW25" s="42">
        <v>0.30692281717286052</v>
      </c>
      <c r="FX25" s="42">
        <v>1.3382345561318962E-2</v>
      </c>
      <c r="FY25" s="42">
        <v>2.284728229276384E-6</v>
      </c>
      <c r="FZ25" s="42">
        <v>5.197024350781116E-7</v>
      </c>
      <c r="GA25" s="42">
        <v>9.0031171943875309E-6</v>
      </c>
      <c r="GB25" s="42">
        <v>7.9354937240865348E-6</v>
      </c>
      <c r="GC25" s="42">
        <v>1.6554482854640135E-4</v>
      </c>
      <c r="GD25" s="42">
        <v>0.55401382237881425</v>
      </c>
      <c r="GE25" s="42">
        <v>2.6030127674503834E-4</v>
      </c>
      <c r="GF25" s="42">
        <v>5.607570914881696E-5</v>
      </c>
      <c r="GG25" s="42">
        <v>14.827236689776443</v>
      </c>
      <c r="GH25" s="42">
        <v>9.0690358175254691</v>
      </c>
      <c r="GI25" s="42">
        <v>0.58720995330242143</v>
      </c>
      <c r="GJ25" s="42">
        <v>3.4114343969956134E-5</v>
      </c>
      <c r="GK25" s="42">
        <v>9.1645331608613731E-7</v>
      </c>
      <c r="GL25" s="42">
        <v>3.9467193174808128E-4</v>
      </c>
      <c r="GM25" s="42" t="s">
        <v>455</v>
      </c>
      <c r="GN25" s="42" t="s">
        <v>455</v>
      </c>
      <c r="GO25" s="42" t="s">
        <v>455</v>
      </c>
      <c r="GP25" s="42" t="s">
        <v>455</v>
      </c>
      <c r="GQ25" s="42" t="s">
        <v>455</v>
      </c>
      <c r="GR25" s="42" t="s">
        <v>455</v>
      </c>
      <c r="GS25" s="42" t="s">
        <v>455</v>
      </c>
      <c r="GT25" s="42" t="s">
        <v>455</v>
      </c>
      <c r="GU25" s="42" t="s">
        <v>455</v>
      </c>
      <c r="GV25" s="42" t="s">
        <v>455</v>
      </c>
      <c r="GW25" s="42" t="s">
        <v>455</v>
      </c>
      <c r="GX25" s="42" t="s">
        <v>455</v>
      </c>
      <c r="GY25" s="42" t="s">
        <v>455</v>
      </c>
      <c r="GZ25" s="42" t="s">
        <v>455</v>
      </c>
      <c r="HA25" s="42" t="s">
        <v>455</v>
      </c>
      <c r="HB25" s="42" t="s">
        <v>455</v>
      </c>
      <c r="HC25" s="42" t="s">
        <v>455</v>
      </c>
      <c r="HD25" s="42" t="s">
        <v>455</v>
      </c>
      <c r="HE25" s="42" t="s">
        <v>455</v>
      </c>
      <c r="HF25" s="42" t="s">
        <v>455</v>
      </c>
      <c r="HG25" s="42" t="s">
        <v>455</v>
      </c>
      <c r="HH25" s="42" t="s">
        <v>455</v>
      </c>
      <c r="HI25" s="42" t="s">
        <v>455</v>
      </c>
      <c r="HJ25" s="42" t="s">
        <v>455</v>
      </c>
      <c r="HK25" s="42" t="s">
        <v>455</v>
      </c>
      <c r="HL25" s="42" t="s">
        <v>455</v>
      </c>
      <c r="HM25" s="42" t="s">
        <v>455</v>
      </c>
      <c r="HN25" s="42" t="s">
        <v>455</v>
      </c>
      <c r="HO25" s="42" t="s">
        <v>455</v>
      </c>
      <c r="HP25" s="42" t="s">
        <v>455</v>
      </c>
      <c r="HQ25" s="42" t="s">
        <v>455</v>
      </c>
      <c r="HR25" s="42" t="s">
        <v>455</v>
      </c>
      <c r="HS25" s="42" t="s">
        <v>455</v>
      </c>
      <c r="HT25" s="42" t="s">
        <v>455</v>
      </c>
      <c r="HU25" s="42" t="s">
        <v>455</v>
      </c>
      <c r="HV25" s="42" t="s">
        <v>455</v>
      </c>
      <c r="HW25" s="42" t="s">
        <v>455</v>
      </c>
      <c r="HX25" s="42" t="s">
        <v>455</v>
      </c>
      <c r="HY25" s="42" t="s">
        <v>455</v>
      </c>
      <c r="HZ25" s="42" t="s">
        <v>455</v>
      </c>
      <c r="IA25" s="42" t="s">
        <v>455</v>
      </c>
      <c r="IB25" s="42" t="s">
        <v>455</v>
      </c>
      <c r="IC25" s="42" t="s">
        <v>455</v>
      </c>
      <c r="ID25" s="42" t="s">
        <v>455</v>
      </c>
      <c r="IE25" s="42" t="s">
        <v>455</v>
      </c>
      <c r="IF25" s="42" t="s">
        <v>455</v>
      </c>
      <c r="IG25" s="42" t="s">
        <v>455</v>
      </c>
      <c r="IH25" s="42" t="s">
        <v>455</v>
      </c>
      <c r="II25" s="42" t="s">
        <v>455</v>
      </c>
      <c r="IJ25" s="42" t="s">
        <v>455</v>
      </c>
      <c r="IK25" s="42" t="s">
        <v>455</v>
      </c>
      <c r="IL25" s="42" t="s">
        <v>455</v>
      </c>
      <c r="IM25" s="42" t="s">
        <v>455</v>
      </c>
      <c r="IN25" s="42" t="s">
        <v>455</v>
      </c>
      <c r="IO25" s="42" t="s">
        <v>455</v>
      </c>
      <c r="IP25" s="42" t="s">
        <v>455</v>
      </c>
      <c r="IQ25" s="42" t="s">
        <v>455</v>
      </c>
      <c r="IR25" s="42" t="s">
        <v>455</v>
      </c>
      <c r="IS25" s="42" t="s">
        <v>455</v>
      </c>
      <c r="IT25" s="42" t="s">
        <v>455</v>
      </c>
      <c r="IU25" s="42" t="s">
        <v>455</v>
      </c>
      <c r="IV25" s="42" t="s">
        <v>455</v>
      </c>
      <c r="IW25" s="42" t="s">
        <v>455</v>
      </c>
      <c r="IX25" s="42" t="s">
        <v>455</v>
      </c>
      <c r="IY25" s="42" t="s">
        <v>455</v>
      </c>
      <c r="IZ25" s="42" t="s">
        <v>455</v>
      </c>
      <c r="JA25" s="42" t="s">
        <v>455</v>
      </c>
      <c r="JB25" s="42" t="s">
        <v>455</v>
      </c>
      <c r="JC25" s="42" t="s">
        <v>455</v>
      </c>
      <c r="JD25" s="42" t="s">
        <v>455</v>
      </c>
      <c r="JE25" s="42" t="s">
        <v>455</v>
      </c>
      <c r="JF25" s="42" t="s">
        <v>455</v>
      </c>
      <c r="JG25" s="42" t="s">
        <v>455</v>
      </c>
      <c r="JH25" s="42" t="s">
        <v>455</v>
      </c>
      <c r="JI25" s="42" t="s">
        <v>455</v>
      </c>
      <c r="JJ25" s="42" t="s">
        <v>455</v>
      </c>
      <c r="JK25" s="42" t="s">
        <v>455</v>
      </c>
      <c r="JL25" s="42" t="s">
        <v>455</v>
      </c>
      <c r="JM25" s="42" t="s">
        <v>455</v>
      </c>
    </row>
    <row r="26" spans="1:273">
      <c r="A26" s="42" t="s">
        <v>208</v>
      </c>
      <c r="B26" s="42" t="s">
        <v>240</v>
      </c>
      <c r="C26" s="42" t="s">
        <v>261</v>
      </c>
      <c r="D26" s="60">
        <v>41536</v>
      </c>
      <c r="E26" s="42" t="s">
        <v>262</v>
      </c>
      <c r="F26" s="42">
        <v>0.68166631848000003</v>
      </c>
      <c r="G26" s="42">
        <v>37.804878048780402</v>
      </c>
      <c r="H26" s="42">
        <v>22.649999618500001</v>
      </c>
      <c r="I26" s="42">
        <v>1</v>
      </c>
      <c r="J26" s="42">
        <v>0</v>
      </c>
      <c r="K26" s="42">
        <v>0</v>
      </c>
      <c r="L26" s="42" t="s">
        <v>454</v>
      </c>
      <c r="M26" s="42" t="s">
        <v>614</v>
      </c>
      <c r="N26" s="42">
        <v>2.4421665562676195E-23</v>
      </c>
      <c r="O26" s="61" t="s">
        <v>455</v>
      </c>
      <c r="P26" s="42">
        <v>23.011384853492498</v>
      </c>
      <c r="Q26" s="42">
        <v>1.0261616247463243</v>
      </c>
      <c r="R26" s="42">
        <v>2.5041423026050196</v>
      </c>
      <c r="S26" s="42">
        <v>0.60849588093988305</v>
      </c>
      <c r="T26" s="42" t="s">
        <v>455</v>
      </c>
      <c r="U26" s="42" t="s">
        <v>455</v>
      </c>
      <c r="V26" s="42" t="s">
        <v>456</v>
      </c>
      <c r="W26" s="42" t="s">
        <v>455</v>
      </c>
      <c r="X26" s="42">
        <v>2.4500000000000011</v>
      </c>
      <c r="Y26" s="42">
        <v>0.34520525295346716</v>
      </c>
      <c r="Z26" s="42" t="s">
        <v>456</v>
      </c>
      <c r="AA26" s="42" t="s">
        <v>455</v>
      </c>
      <c r="AB26" s="42" t="s">
        <v>456</v>
      </c>
      <c r="AC26" s="42" t="s">
        <v>455</v>
      </c>
      <c r="AD26" s="42" t="s">
        <v>622</v>
      </c>
      <c r="AE26" s="42" t="s">
        <v>123</v>
      </c>
      <c r="AF26" s="42">
        <v>2.8851008859260527E-4</v>
      </c>
      <c r="AG26" s="42">
        <v>13</v>
      </c>
      <c r="AH26" s="62">
        <v>42880.56287037037</v>
      </c>
      <c r="AI26" s="42" t="s">
        <v>624</v>
      </c>
      <c r="AJ26" s="63" t="s">
        <v>645</v>
      </c>
      <c r="AK26" s="61">
        <v>20.905289676218647</v>
      </c>
      <c r="AL26" s="61">
        <v>1.0303459436867337</v>
      </c>
      <c r="AM26" s="61">
        <v>8.0503671621598105E-2</v>
      </c>
      <c r="AN26" s="61" t="s">
        <v>455</v>
      </c>
      <c r="AO26" s="61" t="s">
        <v>455</v>
      </c>
      <c r="AP26" s="61">
        <v>0.35008071240179972</v>
      </c>
      <c r="AQ26" s="61">
        <v>-0.97567405255275108</v>
      </c>
      <c r="AR26" s="61">
        <v>25.545809092266961</v>
      </c>
      <c r="AS26" s="61" t="s">
        <v>455</v>
      </c>
      <c r="AT26" s="61" t="s">
        <v>455</v>
      </c>
      <c r="AU26" s="61" t="s">
        <v>455</v>
      </c>
      <c r="AV26" s="42">
        <v>9.64E-7</v>
      </c>
      <c r="AW26" s="42">
        <v>4.0000000000000002E-9</v>
      </c>
      <c r="AX26" s="42">
        <v>3.643E-7</v>
      </c>
      <c r="AY26" s="42">
        <v>4.6000000000000001E-10</v>
      </c>
      <c r="AZ26" s="42" t="s">
        <v>455</v>
      </c>
      <c r="BA26" s="42" t="s">
        <v>455</v>
      </c>
      <c r="BB26" s="42" t="s">
        <v>455</v>
      </c>
      <c r="BC26" s="42" t="s">
        <v>455</v>
      </c>
      <c r="BD26" s="42" t="s">
        <v>455</v>
      </c>
      <c r="BE26" s="42" t="s">
        <v>455</v>
      </c>
      <c r="BF26" s="42" t="s">
        <v>455</v>
      </c>
      <c r="BG26" s="42" t="s">
        <v>455</v>
      </c>
      <c r="BH26" s="42" t="s">
        <v>455</v>
      </c>
      <c r="BI26" s="42" t="s">
        <v>455</v>
      </c>
      <c r="BJ26" s="42" t="s">
        <v>455</v>
      </c>
      <c r="BK26" s="42" t="s">
        <v>455</v>
      </c>
      <c r="BL26" s="42" t="s">
        <v>455</v>
      </c>
      <c r="BM26" s="42" t="s">
        <v>455</v>
      </c>
      <c r="BN26" s="42" t="s">
        <v>455</v>
      </c>
      <c r="BO26" s="42" t="s">
        <v>455</v>
      </c>
      <c r="BP26" s="42" t="s">
        <v>455</v>
      </c>
      <c r="BQ26" s="42" t="s">
        <v>455</v>
      </c>
      <c r="BR26" s="42" t="s">
        <v>455</v>
      </c>
      <c r="BS26" s="42" t="s">
        <v>455</v>
      </c>
      <c r="BT26" s="42" t="s">
        <v>455</v>
      </c>
      <c r="BU26" s="42" t="s">
        <v>455</v>
      </c>
      <c r="BV26" s="42" t="s">
        <v>455</v>
      </c>
      <c r="BW26" s="42" t="s">
        <v>455</v>
      </c>
      <c r="BX26" s="42" t="s">
        <v>455</v>
      </c>
      <c r="BY26" s="42" t="s">
        <v>455</v>
      </c>
      <c r="BZ26" s="42" t="s">
        <v>455</v>
      </c>
      <c r="CA26" s="42" t="s">
        <v>455</v>
      </c>
      <c r="CB26" s="42" t="s">
        <v>455</v>
      </c>
      <c r="CC26" s="42" t="s">
        <v>455</v>
      </c>
      <c r="CD26" s="42" t="s">
        <v>455</v>
      </c>
      <c r="CE26" s="42" t="s">
        <v>455</v>
      </c>
      <c r="CF26" s="42" t="s">
        <v>455</v>
      </c>
      <c r="CG26" s="42" t="s">
        <v>455</v>
      </c>
      <c r="CH26" s="42" t="s">
        <v>455</v>
      </c>
      <c r="CI26" s="42" t="s">
        <v>455</v>
      </c>
      <c r="CJ26" s="42" t="s">
        <v>455</v>
      </c>
      <c r="CK26" s="42" t="s">
        <v>455</v>
      </c>
      <c r="CL26" s="42" t="s">
        <v>455</v>
      </c>
      <c r="CM26" s="42" t="s">
        <v>455</v>
      </c>
      <c r="CN26" s="42" t="s">
        <v>455</v>
      </c>
      <c r="CO26" s="42" t="s">
        <v>455</v>
      </c>
      <c r="CP26" s="42" t="s">
        <v>455</v>
      </c>
      <c r="CQ26" s="42" t="s">
        <v>455</v>
      </c>
      <c r="CR26" s="42">
        <v>0.56122445643352303</v>
      </c>
      <c r="CS26" s="42">
        <v>5.6122445643352309E-2</v>
      </c>
      <c r="CT26" s="42" t="s">
        <v>455</v>
      </c>
      <c r="CU26" s="42" t="s">
        <v>455</v>
      </c>
      <c r="CV26" s="42" t="s">
        <v>455</v>
      </c>
      <c r="CW26" s="42" t="s">
        <v>455</v>
      </c>
      <c r="CX26" s="42">
        <v>18.876259987860401</v>
      </c>
      <c r="CY26" s="42">
        <v>1.8876259987860402</v>
      </c>
      <c r="CZ26" s="42">
        <v>0.206836738486292</v>
      </c>
      <c r="DA26" s="42">
        <v>2.0683673848629201E-2</v>
      </c>
      <c r="DB26" s="42">
        <v>14.1064469747038</v>
      </c>
      <c r="DC26" s="42">
        <v>1.4106446974703801</v>
      </c>
      <c r="DD26" s="42" t="s">
        <v>455</v>
      </c>
      <c r="DE26" s="42" t="s">
        <v>455</v>
      </c>
      <c r="DF26" s="42" t="s">
        <v>455</v>
      </c>
      <c r="DG26" s="42" t="s">
        <v>455</v>
      </c>
      <c r="DH26" s="42" t="s">
        <v>455</v>
      </c>
      <c r="DI26" s="42" t="s">
        <v>455</v>
      </c>
      <c r="DJ26" s="42">
        <v>0.99805595202106723</v>
      </c>
      <c r="DK26" s="42">
        <v>0.99545555280694509</v>
      </c>
      <c r="DL26" s="42">
        <v>2.771623637555266E-2</v>
      </c>
      <c r="DM26" s="42">
        <v>0.99532600732103738</v>
      </c>
      <c r="DN26" s="42">
        <v>4.4007635335978284E-8</v>
      </c>
      <c r="DO26" s="42">
        <v>1.794275508234318E-7</v>
      </c>
      <c r="DP26" s="42">
        <v>2.9171627974028635E-4</v>
      </c>
      <c r="DQ26" s="42">
        <v>6.4137532635756432E-8</v>
      </c>
      <c r="DR26" s="42">
        <v>8.6323875330963949E-9</v>
      </c>
      <c r="DS26" s="42">
        <v>1.1201674344199743E-2</v>
      </c>
      <c r="DT26" s="42">
        <v>5.9674488269094725E-3</v>
      </c>
      <c r="DU26" s="42">
        <v>2.6931777642232529E-4</v>
      </c>
      <c r="DV26" s="42">
        <v>4.4542542519680214E-8</v>
      </c>
      <c r="DW26" s="42">
        <v>9.9277515131743152E-9</v>
      </c>
      <c r="DX26" s="42">
        <v>1.8134737697535222E-7</v>
      </c>
      <c r="DY26" s="42">
        <v>1.3121705665650303E-8</v>
      </c>
      <c r="DZ26" s="42">
        <v>4.552530706135926E-8</v>
      </c>
      <c r="EA26" s="42">
        <v>2.3388689106330863E-5</v>
      </c>
      <c r="EB26" s="42">
        <v>2.8547222249697195E-9</v>
      </c>
      <c r="EC26" s="42">
        <v>2.1786038032663661E-10</v>
      </c>
      <c r="ED26" s="42">
        <v>3.9143943005070254E-3</v>
      </c>
      <c r="EE26" s="42">
        <v>5.2451764670364762E-4</v>
      </c>
      <c r="EF26" s="42">
        <v>8.7644980591177922E-7</v>
      </c>
      <c r="EG26" s="42">
        <v>3.5308406466730762E-9</v>
      </c>
      <c r="EH26" s="42">
        <v>1.4524025355109113E-9</v>
      </c>
      <c r="EI26" s="42">
        <v>8.0132553683359619E-10</v>
      </c>
      <c r="EJ26" s="42">
        <v>5.7129341001628587E-8</v>
      </c>
      <c r="EK26" s="42">
        <v>2.2495285788479106E-7</v>
      </c>
      <c r="EL26" s="42">
        <v>3.1510496884661722E-4</v>
      </c>
      <c r="EM26" s="42">
        <v>6.6992254860726152E-8</v>
      </c>
      <c r="EN26" s="42">
        <v>8.8502479134230315E-9</v>
      </c>
      <c r="EO26" s="42">
        <v>1.5116068644706769E-2</v>
      </c>
      <c r="EP26" s="42">
        <v>6.4919664736131201E-3</v>
      </c>
      <c r="EQ26" s="42">
        <v>2.7019422622823707E-4</v>
      </c>
      <c r="ER26" s="42">
        <v>4.807338316635329E-8</v>
      </c>
      <c r="ES26" s="42">
        <v>1.1380154048685226E-8</v>
      </c>
      <c r="ET26" s="42">
        <v>1.8214870251218582E-7</v>
      </c>
      <c r="EU26" s="42">
        <v>1.9587488140340806E-6</v>
      </c>
      <c r="EV26" s="42">
        <v>7.98625073721663E-6</v>
      </c>
      <c r="EW26" s="42">
        <v>1.3002153826267484E-2</v>
      </c>
      <c r="EX26" s="42">
        <v>2.8640018091070469E-6</v>
      </c>
      <c r="EY26" s="42">
        <v>3.8697492037857162E-7</v>
      </c>
      <c r="EZ26" s="42">
        <v>0.49910324664855532</v>
      </c>
      <c r="FA26" s="42">
        <v>0.26571998840359301</v>
      </c>
      <c r="FB26" s="42">
        <v>1.2074669140801438E-2</v>
      </c>
      <c r="FC26" s="42">
        <v>1.9834009850949541E-6</v>
      </c>
      <c r="FD26" s="42">
        <v>4.4206529347326591E-7</v>
      </c>
      <c r="FE26" s="42">
        <v>8.0750793688613602E-6</v>
      </c>
      <c r="FF26" s="42">
        <v>5.840378655765701E-7</v>
      </c>
      <c r="FG26" s="42">
        <v>2.0263137707239643E-6</v>
      </c>
      <c r="FH26" s="42">
        <v>1.0424626758095308E-3</v>
      </c>
      <c r="FI26" s="42">
        <v>1.2747496326750398E-7</v>
      </c>
      <c r="FJ26" s="42">
        <v>9.7663019653967386E-9</v>
      </c>
      <c r="FK26" s="42">
        <v>0.17458028008393156</v>
      </c>
      <c r="FL26" s="42">
        <v>2.3355847204098279E-2</v>
      </c>
      <c r="FM26" s="42">
        <v>3.9294997773591661E-5</v>
      </c>
      <c r="FN26" s="42">
        <v>1.5722211667038351E-7</v>
      </c>
      <c r="FO26" s="42">
        <v>6.46729274246968E-8</v>
      </c>
      <c r="FP26" s="42">
        <v>3.5681615130867697E-8</v>
      </c>
      <c r="FQ26" s="42">
        <v>2.5427866796106507E-6</v>
      </c>
      <c r="FR26" s="42">
        <v>1.0012564507940594E-5</v>
      </c>
      <c r="FS26" s="42">
        <v>1.4044616502077015E-2</v>
      </c>
      <c r="FT26" s="42">
        <v>2.9914767723745509E-6</v>
      </c>
      <c r="FU26" s="42">
        <v>3.9674122234396836E-7</v>
      </c>
      <c r="FV26" s="42">
        <v>0.67368352673248688</v>
      </c>
      <c r="FW26" s="42">
        <v>0.28907583560769129</v>
      </c>
      <c r="FX26" s="42">
        <v>1.211396413857503E-2</v>
      </c>
      <c r="FY26" s="42">
        <v>2.1406231017653376E-6</v>
      </c>
      <c r="FZ26" s="42">
        <v>5.0673822089796271E-7</v>
      </c>
      <c r="GA26" s="42">
        <v>8.1107609839922279E-6</v>
      </c>
      <c r="GB26" s="42">
        <v>7.8401275697788536E-6</v>
      </c>
      <c r="GC26" s="42">
        <v>1.6116014400181043E-4</v>
      </c>
      <c r="GD26" s="42">
        <v>0.5194100410517335</v>
      </c>
      <c r="GE26" s="42">
        <v>2.3999762359955233E-4</v>
      </c>
      <c r="GF26" s="42">
        <v>5.0807098221263808E-5</v>
      </c>
      <c r="GG26" s="42">
        <v>13.98157888966464</v>
      </c>
      <c r="GH26" s="42">
        <v>8.5027207649288918</v>
      </c>
      <c r="GI26" s="42">
        <v>0.53140015155210096</v>
      </c>
      <c r="GJ26" s="42">
        <v>3.1818630967346397E-5</v>
      </c>
      <c r="GK26" s="42">
        <v>8.9115058380688732E-7</v>
      </c>
      <c r="GL26" s="42">
        <v>3.5540685324582128E-4</v>
      </c>
      <c r="GM26" s="42" t="s">
        <v>455</v>
      </c>
      <c r="GN26" s="42" t="s">
        <v>455</v>
      </c>
      <c r="GO26" s="42" t="s">
        <v>455</v>
      </c>
      <c r="GP26" s="42" t="s">
        <v>455</v>
      </c>
      <c r="GQ26" s="42" t="s">
        <v>455</v>
      </c>
      <c r="GR26" s="42" t="s">
        <v>455</v>
      </c>
      <c r="GS26" s="42" t="s">
        <v>455</v>
      </c>
      <c r="GT26" s="42" t="s">
        <v>455</v>
      </c>
      <c r="GU26" s="42" t="s">
        <v>455</v>
      </c>
      <c r="GV26" s="42" t="s">
        <v>455</v>
      </c>
      <c r="GW26" s="42" t="s">
        <v>455</v>
      </c>
      <c r="GX26" s="42" t="s">
        <v>455</v>
      </c>
      <c r="GY26" s="42" t="s">
        <v>455</v>
      </c>
      <c r="GZ26" s="42" t="s">
        <v>455</v>
      </c>
      <c r="HA26" s="42" t="s">
        <v>455</v>
      </c>
      <c r="HB26" s="42" t="s">
        <v>455</v>
      </c>
      <c r="HC26" s="42" t="s">
        <v>455</v>
      </c>
      <c r="HD26" s="42" t="s">
        <v>455</v>
      </c>
      <c r="HE26" s="42" t="s">
        <v>455</v>
      </c>
      <c r="HF26" s="42" t="s">
        <v>455</v>
      </c>
      <c r="HG26" s="42" t="s">
        <v>455</v>
      </c>
      <c r="HH26" s="42" t="s">
        <v>455</v>
      </c>
      <c r="HI26" s="42" t="s">
        <v>455</v>
      </c>
      <c r="HJ26" s="42" t="s">
        <v>455</v>
      </c>
      <c r="HK26" s="42" t="s">
        <v>455</v>
      </c>
      <c r="HL26" s="42" t="s">
        <v>455</v>
      </c>
      <c r="HM26" s="42" t="s">
        <v>455</v>
      </c>
      <c r="HN26" s="42" t="s">
        <v>455</v>
      </c>
      <c r="HO26" s="42" t="s">
        <v>455</v>
      </c>
      <c r="HP26" s="42" t="s">
        <v>455</v>
      </c>
      <c r="HQ26" s="42" t="s">
        <v>455</v>
      </c>
      <c r="HR26" s="42" t="s">
        <v>455</v>
      </c>
      <c r="HS26" s="42" t="s">
        <v>455</v>
      </c>
      <c r="HT26" s="42" t="s">
        <v>455</v>
      </c>
      <c r="HU26" s="42" t="s">
        <v>455</v>
      </c>
      <c r="HV26" s="42" t="s">
        <v>455</v>
      </c>
      <c r="HW26" s="42" t="s">
        <v>455</v>
      </c>
      <c r="HX26" s="42" t="s">
        <v>455</v>
      </c>
      <c r="HY26" s="42" t="s">
        <v>455</v>
      </c>
      <c r="HZ26" s="42" t="s">
        <v>455</v>
      </c>
      <c r="IA26" s="42" t="s">
        <v>455</v>
      </c>
      <c r="IB26" s="42" t="s">
        <v>455</v>
      </c>
      <c r="IC26" s="42" t="s">
        <v>455</v>
      </c>
      <c r="ID26" s="42" t="s">
        <v>455</v>
      </c>
      <c r="IE26" s="42" t="s">
        <v>455</v>
      </c>
      <c r="IF26" s="42" t="s">
        <v>455</v>
      </c>
      <c r="IG26" s="42" t="s">
        <v>455</v>
      </c>
      <c r="IH26" s="42" t="s">
        <v>455</v>
      </c>
      <c r="II26" s="42" t="s">
        <v>455</v>
      </c>
      <c r="IJ26" s="42" t="s">
        <v>455</v>
      </c>
      <c r="IK26" s="42" t="s">
        <v>455</v>
      </c>
      <c r="IL26" s="42" t="s">
        <v>455</v>
      </c>
      <c r="IM26" s="42" t="s">
        <v>455</v>
      </c>
      <c r="IN26" s="42" t="s">
        <v>455</v>
      </c>
      <c r="IO26" s="42" t="s">
        <v>455</v>
      </c>
      <c r="IP26" s="42" t="s">
        <v>455</v>
      </c>
      <c r="IQ26" s="42" t="s">
        <v>455</v>
      </c>
      <c r="IR26" s="42" t="s">
        <v>455</v>
      </c>
      <c r="IS26" s="42" t="s">
        <v>455</v>
      </c>
      <c r="IT26" s="42" t="s">
        <v>455</v>
      </c>
      <c r="IU26" s="42" t="s">
        <v>455</v>
      </c>
      <c r="IV26" s="42" t="s">
        <v>455</v>
      </c>
      <c r="IW26" s="42" t="s">
        <v>455</v>
      </c>
      <c r="IX26" s="42" t="s">
        <v>455</v>
      </c>
      <c r="IY26" s="42" t="s">
        <v>455</v>
      </c>
      <c r="IZ26" s="42" t="s">
        <v>455</v>
      </c>
      <c r="JA26" s="42" t="s">
        <v>455</v>
      </c>
      <c r="JB26" s="42" t="s">
        <v>455</v>
      </c>
      <c r="JC26" s="42" t="s">
        <v>455</v>
      </c>
      <c r="JD26" s="42" t="s">
        <v>455</v>
      </c>
      <c r="JE26" s="42" t="s">
        <v>455</v>
      </c>
      <c r="JF26" s="42" t="s">
        <v>455</v>
      </c>
      <c r="JG26" s="42" t="s">
        <v>455</v>
      </c>
      <c r="JH26" s="42" t="s">
        <v>455</v>
      </c>
      <c r="JI26" s="42" t="s">
        <v>455</v>
      </c>
      <c r="JJ26" s="42" t="s">
        <v>455</v>
      </c>
      <c r="JK26" s="42" t="s">
        <v>455</v>
      </c>
      <c r="JL26" s="42" t="s">
        <v>455</v>
      </c>
      <c r="JM26" s="42" t="s">
        <v>455</v>
      </c>
    </row>
    <row r="27" spans="1:273">
      <c r="A27" s="42" t="s">
        <v>208</v>
      </c>
      <c r="B27" s="42" t="s">
        <v>240</v>
      </c>
      <c r="C27" s="42" t="s">
        <v>252</v>
      </c>
      <c r="D27" s="60">
        <v>41535</v>
      </c>
      <c r="E27" s="42" t="s">
        <v>254</v>
      </c>
      <c r="F27" s="42">
        <v>1.25373368448</v>
      </c>
      <c r="G27" s="42">
        <v>168.292682926829</v>
      </c>
      <c r="H27" s="42">
        <v>22.4300003052</v>
      </c>
      <c r="I27" s="42">
        <v>1</v>
      </c>
      <c r="J27" s="42">
        <v>0</v>
      </c>
      <c r="K27" s="42">
        <v>0</v>
      </c>
      <c r="L27" s="42" t="s">
        <v>454</v>
      </c>
      <c r="M27" s="42" t="s">
        <v>614</v>
      </c>
      <c r="N27" s="42">
        <v>1.4178875626907445E-24</v>
      </c>
      <c r="O27" s="61" t="s">
        <v>455</v>
      </c>
      <c r="P27" s="42">
        <v>25.957534162278051</v>
      </c>
      <c r="Q27" s="42">
        <v>7.0806415650609633</v>
      </c>
      <c r="R27" s="42">
        <v>3.708099751258159</v>
      </c>
      <c r="S27" s="42">
        <v>0.52040208557367151</v>
      </c>
      <c r="T27" s="42" t="s">
        <v>455</v>
      </c>
      <c r="U27" s="42" t="s">
        <v>455</v>
      </c>
      <c r="V27" s="42" t="s">
        <v>456</v>
      </c>
      <c r="W27" s="42" t="s">
        <v>455</v>
      </c>
      <c r="X27" s="42">
        <v>7.7670868847350096</v>
      </c>
      <c r="Y27" s="42">
        <v>2.6684367380649183</v>
      </c>
      <c r="Z27" s="42" t="s">
        <v>456</v>
      </c>
      <c r="AA27" s="42" t="s">
        <v>455</v>
      </c>
      <c r="AB27" s="42" t="s">
        <v>456</v>
      </c>
      <c r="AC27" s="42" t="s">
        <v>455</v>
      </c>
      <c r="AD27" s="42" t="s">
        <v>613</v>
      </c>
      <c r="AE27" s="42" t="s">
        <v>91</v>
      </c>
      <c r="AF27" s="42">
        <v>2.4949504753205187E-18</v>
      </c>
      <c r="AG27" s="42">
        <v>4</v>
      </c>
      <c r="AH27" s="62">
        <v>42880.574386574073</v>
      </c>
      <c r="AJ27" s="63" t="s">
        <v>644</v>
      </c>
      <c r="AK27" s="61">
        <v>101.44764440601597</v>
      </c>
      <c r="AL27" s="61">
        <v>0.39121832168523718</v>
      </c>
      <c r="AM27" s="61">
        <v>0.12783249595809432</v>
      </c>
      <c r="AN27" s="61" t="s">
        <v>455</v>
      </c>
      <c r="AO27" s="61" t="s">
        <v>455</v>
      </c>
      <c r="AP27" s="61">
        <v>0.87238113096567438</v>
      </c>
      <c r="AQ27" s="61">
        <v>-0.97651141930986474</v>
      </c>
      <c r="AR27" s="61">
        <v>4.1932567007830279</v>
      </c>
      <c r="AS27" s="61">
        <v>190.20547024578573</v>
      </c>
      <c r="AT27" s="61" t="s">
        <v>455</v>
      </c>
      <c r="AU27" s="61" t="s">
        <v>455</v>
      </c>
      <c r="AV27" s="42">
        <v>4.3878127256654503E-6</v>
      </c>
      <c r="AW27" s="42">
        <v>4.3878127256654499E-8</v>
      </c>
      <c r="AX27" s="42">
        <v>2.3972945070369301E-7</v>
      </c>
      <c r="AY27" s="42">
        <v>3.59594176055539E-9</v>
      </c>
      <c r="AZ27" s="42" t="s">
        <v>455</v>
      </c>
      <c r="BA27" s="42" t="s">
        <v>455</v>
      </c>
      <c r="BB27" s="42" t="s">
        <v>455</v>
      </c>
      <c r="BC27" s="42" t="s">
        <v>455</v>
      </c>
      <c r="BD27" s="42" t="s">
        <v>455</v>
      </c>
      <c r="BE27" s="42" t="s">
        <v>455</v>
      </c>
      <c r="BF27" s="42" t="s">
        <v>455</v>
      </c>
      <c r="BG27" s="42" t="s">
        <v>455</v>
      </c>
      <c r="BH27" s="42" t="s">
        <v>455</v>
      </c>
      <c r="BI27" s="42" t="s">
        <v>455</v>
      </c>
      <c r="BJ27" s="42" t="s">
        <v>455</v>
      </c>
      <c r="BK27" s="42" t="s">
        <v>455</v>
      </c>
      <c r="BL27" s="42" t="s">
        <v>455</v>
      </c>
      <c r="BM27" s="42" t="s">
        <v>455</v>
      </c>
      <c r="BN27" s="42" t="s">
        <v>455</v>
      </c>
      <c r="BO27" s="42" t="s">
        <v>455</v>
      </c>
      <c r="BP27" s="42" t="s">
        <v>455</v>
      </c>
      <c r="BQ27" s="42" t="s">
        <v>455</v>
      </c>
      <c r="BR27" s="42" t="s">
        <v>455</v>
      </c>
      <c r="BS27" s="42" t="s">
        <v>455</v>
      </c>
      <c r="BT27" s="42" t="s">
        <v>455</v>
      </c>
      <c r="BU27" s="42" t="s">
        <v>455</v>
      </c>
      <c r="BV27" s="42" t="s">
        <v>455</v>
      </c>
      <c r="BW27" s="42" t="s">
        <v>455</v>
      </c>
      <c r="BX27" s="42" t="s">
        <v>455</v>
      </c>
      <c r="BY27" s="42" t="s">
        <v>455</v>
      </c>
      <c r="BZ27" s="42" t="s">
        <v>455</v>
      </c>
      <c r="CA27" s="42" t="s">
        <v>455</v>
      </c>
      <c r="CB27" s="42" t="s">
        <v>455</v>
      </c>
      <c r="CC27" s="42" t="s">
        <v>455</v>
      </c>
      <c r="CD27" s="42" t="s">
        <v>455</v>
      </c>
      <c r="CE27" s="42" t="s">
        <v>455</v>
      </c>
      <c r="CF27" s="42" t="s">
        <v>455</v>
      </c>
      <c r="CG27" s="42" t="s">
        <v>455</v>
      </c>
      <c r="CH27" s="42" t="s">
        <v>455</v>
      </c>
      <c r="CI27" s="42" t="s">
        <v>455</v>
      </c>
      <c r="CJ27" s="42" t="s">
        <v>455</v>
      </c>
      <c r="CK27" s="42" t="s">
        <v>455</v>
      </c>
      <c r="CL27" s="42" t="s">
        <v>455</v>
      </c>
      <c r="CM27" s="42" t="s">
        <v>455</v>
      </c>
      <c r="CN27" s="42" t="s">
        <v>455</v>
      </c>
      <c r="CO27" s="42" t="s">
        <v>455</v>
      </c>
      <c r="CP27" s="42" t="s">
        <v>455</v>
      </c>
      <c r="CQ27" s="42" t="s">
        <v>455</v>
      </c>
      <c r="CR27" s="42">
        <v>0.54389519053902802</v>
      </c>
      <c r="CS27" s="42">
        <v>5.4389519053902803E-2</v>
      </c>
      <c r="CT27" s="42" t="s">
        <v>455</v>
      </c>
      <c r="CU27" s="42" t="s">
        <v>455</v>
      </c>
      <c r="CV27" s="42" t="s">
        <v>455</v>
      </c>
      <c r="CW27" s="42" t="s">
        <v>455</v>
      </c>
      <c r="CX27" s="42">
        <v>24.424634718474401</v>
      </c>
      <c r="CY27" s="42">
        <v>2.4424634718474403</v>
      </c>
      <c r="CZ27" s="42">
        <v>0.18544833854037601</v>
      </c>
      <c r="DA27" s="42">
        <v>1.8544833854037601E-2</v>
      </c>
      <c r="DB27" s="42">
        <v>2.48593849787044</v>
      </c>
      <c r="DC27" s="42">
        <v>0.24859384978704402</v>
      </c>
      <c r="DD27" s="42">
        <v>5.6204400905179403E-3</v>
      </c>
      <c r="DE27" s="42">
        <v>5.6204400905179408E-4</v>
      </c>
      <c r="DF27" s="42" t="s">
        <v>455</v>
      </c>
      <c r="DG27" s="42" t="s">
        <v>455</v>
      </c>
      <c r="DH27" s="42" t="s">
        <v>455</v>
      </c>
      <c r="DI27" s="42" t="s">
        <v>455</v>
      </c>
      <c r="DJ27" s="42">
        <v>0.99774328393740852</v>
      </c>
      <c r="DK27" s="42">
        <v>0.97992795349813333</v>
      </c>
      <c r="DL27" s="42">
        <v>3.3050589101780416E-2</v>
      </c>
      <c r="DM27" s="42">
        <v>0.97924188558818059</v>
      </c>
      <c r="DN27" s="42">
        <v>4.2829805908234116E-8</v>
      </c>
      <c r="DO27" s="42">
        <v>1.7231619722582387E-7</v>
      </c>
      <c r="DP27" s="42">
        <v>2.7092994951845469E-4</v>
      </c>
      <c r="DQ27" s="42">
        <v>5.8684858990937148E-8</v>
      </c>
      <c r="DR27" s="42">
        <v>7.7889582918231586E-9</v>
      </c>
      <c r="DS27" s="42">
        <v>1.0454340054226758E-2</v>
      </c>
      <c r="DT27" s="42">
        <v>5.5428488291242401E-3</v>
      </c>
      <c r="DU27" s="42">
        <v>2.4267777915497912E-4</v>
      </c>
      <c r="DV27" s="42">
        <v>4.1162296757022763E-8</v>
      </c>
      <c r="DW27" s="42">
        <v>9.5277481222599399E-9</v>
      </c>
      <c r="DX27" s="42">
        <v>1.6264011567299462E-7</v>
      </c>
      <c r="DY27" s="42">
        <v>1.9430442696592754E-8</v>
      </c>
      <c r="DZ27" s="42">
        <v>6.7413253477873318E-8</v>
      </c>
      <c r="EA27" s="42">
        <v>3.4633651676751196E-5</v>
      </c>
      <c r="EB27" s="42">
        <v>4.2272337164342975E-9</v>
      </c>
      <c r="EC27" s="42">
        <v>3.2260467835946E-10</v>
      </c>
      <c r="ED27" s="42">
        <v>9.106121537409112E-3</v>
      </c>
      <c r="EE27" s="42">
        <v>7.7669857389853388E-4</v>
      </c>
      <c r="EF27" s="42">
        <v>1.2978349129403634E-6</v>
      </c>
      <c r="EG27" s="42">
        <v>5.2284206492740016E-9</v>
      </c>
      <c r="EH27" s="42">
        <v>2.1506978557297322E-9</v>
      </c>
      <c r="EI27" s="42">
        <v>1.1865919204026182E-9</v>
      </c>
      <c r="EJ27" s="42">
        <v>6.226024860482687E-8</v>
      </c>
      <c r="EK27" s="42">
        <v>2.3972945070369719E-7</v>
      </c>
      <c r="EL27" s="42">
        <v>3.0556360119520588E-4</v>
      </c>
      <c r="EM27" s="42">
        <v>6.2912092707371446E-8</v>
      </c>
      <c r="EN27" s="42">
        <v>8.1115629701826186E-9</v>
      </c>
      <c r="EO27" s="42">
        <v>1.956046159163587E-2</v>
      </c>
      <c r="EP27" s="42">
        <v>6.319547403022774E-3</v>
      </c>
      <c r="EQ27" s="42">
        <v>2.4397561406791949E-4</v>
      </c>
      <c r="ER27" s="42">
        <v>4.6390717406296764E-8</v>
      </c>
      <c r="ES27" s="42">
        <v>1.1678445977989672E-8</v>
      </c>
      <c r="ET27" s="42">
        <v>1.6382670759339724E-7</v>
      </c>
      <c r="EU27" s="42">
        <v>1.9057272490107864E-6</v>
      </c>
      <c r="EV27" s="42">
        <v>7.6673243951491548E-6</v>
      </c>
      <c r="EW27" s="42">
        <v>1.207189845606136E-2</v>
      </c>
      <c r="EX27" s="42">
        <v>2.6196967956023747E-6</v>
      </c>
      <c r="EY27" s="42">
        <v>3.4905606877002485E-7</v>
      </c>
      <c r="EZ27" s="42">
        <v>0.46565899762823743</v>
      </c>
      <c r="FA27" s="42">
        <v>0.2467359772079521</v>
      </c>
      <c r="FB27" s="42">
        <v>1.0876875446418672E-2</v>
      </c>
      <c r="FC27" s="42">
        <v>1.8323103926455797E-6</v>
      </c>
      <c r="FD27" s="42">
        <v>4.2412093780816051E-7</v>
      </c>
      <c r="FE27" s="42">
        <v>7.2398091867374682E-6</v>
      </c>
      <c r="FF27" s="42">
        <v>8.6456436871502379E-7</v>
      </c>
      <c r="FG27" s="42">
        <v>2.9995977816867145E-6</v>
      </c>
      <c r="FH27" s="42">
        <v>1.5431809105912846E-3</v>
      </c>
      <c r="FI27" s="42">
        <v>1.8870405095316752E-7</v>
      </c>
      <c r="FJ27" s="42">
        <v>1.4457276130645889E-8</v>
      </c>
      <c r="FK27" s="42">
        <v>0.40623212299527572</v>
      </c>
      <c r="FL27" s="42">
        <v>3.4574185141029057E-2</v>
      </c>
      <c r="FM27" s="42">
        <v>5.8169267689938201E-5</v>
      </c>
      <c r="FN27" s="42">
        <v>2.3273943019598458E-7</v>
      </c>
      <c r="FO27" s="42">
        <v>9.5736786889128496E-8</v>
      </c>
      <c r="FP27" s="42">
        <v>5.2820296214691175E-8</v>
      </c>
      <c r="FQ27" s="42">
        <v>2.7702916177258102E-6</v>
      </c>
      <c r="FR27" s="42">
        <v>1.0666922176835869E-5</v>
      </c>
      <c r="FS27" s="42">
        <v>1.3615079366652644E-2</v>
      </c>
      <c r="FT27" s="42">
        <v>2.8084008465555422E-6</v>
      </c>
      <c r="FU27" s="42">
        <v>3.6351334490067074E-7</v>
      </c>
      <c r="FV27" s="42">
        <v>0.87189112062351315</v>
      </c>
      <c r="FW27" s="42">
        <v>0.28131016234898115</v>
      </c>
      <c r="FX27" s="42">
        <v>1.093504471410861E-2</v>
      </c>
      <c r="FY27" s="42">
        <v>2.0650498228415643E-6</v>
      </c>
      <c r="FZ27" s="42">
        <v>5.1985772469728901E-7</v>
      </c>
      <c r="GA27" s="42">
        <v>7.2926294829521593E-6</v>
      </c>
      <c r="GB27" s="42">
        <v>7.6279023825810034E-6</v>
      </c>
      <c r="GC27" s="42">
        <v>1.5472430609679141E-4</v>
      </c>
      <c r="GD27" s="42">
        <v>0.48224819952273923</v>
      </c>
      <c r="GE27" s="42">
        <v>2.195253520778878E-4</v>
      </c>
      <c r="GF27" s="42">
        <v>4.5828618437022874E-5</v>
      </c>
      <c r="GG27" s="42">
        <v>13.044691764158866</v>
      </c>
      <c r="GH27" s="42">
        <v>7.8952551874818173</v>
      </c>
      <c r="GI27" s="42">
        <v>0.47868584995916258</v>
      </c>
      <c r="GJ27" s="42">
        <v>2.9394766181601003E-5</v>
      </c>
      <c r="GK27" s="42">
        <v>8.5497691610871465E-7</v>
      </c>
      <c r="GL27" s="42">
        <v>3.1864427377403885E-4</v>
      </c>
      <c r="GM27" s="42" t="s">
        <v>455</v>
      </c>
      <c r="GN27" s="42" t="s">
        <v>455</v>
      </c>
      <c r="GO27" s="42" t="s">
        <v>455</v>
      </c>
      <c r="GP27" s="42" t="s">
        <v>455</v>
      </c>
      <c r="GQ27" s="42" t="s">
        <v>455</v>
      </c>
      <c r="GR27" s="42" t="s">
        <v>455</v>
      </c>
      <c r="GS27" s="42" t="s">
        <v>455</v>
      </c>
      <c r="GT27" s="42" t="s">
        <v>455</v>
      </c>
      <c r="GU27" s="42" t="s">
        <v>455</v>
      </c>
      <c r="GV27" s="42" t="s">
        <v>455</v>
      </c>
      <c r="GW27" s="42" t="s">
        <v>455</v>
      </c>
      <c r="GX27" s="42" t="s">
        <v>455</v>
      </c>
      <c r="GY27" s="42" t="s">
        <v>455</v>
      </c>
      <c r="GZ27" s="42" t="s">
        <v>455</v>
      </c>
      <c r="HA27" s="42" t="s">
        <v>455</v>
      </c>
      <c r="HB27" s="42" t="s">
        <v>455</v>
      </c>
      <c r="HC27" s="42" t="s">
        <v>455</v>
      </c>
      <c r="HD27" s="42" t="s">
        <v>455</v>
      </c>
      <c r="HE27" s="42" t="s">
        <v>455</v>
      </c>
      <c r="HF27" s="42" t="s">
        <v>455</v>
      </c>
      <c r="HG27" s="42" t="s">
        <v>455</v>
      </c>
      <c r="HH27" s="42" t="s">
        <v>455</v>
      </c>
      <c r="HI27" s="42" t="s">
        <v>455</v>
      </c>
      <c r="HJ27" s="42" t="s">
        <v>455</v>
      </c>
      <c r="HK27" s="42" t="s">
        <v>455</v>
      </c>
      <c r="HL27" s="42" t="s">
        <v>455</v>
      </c>
      <c r="HM27" s="42" t="s">
        <v>455</v>
      </c>
      <c r="HN27" s="42" t="s">
        <v>455</v>
      </c>
      <c r="HO27" s="42" t="s">
        <v>455</v>
      </c>
      <c r="HP27" s="42" t="s">
        <v>455</v>
      </c>
      <c r="HQ27" s="42" t="s">
        <v>455</v>
      </c>
      <c r="HR27" s="42" t="s">
        <v>455</v>
      </c>
      <c r="HS27" s="42" t="s">
        <v>455</v>
      </c>
      <c r="HT27" s="42" t="s">
        <v>455</v>
      </c>
      <c r="HU27" s="42" t="s">
        <v>455</v>
      </c>
      <c r="HV27" s="42" t="s">
        <v>455</v>
      </c>
      <c r="HW27" s="42" t="s">
        <v>455</v>
      </c>
      <c r="HX27" s="42" t="s">
        <v>455</v>
      </c>
      <c r="HY27" s="42" t="s">
        <v>455</v>
      </c>
      <c r="HZ27" s="42" t="s">
        <v>455</v>
      </c>
      <c r="IA27" s="42" t="s">
        <v>455</v>
      </c>
      <c r="IB27" s="42" t="s">
        <v>455</v>
      </c>
      <c r="IC27" s="42" t="s">
        <v>455</v>
      </c>
      <c r="ID27" s="42" t="s">
        <v>455</v>
      </c>
      <c r="IE27" s="42" t="s">
        <v>455</v>
      </c>
      <c r="IF27" s="42" t="s">
        <v>455</v>
      </c>
      <c r="IG27" s="42" t="s">
        <v>455</v>
      </c>
      <c r="IH27" s="42" t="s">
        <v>455</v>
      </c>
      <c r="II27" s="42" t="s">
        <v>455</v>
      </c>
      <c r="IJ27" s="42" t="s">
        <v>455</v>
      </c>
      <c r="IK27" s="42" t="s">
        <v>455</v>
      </c>
      <c r="IL27" s="42" t="s">
        <v>455</v>
      </c>
      <c r="IM27" s="42" t="s">
        <v>455</v>
      </c>
      <c r="IN27" s="42" t="s">
        <v>455</v>
      </c>
      <c r="IO27" s="42" t="s">
        <v>455</v>
      </c>
      <c r="IP27" s="42" t="s">
        <v>455</v>
      </c>
      <c r="IQ27" s="42" t="s">
        <v>455</v>
      </c>
      <c r="IR27" s="42" t="s">
        <v>455</v>
      </c>
      <c r="IS27" s="42" t="s">
        <v>455</v>
      </c>
      <c r="IT27" s="42" t="s">
        <v>455</v>
      </c>
      <c r="IU27" s="42" t="s">
        <v>455</v>
      </c>
      <c r="IV27" s="42" t="s">
        <v>455</v>
      </c>
      <c r="IW27" s="42" t="s">
        <v>455</v>
      </c>
      <c r="IX27" s="42" t="s">
        <v>455</v>
      </c>
      <c r="IY27" s="42" t="s">
        <v>455</v>
      </c>
      <c r="IZ27" s="42" t="s">
        <v>455</v>
      </c>
      <c r="JA27" s="42" t="s">
        <v>455</v>
      </c>
      <c r="JB27" s="42" t="s">
        <v>455</v>
      </c>
      <c r="JC27" s="42" t="s">
        <v>455</v>
      </c>
      <c r="JD27" s="42" t="s">
        <v>455</v>
      </c>
      <c r="JE27" s="42" t="s">
        <v>455</v>
      </c>
      <c r="JF27" s="42" t="s">
        <v>455</v>
      </c>
      <c r="JG27" s="42" t="s">
        <v>455</v>
      </c>
      <c r="JH27" s="42" t="s">
        <v>455</v>
      </c>
      <c r="JI27" s="42" t="s">
        <v>455</v>
      </c>
      <c r="JJ27" s="42" t="s">
        <v>455</v>
      </c>
      <c r="JK27" s="42" t="s">
        <v>455</v>
      </c>
      <c r="JL27" s="42" t="s">
        <v>455</v>
      </c>
      <c r="JM27" s="42" t="s">
        <v>455</v>
      </c>
    </row>
    <row r="28" spans="1:273">
      <c r="A28" s="42" t="s">
        <v>208</v>
      </c>
      <c r="B28" s="42" t="s">
        <v>240</v>
      </c>
      <c r="C28" s="42" t="s">
        <v>252</v>
      </c>
      <c r="D28" s="60">
        <v>41535</v>
      </c>
      <c r="E28" s="42" t="s">
        <v>253</v>
      </c>
      <c r="F28" s="42">
        <v>1.25373368448</v>
      </c>
      <c r="G28" s="42">
        <v>168.292682926829</v>
      </c>
      <c r="H28" s="42">
        <v>22.4300003052</v>
      </c>
      <c r="I28" s="42">
        <v>1</v>
      </c>
      <c r="J28" s="42">
        <v>0</v>
      </c>
      <c r="K28" s="42">
        <v>0</v>
      </c>
      <c r="L28" s="42" t="s">
        <v>454</v>
      </c>
      <c r="M28" s="42" t="s">
        <v>614</v>
      </c>
      <c r="N28" s="42">
        <v>6.6005405468588421E-26</v>
      </c>
      <c r="O28" s="61" t="s">
        <v>455</v>
      </c>
      <c r="P28" s="42">
        <v>27.112154982223398</v>
      </c>
      <c r="Q28" s="42">
        <v>7.2356629507173347</v>
      </c>
      <c r="R28" s="42">
        <v>3.7837327141248274</v>
      </c>
      <c r="S28" s="42">
        <v>0.51934812485561166</v>
      </c>
      <c r="T28" s="42" t="s">
        <v>455</v>
      </c>
      <c r="U28" s="42" t="s">
        <v>455</v>
      </c>
      <c r="V28" s="42" t="s">
        <v>456</v>
      </c>
      <c r="W28" s="42" t="s">
        <v>455</v>
      </c>
      <c r="X28" s="42">
        <v>7.3409212416624134</v>
      </c>
      <c r="Y28" s="42">
        <v>2.6056537568571052</v>
      </c>
      <c r="Z28" s="42" t="s">
        <v>456</v>
      </c>
      <c r="AA28" s="42" t="s">
        <v>455</v>
      </c>
      <c r="AB28" s="42" t="s">
        <v>456</v>
      </c>
      <c r="AC28" s="42" t="s">
        <v>455</v>
      </c>
      <c r="AD28" s="42" t="s">
        <v>613</v>
      </c>
      <c r="AE28" s="42" t="s">
        <v>91</v>
      </c>
      <c r="AF28" s="42">
        <v>1.707166898342407E-16</v>
      </c>
      <c r="AG28" s="42">
        <v>4</v>
      </c>
      <c r="AH28" s="62">
        <v>42880.574386574073</v>
      </c>
      <c r="AJ28" s="63" t="s">
        <v>643</v>
      </c>
      <c r="AK28" s="61">
        <v>101.75549198575823</v>
      </c>
      <c r="AL28" s="61">
        <v>0.40240892647653137</v>
      </c>
      <c r="AM28" s="61">
        <v>0.13314780160856499</v>
      </c>
      <c r="AN28" s="61" t="s">
        <v>455</v>
      </c>
      <c r="AO28" s="61" t="s">
        <v>455</v>
      </c>
      <c r="AP28" s="61">
        <v>0.86133751727004881</v>
      </c>
      <c r="AQ28" s="61">
        <v>-0.97440819444007309</v>
      </c>
      <c r="AR28" s="61">
        <v>4.1312795823600013</v>
      </c>
      <c r="AS28" s="61">
        <v>180.6469400063817</v>
      </c>
      <c r="AT28" s="61" t="s">
        <v>455</v>
      </c>
      <c r="AU28" s="61" t="s">
        <v>455</v>
      </c>
      <c r="AV28" s="42">
        <v>4.3878127256654503E-6</v>
      </c>
      <c r="AW28" s="42">
        <v>4.3878127256654499E-8</v>
      </c>
      <c r="AX28" s="42">
        <v>2.3972945070369301E-7</v>
      </c>
      <c r="AY28" s="42">
        <v>3.59594176055539E-9</v>
      </c>
      <c r="AZ28" s="42" t="s">
        <v>455</v>
      </c>
      <c r="BA28" s="42" t="s">
        <v>455</v>
      </c>
      <c r="BB28" s="42" t="s">
        <v>455</v>
      </c>
      <c r="BC28" s="42" t="s">
        <v>455</v>
      </c>
      <c r="BD28" s="42" t="s">
        <v>455</v>
      </c>
      <c r="BE28" s="42" t="s">
        <v>455</v>
      </c>
      <c r="BF28" s="42" t="s">
        <v>455</v>
      </c>
      <c r="BG28" s="42" t="s">
        <v>455</v>
      </c>
      <c r="BH28" s="42" t="s">
        <v>455</v>
      </c>
      <c r="BI28" s="42" t="s">
        <v>455</v>
      </c>
      <c r="BJ28" s="42" t="s">
        <v>455</v>
      </c>
      <c r="BK28" s="42" t="s">
        <v>455</v>
      </c>
      <c r="BL28" s="42" t="s">
        <v>455</v>
      </c>
      <c r="BM28" s="42" t="s">
        <v>455</v>
      </c>
      <c r="BN28" s="42" t="s">
        <v>455</v>
      </c>
      <c r="BO28" s="42" t="s">
        <v>455</v>
      </c>
      <c r="BP28" s="42" t="s">
        <v>455</v>
      </c>
      <c r="BQ28" s="42" t="s">
        <v>455</v>
      </c>
      <c r="BR28" s="42" t="s">
        <v>455</v>
      </c>
      <c r="BS28" s="42" t="s">
        <v>455</v>
      </c>
      <c r="BT28" s="42" t="s">
        <v>455</v>
      </c>
      <c r="BU28" s="42" t="s">
        <v>455</v>
      </c>
      <c r="BV28" s="42" t="s">
        <v>455</v>
      </c>
      <c r="BW28" s="42" t="s">
        <v>455</v>
      </c>
      <c r="BX28" s="42" t="s">
        <v>455</v>
      </c>
      <c r="BY28" s="42" t="s">
        <v>455</v>
      </c>
      <c r="BZ28" s="42" t="s">
        <v>455</v>
      </c>
      <c r="CA28" s="42" t="s">
        <v>455</v>
      </c>
      <c r="CB28" s="42" t="s">
        <v>455</v>
      </c>
      <c r="CC28" s="42" t="s">
        <v>455</v>
      </c>
      <c r="CD28" s="42" t="s">
        <v>455</v>
      </c>
      <c r="CE28" s="42" t="s">
        <v>455</v>
      </c>
      <c r="CF28" s="42" t="s">
        <v>455</v>
      </c>
      <c r="CG28" s="42" t="s">
        <v>455</v>
      </c>
      <c r="CH28" s="42" t="s">
        <v>455</v>
      </c>
      <c r="CI28" s="42" t="s">
        <v>455</v>
      </c>
      <c r="CJ28" s="42" t="s">
        <v>455</v>
      </c>
      <c r="CK28" s="42" t="s">
        <v>455</v>
      </c>
      <c r="CL28" s="42" t="s">
        <v>455</v>
      </c>
      <c r="CM28" s="42" t="s">
        <v>455</v>
      </c>
      <c r="CN28" s="42" t="s">
        <v>455</v>
      </c>
      <c r="CO28" s="42" t="s">
        <v>455</v>
      </c>
      <c r="CP28" s="42" t="s">
        <v>455</v>
      </c>
      <c r="CQ28" s="42" t="s">
        <v>455</v>
      </c>
      <c r="CR28" s="42">
        <v>0.53517594338781205</v>
      </c>
      <c r="CS28" s="42">
        <v>5.3517594338781206E-2</v>
      </c>
      <c r="CT28" s="42" t="s">
        <v>455</v>
      </c>
      <c r="CU28" s="42" t="s">
        <v>455</v>
      </c>
      <c r="CV28" s="42" t="s">
        <v>455</v>
      </c>
      <c r="CW28" s="42" t="s">
        <v>455</v>
      </c>
      <c r="CX28" s="42">
        <v>23.827682017208399</v>
      </c>
      <c r="CY28" s="42">
        <v>2.38276820172084</v>
      </c>
      <c r="CZ28" s="42">
        <v>0.19788963100798301</v>
      </c>
      <c r="DA28" s="42">
        <v>1.9788963100798303E-2</v>
      </c>
      <c r="DB28" s="42">
        <v>2.3769034449321</v>
      </c>
      <c r="DC28" s="42">
        <v>0.23769034449321003</v>
      </c>
      <c r="DD28" s="42">
        <v>5.2191203385142E-3</v>
      </c>
      <c r="DE28" s="42">
        <v>5.2191203385142007E-4</v>
      </c>
      <c r="DF28" s="42" t="s">
        <v>455</v>
      </c>
      <c r="DG28" s="42" t="s">
        <v>455</v>
      </c>
      <c r="DH28" s="42" t="s">
        <v>455</v>
      </c>
      <c r="DI28" s="42" t="s">
        <v>455</v>
      </c>
      <c r="DJ28" s="42">
        <v>0.9974288164612829</v>
      </c>
      <c r="DK28" s="42">
        <v>0.97992795349813333</v>
      </c>
      <c r="DL28" s="42">
        <v>3.5377414042688536E-2</v>
      </c>
      <c r="DM28" s="42">
        <v>0.97919181367503771</v>
      </c>
      <c r="DN28" s="42">
        <v>4.2701491091820139E-8</v>
      </c>
      <c r="DO28" s="42">
        <v>1.7094118996090458E-7</v>
      </c>
      <c r="DP28" s="42">
        <v>2.6541980508111584E-4</v>
      </c>
      <c r="DQ28" s="42">
        <v>5.7167578463847634E-8</v>
      </c>
      <c r="DR28" s="42">
        <v>7.5448983273259063E-9</v>
      </c>
      <c r="DS28" s="42">
        <v>1.0262575558224763E-2</v>
      </c>
      <c r="DT28" s="42">
        <v>5.4303256658373685E-3</v>
      </c>
      <c r="DU28" s="42">
        <v>2.3491036834946225E-4</v>
      </c>
      <c r="DV28" s="42">
        <v>4.0247204065762409E-8</v>
      </c>
      <c r="DW28" s="42">
        <v>9.4481223059753813E-9</v>
      </c>
      <c r="DX28" s="42">
        <v>1.5717435321275714E-7</v>
      </c>
      <c r="DY28" s="42">
        <v>1.9826759422014091E-8</v>
      </c>
      <c r="DZ28" s="42">
        <v>6.8788260742789327E-8</v>
      </c>
      <c r="EA28" s="42">
        <v>3.5340063549925871E-5</v>
      </c>
      <c r="EB28" s="42">
        <v>4.3134552941023096E-9</v>
      </c>
      <c r="EC28" s="42">
        <v>3.2918474612886024E-10</v>
      </c>
      <c r="ED28" s="42">
        <v>8.8244098045773354E-3</v>
      </c>
      <c r="EE28" s="42">
        <v>7.9254065430058637E-4</v>
      </c>
      <c r="EF28" s="42">
        <v>1.3243064499436847E-6</v>
      </c>
      <c r="EG28" s="42">
        <v>5.3350631269160069E-9</v>
      </c>
      <c r="EH28" s="42">
        <v>2.1945649741923994E-9</v>
      </c>
      <c r="EI28" s="42">
        <v>1.2107944685199336E-9</v>
      </c>
      <c r="EJ28" s="42">
        <v>6.252825051383423E-8</v>
      </c>
      <c r="EK28" s="42">
        <v>2.3972945070369391E-7</v>
      </c>
      <c r="EL28" s="42">
        <v>3.0075986863104171E-4</v>
      </c>
      <c r="EM28" s="42">
        <v>6.1481033757949943E-8</v>
      </c>
      <c r="EN28" s="42">
        <v>7.8740830734547666E-9</v>
      </c>
      <c r="EO28" s="42">
        <v>1.9086985362802098E-2</v>
      </c>
      <c r="EP28" s="42">
        <v>6.2228663201379548E-3</v>
      </c>
      <c r="EQ28" s="42">
        <v>2.3623467479940593E-4</v>
      </c>
      <c r="ER28" s="42">
        <v>4.5582267192678416E-8</v>
      </c>
      <c r="ES28" s="42">
        <v>1.1642687280167781E-8</v>
      </c>
      <c r="ET28" s="42">
        <v>1.5838514768127707E-7</v>
      </c>
      <c r="EU28" s="42">
        <v>1.8994189909731547E-6</v>
      </c>
      <c r="EV28" s="42">
        <v>7.6037452331980446E-6</v>
      </c>
      <c r="EW28" s="42">
        <v>1.1822654047825277E-2</v>
      </c>
      <c r="EX28" s="42">
        <v>2.5511609463963354E-6</v>
      </c>
      <c r="EY28" s="42">
        <v>3.3801214467601683E-7</v>
      </c>
      <c r="EZ28" s="42">
        <v>0.45697331705732708</v>
      </c>
      <c r="FA28" s="42">
        <v>0.24165090130612535</v>
      </c>
      <c r="FB28" s="42">
        <v>1.0525419822887029E-2</v>
      </c>
      <c r="FC28" s="42">
        <v>1.7910110251266678E-6</v>
      </c>
      <c r="FD28" s="42">
        <v>4.2044389441556486E-7</v>
      </c>
      <c r="FE28" s="42">
        <v>6.9942995049106798E-6</v>
      </c>
      <c r="FF28" s="42">
        <v>8.8192057028293066E-7</v>
      </c>
      <c r="FG28" s="42">
        <v>3.0598149564923086E-6</v>
      </c>
      <c r="FH28" s="42">
        <v>1.5741603956466038E-3</v>
      </c>
      <c r="FI28" s="42">
        <v>1.9249230046186703E-7</v>
      </c>
      <c r="FJ28" s="42">
        <v>1.4747507150713637E-8</v>
      </c>
      <c r="FK28" s="42">
        <v>0.3936082623728196</v>
      </c>
      <c r="FL28" s="42">
        <v>3.5268264781675968E-2</v>
      </c>
      <c r="FM28" s="42">
        <v>5.933702057406981E-5</v>
      </c>
      <c r="FN28" s="42">
        <v>2.3741169360337588E-7</v>
      </c>
      <c r="FO28" s="42">
        <v>9.7658710843941775E-8</v>
      </c>
      <c r="FP28" s="42">
        <v>5.3880668051830149E-8</v>
      </c>
      <c r="FQ28" s="42">
        <v>2.7813395612560854E-6</v>
      </c>
      <c r="FR28" s="42">
        <v>1.0663560189690353E-5</v>
      </c>
      <c r="FS28" s="42">
        <v>1.3396814443471881E-2</v>
      </c>
      <c r="FT28" s="42">
        <v>2.7436532468582025E-6</v>
      </c>
      <c r="FU28" s="42">
        <v>3.5275965182673046E-7</v>
      </c>
      <c r="FV28" s="42">
        <v>0.85058157943014667</v>
      </c>
      <c r="FW28" s="42">
        <v>0.27691916608780132</v>
      </c>
      <c r="FX28" s="42">
        <v>1.0584756843461099E-2</v>
      </c>
      <c r="FY28" s="42">
        <v>2.0284227187300437E-6</v>
      </c>
      <c r="FZ28" s="42">
        <v>5.1810260525950664E-7</v>
      </c>
      <c r="GA28" s="42">
        <v>7.04818017296251E-6</v>
      </c>
      <c r="GB28" s="42">
        <v>7.6026528215327667E-6</v>
      </c>
      <c r="GC28" s="42">
        <v>1.5344129768236659E-4</v>
      </c>
      <c r="GD28" s="42">
        <v>0.47229138390252418</v>
      </c>
      <c r="GE28" s="42">
        <v>2.1378218498612013E-4</v>
      </c>
      <c r="GF28" s="42">
        <v>4.4378628510948277E-5</v>
      </c>
      <c r="GG28" s="42">
        <v>12.801376320053727</v>
      </c>
      <c r="GH28" s="42">
        <v>7.7325388607144436</v>
      </c>
      <c r="GI28" s="42">
        <v>0.46321846369534669</v>
      </c>
      <c r="GJ28" s="42">
        <v>2.873222273015356E-5</v>
      </c>
      <c r="GK28" s="42">
        <v>8.4756443787444897E-7</v>
      </c>
      <c r="GL28" s="42">
        <v>3.0783870524973275E-4</v>
      </c>
      <c r="GM28" s="42" t="s">
        <v>455</v>
      </c>
      <c r="GN28" s="42" t="s">
        <v>455</v>
      </c>
      <c r="GO28" s="42" t="s">
        <v>455</v>
      </c>
      <c r="GP28" s="42" t="s">
        <v>455</v>
      </c>
      <c r="GQ28" s="42" t="s">
        <v>455</v>
      </c>
      <c r="GR28" s="42" t="s">
        <v>455</v>
      </c>
      <c r="GS28" s="42" t="s">
        <v>455</v>
      </c>
      <c r="GT28" s="42" t="s">
        <v>455</v>
      </c>
      <c r="GU28" s="42" t="s">
        <v>455</v>
      </c>
      <c r="GV28" s="42" t="s">
        <v>455</v>
      </c>
      <c r="GW28" s="42" t="s">
        <v>455</v>
      </c>
      <c r="GX28" s="42" t="s">
        <v>455</v>
      </c>
      <c r="GY28" s="42" t="s">
        <v>455</v>
      </c>
      <c r="GZ28" s="42" t="s">
        <v>455</v>
      </c>
      <c r="HA28" s="42" t="s">
        <v>455</v>
      </c>
      <c r="HB28" s="42" t="s">
        <v>455</v>
      </c>
      <c r="HC28" s="42" t="s">
        <v>455</v>
      </c>
      <c r="HD28" s="42" t="s">
        <v>455</v>
      </c>
      <c r="HE28" s="42" t="s">
        <v>455</v>
      </c>
      <c r="HF28" s="42" t="s">
        <v>455</v>
      </c>
      <c r="HG28" s="42" t="s">
        <v>455</v>
      </c>
      <c r="HH28" s="42" t="s">
        <v>455</v>
      </c>
      <c r="HI28" s="42" t="s">
        <v>455</v>
      </c>
      <c r="HJ28" s="42" t="s">
        <v>455</v>
      </c>
      <c r="HK28" s="42" t="s">
        <v>455</v>
      </c>
      <c r="HL28" s="42" t="s">
        <v>455</v>
      </c>
      <c r="HM28" s="42" t="s">
        <v>455</v>
      </c>
      <c r="HN28" s="42" t="s">
        <v>455</v>
      </c>
      <c r="HO28" s="42" t="s">
        <v>455</v>
      </c>
      <c r="HP28" s="42" t="s">
        <v>455</v>
      </c>
      <c r="HQ28" s="42" t="s">
        <v>455</v>
      </c>
      <c r="HR28" s="42" t="s">
        <v>455</v>
      </c>
      <c r="HS28" s="42" t="s">
        <v>455</v>
      </c>
      <c r="HT28" s="42" t="s">
        <v>455</v>
      </c>
      <c r="HU28" s="42" t="s">
        <v>455</v>
      </c>
      <c r="HV28" s="42" t="s">
        <v>455</v>
      </c>
      <c r="HW28" s="42" t="s">
        <v>455</v>
      </c>
      <c r="HX28" s="42" t="s">
        <v>455</v>
      </c>
      <c r="HY28" s="42" t="s">
        <v>455</v>
      </c>
      <c r="HZ28" s="42" t="s">
        <v>455</v>
      </c>
      <c r="IA28" s="42" t="s">
        <v>455</v>
      </c>
      <c r="IB28" s="42" t="s">
        <v>455</v>
      </c>
      <c r="IC28" s="42" t="s">
        <v>455</v>
      </c>
      <c r="ID28" s="42" t="s">
        <v>455</v>
      </c>
      <c r="IE28" s="42" t="s">
        <v>455</v>
      </c>
      <c r="IF28" s="42" t="s">
        <v>455</v>
      </c>
      <c r="IG28" s="42" t="s">
        <v>455</v>
      </c>
      <c r="IH28" s="42" t="s">
        <v>455</v>
      </c>
      <c r="II28" s="42" t="s">
        <v>455</v>
      </c>
      <c r="IJ28" s="42" t="s">
        <v>455</v>
      </c>
      <c r="IK28" s="42" t="s">
        <v>455</v>
      </c>
      <c r="IL28" s="42" t="s">
        <v>455</v>
      </c>
      <c r="IM28" s="42" t="s">
        <v>455</v>
      </c>
      <c r="IN28" s="42" t="s">
        <v>455</v>
      </c>
      <c r="IO28" s="42" t="s">
        <v>455</v>
      </c>
      <c r="IP28" s="42" t="s">
        <v>455</v>
      </c>
      <c r="IQ28" s="42" t="s">
        <v>455</v>
      </c>
      <c r="IR28" s="42" t="s">
        <v>455</v>
      </c>
      <c r="IS28" s="42" t="s">
        <v>455</v>
      </c>
      <c r="IT28" s="42" t="s">
        <v>455</v>
      </c>
      <c r="IU28" s="42" t="s">
        <v>455</v>
      </c>
      <c r="IV28" s="42" t="s">
        <v>455</v>
      </c>
      <c r="IW28" s="42" t="s">
        <v>455</v>
      </c>
      <c r="IX28" s="42" t="s">
        <v>455</v>
      </c>
      <c r="IY28" s="42" t="s">
        <v>455</v>
      </c>
      <c r="IZ28" s="42" t="s">
        <v>455</v>
      </c>
      <c r="JA28" s="42" t="s">
        <v>455</v>
      </c>
      <c r="JB28" s="42" t="s">
        <v>455</v>
      </c>
      <c r="JC28" s="42" t="s">
        <v>455</v>
      </c>
      <c r="JD28" s="42" t="s">
        <v>455</v>
      </c>
      <c r="JE28" s="42" t="s">
        <v>455</v>
      </c>
      <c r="JF28" s="42" t="s">
        <v>455</v>
      </c>
      <c r="JG28" s="42" t="s">
        <v>455</v>
      </c>
      <c r="JH28" s="42" t="s">
        <v>455</v>
      </c>
      <c r="JI28" s="42" t="s">
        <v>455</v>
      </c>
      <c r="JJ28" s="42" t="s">
        <v>455</v>
      </c>
      <c r="JK28" s="42" t="s">
        <v>455</v>
      </c>
      <c r="JL28" s="42" t="s">
        <v>455</v>
      </c>
      <c r="JM28" s="42" t="s">
        <v>455</v>
      </c>
    </row>
    <row r="29" spans="1:273">
      <c r="A29" s="42" t="s">
        <v>208</v>
      </c>
      <c r="B29" s="42" t="s">
        <v>240</v>
      </c>
      <c r="C29" s="42" t="s">
        <v>241</v>
      </c>
      <c r="D29" s="60">
        <v>41534</v>
      </c>
      <c r="E29" s="42" t="s">
        <v>243</v>
      </c>
      <c r="F29" s="42">
        <v>1.0399921783199999</v>
      </c>
      <c r="G29" s="42">
        <v>247.56097560975601</v>
      </c>
      <c r="H29" s="42">
        <v>22.239999771099999</v>
      </c>
      <c r="I29" s="42">
        <v>1</v>
      </c>
      <c r="J29" s="42">
        <v>0</v>
      </c>
      <c r="K29" s="42">
        <v>0</v>
      </c>
      <c r="L29" s="42" t="s">
        <v>454</v>
      </c>
      <c r="M29" s="42" t="s">
        <v>614</v>
      </c>
      <c r="N29" s="42">
        <v>4.1068187620950247E-26</v>
      </c>
      <c r="O29" s="61" t="s">
        <v>455</v>
      </c>
      <c r="P29" s="42">
        <v>8.9435467523194241</v>
      </c>
      <c r="Q29" s="42">
        <v>0.62811428840952943</v>
      </c>
      <c r="R29" s="42">
        <v>2.5081319026225493</v>
      </c>
      <c r="S29" s="42">
        <v>0.60737931280906621</v>
      </c>
      <c r="T29" s="42" t="s">
        <v>455</v>
      </c>
      <c r="U29" s="42" t="s">
        <v>455</v>
      </c>
      <c r="V29" s="42" t="s">
        <v>456</v>
      </c>
      <c r="W29" s="42" t="s">
        <v>455</v>
      </c>
      <c r="X29" s="42">
        <v>7.9499999999999877</v>
      </c>
      <c r="Y29" s="42">
        <v>0.3452052529534651</v>
      </c>
      <c r="Z29" s="42" t="s">
        <v>456</v>
      </c>
      <c r="AA29" s="42" t="s">
        <v>455</v>
      </c>
      <c r="AB29" s="42" t="s">
        <v>456</v>
      </c>
      <c r="AC29" s="42" t="s">
        <v>455</v>
      </c>
      <c r="AD29" s="42" t="s">
        <v>622</v>
      </c>
      <c r="AE29" s="42" t="s">
        <v>123</v>
      </c>
      <c r="AF29" s="42">
        <v>4.5452431875466932E-5</v>
      </c>
      <c r="AG29" s="42">
        <v>18</v>
      </c>
      <c r="AH29" s="62">
        <v>42880.562835648147</v>
      </c>
      <c r="AI29" s="42" t="s">
        <v>624</v>
      </c>
      <c r="AJ29" s="63" t="s">
        <v>642</v>
      </c>
      <c r="AK29" s="61">
        <v>3.1667745004682919</v>
      </c>
      <c r="AL29" s="61">
        <v>1.0194941617069242E-2</v>
      </c>
      <c r="AM29" s="61">
        <v>6.1648480817750206E-2</v>
      </c>
      <c r="AN29" s="61" t="s">
        <v>455</v>
      </c>
      <c r="AO29" s="61" t="s">
        <v>455</v>
      </c>
      <c r="AP29" s="61">
        <v>0.58164803946730803</v>
      </c>
      <c r="AQ29" s="61">
        <v>-0.61928454243874287</v>
      </c>
      <c r="AR29" s="61">
        <v>1.7903125262898536</v>
      </c>
      <c r="AS29" s="61" t="s">
        <v>455</v>
      </c>
      <c r="AT29" s="61" t="s">
        <v>455</v>
      </c>
      <c r="AU29" s="61" t="s">
        <v>455</v>
      </c>
      <c r="AV29" s="42">
        <v>1.8760000000000001E-7</v>
      </c>
      <c r="AW29" s="42">
        <v>1E-10</v>
      </c>
      <c r="AX29" s="42">
        <v>1.9850000000000001E-7</v>
      </c>
      <c r="AY29" s="42">
        <v>4.6000000000000001E-10</v>
      </c>
      <c r="AZ29" s="42" t="s">
        <v>455</v>
      </c>
      <c r="BA29" s="42" t="s">
        <v>455</v>
      </c>
      <c r="BB29" s="42" t="s">
        <v>455</v>
      </c>
      <c r="BC29" s="42" t="s">
        <v>455</v>
      </c>
      <c r="BD29" s="42" t="s">
        <v>455</v>
      </c>
      <c r="BE29" s="42" t="s">
        <v>455</v>
      </c>
      <c r="BF29" s="42" t="s">
        <v>455</v>
      </c>
      <c r="BG29" s="42" t="s">
        <v>455</v>
      </c>
      <c r="BH29" s="42" t="s">
        <v>455</v>
      </c>
      <c r="BI29" s="42" t="s">
        <v>455</v>
      </c>
      <c r="BJ29" s="42" t="s">
        <v>455</v>
      </c>
      <c r="BK29" s="42" t="s">
        <v>455</v>
      </c>
      <c r="BL29" s="42" t="s">
        <v>455</v>
      </c>
      <c r="BM29" s="42" t="s">
        <v>455</v>
      </c>
      <c r="BN29" s="42" t="s">
        <v>455</v>
      </c>
      <c r="BO29" s="42" t="s">
        <v>455</v>
      </c>
      <c r="BP29" s="42" t="s">
        <v>455</v>
      </c>
      <c r="BQ29" s="42" t="s">
        <v>455</v>
      </c>
      <c r="BR29" s="42" t="s">
        <v>455</v>
      </c>
      <c r="BS29" s="42" t="s">
        <v>455</v>
      </c>
      <c r="BT29" s="42" t="s">
        <v>455</v>
      </c>
      <c r="BU29" s="42" t="s">
        <v>455</v>
      </c>
      <c r="BV29" s="42" t="s">
        <v>455</v>
      </c>
      <c r="BW29" s="42" t="s">
        <v>455</v>
      </c>
      <c r="BX29" s="42" t="s">
        <v>455</v>
      </c>
      <c r="BY29" s="42" t="s">
        <v>455</v>
      </c>
      <c r="BZ29" s="42" t="s">
        <v>455</v>
      </c>
      <c r="CA29" s="42" t="s">
        <v>455</v>
      </c>
      <c r="CB29" s="42" t="s">
        <v>455</v>
      </c>
      <c r="CC29" s="42" t="s">
        <v>455</v>
      </c>
      <c r="CD29" s="42" t="s">
        <v>455</v>
      </c>
      <c r="CE29" s="42" t="s">
        <v>455</v>
      </c>
      <c r="CF29" s="42" t="s">
        <v>455</v>
      </c>
      <c r="CG29" s="42" t="s">
        <v>455</v>
      </c>
      <c r="CH29" s="42" t="s">
        <v>455</v>
      </c>
      <c r="CI29" s="42" t="s">
        <v>455</v>
      </c>
      <c r="CJ29" s="42" t="s">
        <v>455</v>
      </c>
      <c r="CK29" s="42" t="s">
        <v>455</v>
      </c>
      <c r="CL29" s="42" t="s">
        <v>455</v>
      </c>
      <c r="CM29" s="42" t="s">
        <v>455</v>
      </c>
      <c r="CN29" s="42" t="s">
        <v>455</v>
      </c>
      <c r="CO29" s="42" t="s">
        <v>455</v>
      </c>
      <c r="CP29" s="42" t="s">
        <v>455</v>
      </c>
      <c r="CQ29" s="42" t="s">
        <v>455</v>
      </c>
      <c r="CR29" s="42">
        <v>0.72235373156385896</v>
      </c>
      <c r="CS29" s="42">
        <v>7.2235373156385896E-2</v>
      </c>
      <c r="CT29" s="42" t="s">
        <v>455</v>
      </c>
      <c r="CU29" s="42" t="s">
        <v>455</v>
      </c>
      <c r="CV29" s="42" t="s">
        <v>455</v>
      </c>
      <c r="CW29" s="42" t="s">
        <v>455</v>
      </c>
      <c r="CX29" s="42">
        <v>28.2907531632376</v>
      </c>
      <c r="CY29" s="42">
        <v>2.8290753163237601</v>
      </c>
      <c r="CZ29" s="42">
        <v>4.2474214189931097</v>
      </c>
      <c r="DA29" s="42">
        <v>0.42474214189931098</v>
      </c>
      <c r="DB29" s="42">
        <v>2.2726767235877499</v>
      </c>
      <c r="DC29" s="42">
        <v>0.22726767235877499</v>
      </c>
      <c r="DD29" s="42" t="s">
        <v>455</v>
      </c>
      <c r="DE29" s="42" t="s">
        <v>455</v>
      </c>
      <c r="DF29" s="42" t="s">
        <v>455</v>
      </c>
      <c r="DG29" s="42" t="s">
        <v>455</v>
      </c>
      <c r="DH29" s="42" t="s">
        <v>455</v>
      </c>
      <c r="DI29" s="42" t="s">
        <v>455</v>
      </c>
      <c r="DJ29" s="42">
        <v>1.0006080610382972</v>
      </c>
      <c r="DK29" s="42">
        <v>0.97061380051945023</v>
      </c>
      <c r="DL29" s="42">
        <v>1.1268607715962765E-2</v>
      </c>
      <c r="DM29" s="42">
        <v>0.97027888493287784</v>
      </c>
      <c r="DN29" s="42">
        <v>4.5022834803975158E-8</v>
      </c>
      <c r="DO29" s="42">
        <v>1.9649672733685558E-7</v>
      </c>
      <c r="DP29" s="42">
        <v>3.8116270032168096E-4</v>
      </c>
      <c r="DQ29" s="42">
        <v>9.0365337328936345E-8</v>
      </c>
      <c r="DR29" s="42">
        <v>1.3182340122926063E-8</v>
      </c>
      <c r="DS29" s="42">
        <v>1.4293950670566087E-2</v>
      </c>
      <c r="DT29" s="42">
        <v>7.8099188445187101E-3</v>
      </c>
      <c r="DU29" s="42">
        <v>4.1173620104521103E-4</v>
      </c>
      <c r="DV29" s="42">
        <v>5.9787046838689791E-8</v>
      </c>
      <c r="DW29" s="42">
        <v>1.095449879646291E-8</v>
      </c>
      <c r="DX29" s="42">
        <v>2.8408293444387686E-7</v>
      </c>
      <c r="DY29" s="42">
        <v>1.3142611169742159E-8</v>
      </c>
      <c r="DZ29" s="42">
        <v>4.5597837989677954E-8</v>
      </c>
      <c r="EA29" s="42">
        <v>2.3425951970494608E-5</v>
      </c>
      <c r="EB29" s="42">
        <v>2.8592703689897064E-9</v>
      </c>
      <c r="EC29" s="42">
        <v>2.1820747552816168E-10</v>
      </c>
      <c r="ED29" s="42">
        <v>8.3153989427133031E-3</v>
      </c>
      <c r="EE29" s="42">
        <v>5.2535330832331837E-4</v>
      </c>
      <c r="EF29" s="42">
        <v>8.7784616591791769E-7</v>
      </c>
      <c r="EG29" s="42">
        <v>3.5364659826977993E-9</v>
      </c>
      <c r="EH29" s="42">
        <v>1.454716503521079E-9</v>
      </c>
      <c r="EI29" s="42">
        <v>8.0260220883922512E-10</v>
      </c>
      <c r="EJ29" s="42">
        <v>5.8165445973717317E-8</v>
      </c>
      <c r="EK29" s="42">
        <v>2.4209456532653354E-7</v>
      </c>
      <c r="EL29" s="42">
        <v>4.0458865229217557E-4</v>
      </c>
      <c r="EM29" s="42">
        <v>9.3224607697926051E-8</v>
      </c>
      <c r="EN29" s="42">
        <v>1.3400547598454225E-8</v>
      </c>
      <c r="EO29" s="42">
        <v>2.260934961327939E-2</v>
      </c>
      <c r="EP29" s="42">
        <v>8.3352721528420284E-3</v>
      </c>
      <c r="EQ29" s="42">
        <v>4.1261404721112894E-4</v>
      </c>
      <c r="ER29" s="42">
        <v>6.3323512821387591E-8</v>
      </c>
      <c r="ES29" s="42">
        <v>1.2409215299983989E-8</v>
      </c>
      <c r="ET29" s="42">
        <v>2.8488553665271608E-7</v>
      </c>
      <c r="EU29" s="42">
        <v>2.009058847784656E-6</v>
      </c>
      <c r="EV29" s="42">
        <v>8.7683573725683648E-6</v>
      </c>
      <c r="EW29" s="42">
        <v>1.7032332896681761E-2</v>
      </c>
      <c r="EX29" s="42">
        <v>4.0454982886450192E-6</v>
      </c>
      <c r="EY29" s="42">
        <v>5.924524665322072E-7</v>
      </c>
      <c r="EZ29" s="42">
        <v>0.63851167055367486</v>
      </c>
      <c r="FA29" s="42">
        <v>0.34865118907291531</v>
      </c>
      <c r="FB29" s="42">
        <v>1.8507100390239572E-2</v>
      </c>
      <c r="FC29" s="42">
        <v>2.6690194080693871E-6</v>
      </c>
      <c r="FD29" s="42">
        <v>4.890318461843094E-7</v>
      </c>
      <c r="FE29" s="42">
        <v>1.2682059168731921E-5</v>
      </c>
      <c r="FF29" s="42">
        <v>5.8646416576222858E-7</v>
      </c>
      <c r="FG29" s="42">
        <v>2.0347317959375456E-6</v>
      </c>
      <c r="FH29" s="42">
        <v>1.0467934350512492E-3</v>
      </c>
      <c r="FI29" s="42">
        <v>1.280045394221891E-7</v>
      </c>
      <c r="FJ29" s="42">
        <v>9.8068746434172871E-9</v>
      </c>
      <c r="FK29" s="42">
        <v>0.37127682758862446</v>
      </c>
      <c r="FL29" s="42">
        <v>2.3452875667058559E-2</v>
      </c>
      <c r="FM29" s="42">
        <v>3.9458243114371544E-5</v>
      </c>
      <c r="FN29" s="42">
        <v>1.5787527303806247E-7</v>
      </c>
      <c r="FO29" s="42">
        <v>6.4941601675231407E-8</v>
      </c>
      <c r="FP29" s="42">
        <v>3.5829849200128374E-8</v>
      </c>
      <c r="FQ29" s="42">
        <v>2.5955230135468846E-6</v>
      </c>
      <c r="FR29" s="42">
        <v>1.080308916850591E-5</v>
      </c>
      <c r="FS29" s="42">
        <v>1.807912633173301E-2</v>
      </c>
      <c r="FT29" s="42">
        <v>4.1735028280672083E-6</v>
      </c>
      <c r="FU29" s="42">
        <v>6.0225934117562449E-7</v>
      </c>
      <c r="FV29" s="42">
        <v>1.0097884981422993</v>
      </c>
      <c r="FW29" s="42">
        <v>0.37210406473997387</v>
      </c>
      <c r="FX29" s="42">
        <v>1.8546558633353943E-2</v>
      </c>
      <c r="FY29" s="42">
        <v>2.8268946811074496E-6</v>
      </c>
      <c r="FZ29" s="42">
        <v>5.5397344785954081E-7</v>
      </c>
      <c r="GA29" s="42">
        <v>1.2717889017932049E-5</v>
      </c>
      <c r="GB29" s="42">
        <v>8.0414995271315896E-6</v>
      </c>
      <c r="GC29" s="42">
        <v>1.7694282127121784E-4</v>
      </c>
      <c r="GD29" s="42">
        <v>0.68040763455664299</v>
      </c>
      <c r="GE29" s="42">
        <v>3.390046655918753E-4</v>
      </c>
      <c r="GF29" s="42">
        <v>7.7784861688413086E-5</v>
      </c>
      <c r="GG29" s="42">
        <v>17.886882831888315</v>
      </c>
      <c r="GH29" s="42">
        <v>11.156419668906402</v>
      </c>
      <c r="GI29" s="42">
        <v>0.81448823462424846</v>
      </c>
      <c r="GJ29" s="42">
        <v>4.2817637093176819E-5</v>
      </c>
      <c r="GK29" s="42">
        <v>9.858295180860256E-7</v>
      </c>
      <c r="GL29" s="42">
        <v>5.5817293378156423E-4</v>
      </c>
      <c r="GM29" s="42" t="s">
        <v>455</v>
      </c>
      <c r="GN29" s="42" t="s">
        <v>455</v>
      </c>
      <c r="GO29" s="42" t="s">
        <v>455</v>
      </c>
      <c r="GP29" s="42" t="s">
        <v>455</v>
      </c>
      <c r="GQ29" s="42" t="s">
        <v>455</v>
      </c>
      <c r="GR29" s="42" t="s">
        <v>455</v>
      </c>
      <c r="GS29" s="42" t="s">
        <v>455</v>
      </c>
      <c r="GT29" s="42" t="s">
        <v>455</v>
      </c>
      <c r="GU29" s="42" t="s">
        <v>455</v>
      </c>
      <c r="GV29" s="42" t="s">
        <v>455</v>
      </c>
      <c r="GW29" s="42" t="s">
        <v>455</v>
      </c>
      <c r="GX29" s="42" t="s">
        <v>455</v>
      </c>
      <c r="GY29" s="42" t="s">
        <v>455</v>
      </c>
      <c r="GZ29" s="42" t="s">
        <v>455</v>
      </c>
      <c r="HA29" s="42" t="s">
        <v>455</v>
      </c>
      <c r="HB29" s="42" t="s">
        <v>455</v>
      </c>
      <c r="HC29" s="42" t="s">
        <v>455</v>
      </c>
      <c r="HD29" s="42" t="s">
        <v>455</v>
      </c>
      <c r="HE29" s="42" t="s">
        <v>455</v>
      </c>
      <c r="HF29" s="42" t="s">
        <v>455</v>
      </c>
      <c r="HG29" s="42" t="s">
        <v>455</v>
      </c>
      <c r="HH29" s="42" t="s">
        <v>455</v>
      </c>
      <c r="HI29" s="42" t="s">
        <v>455</v>
      </c>
      <c r="HJ29" s="42" t="s">
        <v>455</v>
      </c>
      <c r="HK29" s="42" t="s">
        <v>455</v>
      </c>
      <c r="HL29" s="42" t="s">
        <v>455</v>
      </c>
      <c r="HM29" s="42" t="s">
        <v>455</v>
      </c>
      <c r="HN29" s="42" t="s">
        <v>455</v>
      </c>
      <c r="HO29" s="42" t="s">
        <v>455</v>
      </c>
      <c r="HP29" s="42" t="s">
        <v>455</v>
      </c>
      <c r="HQ29" s="42" t="s">
        <v>455</v>
      </c>
      <c r="HR29" s="42" t="s">
        <v>455</v>
      </c>
      <c r="HS29" s="42" t="s">
        <v>455</v>
      </c>
      <c r="HT29" s="42" t="s">
        <v>455</v>
      </c>
      <c r="HU29" s="42" t="s">
        <v>455</v>
      </c>
      <c r="HV29" s="42" t="s">
        <v>455</v>
      </c>
      <c r="HW29" s="42" t="s">
        <v>455</v>
      </c>
      <c r="HX29" s="42" t="s">
        <v>455</v>
      </c>
      <c r="HY29" s="42" t="s">
        <v>455</v>
      </c>
      <c r="HZ29" s="42" t="s">
        <v>455</v>
      </c>
      <c r="IA29" s="42" t="s">
        <v>455</v>
      </c>
      <c r="IB29" s="42" t="s">
        <v>455</v>
      </c>
      <c r="IC29" s="42" t="s">
        <v>455</v>
      </c>
      <c r="ID29" s="42" t="s">
        <v>455</v>
      </c>
      <c r="IE29" s="42" t="s">
        <v>455</v>
      </c>
      <c r="IF29" s="42" t="s">
        <v>455</v>
      </c>
      <c r="IG29" s="42" t="s">
        <v>455</v>
      </c>
      <c r="IH29" s="42" t="s">
        <v>455</v>
      </c>
      <c r="II29" s="42" t="s">
        <v>455</v>
      </c>
      <c r="IJ29" s="42" t="s">
        <v>455</v>
      </c>
      <c r="IK29" s="42" t="s">
        <v>455</v>
      </c>
      <c r="IL29" s="42" t="s">
        <v>455</v>
      </c>
      <c r="IM29" s="42" t="s">
        <v>455</v>
      </c>
      <c r="IN29" s="42" t="s">
        <v>455</v>
      </c>
      <c r="IO29" s="42" t="s">
        <v>455</v>
      </c>
      <c r="IP29" s="42" t="s">
        <v>455</v>
      </c>
      <c r="IQ29" s="42" t="s">
        <v>455</v>
      </c>
      <c r="IR29" s="42" t="s">
        <v>455</v>
      </c>
      <c r="IS29" s="42" t="s">
        <v>455</v>
      </c>
      <c r="IT29" s="42" t="s">
        <v>455</v>
      </c>
      <c r="IU29" s="42" t="s">
        <v>455</v>
      </c>
      <c r="IV29" s="42" t="s">
        <v>455</v>
      </c>
      <c r="IW29" s="42" t="s">
        <v>455</v>
      </c>
      <c r="IX29" s="42" t="s">
        <v>455</v>
      </c>
      <c r="IY29" s="42" t="s">
        <v>455</v>
      </c>
      <c r="IZ29" s="42" t="s">
        <v>455</v>
      </c>
      <c r="JA29" s="42" t="s">
        <v>455</v>
      </c>
      <c r="JB29" s="42" t="s">
        <v>455</v>
      </c>
      <c r="JC29" s="42" t="s">
        <v>455</v>
      </c>
      <c r="JD29" s="42" t="s">
        <v>455</v>
      </c>
      <c r="JE29" s="42" t="s">
        <v>455</v>
      </c>
      <c r="JF29" s="42" t="s">
        <v>455</v>
      </c>
      <c r="JG29" s="42" t="s">
        <v>455</v>
      </c>
      <c r="JH29" s="42" t="s">
        <v>455</v>
      </c>
      <c r="JI29" s="42" t="s">
        <v>455</v>
      </c>
      <c r="JJ29" s="42" t="s">
        <v>455</v>
      </c>
      <c r="JK29" s="42" t="s">
        <v>455</v>
      </c>
      <c r="JL29" s="42" t="s">
        <v>455</v>
      </c>
      <c r="JM29" s="42" t="s">
        <v>455</v>
      </c>
    </row>
    <row r="30" spans="1:273">
      <c r="A30" s="42" t="s">
        <v>208</v>
      </c>
      <c r="B30" s="42" t="s">
        <v>240</v>
      </c>
      <c r="C30" s="42" t="s">
        <v>241</v>
      </c>
      <c r="D30" s="60">
        <v>41534</v>
      </c>
      <c r="E30" s="42" t="s">
        <v>242</v>
      </c>
      <c r="F30" s="42">
        <v>1.0399921783199999</v>
      </c>
      <c r="G30" s="42">
        <v>247.56097560975601</v>
      </c>
      <c r="H30" s="42">
        <v>22.239999771099999</v>
      </c>
      <c r="I30" s="42">
        <v>1</v>
      </c>
      <c r="J30" s="42">
        <v>0</v>
      </c>
      <c r="K30" s="42">
        <v>0</v>
      </c>
      <c r="L30" s="42" t="s">
        <v>454</v>
      </c>
      <c r="M30" s="42" t="s">
        <v>614</v>
      </c>
      <c r="N30" s="42">
        <v>4.388457724112459E-26</v>
      </c>
      <c r="O30" s="61" t="s">
        <v>455</v>
      </c>
      <c r="P30" s="42">
        <v>9.7320369387144456</v>
      </c>
      <c r="Q30" s="42">
        <v>0.59400772883257547</v>
      </c>
      <c r="R30" s="42">
        <v>2.4835761222650179</v>
      </c>
      <c r="S30" s="42">
        <v>0.55641510393576143</v>
      </c>
      <c r="T30" s="42" t="s">
        <v>455</v>
      </c>
      <c r="U30" s="42" t="s">
        <v>455</v>
      </c>
      <c r="V30" s="42" t="s">
        <v>456</v>
      </c>
      <c r="W30" s="42" t="s">
        <v>455</v>
      </c>
      <c r="X30" s="42">
        <v>7.599999999999989</v>
      </c>
      <c r="Y30" s="42">
        <v>0.31622776601683678</v>
      </c>
      <c r="Z30" s="42" t="s">
        <v>456</v>
      </c>
      <c r="AA30" s="42" t="s">
        <v>455</v>
      </c>
      <c r="AB30" s="42" t="s">
        <v>456</v>
      </c>
      <c r="AC30" s="42" t="s">
        <v>455</v>
      </c>
      <c r="AD30" s="42" t="s">
        <v>622</v>
      </c>
      <c r="AE30" s="42" t="s">
        <v>104</v>
      </c>
      <c r="AF30" s="42">
        <v>1.7042685379716895E-14</v>
      </c>
      <c r="AG30" s="42">
        <v>5</v>
      </c>
      <c r="AH30" s="62">
        <v>42880.562835648147</v>
      </c>
      <c r="AI30" s="42" t="s">
        <v>621</v>
      </c>
      <c r="AJ30" s="63" t="s">
        <v>641</v>
      </c>
      <c r="AK30" s="61">
        <v>3.1816417879235814</v>
      </c>
      <c r="AL30" s="61">
        <v>1.796322171293796E-2</v>
      </c>
      <c r="AM30" s="61">
        <v>6.2158439124251563E-2</v>
      </c>
      <c r="AN30" s="61" t="s">
        <v>455</v>
      </c>
      <c r="AO30" s="61" t="s">
        <v>455</v>
      </c>
      <c r="AP30" s="61">
        <v>0.57048347609510497</v>
      </c>
      <c r="AQ30" s="61">
        <v>-0.70693130980196583</v>
      </c>
      <c r="AR30" s="61">
        <v>2.1516769623056033</v>
      </c>
      <c r="AS30" s="61" t="s">
        <v>455</v>
      </c>
      <c r="AT30" s="61" t="s">
        <v>455</v>
      </c>
      <c r="AU30" s="61" t="s">
        <v>455</v>
      </c>
      <c r="AV30" s="42">
        <v>1.8760000000000001E-7</v>
      </c>
      <c r="AW30" s="42">
        <v>1E-10</v>
      </c>
      <c r="AX30" s="42">
        <v>1.9850000000000001E-7</v>
      </c>
      <c r="AY30" s="42">
        <v>4.6000000000000001E-10</v>
      </c>
      <c r="AZ30" s="42" t="s">
        <v>455</v>
      </c>
      <c r="BA30" s="42" t="s">
        <v>455</v>
      </c>
      <c r="BB30" s="42" t="s">
        <v>455</v>
      </c>
      <c r="BC30" s="42" t="s">
        <v>455</v>
      </c>
      <c r="BD30" s="42" t="s">
        <v>455</v>
      </c>
      <c r="BE30" s="42" t="s">
        <v>455</v>
      </c>
      <c r="BF30" s="42" t="s">
        <v>455</v>
      </c>
      <c r="BG30" s="42" t="s">
        <v>455</v>
      </c>
      <c r="BH30" s="42" t="s">
        <v>455</v>
      </c>
      <c r="BI30" s="42" t="s">
        <v>455</v>
      </c>
      <c r="BJ30" s="42" t="s">
        <v>455</v>
      </c>
      <c r="BK30" s="42" t="s">
        <v>455</v>
      </c>
      <c r="BL30" s="42" t="s">
        <v>455</v>
      </c>
      <c r="BM30" s="42" t="s">
        <v>455</v>
      </c>
      <c r="BN30" s="42" t="s">
        <v>455</v>
      </c>
      <c r="BO30" s="42" t="s">
        <v>455</v>
      </c>
      <c r="BP30" s="42" t="s">
        <v>455</v>
      </c>
      <c r="BQ30" s="42" t="s">
        <v>455</v>
      </c>
      <c r="BR30" s="42" t="s">
        <v>455</v>
      </c>
      <c r="BS30" s="42" t="s">
        <v>455</v>
      </c>
      <c r="BT30" s="42" t="s">
        <v>455</v>
      </c>
      <c r="BU30" s="42" t="s">
        <v>455</v>
      </c>
      <c r="BV30" s="42" t="s">
        <v>455</v>
      </c>
      <c r="BW30" s="42" t="s">
        <v>455</v>
      </c>
      <c r="BX30" s="42" t="s">
        <v>455</v>
      </c>
      <c r="BY30" s="42" t="s">
        <v>455</v>
      </c>
      <c r="BZ30" s="42" t="s">
        <v>455</v>
      </c>
      <c r="CA30" s="42" t="s">
        <v>455</v>
      </c>
      <c r="CB30" s="42" t="s">
        <v>455</v>
      </c>
      <c r="CC30" s="42" t="s">
        <v>455</v>
      </c>
      <c r="CD30" s="42" t="s">
        <v>455</v>
      </c>
      <c r="CE30" s="42" t="s">
        <v>455</v>
      </c>
      <c r="CF30" s="42" t="s">
        <v>455</v>
      </c>
      <c r="CG30" s="42" t="s">
        <v>455</v>
      </c>
      <c r="CH30" s="42" t="s">
        <v>455</v>
      </c>
      <c r="CI30" s="42" t="s">
        <v>455</v>
      </c>
      <c r="CJ30" s="42" t="s">
        <v>455</v>
      </c>
      <c r="CK30" s="42" t="s">
        <v>455</v>
      </c>
      <c r="CL30" s="42" t="s">
        <v>455</v>
      </c>
      <c r="CM30" s="42" t="s">
        <v>455</v>
      </c>
      <c r="CN30" s="42" t="s">
        <v>455</v>
      </c>
      <c r="CO30" s="42" t="s">
        <v>455</v>
      </c>
      <c r="CP30" s="42" t="s">
        <v>455</v>
      </c>
      <c r="CQ30" s="42" t="s">
        <v>455</v>
      </c>
      <c r="CR30" s="42">
        <v>0.70941376332466299</v>
      </c>
      <c r="CS30" s="42">
        <v>7.0941376332466305E-2</v>
      </c>
      <c r="CT30" s="42" t="s">
        <v>455</v>
      </c>
      <c r="CU30" s="42" t="s">
        <v>455</v>
      </c>
      <c r="CV30" s="42" t="s">
        <v>455</v>
      </c>
      <c r="CW30" s="42" t="s">
        <v>455</v>
      </c>
      <c r="CX30" s="42">
        <v>27.609558943478799</v>
      </c>
      <c r="CY30" s="42">
        <v>2.7609558943478802</v>
      </c>
      <c r="CZ30" s="42">
        <v>3.2087218443571901</v>
      </c>
      <c r="DA30" s="42">
        <v>0.32087218443571902</v>
      </c>
      <c r="DB30" s="42">
        <v>2.49672009973728</v>
      </c>
      <c r="DC30" s="42">
        <v>0.24967200997372802</v>
      </c>
      <c r="DD30" s="42" t="s">
        <v>455</v>
      </c>
      <c r="DE30" s="42" t="s">
        <v>455</v>
      </c>
      <c r="DF30" s="42" t="s">
        <v>455</v>
      </c>
      <c r="DG30" s="42" t="s">
        <v>455</v>
      </c>
      <c r="DH30" s="42" t="s">
        <v>455</v>
      </c>
      <c r="DI30" s="42" t="s">
        <v>455</v>
      </c>
      <c r="DJ30" s="42">
        <v>1.0005433995013182</v>
      </c>
      <c r="DK30" s="42">
        <v>0.97061380051945023</v>
      </c>
      <c r="DL30" s="42">
        <v>1.1883300568903051E-2</v>
      </c>
      <c r="DM30" s="42">
        <v>0.97026039586471036</v>
      </c>
      <c r="DN30" s="42">
        <v>4.4862761928049772E-8</v>
      </c>
      <c r="DO30" s="42">
        <v>1.9499722167366898E-7</v>
      </c>
      <c r="DP30" s="42">
        <v>3.7417915416735448E-4</v>
      </c>
      <c r="DQ30" s="42">
        <v>8.8321905656017913E-8</v>
      </c>
      <c r="DR30" s="42">
        <v>1.2819950655882235E-8</v>
      </c>
      <c r="DS30" s="42">
        <v>1.4049853003180178E-2</v>
      </c>
      <c r="DT30" s="42">
        <v>7.665004106302659E-3</v>
      </c>
      <c r="DU30" s="42">
        <v>4.0048888209612396E-4</v>
      </c>
      <c r="DV30" s="42">
        <v>5.8575212604382567E-8</v>
      </c>
      <c r="DW30" s="42">
        <v>1.0862789349388764E-8</v>
      </c>
      <c r="DX30" s="42">
        <v>2.7589447790366918E-7</v>
      </c>
      <c r="DY30" s="42">
        <v>1.3013938880668692E-8</v>
      </c>
      <c r="DZ30" s="42">
        <v>4.5151413902778033E-8</v>
      </c>
      <c r="EA30" s="42">
        <v>2.3196600981955241E-5</v>
      </c>
      <c r="EB30" s="42">
        <v>2.8312767793821224E-9</v>
      </c>
      <c r="EC30" s="42">
        <v>2.1607112263705602E-10</v>
      </c>
      <c r="ED30" s="42">
        <v>8.0163591179016527E-3</v>
      </c>
      <c r="EE30" s="42">
        <v>5.2020985456963098E-4</v>
      </c>
      <c r="EF30" s="42">
        <v>8.6925164279277965E-7</v>
      </c>
      <c r="EG30" s="42">
        <v>3.5018423323936715E-9</v>
      </c>
      <c r="EH30" s="42">
        <v>1.4404741509137101E-9</v>
      </c>
      <c r="EI30" s="42">
        <v>7.9474435912481652E-10</v>
      </c>
      <c r="EJ30" s="42">
        <v>5.7876700808718464E-8</v>
      </c>
      <c r="EK30" s="42">
        <v>2.4014863557644702E-7</v>
      </c>
      <c r="EL30" s="42">
        <v>3.9737575514930972E-4</v>
      </c>
      <c r="EM30" s="42">
        <v>9.1153182435400036E-8</v>
      </c>
      <c r="EN30" s="42">
        <v>1.3036021778519291E-8</v>
      </c>
      <c r="EO30" s="42">
        <v>2.206621212108183E-2</v>
      </c>
      <c r="EP30" s="42">
        <v>8.1852139608722899E-3</v>
      </c>
      <c r="EQ30" s="42">
        <v>4.0135813373891674E-4</v>
      </c>
      <c r="ER30" s="42">
        <v>6.2077054936776238E-8</v>
      </c>
      <c r="ES30" s="42">
        <v>1.2303263500302474E-8</v>
      </c>
      <c r="ET30" s="42">
        <v>2.7668922226279399E-7</v>
      </c>
      <c r="EU30" s="42">
        <v>2.0017865301602346E-6</v>
      </c>
      <c r="EV30" s="42">
        <v>8.7008819841917165E-6</v>
      </c>
      <c r="EW30" s="42">
        <v>1.671919121295426E-2</v>
      </c>
      <c r="EX30" s="42">
        <v>3.9537619049443715E-6</v>
      </c>
      <c r="EY30" s="42">
        <v>5.7612840333990288E-7</v>
      </c>
      <c r="EZ30" s="42">
        <v>0.62756725505863176</v>
      </c>
      <c r="FA30" s="42">
        <v>0.3421597780722595</v>
      </c>
      <c r="FB30" s="42">
        <v>1.8000382173080209E-2</v>
      </c>
      <c r="FC30" s="42">
        <v>2.6147515992549919E-6</v>
      </c>
      <c r="FD30" s="42">
        <v>4.8490640598305283E-7</v>
      </c>
      <c r="FE30" s="42">
        <v>1.2315713341009121E-5</v>
      </c>
      <c r="FF30" s="42">
        <v>5.8068488064625988E-7</v>
      </c>
      <c r="FG30" s="42">
        <v>2.0146806216804329E-6</v>
      </c>
      <c r="FH30" s="42">
        <v>1.0364778555634162E-3</v>
      </c>
      <c r="FI30" s="42">
        <v>1.2674312436454873E-7</v>
      </c>
      <c r="FJ30" s="42">
        <v>9.7102332321092063E-9</v>
      </c>
      <c r="FK30" s="42">
        <v>0.35792069896898826</v>
      </c>
      <c r="FL30" s="42">
        <v>2.3221760343766606E-2</v>
      </c>
      <c r="FM30" s="42">
        <v>3.9069403607292635E-5</v>
      </c>
      <c r="FN30" s="42">
        <v>1.5631949816056006E-7</v>
      </c>
      <c r="FO30" s="42">
        <v>6.4301637541223212E-8</v>
      </c>
      <c r="FP30" s="42">
        <v>3.5476765539984578E-8</v>
      </c>
      <c r="FQ30" s="42">
        <v>2.5824714108064945E-6</v>
      </c>
      <c r="FR30" s="42">
        <v>1.0715562605872149E-5</v>
      </c>
      <c r="FS30" s="42">
        <v>1.7755669068517676E-2</v>
      </c>
      <c r="FT30" s="42">
        <v>4.0805050293089202E-6</v>
      </c>
      <c r="FU30" s="42">
        <v>5.8583863657201208E-7</v>
      </c>
      <c r="FV30" s="42">
        <v>0.98548795402762002</v>
      </c>
      <c r="FW30" s="42">
        <v>0.36538153841602611</v>
      </c>
      <c r="FX30" s="42">
        <v>1.8039451576687501E-2</v>
      </c>
      <c r="FY30" s="42">
        <v>2.7710710974155519E-6</v>
      </c>
      <c r="FZ30" s="42">
        <v>5.4920804352427605E-7</v>
      </c>
      <c r="GA30" s="42">
        <v>1.2351190106549105E-5</v>
      </c>
      <c r="GB30" s="42">
        <v>8.0123912017072643E-6</v>
      </c>
      <c r="GC30" s="42">
        <v>1.7558118817639359E-4</v>
      </c>
      <c r="GD30" s="42">
        <v>0.66789825057509677</v>
      </c>
      <c r="GE30" s="42">
        <v>3.3131734011052847E-4</v>
      </c>
      <c r="GF30" s="42">
        <v>7.5641626459705877E-5</v>
      </c>
      <c r="GG30" s="42">
        <v>17.580292542859475</v>
      </c>
      <c r="GH30" s="42">
        <v>10.948702306578618</v>
      </c>
      <c r="GI30" s="42">
        <v>0.79218781924617354</v>
      </c>
      <c r="GJ30" s="42">
        <v>4.1947047940984234E-5</v>
      </c>
      <c r="GK30" s="42">
        <v>9.775131256931165E-7</v>
      </c>
      <c r="GL30" s="42">
        <v>5.4204902813516625E-4</v>
      </c>
      <c r="GM30" s="42" t="s">
        <v>455</v>
      </c>
      <c r="GN30" s="42" t="s">
        <v>455</v>
      </c>
      <c r="GO30" s="42" t="s">
        <v>455</v>
      </c>
      <c r="GP30" s="42" t="s">
        <v>455</v>
      </c>
      <c r="GQ30" s="42" t="s">
        <v>455</v>
      </c>
      <c r="GR30" s="42" t="s">
        <v>455</v>
      </c>
      <c r="GS30" s="42" t="s">
        <v>455</v>
      </c>
      <c r="GT30" s="42" t="s">
        <v>455</v>
      </c>
      <c r="GU30" s="42" t="s">
        <v>455</v>
      </c>
      <c r="GV30" s="42" t="s">
        <v>455</v>
      </c>
      <c r="GW30" s="42" t="s">
        <v>455</v>
      </c>
      <c r="GX30" s="42" t="s">
        <v>455</v>
      </c>
      <c r="GY30" s="42" t="s">
        <v>455</v>
      </c>
      <c r="GZ30" s="42" t="s">
        <v>455</v>
      </c>
      <c r="HA30" s="42" t="s">
        <v>455</v>
      </c>
      <c r="HB30" s="42" t="s">
        <v>455</v>
      </c>
      <c r="HC30" s="42" t="s">
        <v>455</v>
      </c>
      <c r="HD30" s="42" t="s">
        <v>455</v>
      </c>
      <c r="HE30" s="42" t="s">
        <v>455</v>
      </c>
      <c r="HF30" s="42" t="s">
        <v>455</v>
      </c>
      <c r="HG30" s="42" t="s">
        <v>455</v>
      </c>
      <c r="HH30" s="42" t="s">
        <v>455</v>
      </c>
      <c r="HI30" s="42" t="s">
        <v>455</v>
      </c>
      <c r="HJ30" s="42" t="s">
        <v>455</v>
      </c>
      <c r="HK30" s="42" t="s">
        <v>455</v>
      </c>
      <c r="HL30" s="42" t="s">
        <v>455</v>
      </c>
      <c r="HM30" s="42" t="s">
        <v>455</v>
      </c>
      <c r="HN30" s="42" t="s">
        <v>455</v>
      </c>
      <c r="HO30" s="42" t="s">
        <v>455</v>
      </c>
      <c r="HP30" s="42" t="s">
        <v>455</v>
      </c>
      <c r="HQ30" s="42" t="s">
        <v>455</v>
      </c>
      <c r="HR30" s="42" t="s">
        <v>455</v>
      </c>
      <c r="HS30" s="42" t="s">
        <v>455</v>
      </c>
      <c r="HT30" s="42" t="s">
        <v>455</v>
      </c>
      <c r="HU30" s="42" t="s">
        <v>455</v>
      </c>
      <c r="HV30" s="42" t="s">
        <v>455</v>
      </c>
      <c r="HW30" s="42" t="s">
        <v>455</v>
      </c>
      <c r="HX30" s="42" t="s">
        <v>455</v>
      </c>
      <c r="HY30" s="42" t="s">
        <v>455</v>
      </c>
      <c r="HZ30" s="42" t="s">
        <v>455</v>
      </c>
      <c r="IA30" s="42" t="s">
        <v>455</v>
      </c>
      <c r="IB30" s="42" t="s">
        <v>455</v>
      </c>
      <c r="IC30" s="42" t="s">
        <v>455</v>
      </c>
      <c r="ID30" s="42" t="s">
        <v>455</v>
      </c>
      <c r="IE30" s="42" t="s">
        <v>455</v>
      </c>
      <c r="IF30" s="42" t="s">
        <v>455</v>
      </c>
      <c r="IG30" s="42" t="s">
        <v>455</v>
      </c>
      <c r="IH30" s="42" t="s">
        <v>455</v>
      </c>
      <c r="II30" s="42" t="s">
        <v>455</v>
      </c>
      <c r="IJ30" s="42" t="s">
        <v>455</v>
      </c>
      <c r="IK30" s="42" t="s">
        <v>455</v>
      </c>
      <c r="IL30" s="42" t="s">
        <v>455</v>
      </c>
      <c r="IM30" s="42" t="s">
        <v>455</v>
      </c>
      <c r="IN30" s="42" t="s">
        <v>455</v>
      </c>
      <c r="IO30" s="42" t="s">
        <v>455</v>
      </c>
      <c r="IP30" s="42" t="s">
        <v>455</v>
      </c>
      <c r="IQ30" s="42" t="s">
        <v>455</v>
      </c>
      <c r="IR30" s="42" t="s">
        <v>455</v>
      </c>
      <c r="IS30" s="42" t="s">
        <v>455</v>
      </c>
      <c r="IT30" s="42" t="s">
        <v>455</v>
      </c>
      <c r="IU30" s="42" t="s">
        <v>455</v>
      </c>
      <c r="IV30" s="42" t="s">
        <v>455</v>
      </c>
      <c r="IW30" s="42" t="s">
        <v>455</v>
      </c>
      <c r="IX30" s="42" t="s">
        <v>455</v>
      </c>
      <c r="IY30" s="42" t="s">
        <v>455</v>
      </c>
      <c r="IZ30" s="42" t="s">
        <v>455</v>
      </c>
      <c r="JA30" s="42" t="s">
        <v>455</v>
      </c>
      <c r="JB30" s="42" t="s">
        <v>455</v>
      </c>
      <c r="JC30" s="42" t="s">
        <v>455</v>
      </c>
      <c r="JD30" s="42" t="s">
        <v>455</v>
      </c>
      <c r="JE30" s="42" t="s">
        <v>455</v>
      </c>
      <c r="JF30" s="42" t="s">
        <v>455</v>
      </c>
      <c r="JG30" s="42" t="s">
        <v>455</v>
      </c>
      <c r="JH30" s="42" t="s">
        <v>455</v>
      </c>
      <c r="JI30" s="42" t="s">
        <v>455</v>
      </c>
      <c r="JJ30" s="42" t="s">
        <v>455</v>
      </c>
      <c r="JK30" s="42" t="s">
        <v>455</v>
      </c>
      <c r="JL30" s="42" t="s">
        <v>455</v>
      </c>
      <c r="JM30" s="42" t="s">
        <v>455</v>
      </c>
    </row>
    <row r="31" spans="1:273">
      <c r="A31" s="42" t="s">
        <v>208</v>
      </c>
      <c r="B31" s="42" t="s">
        <v>240</v>
      </c>
      <c r="C31" s="42" t="s">
        <v>244</v>
      </c>
      <c r="D31" s="60">
        <v>41533</v>
      </c>
      <c r="E31" s="42" t="s">
        <v>246</v>
      </c>
      <c r="F31" s="42">
        <v>0.81669164327999999</v>
      </c>
      <c r="G31" s="42">
        <v>98.780487804878007</v>
      </c>
      <c r="H31" s="42">
        <v>22.399999618500001</v>
      </c>
      <c r="I31" s="42">
        <v>1</v>
      </c>
      <c r="J31" s="42">
        <v>0</v>
      </c>
      <c r="K31" s="42">
        <v>0</v>
      </c>
      <c r="L31" s="42" t="s">
        <v>454</v>
      </c>
      <c r="M31" s="42" t="s">
        <v>614</v>
      </c>
      <c r="N31" s="42">
        <v>1.8985174642510292E-24</v>
      </c>
      <c r="O31" s="61" t="s">
        <v>455</v>
      </c>
      <c r="P31" s="42">
        <v>16.155071811296885</v>
      </c>
      <c r="Q31" s="42">
        <v>5.5539511647244382</v>
      </c>
      <c r="R31" s="42">
        <v>1.2032043939218739</v>
      </c>
      <c r="S31" s="42">
        <v>0.47947253382144828</v>
      </c>
      <c r="T31" s="42" t="s">
        <v>455</v>
      </c>
      <c r="U31" s="42" t="s">
        <v>455</v>
      </c>
      <c r="V31" s="42" t="s">
        <v>456</v>
      </c>
      <c r="W31" s="42" t="s">
        <v>455</v>
      </c>
      <c r="X31" s="42">
        <v>2.0434959558673516</v>
      </c>
      <c r="Y31" s="42">
        <v>2.2547077386292895</v>
      </c>
      <c r="Z31" s="42" t="s">
        <v>456</v>
      </c>
      <c r="AA31" s="42" t="s">
        <v>455</v>
      </c>
      <c r="AB31" s="42" t="s">
        <v>456</v>
      </c>
      <c r="AC31" s="42" t="s">
        <v>455</v>
      </c>
      <c r="AD31" s="42" t="s">
        <v>613</v>
      </c>
      <c r="AE31" s="42" t="s">
        <v>91</v>
      </c>
      <c r="AF31" s="42">
        <v>2.7238412630051865E-11</v>
      </c>
      <c r="AG31" s="42">
        <v>4</v>
      </c>
      <c r="AH31" s="62">
        <v>42880.574386574073</v>
      </c>
      <c r="AJ31" s="63" t="s">
        <v>640</v>
      </c>
      <c r="AK31" s="61">
        <v>17.333511628718309</v>
      </c>
      <c r="AL31" s="61">
        <v>0.11652240870964903</v>
      </c>
      <c r="AM31" s="61">
        <v>3.3925346769104081E-2</v>
      </c>
      <c r="AN31" s="61" t="s">
        <v>455</v>
      </c>
      <c r="AO31" s="61" t="s">
        <v>455</v>
      </c>
      <c r="AP31" s="61">
        <v>0.20477150770225316</v>
      </c>
      <c r="AQ31" s="61">
        <v>-0.75040038230399808</v>
      </c>
      <c r="AR31" s="61">
        <v>17.176358841328152</v>
      </c>
      <c r="AS31" s="61" t="s">
        <v>455</v>
      </c>
      <c r="AT31" s="61" t="s">
        <v>455</v>
      </c>
      <c r="AU31" s="61" t="s">
        <v>455</v>
      </c>
      <c r="AV31" s="42">
        <v>8.1760000000000002E-7</v>
      </c>
      <c r="AW31" s="42">
        <v>1.3999999999999999E-9</v>
      </c>
      <c r="AX31" s="42">
        <v>2.096E-7</v>
      </c>
      <c r="AY31" s="42">
        <v>5.0000000000000003E-10</v>
      </c>
      <c r="AZ31" s="42" t="s">
        <v>455</v>
      </c>
      <c r="BA31" s="42" t="s">
        <v>455</v>
      </c>
      <c r="BB31" s="42" t="s">
        <v>455</v>
      </c>
      <c r="BC31" s="42" t="s">
        <v>455</v>
      </c>
      <c r="BD31" s="42" t="s">
        <v>455</v>
      </c>
      <c r="BE31" s="42" t="s">
        <v>455</v>
      </c>
      <c r="BF31" s="42" t="s">
        <v>455</v>
      </c>
      <c r="BG31" s="42" t="s">
        <v>455</v>
      </c>
      <c r="BH31" s="42" t="s">
        <v>455</v>
      </c>
      <c r="BI31" s="42" t="s">
        <v>455</v>
      </c>
      <c r="BJ31" s="42" t="s">
        <v>455</v>
      </c>
      <c r="BK31" s="42" t="s">
        <v>455</v>
      </c>
      <c r="BL31" s="42" t="s">
        <v>455</v>
      </c>
      <c r="BM31" s="42" t="s">
        <v>455</v>
      </c>
      <c r="BN31" s="42" t="s">
        <v>455</v>
      </c>
      <c r="BO31" s="42" t="s">
        <v>455</v>
      </c>
      <c r="BP31" s="42" t="s">
        <v>455</v>
      </c>
      <c r="BQ31" s="42" t="s">
        <v>455</v>
      </c>
      <c r="BR31" s="42" t="s">
        <v>455</v>
      </c>
      <c r="BS31" s="42" t="s">
        <v>455</v>
      </c>
      <c r="BT31" s="42" t="s">
        <v>455</v>
      </c>
      <c r="BU31" s="42" t="s">
        <v>455</v>
      </c>
      <c r="BV31" s="42" t="s">
        <v>455</v>
      </c>
      <c r="BW31" s="42" t="s">
        <v>455</v>
      </c>
      <c r="BX31" s="42" t="s">
        <v>455</v>
      </c>
      <c r="BY31" s="42" t="s">
        <v>455</v>
      </c>
      <c r="BZ31" s="42" t="s">
        <v>455</v>
      </c>
      <c r="CA31" s="42" t="s">
        <v>455</v>
      </c>
      <c r="CB31" s="42" t="s">
        <v>455</v>
      </c>
      <c r="CC31" s="42" t="s">
        <v>455</v>
      </c>
      <c r="CD31" s="42" t="s">
        <v>455</v>
      </c>
      <c r="CE31" s="42" t="s">
        <v>455</v>
      </c>
      <c r="CF31" s="42" t="s">
        <v>455</v>
      </c>
      <c r="CG31" s="42" t="s">
        <v>455</v>
      </c>
      <c r="CH31" s="42" t="s">
        <v>455</v>
      </c>
      <c r="CI31" s="42" t="s">
        <v>455</v>
      </c>
      <c r="CJ31" s="42" t="s">
        <v>455</v>
      </c>
      <c r="CK31" s="42" t="s">
        <v>455</v>
      </c>
      <c r="CL31" s="42" t="s">
        <v>455</v>
      </c>
      <c r="CM31" s="42" t="s">
        <v>455</v>
      </c>
      <c r="CN31" s="42" t="s">
        <v>455</v>
      </c>
      <c r="CO31" s="42" t="s">
        <v>455</v>
      </c>
      <c r="CP31" s="42" t="s">
        <v>455</v>
      </c>
      <c r="CQ31" s="42" t="s">
        <v>455</v>
      </c>
      <c r="CR31" s="42">
        <v>0.61073160184211905</v>
      </c>
      <c r="CS31" s="42">
        <v>6.1073160184211911E-2</v>
      </c>
      <c r="CT31" s="42" t="s">
        <v>455</v>
      </c>
      <c r="CU31" s="42" t="s">
        <v>455</v>
      </c>
      <c r="CV31" s="42" t="s">
        <v>455</v>
      </c>
      <c r="CW31" s="42" t="s">
        <v>455</v>
      </c>
      <c r="CX31" s="42">
        <v>18.932595906619401</v>
      </c>
      <c r="CY31" s="42">
        <v>1.8932595906619403</v>
      </c>
      <c r="CZ31" s="42">
        <v>2.4139409910459202</v>
      </c>
      <c r="DA31" s="42">
        <v>0.24139409910459203</v>
      </c>
      <c r="DB31" s="42">
        <v>11.8345720135916</v>
      </c>
      <c r="DC31" s="42">
        <v>1.18345720135916</v>
      </c>
      <c r="DD31" s="42" t="s">
        <v>455</v>
      </c>
      <c r="DE31" s="42" t="s">
        <v>455</v>
      </c>
      <c r="DF31" s="42" t="s">
        <v>455</v>
      </c>
      <c r="DG31" s="42" t="s">
        <v>455</v>
      </c>
      <c r="DH31" s="42" t="s">
        <v>455</v>
      </c>
      <c r="DI31" s="42" t="s">
        <v>455</v>
      </c>
      <c r="DJ31" s="42">
        <v>0.99954979623171791</v>
      </c>
      <c r="DK31" s="42">
        <v>0.98816927633119733</v>
      </c>
      <c r="DL31" s="42">
        <v>1.8097396768647335E-2</v>
      </c>
      <c r="DM31" s="42">
        <v>0.9879512248670399</v>
      </c>
      <c r="DN31" s="42">
        <v>4.459592993190024E-8</v>
      </c>
      <c r="DO31" s="42">
        <v>1.8772574411850102E-7</v>
      </c>
      <c r="DP31" s="42">
        <v>3.3125465498448658E-4</v>
      </c>
      <c r="DQ31" s="42">
        <v>7.5493172398034071E-8</v>
      </c>
      <c r="DR31" s="42">
        <v>1.0542866187635917E-8</v>
      </c>
      <c r="DS31" s="42">
        <v>1.2571371385073181E-2</v>
      </c>
      <c r="DT31" s="42">
        <v>6.7774133593171849E-3</v>
      </c>
      <c r="DU31" s="42">
        <v>3.2948789885674712E-4</v>
      </c>
      <c r="DV31" s="42">
        <v>5.1162698651755625E-8</v>
      </c>
      <c r="DW31" s="42">
        <v>1.0412720633754222E-8</v>
      </c>
      <c r="DX31" s="42">
        <v>2.2433798882260829E-7</v>
      </c>
      <c r="DY31" s="42">
        <v>6.304791024150622E-9</v>
      </c>
      <c r="DZ31" s="42">
        <v>2.1874255881499671E-8</v>
      </c>
      <c r="EA31" s="42">
        <v>1.1237929039230299E-5</v>
      </c>
      <c r="EB31" s="42">
        <v>1.3716530090709346E-9</v>
      </c>
      <c r="EC31" s="42">
        <v>1.046787822712035E-10</v>
      </c>
      <c r="ED31" s="42">
        <v>2.573522702447496E-3</v>
      </c>
      <c r="EE31" s="42">
        <v>2.5202319235087534E-4</v>
      </c>
      <c r="EF31" s="42">
        <v>4.2112153787266307E-7</v>
      </c>
      <c r="EG31" s="42">
        <v>1.6965181954298409E-9</v>
      </c>
      <c r="EH31" s="42">
        <v>6.9785854847468666E-10</v>
      </c>
      <c r="EI31" s="42">
        <v>3.8502540605499315E-10</v>
      </c>
      <c r="EJ31" s="42">
        <v>5.0900720956050862E-8</v>
      </c>
      <c r="EK31" s="42">
        <v>2.0960000000000069E-7</v>
      </c>
      <c r="EL31" s="42">
        <v>3.4249258402371688E-4</v>
      </c>
      <c r="EM31" s="42">
        <v>7.6864825407105006E-8</v>
      </c>
      <c r="EN31" s="42">
        <v>1.0647544969907121E-8</v>
      </c>
      <c r="EO31" s="42">
        <v>1.5144894087520677E-2</v>
      </c>
      <c r="EP31" s="42">
        <v>7.0294365516680602E-3</v>
      </c>
      <c r="EQ31" s="42">
        <v>3.2990902039461978E-4</v>
      </c>
      <c r="ER31" s="42">
        <v>5.2859216847185466E-8</v>
      </c>
      <c r="ES31" s="42">
        <v>1.1110579182228909E-8</v>
      </c>
      <c r="ET31" s="42">
        <v>2.2472301422866329E-7</v>
      </c>
      <c r="EU31" s="42">
        <v>1.9879043485638243E-6</v>
      </c>
      <c r="EV31" s="42">
        <v>8.3681063818699627E-6</v>
      </c>
      <c r="EW31" s="42">
        <v>1.4786526617114911E-2</v>
      </c>
      <c r="EX31" s="42">
        <v>3.3761230042065936E-6</v>
      </c>
      <c r="EY31" s="42">
        <v>4.7332574931760888E-7</v>
      </c>
      <c r="EZ31" s="42">
        <v>0.56097002390195827</v>
      </c>
      <c r="FA31" s="42">
        <v>0.30223798261281409</v>
      </c>
      <c r="FB31" s="42">
        <v>1.4794463957732288E-2</v>
      </c>
      <c r="FC31" s="42">
        <v>2.2815947627387844E-6</v>
      </c>
      <c r="FD31" s="42">
        <v>4.6435409956664751E-7</v>
      </c>
      <c r="FE31" s="42">
        <v>1.0004327251479946E-5</v>
      </c>
      <c r="FF31" s="42">
        <v>2.81041824059596E-7</v>
      </c>
      <c r="FG31" s="42">
        <v>9.7507191195410517E-7</v>
      </c>
      <c r="FH31" s="42">
        <v>5.0163804299628578E-4</v>
      </c>
      <c r="FI31" s="42">
        <v>6.1341564152285672E-8</v>
      </c>
      <c r="FJ31" s="42">
        <v>4.6995913800250717E-9</v>
      </c>
      <c r="FK31" s="42">
        <v>0.11487067757017555</v>
      </c>
      <c r="FL31" s="42">
        <v>1.1238945773176801E-2</v>
      </c>
      <c r="FM31" s="42">
        <v>1.890894152865516E-5</v>
      </c>
      <c r="FN31" s="42">
        <v>7.5656037143985914E-8</v>
      </c>
      <c r="FO31" s="42">
        <v>3.1120923080504807E-8</v>
      </c>
      <c r="FP31" s="42">
        <v>1.7170164458209461E-8</v>
      </c>
      <c r="FQ31" s="42">
        <v>2.2689461726234203E-6</v>
      </c>
      <c r="FR31" s="42">
        <v>9.3431782938240679E-6</v>
      </c>
      <c r="FS31" s="42">
        <v>1.5288164660111197E-2</v>
      </c>
      <c r="FT31" s="42">
        <v>3.4374645683588793E-6</v>
      </c>
      <c r="FU31" s="42">
        <v>4.7802534069763395E-7</v>
      </c>
      <c r="FV31" s="42">
        <v>0.67584070147213382</v>
      </c>
      <c r="FW31" s="42">
        <v>0.31347692838599089</v>
      </c>
      <c r="FX31" s="42">
        <v>1.4813372899260943E-2</v>
      </c>
      <c r="FY31" s="42">
        <v>2.3572507998827703E-6</v>
      </c>
      <c r="FZ31" s="42">
        <v>4.9547502264715232E-7</v>
      </c>
      <c r="GA31" s="42">
        <v>1.0021497415938155E-5</v>
      </c>
      <c r="GB31" s="42">
        <v>7.9568261012294031E-6</v>
      </c>
      <c r="GC31" s="42">
        <v>1.6886587635422129E-4</v>
      </c>
      <c r="GD31" s="42">
        <v>0.5906921653005065</v>
      </c>
      <c r="GE31" s="42">
        <v>2.8291235550650414E-4</v>
      </c>
      <c r="GF31" s="42">
        <v>6.2144357605156824E-5</v>
      </c>
      <c r="GG31" s="42">
        <v>15.714677667575119</v>
      </c>
      <c r="GH31" s="42">
        <v>9.6712527580309153</v>
      </c>
      <c r="GI31" s="42">
        <v>0.65109696154781915</v>
      </c>
      <c r="GJ31" s="42">
        <v>3.6602392717446439E-5</v>
      </c>
      <c r="GK31" s="42">
        <v>9.3608214223441345E-7</v>
      </c>
      <c r="GL31" s="42">
        <v>4.4031845445393654E-4</v>
      </c>
      <c r="GM31" s="42" t="s">
        <v>455</v>
      </c>
      <c r="GN31" s="42" t="s">
        <v>455</v>
      </c>
      <c r="GO31" s="42" t="s">
        <v>455</v>
      </c>
      <c r="GP31" s="42" t="s">
        <v>455</v>
      </c>
      <c r="GQ31" s="42" t="s">
        <v>455</v>
      </c>
      <c r="GR31" s="42" t="s">
        <v>455</v>
      </c>
      <c r="GS31" s="42" t="s">
        <v>455</v>
      </c>
      <c r="GT31" s="42" t="s">
        <v>455</v>
      </c>
      <c r="GU31" s="42" t="s">
        <v>455</v>
      </c>
      <c r="GV31" s="42" t="s">
        <v>455</v>
      </c>
      <c r="GW31" s="42" t="s">
        <v>455</v>
      </c>
      <c r="GX31" s="42" t="s">
        <v>455</v>
      </c>
      <c r="GY31" s="42" t="s">
        <v>455</v>
      </c>
      <c r="GZ31" s="42" t="s">
        <v>455</v>
      </c>
      <c r="HA31" s="42" t="s">
        <v>455</v>
      </c>
      <c r="HB31" s="42" t="s">
        <v>455</v>
      </c>
      <c r="HC31" s="42" t="s">
        <v>455</v>
      </c>
      <c r="HD31" s="42" t="s">
        <v>455</v>
      </c>
      <c r="HE31" s="42" t="s">
        <v>455</v>
      </c>
      <c r="HF31" s="42" t="s">
        <v>455</v>
      </c>
      <c r="HG31" s="42" t="s">
        <v>455</v>
      </c>
      <c r="HH31" s="42" t="s">
        <v>455</v>
      </c>
      <c r="HI31" s="42" t="s">
        <v>455</v>
      </c>
      <c r="HJ31" s="42" t="s">
        <v>455</v>
      </c>
      <c r="HK31" s="42" t="s">
        <v>455</v>
      </c>
      <c r="HL31" s="42" t="s">
        <v>455</v>
      </c>
      <c r="HM31" s="42" t="s">
        <v>455</v>
      </c>
      <c r="HN31" s="42" t="s">
        <v>455</v>
      </c>
      <c r="HO31" s="42" t="s">
        <v>455</v>
      </c>
      <c r="HP31" s="42" t="s">
        <v>455</v>
      </c>
      <c r="HQ31" s="42" t="s">
        <v>455</v>
      </c>
      <c r="HR31" s="42" t="s">
        <v>455</v>
      </c>
      <c r="HS31" s="42" t="s">
        <v>455</v>
      </c>
      <c r="HT31" s="42" t="s">
        <v>455</v>
      </c>
      <c r="HU31" s="42" t="s">
        <v>455</v>
      </c>
      <c r="HV31" s="42" t="s">
        <v>455</v>
      </c>
      <c r="HW31" s="42" t="s">
        <v>455</v>
      </c>
      <c r="HX31" s="42" t="s">
        <v>455</v>
      </c>
      <c r="HY31" s="42" t="s">
        <v>455</v>
      </c>
      <c r="HZ31" s="42" t="s">
        <v>455</v>
      </c>
      <c r="IA31" s="42" t="s">
        <v>455</v>
      </c>
      <c r="IB31" s="42" t="s">
        <v>455</v>
      </c>
      <c r="IC31" s="42" t="s">
        <v>455</v>
      </c>
      <c r="ID31" s="42" t="s">
        <v>455</v>
      </c>
      <c r="IE31" s="42" t="s">
        <v>455</v>
      </c>
      <c r="IF31" s="42" t="s">
        <v>455</v>
      </c>
      <c r="IG31" s="42" t="s">
        <v>455</v>
      </c>
      <c r="IH31" s="42" t="s">
        <v>455</v>
      </c>
      <c r="II31" s="42" t="s">
        <v>455</v>
      </c>
      <c r="IJ31" s="42" t="s">
        <v>455</v>
      </c>
      <c r="IK31" s="42" t="s">
        <v>455</v>
      </c>
      <c r="IL31" s="42" t="s">
        <v>455</v>
      </c>
      <c r="IM31" s="42" t="s">
        <v>455</v>
      </c>
      <c r="IN31" s="42" t="s">
        <v>455</v>
      </c>
      <c r="IO31" s="42" t="s">
        <v>455</v>
      </c>
      <c r="IP31" s="42" t="s">
        <v>455</v>
      </c>
      <c r="IQ31" s="42" t="s">
        <v>455</v>
      </c>
      <c r="IR31" s="42" t="s">
        <v>455</v>
      </c>
      <c r="IS31" s="42" t="s">
        <v>455</v>
      </c>
      <c r="IT31" s="42" t="s">
        <v>455</v>
      </c>
      <c r="IU31" s="42" t="s">
        <v>455</v>
      </c>
      <c r="IV31" s="42" t="s">
        <v>455</v>
      </c>
      <c r="IW31" s="42" t="s">
        <v>455</v>
      </c>
      <c r="IX31" s="42" t="s">
        <v>455</v>
      </c>
      <c r="IY31" s="42" t="s">
        <v>455</v>
      </c>
      <c r="IZ31" s="42" t="s">
        <v>455</v>
      </c>
      <c r="JA31" s="42" t="s">
        <v>455</v>
      </c>
      <c r="JB31" s="42" t="s">
        <v>455</v>
      </c>
      <c r="JC31" s="42" t="s">
        <v>455</v>
      </c>
      <c r="JD31" s="42" t="s">
        <v>455</v>
      </c>
      <c r="JE31" s="42" t="s">
        <v>455</v>
      </c>
      <c r="JF31" s="42" t="s">
        <v>455</v>
      </c>
      <c r="JG31" s="42" t="s">
        <v>455</v>
      </c>
      <c r="JH31" s="42" t="s">
        <v>455</v>
      </c>
      <c r="JI31" s="42" t="s">
        <v>455</v>
      </c>
      <c r="JJ31" s="42" t="s">
        <v>455</v>
      </c>
      <c r="JK31" s="42" t="s">
        <v>455</v>
      </c>
      <c r="JL31" s="42" t="s">
        <v>455</v>
      </c>
      <c r="JM31" s="42" t="s">
        <v>455</v>
      </c>
    </row>
    <row r="32" spans="1:273">
      <c r="A32" s="42" t="s">
        <v>208</v>
      </c>
      <c r="B32" s="42" t="s">
        <v>240</v>
      </c>
      <c r="C32" s="42" t="s">
        <v>244</v>
      </c>
      <c r="D32" s="60">
        <v>41533</v>
      </c>
      <c r="E32" s="42" t="s">
        <v>245</v>
      </c>
      <c r="F32" s="42">
        <v>0.81669164327999999</v>
      </c>
      <c r="G32" s="42">
        <v>98.780487804878007</v>
      </c>
      <c r="H32" s="42">
        <v>22.399999618500001</v>
      </c>
      <c r="I32" s="42">
        <v>1</v>
      </c>
      <c r="J32" s="42">
        <v>0</v>
      </c>
      <c r="K32" s="42">
        <v>0</v>
      </c>
      <c r="L32" s="42" t="s">
        <v>454</v>
      </c>
      <c r="M32" s="42" t="s">
        <v>614</v>
      </c>
      <c r="N32" s="42">
        <v>4.4875243143724859E-26</v>
      </c>
      <c r="O32" s="61" t="s">
        <v>455</v>
      </c>
      <c r="P32" s="42">
        <v>16.472851352880703</v>
      </c>
      <c r="Q32" s="42">
        <v>5.5888604385426897</v>
      </c>
      <c r="R32" s="42">
        <v>1.2304551139791939</v>
      </c>
      <c r="S32" s="42">
        <v>0.47805617807519091</v>
      </c>
      <c r="T32" s="42" t="s">
        <v>455</v>
      </c>
      <c r="U32" s="42" t="s">
        <v>455</v>
      </c>
      <c r="V32" s="42" t="s">
        <v>456</v>
      </c>
      <c r="W32" s="42" t="s">
        <v>455</v>
      </c>
      <c r="X32" s="42">
        <v>1.8800373649478246</v>
      </c>
      <c r="Y32" s="42">
        <v>2.2309397688609818</v>
      </c>
      <c r="Z32" s="42" t="s">
        <v>456</v>
      </c>
      <c r="AA32" s="42" t="s">
        <v>455</v>
      </c>
      <c r="AB32" s="42" t="s">
        <v>456</v>
      </c>
      <c r="AC32" s="42" t="s">
        <v>455</v>
      </c>
      <c r="AD32" s="42" t="s">
        <v>613</v>
      </c>
      <c r="AE32" s="42" t="s">
        <v>91</v>
      </c>
      <c r="AF32" s="42">
        <v>1.0775208742358039E-11</v>
      </c>
      <c r="AG32" s="42">
        <v>4</v>
      </c>
      <c r="AH32" s="62">
        <v>42880.574386574073</v>
      </c>
      <c r="AJ32" s="63" t="s">
        <v>639</v>
      </c>
      <c r="AK32" s="61">
        <v>17.353834353987921</v>
      </c>
      <c r="AL32" s="61">
        <v>0.11947676664737106</v>
      </c>
      <c r="AM32" s="61">
        <v>3.4923999652579196E-2</v>
      </c>
      <c r="AN32" s="61" t="s">
        <v>455</v>
      </c>
      <c r="AO32" s="61" t="s">
        <v>455</v>
      </c>
      <c r="AP32" s="61">
        <v>0.1972653387475265</v>
      </c>
      <c r="AQ32" s="61">
        <v>-0.87213953326462434</v>
      </c>
      <c r="AR32" s="61">
        <v>20.533574171410869</v>
      </c>
      <c r="AS32" s="61" t="s">
        <v>455</v>
      </c>
      <c r="AT32" s="61" t="s">
        <v>455</v>
      </c>
      <c r="AU32" s="61" t="s">
        <v>455</v>
      </c>
      <c r="AV32" s="42">
        <v>8.1760000000000002E-7</v>
      </c>
      <c r="AW32" s="42">
        <v>1.3999999999999999E-9</v>
      </c>
      <c r="AX32" s="42">
        <v>2.096E-7</v>
      </c>
      <c r="AY32" s="42">
        <v>5.0000000000000003E-10</v>
      </c>
      <c r="AZ32" s="42" t="s">
        <v>455</v>
      </c>
      <c r="BA32" s="42" t="s">
        <v>455</v>
      </c>
      <c r="BB32" s="42" t="s">
        <v>455</v>
      </c>
      <c r="BC32" s="42" t="s">
        <v>455</v>
      </c>
      <c r="BD32" s="42" t="s">
        <v>455</v>
      </c>
      <c r="BE32" s="42" t="s">
        <v>455</v>
      </c>
      <c r="BF32" s="42" t="s">
        <v>455</v>
      </c>
      <c r="BG32" s="42" t="s">
        <v>455</v>
      </c>
      <c r="BH32" s="42" t="s">
        <v>455</v>
      </c>
      <c r="BI32" s="42" t="s">
        <v>455</v>
      </c>
      <c r="BJ32" s="42" t="s">
        <v>455</v>
      </c>
      <c r="BK32" s="42" t="s">
        <v>455</v>
      </c>
      <c r="BL32" s="42" t="s">
        <v>455</v>
      </c>
      <c r="BM32" s="42" t="s">
        <v>455</v>
      </c>
      <c r="BN32" s="42" t="s">
        <v>455</v>
      </c>
      <c r="BO32" s="42" t="s">
        <v>455</v>
      </c>
      <c r="BP32" s="42" t="s">
        <v>455</v>
      </c>
      <c r="BQ32" s="42" t="s">
        <v>455</v>
      </c>
      <c r="BR32" s="42" t="s">
        <v>455</v>
      </c>
      <c r="BS32" s="42" t="s">
        <v>455</v>
      </c>
      <c r="BT32" s="42" t="s">
        <v>455</v>
      </c>
      <c r="BU32" s="42" t="s">
        <v>455</v>
      </c>
      <c r="BV32" s="42" t="s">
        <v>455</v>
      </c>
      <c r="BW32" s="42" t="s">
        <v>455</v>
      </c>
      <c r="BX32" s="42" t="s">
        <v>455</v>
      </c>
      <c r="BY32" s="42" t="s">
        <v>455</v>
      </c>
      <c r="BZ32" s="42" t="s">
        <v>455</v>
      </c>
      <c r="CA32" s="42" t="s">
        <v>455</v>
      </c>
      <c r="CB32" s="42" t="s">
        <v>455</v>
      </c>
      <c r="CC32" s="42" t="s">
        <v>455</v>
      </c>
      <c r="CD32" s="42" t="s">
        <v>455</v>
      </c>
      <c r="CE32" s="42" t="s">
        <v>455</v>
      </c>
      <c r="CF32" s="42" t="s">
        <v>455</v>
      </c>
      <c r="CG32" s="42" t="s">
        <v>455</v>
      </c>
      <c r="CH32" s="42" t="s">
        <v>455</v>
      </c>
      <c r="CI32" s="42" t="s">
        <v>455</v>
      </c>
      <c r="CJ32" s="42" t="s">
        <v>455</v>
      </c>
      <c r="CK32" s="42" t="s">
        <v>455</v>
      </c>
      <c r="CL32" s="42" t="s">
        <v>455</v>
      </c>
      <c r="CM32" s="42" t="s">
        <v>455</v>
      </c>
      <c r="CN32" s="42" t="s">
        <v>455</v>
      </c>
      <c r="CO32" s="42" t="s">
        <v>455</v>
      </c>
      <c r="CP32" s="42" t="s">
        <v>455</v>
      </c>
      <c r="CQ32" s="42" t="s">
        <v>455</v>
      </c>
      <c r="CR32" s="42">
        <v>0.60725793580764298</v>
      </c>
      <c r="CS32" s="42">
        <v>6.0725793580764298E-2</v>
      </c>
      <c r="CT32" s="42" t="s">
        <v>455</v>
      </c>
      <c r="CU32" s="42" t="s">
        <v>455</v>
      </c>
      <c r="CV32" s="42" t="s">
        <v>455</v>
      </c>
      <c r="CW32" s="42" t="s">
        <v>455</v>
      </c>
      <c r="CX32" s="42">
        <v>18.699523701362899</v>
      </c>
      <c r="CY32" s="42">
        <v>1.8699523701362901</v>
      </c>
      <c r="CZ32" s="42">
        <v>1.2283152610010799</v>
      </c>
      <c r="DA32" s="42">
        <v>0.122831526100108</v>
      </c>
      <c r="DB32" s="42">
        <v>13.8782576140388</v>
      </c>
      <c r="DC32" s="42">
        <v>1.38782576140388</v>
      </c>
      <c r="DD32" s="42" t="s">
        <v>455</v>
      </c>
      <c r="DE32" s="42" t="s">
        <v>455</v>
      </c>
      <c r="DF32" s="42" t="s">
        <v>455</v>
      </c>
      <c r="DG32" s="42" t="s">
        <v>455</v>
      </c>
      <c r="DH32" s="42" t="s">
        <v>455</v>
      </c>
      <c r="DI32" s="42" t="s">
        <v>455</v>
      </c>
      <c r="DJ32" s="42">
        <v>0.99949650179701388</v>
      </c>
      <c r="DK32" s="42">
        <v>0.98816927633119733</v>
      </c>
      <c r="DL32" s="42">
        <v>1.8467756305182055E-2</v>
      </c>
      <c r="DM32" s="42">
        <v>0.98794667852757656</v>
      </c>
      <c r="DN32" s="42">
        <v>4.4546550014076586E-8</v>
      </c>
      <c r="DO32" s="42">
        <v>1.8723032602785837E-7</v>
      </c>
      <c r="DP32" s="42">
        <v>3.2907029203103102E-4</v>
      </c>
      <c r="DQ32" s="42">
        <v>7.4867349213021759E-8</v>
      </c>
      <c r="DR32" s="42">
        <v>1.0436758101528049E-8</v>
      </c>
      <c r="DS32" s="42">
        <v>1.2495121131814078E-2</v>
      </c>
      <c r="DT32" s="42">
        <v>6.7325247628110801E-3</v>
      </c>
      <c r="DU32" s="42">
        <v>3.2616381701288917E-4</v>
      </c>
      <c r="DV32" s="42">
        <v>5.0796058799339691E-8</v>
      </c>
      <c r="DW32" s="42">
        <v>1.0383747536513444E-8</v>
      </c>
      <c r="DX32" s="42">
        <v>2.2195253622180057E-7</v>
      </c>
      <c r="DY32" s="42">
        <v>6.4475847972509737E-9</v>
      </c>
      <c r="DZ32" s="42">
        <v>2.2369673972141738E-8</v>
      </c>
      <c r="EA32" s="42">
        <v>1.1492450764565693E-5</v>
      </c>
      <c r="EB32" s="42">
        <v>1.4027188299362743E-9</v>
      </c>
      <c r="EC32" s="42">
        <v>1.0704959491618914E-10</v>
      </c>
      <c r="ED32" s="42">
        <v>2.4640970083656677E-3</v>
      </c>
      <c r="EE32" s="42">
        <v>2.5773112817408222E-4</v>
      </c>
      <c r="EF32" s="42">
        <v>4.3065928989269309E-7</v>
      </c>
      <c r="EG32" s="42">
        <v>1.7349417107106637E-9</v>
      </c>
      <c r="EH32" s="42">
        <v>7.1366396610793313E-10</v>
      </c>
      <c r="EI32" s="42">
        <v>3.9374563647333968E-10</v>
      </c>
      <c r="EJ32" s="42">
        <v>5.099413481132756E-8</v>
      </c>
      <c r="EK32" s="42">
        <v>2.096000000000001E-7</v>
      </c>
      <c r="EL32" s="42">
        <v>3.4056274279559672E-4</v>
      </c>
      <c r="EM32" s="42">
        <v>7.6270068042958033E-8</v>
      </c>
      <c r="EN32" s="42">
        <v>1.0543807696444238E-8</v>
      </c>
      <c r="EO32" s="42">
        <v>1.4959218140179746E-2</v>
      </c>
      <c r="EP32" s="42">
        <v>6.9902558909851623E-3</v>
      </c>
      <c r="EQ32" s="42">
        <v>3.2659447630278187E-4</v>
      </c>
      <c r="ER32" s="42">
        <v>5.2531000510050354E-8</v>
      </c>
      <c r="ES32" s="42">
        <v>1.1097411502621377E-8</v>
      </c>
      <c r="ET32" s="42">
        <v>2.2234628185827391E-7</v>
      </c>
      <c r="EU32" s="42">
        <v>1.9855973189868894E-6</v>
      </c>
      <c r="EV32" s="42">
        <v>8.3455775130760325E-6</v>
      </c>
      <c r="EW32" s="42">
        <v>1.4688237951050193E-2</v>
      </c>
      <c r="EX32" s="42">
        <v>3.3479571075284269E-6</v>
      </c>
      <c r="EY32" s="42">
        <v>4.6853700583673147E-7</v>
      </c>
      <c r="EZ32" s="42">
        <v>0.55753779405856863</v>
      </c>
      <c r="FA32" s="42">
        <v>0.30022017260156353</v>
      </c>
      <c r="FB32" s="42">
        <v>1.4644427209790402E-2</v>
      </c>
      <c r="FC32" s="42">
        <v>2.2651237206663445E-6</v>
      </c>
      <c r="FD32" s="42">
        <v>4.6303735782495529E-7</v>
      </c>
      <c r="FE32" s="42">
        <v>9.8974205192587075E-6</v>
      </c>
      <c r="FF32" s="42">
        <v>2.8739166295294852E-7</v>
      </c>
      <c r="FG32" s="42">
        <v>9.9710261706733723E-7</v>
      </c>
      <c r="FH32" s="42">
        <v>5.129720170994681E-4</v>
      </c>
      <c r="FI32" s="42">
        <v>6.2727511070103627E-8</v>
      </c>
      <c r="FJ32" s="42">
        <v>4.8057736118961451E-9</v>
      </c>
      <c r="FK32" s="42">
        <v>0.10998288180951221</v>
      </c>
      <c r="FL32" s="42">
        <v>1.1492877710992833E-2</v>
      </c>
      <c r="FM32" s="42">
        <v>1.933616880257609E-5</v>
      </c>
      <c r="FN32" s="42">
        <v>7.736540424185942E-8</v>
      </c>
      <c r="FO32" s="42">
        <v>3.182406699310527E-8</v>
      </c>
      <c r="FP32" s="42">
        <v>1.7558105927231312E-8</v>
      </c>
      <c r="FQ32" s="42">
        <v>2.2729889819398379E-6</v>
      </c>
      <c r="FR32" s="42">
        <v>9.3426801301433697E-6</v>
      </c>
      <c r="FS32" s="42">
        <v>1.5201209968149661E-2</v>
      </c>
      <c r="FT32" s="42">
        <v>3.4106846185985305E-6</v>
      </c>
      <c r="FU32" s="42">
        <v>4.7334277944862761E-7</v>
      </c>
      <c r="FV32" s="42">
        <v>0.66752067586808084</v>
      </c>
      <c r="FW32" s="42">
        <v>0.31171305031255636</v>
      </c>
      <c r="FX32" s="42">
        <v>1.4663763378592978E-2</v>
      </c>
      <c r="FY32" s="42">
        <v>2.3424891249082039E-6</v>
      </c>
      <c r="FZ32" s="42">
        <v>4.9486142481806056E-7</v>
      </c>
      <c r="GA32" s="42">
        <v>9.9149786251859388E-6</v>
      </c>
      <c r="GB32" s="42">
        <v>7.9475919380427668E-6</v>
      </c>
      <c r="GC32" s="42">
        <v>1.6841125054062041E-4</v>
      </c>
      <c r="GD32" s="42">
        <v>0.58676572966855312</v>
      </c>
      <c r="GE32" s="42">
        <v>2.8055210969666711E-4</v>
      </c>
      <c r="GF32" s="42">
        <v>6.1515629107321992E-5</v>
      </c>
      <c r="GG32" s="42">
        <v>15.618529240080306</v>
      </c>
      <c r="GH32" s="42">
        <v>9.6066852590429104</v>
      </c>
      <c r="GI32" s="42">
        <v>0.64449391928927069</v>
      </c>
      <c r="GJ32" s="42">
        <v>3.6338156683841001E-5</v>
      </c>
      <c r="GK32" s="42">
        <v>9.3342774889217091E-7</v>
      </c>
      <c r="GL32" s="42">
        <v>4.3561318983002963E-4</v>
      </c>
      <c r="GM32" s="42" t="s">
        <v>455</v>
      </c>
      <c r="GN32" s="42" t="s">
        <v>455</v>
      </c>
      <c r="GO32" s="42" t="s">
        <v>455</v>
      </c>
      <c r="GP32" s="42" t="s">
        <v>455</v>
      </c>
      <c r="GQ32" s="42" t="s">
        <v>455</v>
      </c>
      <c r="GR32" s="42" t="s">
        <v>455</v>
      </c>
      <c r="GS32" s="42" t="s">
        <v>455</v>
      </c>
      <c r="GT32" s="42" t="s">
        <v>455</v>
      </c>
      <c r="GU32" s="42" t="s">
        <v>455</v>
      </c>
      <c r="GV32" s="42" t="s">
        <v>455</v>
      </c>
      <c r="GW32" s="42" t="s">
        <v>455</v>
      </c>
      <c r="GX32" s="42" t="s">
        <v>455</v>
      </c>
      <c r="GY32" s="42" t="s">
        <v>455</v>
      </c>
      <c r="GZ32" s="42" t="s">
        <v>455</v>
      </c>
      <c r="HA32" s="42" t="s">
        <v>455</v>
      </c>
      <c r="HB32" s="42" t="s">
        <v>455</v>
      </c>
      <c r="HC32" s="42" t="s">
        <v>455</v>
      </c>
      <c r="HD32" s="42" t="s">
        <v>455</v>
      </c>
      <c r="HE32" s="42" t="s">
        <v>455</v>
      </c>
      <c r="HF32" s="42" t="s">
        <v>455</v>
      </c>
      <c r="HG32" s="42" t="s">
        <v>455</v>
      </c>
      <c r="HH32" s="42" t="s">
        <v>455</v>
      </c>
      <c r="HI32" s="42" t="s">
        <v>455</v>
      </c>
      <c r="HJ32" s="42" t="s">
        <v>455</v>
      </c>
      <c r="HK32" s="42" t="s">
        <v>455</v>
      </c>
      <c r="HL32" s="42" t="s">
        <v>455</v>
      </c>
      <c r="HM32" s="42" t="s">
        <v>455</v>
      </c>
      <c r="HN32" s="42" t="s">
        <v>455</v>
      </c>
      <c r="HO32" s="42" t="s">
        <v>455</v>
      </c>
      <c r="HP32" s="42" t="s">
        <v>455</v>
      </c>
      <c r="HQ32" s="42" t="s">
        <v>455</v>
      </c>
      <c r="HR32" s="42" t="s">
        <v>455</v>
      </c>
      <c r="HS32" s="42" t="s">
        <v>455</v>
      </c>
      <c r="HT32" s="42" t="s">
        <v>455</v>
      </c>
      <c r="HU32" s="42" t="s">
        <v>455</v>
      </c>
      <c r="HV32" s="42" t="s">
        <v>455</v>
      </c>
      <c r="HW32" s="42" t="s">
        <v>455</v>
      </c>
      <c r="HX32" s="42" t="s">
        <v>455</v>
      </c>
      <c r="HY32" s="42" t="s">
        <v>455</v>
      </c>
      <c r="HZ32" s="42" t="s">
        <v>455</v>
      </c>
      <c r="IA32" s="42" t="s">
        <v>455</v>
      </c>
      <c r="IB32" s="42" t="s">
        <v>455</v>
      </c>
      <c r="IC32" s="42" t="s">
        <v>455</v>
      </c>
      <c r="ID32" s="42" t="s">
        <v>455</v>
      </c>
      <c r="IE32" s="42" t="s">
        <v>455</v>
      </c>
      <c r="IF32" s="42" t="s">
        <v>455</v>
      </c>
      <c r="IG32" s="42" t="s">
        <v>455</v>
      </c>
      <c r="IH32" s="42" t="s">
        <v>455</v>
      </c>
      <c r="II32" s="42" t="s">
        <v>455</v>
      </c>
      <c r="IJ32" s="42" t="s">
        <v>455</v>
      </c>
      <c r="IK32" s="42" t="s">
        <v>455</v>
      </c>
      <c r="IL32" s="42" t="s">
        <v>455</v>
      </c>
      <c r="IM32" s="42" t="s">
        <v>455</v>
      </c>
      <c r="IN32" s="42" t="s">
        <v>455</v>
      </c>
      <c r="IO32" s="42" t="s">
        <v>455</v>
      </c>
      <c r="IP32" s="42" t="s">
        <v>455</v>
      </c>
      <c r="IQ32" s="42" t="s">
        <v>455</v>
      </c>
      <c r="IR32" s="42" t="s">
        <v>455</v>
      </c>
      <c r="IS32" s="42" t="s">
        <v>455</v>
      </c>
      <c r="IT32" s="42" t="s">
        <v>455</v>
      </c>
      <c r="IU32" s="42" t="s">
        <v>455</v>
      </c>
      <c r="IV32" s="42" t="s">
        <v>455</v>
      </c>
      <c r="IW32" s="42" t="s">
        <v>455</v>
      </c>
      <c r="IX32" s="42" t="s">
        <v>455</v>
      </c>
      <c r="IY32" s="42" t="s">
        <v>455</v>
      </c>
      <c r="IZ32" s="42" t="s">
        <v>455</v>
      </c>
      <c r="JA32" s="42" t="s">
        <v>455</v>
      </c>
      <c r="JB32" s="42" t="s">
        <v>455</v>
      </c>
      <c r="JC32" s="42" t="s">
        <v>455</v>
      </c>
      <c r="JD32" s="42" t="s">
        <v>455</v>
      </c>
      <c r="JE32" s="42" t="s">
        <v>455</v>
      </c>
      <c r="JF32" s="42" t="s">
        <v>455</v>
      </c>
      <c r="JG32" s="42" t="s">
        <v>455</v>
      </c>
      <c r="JH32" s="42" t="s">
        <v>455</v>
      </c>
      <c r="JI32" s="42" t="s">
        <v>455</v>
      </c>
      <c r="JJ32" s="42" t="s">
        <v>455</v>
      </c>
      <c r="JK32" s="42" t="s">
        <v>455</v>
      </c>
      <c r="JL32" s="42" t="s">
        <v>455</v>
      </c>
      <c r="JM32" s="42" t="s">
        <v>455</v>
      </c>
    </row>
    <row r="33" spans="1:273">
      <c r="A33" s="42" t="s">
        <v>208</v>
      </c>
      <c r="B33" s="42" t="s">
        <v>240</v>
      </c>
      <c r="C33" s="42" t="s">
        <v>255</v>
      </c>
      <c r="D33" s="60">
        <v>41514</v>
      </c>
      <c r="E33" s="42" t="s">
        <v>257</v>
      </c>
      <c r="F33" s="42">
        <v>2.1379409745000002</v>
      </c>
      <c r="G33" s="42">
        <v>1.82926829268292</v>
      </c>
      <c r="H33" s="42">
        <v>22.020000457799998</v>
      </c>
      <c r="I33" s="42">
        <v>1</v>
      </c>
      <c r="J33" s="42">
        <v>0</v>
      </c>
      <c r="K33" s="42">
        <v>0</v>
      </c>
      <c r="L33" s="42" t="s">
        <v>454</v>
      </c>
      <c r="M33" s="42" t="s">
        <v>614</v>
      </c>
      <c r="N33" s="42">
        <v>1.6464872378037753E-26</v>
      </c>
      <c r="O33" s="61" t="s">
        <v>455</v>
      </c>
      <c r="P33" s="42">
        <v>11.935231958399116</v>
      </c>
      <c r="Q33" s="42">
        <v>6.3335980493864046</v>
      </c>
      <c r="R33" s="42">
        <v>2.5175634911736062</v>
      </c>
      <c r="S33" s="42">
        <v>3.032222333543154</v>
      </c>
      <c r="T33" s="42" t="s">
        <v>455</v>
      </c>
      <c r="U33" s="42" t="s">
        <v>455</v>
      </c>
      <c r="V33" s="42" t="s">
        <v>456</v>
      </c>
      <c r="W33" s="42" t="s">
        <v>455</v>
      </c>
      <c r="X33" s="42">
        <v>2.4511340881556549</v>
      </c>
      <c r="Y33" s="42">
        <v>3.1170975192382593</v>
      </c>
      <c r="Z33" s="42" t="s">
        <v>456</v>
      </c>
      <c r="AA33" s="42" t="s">
        <v>455</v>
      </c>
      <c r="AB33" s="42" t="s">
        <v>456</v>
      </c>
      <c r="AC33" s="42" t="s">
        <v>455</v>
      </c>
      <c r="AD33" s="42" t="s">
        <v>613</v>
      </c>
      <c r="AE33" s="42" t="s">
        <v>104</v>
      </c>
      <c r="AF33" s="42">
        <v>1.0644019978810914E-20</v>
      </c>
      <c r="AG33" s="42">
        <v>5</v>
      </c>
      <c r="AH33" s="62">
        <v>42880.574386574073</v>
      </c>
      <c r="AJ33" s="63" t="s">
        <v>638</v>
      </c>
      <c r="AK33" s="61">
        <v>21.453465930901178</v>
      </c>
      <c r="AL33" s="61">
        <v>0.23407733552293952</v>
      </c>
      <c r="AM33" s="61">
        <v>6.4631359105627562E-2</v>
      </c>
      <c r="AN33" s="61" t="s">
        <v>455</v>
      </c>
      <c r="AO33" s="61" t="s">
        <v>455</v>
      </c>
      <c r="AP33" s="61">
        <v>0.28633401737839392</v>
      </c>
      <c r="AQ33" s="61">
        <v>-0.97591481617944997</v>
      </c>
      <c r="AR33" s="61">
        <v>25.61448797820734</v>
      </c>
      <c r="AS33" s="61">
        <v>175.56490497682717</v>
      </c>
      <c r="AT33" s="61" t="s">
        <v>455</v>
      </c>
      <c r="AU33" s="61" t="s">
        <v>455</v>
      </c>
      <c r="AV33" s="42">
        <v>1.0220999999999999E-6</v>
      </c>
      <c r="AW33" s="42">
        <v>3.2000000000000001E-9</v>
      </c>
      <c r="AX33" s="42">
        <v>2.4130000000000002E-7</v>
      </c>
      <c r="AY33" s="42">
        <v>4.8259999999999997E-8</v>
      </c>
      <c r="AZ33" s="42" t="s">
        <v>455</v>
      </c>
      <c r="BA33" s="42" t="s">
        <v>455</v>
      </c>
      <c r="BB33" s="42" t="s">
        <v>455</v>
      </c>
      <c r="BC33" s="42" t="s">
        <v>455</v>
      </c>
      <c r="BD33" s="42" t="s">
        <v>455</v>
      </c>
      <c r="BE33" s="42" t="s">
        <v>455</v>
      </c>
      <c r="BF33" s="42" t="s">
        <v>455</v>
      </c>
      <c r="BG33" s="42" t="s">
        <v>455</v>
      </c>
      <c r="BH33" s="42" t="s">
        <v>455</v>
      </c>
      <c r="BI33" s="42" t="s">
        <v>455</v>
      </c>
      <c r="BJ33" s="42" t="s">
        <v>455</v>
      </c>
      <c r="BK33" s="42" t="s">
        <v>455</v>
      </c>
      <c r="BL33" s="42" t="s">
        <v>455</v>
      </c>
      <c r="BM33" s="42" t="s">
        <v>455</v>
      </c>
      <c r="BN33" s="42" t="s">
        <v>455</v>
      </c>
      <c r="BO33" s="42" t="s">
        <v>455</v>
      </c>
      <c r="BP33" s="42" t="s">
        <v>455</v>
      </c>
      <c r="BQ33" s="42" t="s">
        <v>455</v>
      </c>
      <c r="BR33" s="42" t="s">
        <v>455</v>
      </c>
      <c r="BS33" s="42" t="s">
        <v>455</v>
      </c>
      <c r="BT33" s="42" t="s">
        <v>455</v>
      </c>
      <c r="BU33" s="42" t="s">
        <v>455</v>
      </c>
      <c r="BV33" s="42" t="s">
        <v>455</v>
      </c>
      <c r="BW33" s="42" t="s">
        <v>455</v>
      </c>
      <c r="BX33" s="42" t="s">
        <v>455</v>
      </c>
      <c r="BY33" s="42" t="s">
        <v>455</v>
      </c>
      <c r="BZ33" s="42" t="s">
        <v>455</v>
      </c>
      <c r="CA33" s="42" t="s">
        <v>455</v>
      </c>
      <c r="CB33" s="42" t="s">
        <v>455</v>
      </c>
      <c r="CC33" s="42" t="s">
        <v>455</v>
      </c>
      <c r="CD33" s="42" t="s">
        <v>455</v>
      </c>
      <c r="CE33" s="42" t="s">
        <v>455</v>
      </c>
      <c r="CF33" s="42" t="s">
        <v>455</v>
      </c>
      <c r="CG33" s="42" t="s">
        <v>455</v>
      </c>
      <c r="CH33" s="42" t="s">
        <v>455</v>
      </c>
      <c r="CI33" s="42" t="s">
        <v>455</v>
      </c>
      <c r="CJ33" s="42" t="s">
        <v>455</v>
      </c>
      <c r="CK33" s="42" t="s">
        <v>455</v>
      </c>
      <c r="CL33" s="42" t="s">
        <v>455</v>
      </c>
      <c r="CM33" s="42" t="s">
        <v>455</v>
      </c>
      <c r="CN33" s="42" t="s">
        <v>455</v>
      </c>
      <c r="CO33" s="42" t="s">
        <v>455</v>
      </c>
      <c r="CP33" s="42" t="s">
        <v>455</v>
      </c>
      <c r="CQ33" s="42" t="s">
        <v>455</v>
      </c>
      <c r="CR33" s="42">
        <v>0.69181074705136203</v>
      </c>
      <c r="CS33" s="42">
        <v>6.9181074705136208E-2</v>
      </c>
      <c r="CT33" s="42" t="s">
        <v>455</v>
      </c>
      <c r="CU33" s="42" t="s">
        <v>455</v>
      </c>
      <c r="CV33" s="42" t="s">
        <v>455</v>
      </c>
      <c r="CW33" s="42" t="s">
        <v>455</v>
      </c>
      <c r="CX33" s="42">
        <v>22.068881977966601</v>
      </c>
      <c r="CY33" s="42">
        <v>2.2068881977966601</v>
      </c>
      <c r="CZ33" s="42">
        <v>0.25642139360038102</v>
      </c>
      <c r="DA33" s="42">
        <v>2.5642139360038105E-2</v>
      </c>
      <c r="DB33" s="42">
        <v>20.0280667741022</v>
      </c>
      <c r="DC33" s="42">
        <v>2.00280667741022</v>
      </c>
      <c r="DD33" s="42">
        <v>7.16669297969625E-3</v>
      </c>
      <c r="DE33" s="42">
        <v>7.1666929796962507E-4</v>
      </c>
      <c r="DF33" s="42" t="s">
        <v>455</v>
      </c>
      <c r="DG33" s="42" t="s">
        <v>455</v>
      </c>
      <c r="DH33" s="42" t="s">
        <v>455</v>
      </c>
      <c r="DI33" s="42" t="s">
        <v>455</v>
      </c>
      <c r="DJ33" s="42">
        <v>1.001173267141938</v>
      </c>
      <c r="DK33" s="42">
        <v>0.99977963051472007</v>
      </c>
      <c r="DL33" s="42">
        <v>1.3752086233888615E-2</v>
      </c>
      <c r="DM33" s="42">
        <v>0.99977655771717844</v>
      </c>
      <c r="DN33" s="42">
        <v>4.5520811938140615E-8</v>
      </c>
      <c r="DO33" s="42">
        <v>1.9553069573046595E-7</v>
      </c>
      <c r="DP33" s="42">
        <v>3.6381786385040544E-4</v>
      </c>
      <c r="DQ33" s="42">
        <v>8.4809190893534741E-8</v>
      </c>
      <c r="DR33" s="42">
        <v>1.2159686532075676E-8</v>
      </c>
      <c r="DS33" s="42">
        <v>1.3702472737941233E-2</v>
      </c>
      <c r="DT33" s="42">
        <v>7.4487040918933059E-3</v>
      </c>
      <c r="DU33" s="42">
        <v>3.8019806799612896E-4</v>
      </c>
      <c r="DV33" s="42">
        <v>5.664395543678812E-8</v>
      </c>
      <c r="DW33" s="42">
        <v>1.0877581707944787E-8</v>
      </c>
      <c r="DX33" s="42">
        <v>2.6065261992792752E-7</v>
      </c>
      <c r="DY33" s="42">
        <v>1.3192032693749696E-8</v>
      </c>
      <c r="DZ33" s="42">
        <v>4.5769304269536136E-8</v>
      </c>
      <c r="EA33" s="42">
        <v>2.3514043007561466E-5</v>
      </c>
      <c r="EB33" s="42">
        <v>2.8700223799379112E-9</v>
      </c>
      <c r="EC33" s="42">
        <v>2.1902802373210377E-10</v>
      </c>
      <c r="ED33" s="42">
        <v>3.9257809367128742E-3</v>
      </c>
      <c r="EE33" s="42">
        <v>5.2732884886122315E-4</v>
      </c>
      <c r="EF33" s="42">
        <v>8.8114722191076286E-7</v>
      </c>
      <c r="EG33" s="42">
        <v>3.5497645225547815E-9</v>
      </c>
      <c r="EH33" s="42">
        <v>1.4601868248806924E-9</v>
      </c>
      <c r="EI33" s="42">
        <v>8.0562031717557539E-10</v>
      </c>
      <c r="EJ33" s="42">
        <v>5.8712844631890312E-8</v>
      </c>
      <c r="EK33" s="42">
        <v>2.4130000000000209E-7</v>
      </c>
      <c r="EL33" s="42">
        <v>3.873319068579669E-4</v>
      </c>
      <c r="EM33" s="42">
        <v>8.7679213273472653E-8</v>
      </c>
      <c r="EN33" s="42">
        <v>1.2378714555807779E-8</v>
      </c>
      <c r="EO33" s="42">
        <v>1.7628253674654107E-2</v>
      </c>
      <c r="EP33" s="42">
        <v>7.9760329407545291E-3</v>
      </c>
      <c r="EQ33" s="42">
        <v>3.8107921521803972E-4</v>
      </c>
      <c r="ER33" s="42">
        <v>6.0193719959342901E-8</v>
      </c>
      <c r="ES33" s="42">
        <v>1.233776853282548E-8</v>
      </c>
      <c r="ET33" s="42">
        <v>2.614582402451031E-7</v>
      </c>
      <c r="EU33" s="42">
        <v>2.0324275297772777E-6</v>
      </c>
      <c r="EV33" s="42">
        <v>8.7301782992129992E-6</v>
      </c>
      <c r="EW33" s="42">
        <v>1.6266458473628582E-2</v>
      </c>
      <c r="EX33" s="42">
        <v>3.7989039664972087E-6</v>
      </c>
      <c r="EY33" s="42">
        <v>5.4680015094958388E-7</v>
      </c>
      <c r="EZ33" s="42">
        <v>0.61243606125222316</v>
      </c>
      <c r="FA33" s="42">
        <v>0.33271363485564126</v>
      </c>
      <c r="FB33" s="42">
        <v>1.7099148371444998E-2</v>
      </c>
      <c r="FC33" s="42">
        <v>2.5301335740381679E-6</v>
      </c>
      <c r="FD33" s="42">
        <v>4.8587240194282424E-7</v>
      </c>
      <c r="FE33" s="42">
        <v>1.164265347918038E-5</v>
      </c>
      <c r="FF33" s="42">
        <v>5.8900202520407801E-7</v>
      </c>
      <c r="FG33" s="42">
        <v>2.0435368749200605E-6</v>
      </c>
      <c r="FH33" s="42">
        <v>1.0513233189860284E-3</v>
      </c>
      <c r="FI33" s="42">
        <v>1.2855846504618735E-7</v>
      </c>
      <c r="FJ33" s="42">
        <v>9.8493128192885332E-9</v>
      </c>
      <c r="FK33" s="42">
        <v>0.17536127780575517</v>
      </c>
      <c r="FL33" s="42">
        <v>2.3554365417711609E-2</v>
      </c>
      <c r="FM33" s="42">
        <v>3.9628994339582779E-5</v>
      </c>
      <c r="FN33" s="42">
        <v>1.5855846099003809E-7</v>
      </c>
      <c r="FO33" s="42">
        <v>6.5222629343419932E-8</v>
      </c>
      <c r="FP33" s="42">
        <v>3.5984898948093522E-8</v>
      </c>
      <c r="FQ33" s="42">
        <v>2.6214295549813557E-6</v>
      </c>
      <c r="FR33" s="42">
        <v>1.077371517413306E-5</v>
      </c>
      <c r="FS33" s="42">
        <v>1.731778179261461E-2</v>
      </c>
      <c r="FT33" s="42">
        <v>3.9274624315433961E-6</v>
      </c>
      <c r="FU33" s="42">
        <v>5.5664946376887241E-7</v>
      </c>
      <c r="FV33" s="42">
        <v>0.78779733905797833</v>
      </c>
      <c r="FW33" s="42">
        <v>0.35626800027335287</v>
      </c>
      <c r="FX33" s="42">
        <v>1.7138777365784581E-2</v>
      </c>
      <c r="FY33" s="42">
        <v>2.688692035028206E-6</v>
      </c>
      <c r="FZ33" s="42">
        <v>5.5109503128624418E-7</v>
      </c>
      <c r="GA33" s="42">
        <v>1.1678638378128473E-5</v>
      </c>
      <c r="GB33" s="42">
        <v>8.1350354857226325E-6</v>
      </c>
      <c r="GC33" s="42">
        <v>1.7617237902462857E-4</v>
      </c>
      <c r="GD33" s="42">
        <v>0.64981248310451456</v>
      </c>
      <c r="GE33" s="42">
        <v>3.183405545845331E-4</v>
      </c>
      <c r="GF33" s="42">
        <v>7.1791032218623715E-5</v>
      </c>
      <c r="GG33" s="42">
        <v>17.156416358283028</v>
      </c>
      <c r="GH33" s="42">
        <v>10.646437059018693</v>
      </c>
      <c r="GI33" s="42">
        <v>0.75252497025310872</v>
      </c>
      <c r="GJ33" s="42">
        <v>4.0589566656164341E-5</v>
      </c>
      <c r="GK33" s="42">
        <v>9.794604576285007E-7</v>
      </c>
      <c r="GL33" s="42">
        <v>5.1242577904847021E-4</v>
      </c>
      <c r="GM33" s="42" t="s">
        <v>455</v>
      </c>
      <c r="GN33" s="42" t="s">
        <v>455</v>
      </c>
      <c r="GO33" s="42" t="s">
        <v>455</v>
      </c>
      <c r="GP33" s="42" t="s">
        <v>455</v>
      </c>
      <c r="GQ33" s="42" t="s">
        <v>455</v>
      </c>
      <c r="GR33" s="42" t="s">
        <v>455</v>
      </c>
      <c r="GS33" s="42" t="s">
        <v>455</v>
      </c>
      <c r="GT33" s="42" t="s">
        <v>455</v>
      </c>
      <c r="GU33" s="42" t="s">
        <v>455</v>
      </c>
      <c r="GV33" s="42" t="s">
        <v>455</v>
      </c>
      <c r="GW33" s="42" t="s">
        <v>455</v>
      </c>
      <c r="GX33" s="42" t="s">
        <v>455</v>
      </c>
      <c r="GY33" s="42" t="s">
        <v>455</v>
      </c>
      <c r="GZ33" s="42" t="s">
        <v>455</v>
      </c>
      <c r="HA33" s="42" t="s">
        <v>455</v>
      </c>
      <c r="HB33" s="42" t="s">
        <v>455</v>
      </c>
      <c r="HC33" s="42" t="s">
        <v>455</v>
      </c>
      <c r="HD33" s="42" t="s">
        <v>455</v>
      </c>
      <c r="HE33" s="42" t="s">
        <v>455</v>
      </c>
      <c r="HF33" s="42" t="s">
        <v>455</v>
      </c>
      <c r="HG33" s="42" t="s">
        <v>455</v>
      </c>
      <c r="HH33" s="42" t="s">
        <v>455</v>
      </c>
      <c r="HI33" s="42" t="s">
        <v>455</v>
      </c>
      <c r="HJ33" s="42" t="s">
        <v>455</v>
      </c>
      <c r="HK33" s="42" t="s">
        <v>455</v>
      </c>
      <c r="HL33" s="42" t="s">
        <v>455</v>
      </c>
      <c r="HM33" s="42" t="s">
        <v>455</v>
      </c>
      <c r="HN33" s="42" t="s">
        <v>455</v>
      </c>
      <c r="HO33" s="42" t="s">
        <v>455</v>
      </c>
      <c r="HP33" s="42" t="s">
        <v>455</v>
      </c>
      <c r="HQ33" s="42" t="s">
        <v>455</v>
      </c>
      <c r="HR33" s="42" t="s">
        <v>455</v>
      </c>
      <c r="HS33" s="42" t="s">
        <v>455</v>
      </c>
      <c r="HT33" s="42" t="s">
        <v>455</v>
      </c>
      <c r="HU33" s="42" t="s">
        <v>455</v>
      </c>
      <c r="HV33" s="42" t="s">
        <v>455</v>
      </c>
      <c r="HW33" s="42" t="s">
        <v>455</v>
      </c>
      <c r="HX33" s="42" t="s">
        <v>455</v>
      </c>
      <c r="HY33" s="42" t="s">
        <v>455</v>
      </c>
      <c r="HZ33" s="42" t="s">
        <v>455</v>
      </c>
      <c r="IA33" s="42" t="s">
        <v>455</v>
      </c>
      <c r="IB33" s="42" t="s">
        <v>455</v>
      </c>
      <c r="IC33" s="42" t="s">
        <v>455</v>
      </c>
      <c r="ID33" s="42" t="s">
        <v>455</v>
      </c>
      <c r="IE33" s="42" t="s">
        <v>455</v>
      </c>
      <c r="IF33" s="42" t="s">
        <v>455</v>
      </c>
      <c r="IG33" s="42" t="s">
        <v>455</v>
      </c>
      <c r="IH33" s="42" t="s">
        <v>455</v>
      </c>
      <c r="II33" s="42" t="s">
        <v>455</v>
      </c>
      <c r="IJ33" s="42" t="s">
        <v>455</v>
      </c>
      <c r="IK33" s="42" t="s">
        <v>455</v>
      </c>
      <c r="IL33" s="42" t="s">
        <v>455</v>
      </c>
      <c r="IM33" s="42" t="s">
        <v>455</v>
      </c>
      <c r="IN33" s="42" t="s">
        <v>455</v>
      </c>
      <c r="IO33" s="42" t="s">
        <v>455</v>
      </c>
      <c r="IP33" s="42" t="s">
        <v>455</v>
      </c>
      <c r="IQ33" s="42" t="s">
        <v>455</v>
      </c>
      <c r="IR33" s="42" t="s">
        <v>455</v>
      </c>
      <c r="IS33" s="42" t="s">
        <v>455</v>
      </c>
      <c r="IT33" s="42" t="s">
        <v>455</v>
      </c>
      <c r="IU33" s="42" t="s">
        <v>455</v>
      </c>
      <c r="IV33" s="42" t="s">
        <v>455</v>
      </c>
      <c r="IW33" s="42" t="s">
        <v>455</v>
      </c>
      <c r="IX33" s="42" t="s">
        <v>455</v>
      </c>
      <c r="IY33" s="42" t="s">
        <v>455</v>
      </c>
      <c r="IZ33" s="42" t="s">
        <v>455</v>
      </c>
      <c r="JA33" s="42" t="s">
        <v>455</v>
      </c>
      <c r="JB33" s="42" t="s">
        <v>455</v>
      </c>
      <c r="JC33" s="42" t="s">
        <v>455</v>
      </c>
      <c r="JD33" s="42" t="s">
        <v>455</v>
      </c>
      <c r="JE33" s="42" t="s">
        <v>455</v>
      </c>
      <c r="JF33" s="42" t="s">
        <v>455</v>
      </c>
      <c r="JG33" s="42" t="s">
        <v>455</v>
      </c>
      <c r="JH33" s="42" t="s">
        <v>455</v>
      </c>
      <c r="JI33" s="42" t="s">
        <v>455</v>
      </c>
      <c r="JJ33" s="42" t="s">
        <v>455</v>
      </c>
      <c r="JK33" s="42" t="s">
        <v>455</v>
      </c>
      <c r="JL33" s="42" t="s">
        <v>455</v>
      </c>
      <c r="JM33" s="42" t="s">
        <v>455</v>
      </c>
    </row>
    <row r="34" spans="1:273">
      <c r="A34" s="42" t="s">
        <v>208</v>
      </c>
      <c r="B34" s="42" t="s">
        <v>240</v>
      </c>
      <c r="C34" s="42" t="s">
        <v>255</v>
      </c>
      <c r="D34" s="60">
        <v>41514</v>
      </c>
      <c r="E34" s="42" t="s">
        <v>256</v>
      </c>
      <c r="F34" s="42">
        <v>2.1379409745000002</v>
      </c>
      <c r="G34" s="42">
        <v>1.82926829268292</v>
      </c>
      <c r="H34" s="42">
        <v>22.020000457799998</v>
      </c>
      <c r="I34" s="42">
        <v>1</v>
      </c>
      <c r="J34" s="42">
        <v>0</v>
      </c>
      <c r="K34" s="42">
        <v>0</v>
      </c>
      <c r="L34" s="42" t="s">
        <v>454</v>
      </c>
      <c r="M34" s="42" t="s">
        <v>614</v>
      </c>
      <c r="N34" s="42">
        <v>1.9323921674432452E-28</v>
      </c>
      <c r="O34" s="61" t="s">
        <v>455</v>
      </c>
      <c r="P34" s="42">
        <v>11.992713106019558</v>
      </c>
      <c r="Q34" s="42">
        <v>6.343283592315264</v>
      </c>
      <c r="R34" s="42">
        <v>2.5231601352063566</v>
      </c>
      <c r="S34" s="42">
        <v>3.0323220013657579</v>
      </c>
      <c r="T34" s="42" t="s">
        <v>455</v>
      </c>
      <c r="U34" s="42" t="s">
        <v>455</v>
      </c>
      <c r="V34" s="42" t="s">
        <v>456</v>
      </c>
      <c r="W34" s="42" t="s">
        <v>455</v>
      </c>
      <c r="X34" s="42">
        <v>2.4206280849475701</v>
      </c>
      <c r="Y34" s="42">
        <v>3.1131778667341559</v>
      </c>
      <c r="Z34" s="42" t="s">
        <v>456</v>
      </c>
      <c r="AA34" s="42" t="s">
        <v>455</v>
      </c>
      <c r="AB34" s="42" t="s">
        <v>456</v>
      </c>
      <c r="AC34" s="42" t="s">
        <v>455</v>
      </c>
      <c r="AD34" s="42" t="s">
        <v>613</v>
      </c>
      <c r="AE34" s="42" t="s">
        <v>104</v>
      </c>
      <c r="AF34" s="42">
        <v>8.5743074490742666E-21</v>
      </c>
      <c r="AG34" s="42">
        <v>5</v>
      </c>
      <c r="AH34" s="62">
        <v>42880.574386574073</v>
      </c>
      <c r="AJ34" s="63" t="s">
        <v>637</v>
      </c>
      <c r="AK34" s="61">
        <v>21.458652958759533</v>
      </c>
      <c r="AL34" s="61">
        <v>0.23471983835220489</v>
      </c>
      <c r="AM34" s="61">
        <v>6.4858205622587928E-2</v>
      </c>
      <c r="AN34" s="61" t="s">
        <v>455</v>
      </c>
      <c r="AO34" s="61" t="s">
        <v>455</v>
      </c>
      <c r="AP34" s="61">
        <v>0.28521472687396021</v>
      </c>
      <c r="AQ34" s="61">
        <v>-0.97553155974447181</v>
      </c>
      <c r="AR34" s="61">
        <v>21.390223406653586</v>
      </c>
      <c r="AS34" s="61">
        <v>149.7422881466122</v>
      </c>
      <c r="AT34" s="61" t="s">
        <v>455</v>
      </c>
      <c r="AU34" s="61" t="s">
        <v>455</v>
      </c>
      <c r="AV34" s="42">
        <v>1.0220999999999999E-6</v>
      </c>
      <c r="AW34" s="42">
        <v>3.2000000000000001E-9</v>
      </c>
      <c r="AX34" s="42">
        <v>2.4130000000000002E-7</v>
      </c>
      <c r="AY34" s="42">
        <v>4.8259999999999997E-8</v>
      </c>
      <c r="AZ34" s="42" t="s">
        <v>455</v>
      </c>
      <c r="BA34" s="42" t="s">
        <v>455</v>
      </c>
      <c r="BB34" s="42" t="s">
        <v>455</v>
      </c>
      <c r="BC34" s="42" t="s">
        <v>455</v>
      </c>
      <c r="BD34" s="42" t="s">
        <v>455</v>
      </c>
      <c r="BE34" s="42" t="s">
        <v>455</v>
      </c>
      <c r="BF34" s="42" t="s">
        <v>455</v>
      </c>
      <c r="BG34" s="42" t="s">
        <v>455</v>
      </c>
      <c r="BH34" s="42" t="s">
        <v>455</v>
      </c>
      <c r="BI34" s="42" t="s">
        <v>455</v>
      </c>
      <c r="BJ34" s="42" t="s">
        <v>455</v>
      </c>
      <c r="BK34" s="42" t="s">
        <v>455</v>
      </c>
      <c r="BL34" s="42" t="s">
        <v>455</v>
      </c>
      <c r="BM34" s="42" t="s">
        <v>455</v>
      </c>
      <c r="BN34" s="42" t="s">
        <v>455</v>
      </c>
      <c r="BO34" s="42" t="s">
        <v>455</v>
      </c>
      <c r="BP34" s="42" t="s">
        <v>455</v>
      </c>
      <c r="BQ34" s="42" t="s">
        <v>455</v>
      </c>
      <c r="BR34" s="42" t="s">
        <v>455</v>
      </c>
      <c r="BS34" s="42" t="s">
        <v>455</v>
      </c>
      <c r="BT34" s="42" t="s">
        <v>455</v>
      </c>
      <c r="BU34" s="42" t="s">
        <v>455</v>
      </c>
      <c r="BV34" s="42" t="s">
        <v>455</v>
      </c>
      <c r="BW34" s="42" t="s">
        <v>455</v>
      </c>
      <c r="BX34" s="42" t="s">
        <v>455</v>
      </c>
      <c r="BY34" s="42" t="s">
        <v>455</v>
      </c>
      <c r="BZ34" s="42" t="s">
        <v>455</v>
      </c>
      <c r="CA34" s="42" t="s">
        <v>455</v>
      </c>
      <c r="CB34" s="42" t="s">
        <v>455</v>
      </c>
      <c r="CC34" s="42" t="s">
        <v>455</v>
      </c>
      <c r="CD34" s="42" t="s">
        <v>455</v>
      </c>
      <c r="CE34" s="42" t="s">
        <v>455</v>
      </c>
      <c r="CF34" s="42" t="s">
        <v>455</v>
      </c>
      <c r="CG34" s="42" t="s">
        <v>455</v>
      </c>
      <c r="CH34" s="42" t="s">
        <v>455</v>
      </c>
      <c r="CI34" s="42" t="s">
        <v>455</v>
      </c>
      <c r="CJ34" s="42" t="s">
        <v>455</v>
      </c>
      <c r="CK34" s="42" t="s">
        <v>455</v>
      </c>
      <c r="CL34" s="42" t="s">
        <v>455</v>
      </c>
      <c r="CM34" s="42" t="s">
        <v>455</v>
      </c>
      <c r="CN34" s="42" t="s">
        <v>455</v>
      </c>
      <c r="CO34" s="42" t="s">
        <v>455</v>
      </c>
      <c r="CP34" s="42" t="s">
        <v>455</v>
      </c>
      <c r="CQ34" s="42" t="s">
        <v>455</v>
      </c>
      <c r="CR34" s="42">
        <v>0.69106612732890704</v>
      </c>
      <c r="CS34" s="42">
        <v>6.9106612732890704E-2</v>
      </c>
      <c r="CT34" s="42" t="s">
        <v>455</v>
      </c>
      <c r="CU34" s="42" t="s">
        <v>455</v>
      </c>
      <c r="CV34" s="42" t="s">
        <v>455</v>
      </c>
      <c r="CW34" s="42" t="s">
        <v>455</v>
      </c>
      <c r="CX34" s="42">
        <v>22.023326192086</v>
      </c>
      <c r="CY34" s="42">
        <v>2.2023326192086001</v>
      </c>
      <c r="CZ34" s="42">
        <v>0.26016269265926401</v>
      </c>
      <c r="DA34" s="42">
        <v>2.6016269265926401E-2</v>
      </c>
      <c r="DB34" s="42">
        <v>16.816394605794802</v>
      </c>
      <c r="DC34" s="42">
        <v>1.6816394605794802</v>
      </c>
      <c r="DD34" s="42">
        <v>6.1099072249922396E-3</v>
      </c>
      <c r="DE34" s="42">
        <v>6.1099072249922403E-4</v>
      </c>
      <c r="DF34" s="42" t="s">
        <v>455</v>
      </c>
      <c r="DG34" s="42" t="s">
        <v>455</v>
      </c>
      <c r="DH34" s="42" t="s">
        <v>455</v>
      </c>
      <c r="DI34" s="42" t="s">
        <v>455</v>
      </c>
      <c r="DJ34" s="42">
        <v>1.0011664270284193</v>
      </c>
      <c r="DK34" s="42">
        <v>0.99977963051472007</v>
      </c>
      <c r="DL34" s="42">
        <v>1.3804332609402788E-2</v>
      </c>
      <c r="DM34" s="42">
        <v>0.99977654587972076</v>
      </c>
      <c r="DN34" s="42">
        <v>4.5510298497281467E-8</v>
      </c>
      <c r="DO34" s="42">
        <v>1.9542894874194852E-7</v>
      </c>
      <c r="DP34" s="42">
        <v>3.633513359891615E-4</v>
      </c>
      <c r="DQ34" s="42">
        <v>8.4673618070327066E-8</v>
      </c>
      <c r="DR34" s="42">
        <v>1.2136034631516122E-8</v>
      </c>
      <c r="DS34" s="42">
        <v>1.3686189672040701E-2</v>
      </c>
      <c r="DT34" s="42">
        <v>7.4390611862384971E-3</v>
      </c>
      <c r="DU34" s="42">
        <v>3.7946036521272939E-4</v>
      </c>
      <c r="DV34" s="42">
        <v>5.6564198474368798E-8</v>
      </c>
      <c r="DW34" s="42">
        <v>1.0871467769618257E-8</v>
      </c>
      <c r="DX34" s="42">
        <v>2.6011898961470596E-7</v>
      </c>
      <c r="DY34" s="42">
        <v>1.3221359108481305E-8</v>
      </c>
      <c r="DZ34" s="42">
        <v>4.5871051258051553E-8</v>
      </c>
      <c r="EA34" s="42">
        <v>2.356631566282735E-5</v>
      </c>
      <c r="EB34" s="42">
        <v>2.8764025541352485E-9</v>
      </c>
      <c r="EC34" s="42">
        <v>2.1951493176295354E-10</v>
      </c>
      <c r="ED34" s="42">
        <v>3.9057579241967618E-3</v>
      </c>
      <c r="EE34" s="42">
        <v>5.2850112192032346E-4</v>
      </c>
      <c r="EF34" s="42">
        <v>8.8310604732220761E-7</v>
      </c>
      <c r="EG34" s="42">
        <v>3.5576557906409582E-9</v>
      </c>
      <c r="EH34" s="42">
        <v>1.4634328784196869E-9</v>
      </c>
      <c r="EI34" s="42">
        <v>8.0741124326605973E-10</v>
      </c>
      <c r="EJ34" s="42">
        <v>5.8731657605762772E-8</v>
      </c>
      <c r="EK34" s="42">
        <v>2.4130000000000008E-7</v>
      </c>
      <c r="EL34" s="42">
        <v>3.8691765165198885E-4</v>
      </c>
      <c r="EM34" s="42">
        <v>8.7550020624462315E-8</v>
      </c>
      <c r="EN34" s="42">
        <v>1.2355549563279076E-8</v>
      </c>
      <c r="EO34" s="42">
        <v>1.7591947596237462E-2</v>
      </c>
      <c r="EP34" s="42">
        <v>7.9675623081588206E-3</v>
      </c>
      <c r="EQ34" s="42">
        <v>3.803434712600516E-4</v>
      </c>
      <c r="ER34" s="42">
        <v>6.0121854265009756E-8</v>
      </c>
      <c r="ES34" s="42">
        <v>1.2334900648037944E-8</v>
      </c>
      <c r="ET34" s="42">
        <v>2.6092640085797202E-7</v>
      </c>
      <c r="EU34" s="42">
        <v>2.031944239826545E-6</v>
      </c>
      <c r="EV34" s="42">
        <v>8.7255758208573675E-6</v>
      </c>
      <c r="EW34" s="42">
        <v>1.6245488813974734E-2</v>
      </c>
      <c r="EX34" s="42">
        <v>3.792805266694153E-6</v>
      </c>
      <c r="EY34" s="42">
        <v>5.4573283721058787E-7</v>
      </c>
      <c r="EZ34" s="42">
        <v>0.61170410556756294</v>
      </c>
      <c r="FA34" s="42">
        <v>0.33228064193237222</v>
      </c>
      <c r="FB34" s="42">
        <v>1.7065854096353594E-2</v>
      </c>
      <c r="FC34" s="42">
        <v>2.5265537826496907E-6</v>
      </c>
      <c r="FD34" s="42">
        <v>4.8559599105306187E-7</v>
      </c>
      <c r="FE34" s="42">
        <v>1.1618738263353158E-5</v>
      </c>
      <c r="FF34" s="42">
        <v>5.9030736712837825E-7</v>
      </c>
      <c r="FG34" s="42">
        <v>2.0480657462015515E-6</v>
      </c>
      <c r="FH34" s="42">
        <v>1.0536532539362382E-3</v>
      </c>
      <c r="FI34" s="42">
        <v>1.2884337536392373E-7</v>
      </c>
      <c r="FJ34" s="42">
        <v>9.8711407933844491E-9</v>
      </c>
      <c r="FK34" s="42">
        <v>0.17446701939713338</v>
      </c>
      <c r="FL34" s="42">
        <v>2.360656642783443E-2</v>
      </c>
      <c r="FM34" s="42">
        <v>3.9716819823225336E-5</v>
      </c>
      <c r="FN34" s="42">
        <v>1.589098570765137E-7</v>
      </c>
      <c r="FO34" s="42">
        <v>6.5367175251331912E-8</v>
      </c>
      <c r="FP34" s="42">
        <v>3.6064648414528653E-8</v>
      </c>
      <c r="FQ34" s="42">
        <v>2.6222516069549232E-6</v>
      </c>
      <c r="FR34" s="42">
        <v>1.0773641567058919E-5</v>
      </c>
      <c r="FS34" s="42">
        <v>1.7299142067910972E-2</v>
      </c>
      <c r="FT34" s="42">
        <v>3.9216486420580767E-6</v>
      </c>
      <c r="FU34" s="42">
        <v>5.5560397800397232E-7</v>
      </c>
      <c r="FV34" s="42">
        <v>0.78617112496469632</v>
      </c>
      <c r="FW34" s="42">
        <v>0.35588720836020665</v>
      </c>
      <c r="FX34" s="42">
        <v>1.7105570916176819E-2</v>
      </c>
      <c r="FY34" s="42">
        <v>2.6854636397262044E-6</v>
      </c>
      <c r="FZ34" s="42">
        <v>5.5096316630439378E-7</v>
      </c>
      <c r="GA34" s="42">
        <v>1.1654802911767687E-5</v>
      </c>
      <c r="GB34" s="42">
        <v>8.1331010596033736E-6</v>
      </c>
      <c r="GC34" s="42">
        <v>1.7607950239215543E-4</v>
      </c>
      <c r="GD34" s="42">
        <v>0.6489747871406627</v>
      </c>
      <c r="GE34" s="42">
        <v>3.1782949573843662E-4</v>
      </c>
      <c r="GF34" s="42">
        <v>7.1650901395889713E-5</v>
      </c>
      <c r="GG34" s="42">
        <v>17.13591179090637</v>
      </c>
      <c r="GH34" s="42">
        <v>10.632581805065591</v>
      </c>
      <c r="GI34" s="42">
        <v>0.75105970585347348</v>
      </c>
      <c r="GJ34" s="42">
        <v>4.0532137996006357E-5</v>
      </c>
      <c r="GK34" s="42">
        <v>9.7890324644404641E-7</v>
      </c>
      <c r="GL34" s="42">
        <v>5.1137320343730983E-4</v>
      </c>
      <c r="GM34" s="42" t="s">
        <v>455</v>
      </c>
      <c r="GN34" s="42" t="s">
        <v>455</v>
      </c>
      <c r="GO34" s="42" t="s">
        <v>455</v>
      </c>
      <c r="GP34" s="42" t="s">
        <v>455</v>
      </c>
      <c r="GQ34" s="42" t="s">
        <v>455</v>
      </c>
      <c r="GR34" s="42" t="s">
        <v>455</v>
      </c>
      <c r="GS34" s="42" t="s">
        <v>455</v>
      </c>
      <c r="GT34" s="42" t="s">
        <v>455</v>
      </c>
      <c r="GU34" s="42" t="s">
        <v>455</v>
      </c>
      <c r="GV34" s="42" t="s">
        <v>455</v>
      </c>
      <c r="GW34" s="42" t="s">
        <v>455</v>
      </c>
      <c r="GX34" s="42" t="s">
        <v>455</v>
      </c>
      <c r="GY34" s="42" t="s">
        <v>455</v>
      </c>
      <c r="GZ34" s="42" t="s">
        <v>455</v>
      </c>
      <c r="HA34" s="42" t="s">
        <v>455</v>
      </c>
      <c r="HB34" s="42" t="s">
        <v>455</v>
      </c>
      <c r="HC34" s="42" t="s">
        <v>455</v>
      </c>
      <c r="HD34" s="42" t="s">
        <v>455</v>
      </c>
      <c r="HE34" s="42" t="s">
        <v>455</v>
      </c>
      <c r="HF34" s="42" t="s">
        <v>455</v>
      </c>
      <c r="HG34" s="42" t="s">
        <v>455</v>
      </c>
      <c r="HH34" s="42" t="s">
        <v>455</v>
      </c>
      <c r="HI34" s="42" t="s">
        <v>455</v>
      </c>
      <c r="HJ34" s="42" t="s">
        <v>455</v>
      </c>
      <c r="HK34" s="42" t="s">
        <v>455</v>
      </c>
      <c r="HL34" s="42" t="s">
        <v>455</v>
      </c>
      <c r="HM34" s="42" t="s">
        <v>455</v>
      </c>
      <c r="HN34" s="42" t="s">
        <v>455</v>
      </c>
      <c r="HO34" s="42" t="s">
        <v>455</v>
      </c>
      <c r="HP34" s="42" t="s">
        <v>455</v>
      </c>
      <c r="HQ34" s="42" t="s">
        <v>455</v>
      </c>
      <c r="HR34" s="42" t="s">
        <v>455</v>
      </c>
      <c r="HS34" s="42" t="s">
        <v>455</v>
      </c>
      <c r="HT34" s="42" t="s">
        <v>455</v>
      </c>
      <c r="HU34" s="42" t="s">
        <v>455</v>
      </c>
      <c r="HV34" s="42" t="s">
        <v>455</v>
      </c>
      <c r="HW34" s="42" t="s">
        <v>455</v>
      </c>
      <c r="HX34" s="42" t="s">
        <v>455</v>
      </c>
      <c r="HY34" s="42" t="s">
        <v>455</v>
      </c>
      <c r="HZ34" s="42" t="s">
        <v>455</v>
      </c>
      <c r="IA34" s="42" t="s">
        <v>455</v>
      </c>
      <c r="IB34" s="42" t="s">
        <v>455</v>
      </c>
      <c r="IC34" s="42" t="s">
        <v>455</v>
      </c>
      <c r="ID34" s="42" t="s">
        <v>455</v>
      </c>
      <c r="IE34" s="42" t="s">
        <v>455</v>
      </c>
      <c r="IF34" s="42" t="s">
        <v>455</v>
      </c>
      <c r="IG34" s="42" t="s">
        <v>455</v>
      </c>
      <c r="IH34" s="42" t="s">
        <v>455</v>
      </c>
      <c r="II34" s="42" t="s">
        <v>455</v>
      </c>
      <c r="IJ34" s="42" t="s">
        <v>455</v>
      </c>
      <c r="IK34" s="42" t="s">
        <v>455</v>
      </c>
      <c r="IL34" s="42" t="s">
        <v>455</v>
      </c>
      <c r="IM34" s="42" t="s">
        <v>455</v>
      </c>
      <c r="IN34" s="42" t="s">
        <v>455</v>
      </c>
      <c r="IO34" s="42" t="s">
        <v>455</v>
      </c>
      <c r="IP34" s="42" t="s">
        <v>455</v>
      </c>
      <c r="IQ34" s="42" t="s">
        <v>455</v>
      </c>
      <c r="IR34" s="42" t="s">
        <v>455</v>
      </c>
      <c r="IS34" s="42" t="s">
        <v>455</v>
      </c>
      <c r="IT34" s="42" t="s">
        <v>455</v>
      </c>
      <c r="IU34" s="42" t="s">
        <v>455</v>
      </c>
      <c r="IV34" s="42" t="s">
        <v>455</v>
      </c>
      <c r="IW34" s="42" t="s">
        <v>455</v>
      </c>
      <c r="IX34" s="42" t="s">
        <v>455</v>
      </c>
      <c r="IY34" s="42" t="s">
        <v>455</v>
      </c>
      <c r="IZ34" s="42" t="s">
        <v>455</v>
      </c>
      <c r="JA34" s="42" t="s">
        <v>455</v>
      </c>
      <c r="JB34" s="42" t="s">
        <v>455</v>
      </c>
      <c r="JC34" s="42" t="s">
        <v>455</v>
      </c>
      <c r="JD34" s="42" t="s">
        <v>455</v>
      </c>
      <c r="JE34" s="42" t="s">
        <v>455</v>
      </c>
      <c r="JF34" s="42" t="s">
        <v>455</v>
      </c>
      <c r="JG34" s="42" t="s">
        <v>455</v>
      </c>
      <c r="JH34" s="42" t="s">
        <v>455</v>
      </c>
      <c r="JI34" s="42" t="s">
        <v>455</v>
      </c>
      <c r="JJ34" s="42" t="s">
        <v>455</v>
      </c>
      <c r="JK34" s="42" t="s">
        <v>455</v>
      </c>
      <c r="JL34" s="42" t="s">
        <v>455</v>
      </c>
      <c r="JM34" s="42" t="s">
        <v>455</v>
      </c>
    </row>
    <row r="35" spans="1:273">
      <c r="A35" s="42" t="s">
        <v>208</v>
      </c>
      <c r="B35" s="42" t="s">
        <v>240</v>
      </c>
      <c r="C35" s="42" t="s">
        <v>266</v>
      </c>
      <c r="D35" s="60">
        <v>41529</v>
      </c>
      <c r="E35" s="42" t="s">
        <v>268</v>
      </c>
      <c r="F35" s="42">
        <v>0.79811186249999999</v>
      </c>
      <c r="G35" s="42">
        <v>12.804878048780401</v>
      </c>
      <c r="H35" s="42">
        <v>21.829999923700001</v>
      </c>
      <c r="I35" s="42">
        <v>1</v>
      </c>
      <c r="J35" s="42">
        <v>0</v>
      </c>
      <c r="K35" s="42">
        <v>0</v>
      </c>
      <c r="L35" s="42" t="s">
        <v>454</v>
      </c>
      <c r="M35" s="42" t="s">
        <v>614</v>
      </c>
      <c r="N35" s="42">
        <v>6.6384804106112158E-26</v>
      </c>
      <c r="O35" s="61" t="s">
        <v>455</v>
      </c>
      <c r="P35" s="42">
        <v>17.68217186427502</v>
      </c>
      <c r="Q35" s="42">
        <v>0.85194521364711828</v>
      </c>
      <c r="R35" s="42">
        <v>2.4712808211256281</v>
      </c>
      <c r="S35" s="42">
        <v>0.60793627800499805</v>
      </c>
      <c r="T35" s="42" t="s">
        <v>455</v>
      </c>
      <c r="U35" s="42" t="s">
        <v>455</v>
      </c>
      <c r="V35" s="42" t="s">
        <v>456</v>
      </c>
      <c r="W35" s="42" t="s">
        <v>455</v>
      </c>
      <c r="X35" s="42">
        <v>2.2500000000000009</v>
      </c>
      <c r="Y35" s="42">
        <v>0.34520525295346599</v>
      </c>
      <c r="Z35" s="42" t="s">
        <v>456</v>
      </c>
      <c r="AA35" s="42" t="s">
        <v>455</v>
      </c>
      <c r="AB35" s="42" t="s">
        <v>456</v>
      </c>
      <c r="AC35" s="42" t="s">
        <v>455</v>
      </c>
      <c r="AD35" s="42" t="s">
        <v>622</v>
      </c>
      <c r="AE35" s="42" t="s">
        <v>104</v>
      </c>
      <c r="AF35" s="42">
        <v>2.3897839236485898E-12</v>
      </c>
      <c r="AG35" s="42">
        <v>4</v>
      </c>
      <c r="AH35" s="62">
        <v>42880.56287037037</v>
      </c>
      <c r="AI35" s="42" t="s">
        <v>624</v>
      </c>
      <c r="AJ35" s="63" t="s">
        <v>636</v>
      </c>
      <c r="AK35" s="61" t="s">
        <v>455</v>
      </c>
      <c r="AL35" s="61" t="s">
        <v>455</v>
      </c>
      <c r="AM35" s="61">
        <v>7.1408859644390477E-2</v>
      </c>
      <c r="AN35" s="61" t="s">
        <v>455</v>
      </c>
      <c r="AO35" s="61" t="s">
        <v>455</v>
      </c>
      <c r="AP35" s="61">
        <v>0.30241001422594849</v>
      </c>
      <c r="AQ35" s="61">
        <v>-0.97565454274125185</v>
      </c>
      <c r="AR35" s="61">
        <v>7.4584355404468461</v>
      </c>
      <c r="AS35" s="61">
        <v>17267.953042803285</v>
      </c>
      <c r="AT35" s="61" t="s">
        <v>455</v>
      </c>
      <c r="AU35" s="61" t="s">
        <v>455</v>
      </c>
      <c r="AV35" s="42" t="s">
        <v>455</v>
      </c>
      <c r="AW35" s="42" t="s">
        <v>455</v>
      </c>
      <c r="AX35" s="42" t="s">
        <v>455</v>
      </c>
      <c r="AY35" s="42" t="s">
        <v>455</v>
      </c>
      <c r="AZ35" s="42" t="s">
        <v>455</v>
      </c>
      <c r="BA35" s="42" t="s">
        <v>455</v>
      </c>
      <c r="BB35" s="42" t="s">
        <v>455</v>
      </c>
      <c r="BC35" s="42" t="s">
        <v>455</v>
      </c>
      <c r="BD35" s="42" t="s">
        <v>455</v>
      </c>
      <c r="BE35" s="42" t="s">
        <v>455</v>
      </c>
      <c r="BF35" s="42" t="s">
        <v>455</v>
      </c>
      <c r="BG35" s="42" t="s">
        <v>455</v>
      </c>
      <c r="BH35" s="42" t="s">
        <v>455</v>
      </c>
      <c r="BI35" s="42" t="s">
        <v>455</v>
      </c>
      <c r="BJ35" s="42" t="s">
        <v>455</v>
      </c>
      <c r="BK35" s="42" t="s">
        <v>455</v>
      </c>
      <c r="BL35" s="42" t="s">
        <v>455</v>
      </c>
      <c r="BM35" s="42" t="s">
        <v>455</v>
      </c>
      <c r="BN35" s="42" t="s">
        <v>455</v>
      </c>
      <c r="BO35" s="42" t="s">
        <v>455</v>
      </c>
      <c r="BP35" s="42" t="s">
        <v>455</v>
      </c>
      <c r="BQ35" s="42" t="s">
        <v>455</v>
      </c>
      <c r="BR35" s="42" t="s">
        <v>455</v>
      </c>
      <c r="BS35" s="42" t="s">
        <v>455</v>
      </c>
      <c r="BT35" s="42" t="s">
        <v>455</v>
      </c>
      <c r="BU35" s="42" t="s">
        <v>455</v>
      </c>
      <c r="BV35" s="42" t="s">
        <v>455</v>
      </c>
      <c r="BW35" s="42" t="s">
        <v>455</v>
      </c>
      <c r="BX35" s="42" t="s">
        <v>455</v>
      </c>
      <c r="BY35" s="42" t="s">
        <v>455</v>
      </c>
      <c r="BZ35" s="42" t="s">
        <v>455</v>
      </c>
      <c r="CA35" s="42" t="s">
        <v>455</v>
      </c>
      <c r="CB35" s="42" t="s">
        <v>455</v>
      </c>
      <c r="CC35" s="42" t="s">
        <v>455</v>
      </c>
      <c r="CD35" s="42" t="s">
        <v>455</v>
      </c>
      <c r="CE35" s="42" t="s">
        <v>455</v>
      </c>
      <c r="CF35" s="42" t="s">
        <v>455</v>
      </c>
      <c r="CG35" s="42" t="s">
        <v>455</v>
      </c>
      <c r="CH35" s="42" t="s">
        <v>455</v>
      </c>
      <c r="CI35" s="42" t="s">
        <v>455</v>
      </c>
      <c r="CJ35" s="42" t="s">
        <v>455</v>
      </c>
      <c r="CK35" s="42" t="s">
        <v>455</v>
      </c>
      <c r="CL35" s="42" t="s">
        <v>455</v>
      </c>
      <c r="CM35" s="42" t="s">
        <v>455</v>
      </c>
      <c r="CN35" s="42" t="s">
        <v>455</v>
      </c>
      <c r="CO35" s="42" t="s">
        <v>455</v>
      </c>
      <c r="CP35" s="42" t="s">
        <v>455</v>
      </c>
      <c r="CQ35" s="42" t="s">
        <v>455</v>
      </c>
      <c r="CR35" s="42">
        <v>0.61968022669787903</v>
      </c>
      <c r="CS35" s="42">
        <v>6.1968022669787903E-2</v>
      </c>
      <c r="CT35" s="42" t="s">
        <v>455</v>
      </c>
      <c r="CU35" s="42" t="s">
        <v>455</v>
      </c>
      <c r="CV35" s="42" t="s">
        <v>455</v>
      </c>
      <c r="CW35" s="42" t="s">
        <v>455</v>
      </c>
      <c r="CX35" s="42">
        <v>20.0919725268704</v>
      </c>
      <c r="CY35" s="42">
        <v>2.0091972526870401</v>
      </c>
      <c r="CZ35" s="42">
        <v>0.23051575118141701</v>
      </c>
      <c r="DA35" s="42">
        <v>2.3051575118141703E-2</v>
      </c>
      <c r="DB35" s="42">
        <v>5.3021613594672301</v>
      </c>
      <c r="DC35" s="42">
        <v>0.53021613594672301</v>
      </c>
      <c r="DD35" s="42">
        <v>0.61723536773716503</v>
      </c>
      <c r="DE35" s="42">
        <v>6.1723536773716503E-2</v>
      </c>
      <c r="DF35" s="42" t="s">
        <v>455</v>
      </c>
      <c r="DG35" s="42" t="s">
        <v>455</v>
      </c>
      <c r="DH35" s="42" t="s">
        <v>455</v>
      </c>
      <c r="DI35" s="42" t="s">
        <v>455</v>
      </c>
      <c r="DJ35" s="42">
        <v>0.99926909254755147</v>
      </c>
      <c r="DK35" s="42">
        <v>0.99845843304547321</v>
      </c>
      <c r="DL35" s="42">
        <v>1.9938883797187595E-2</v>
      </c>
      <c r="DM35" s="42">
        <v>0.99842707058872049</v>
      </c>
      <c r="DN35" s="42">
        <v>4.4839827998830566E-8</v>
      </c>
      <c r="DO35" s="42">
        <v>1.8737591055381064E-7</v>
      </c>
      <c r="DP35" s="42">
        <v>3.2444057668374254E-4</v>
      </c>
      <c r="DQ35" s="42">
        <v>7.333860294739688E-8</v>
      </c>
      <c r="DR35" s="42">
        <v>1.0154807248226251E-8</v>
      </c>
      <c r="DS35" s="42">
        <v>1.2344514327328542E-2</v>
      </c>
      <c r="DT35" s="42">
        <v>6.6372150761470116E-3</v>
      </c>
      <c r="DU35" s="42">
        <v>3.1730628664274659E-4</v>
      </c>
      <c r="DV35" s="42">
        <v>4.9974762899853557E-8</v>
      </c>
      <c r="DW35" s="42">
        <v>1.0386467957826888E-8</v>
      </c>
      <c r="DX35" s="42">
        <v>2.1548184769706526E-7</v>
      </c>
      <c r="DY35" s="42">
        <v>1.2949511502698291E-8</v>
      </c>
      <c r="DZ35" s="42">
        <v>4.4927885328063931E-8</v>
      </c>
      <c r="EA35" s="42">
        <v>2.3081762869313338E-5</v>
      </c>
      <c r="EB35" s="42">
        <v>2.8172601360832097E-9</v>
      </c>
      <c r="EC35" s="42">
        <v>2.1500143143792998E-10</v>
      </c>
      <c r="ED35" s="42">
        <v>3.7288114902930703E-3</v>
      </c>
      <c r="EE35" s="42">
        <v>5.1763448079297433E-4</v>
      </c>
      <c r="EF35" s="42">
        <v>8.6494828739397314E-7</v>
      </c>
      <c r="EG35" s="42">
        <v>3.4845059577871361E-9</v>
      </c>
      <c r="EH35" s="42">
        <v>1.4333428762528643E-9</v>
      </c>
      <c r="EI35" s="42">
        <v>7.9080986276019735E-10</v>
      </c>
      <c r="EJ35" s="42">
        <v>5.7789339501528858E-8</v>
      </c>
      <c r="EK35" s="42">
        <v>2.3230379588187457E-7</v>
      </c>
      <c r="EL35" s="42">
        <v>3.4752233955305588E-4</v>
      </c>
      <c r="EM35" s="42">
        <v>7.615586308348009E-8</v>
      </c>
      <c r="EN35" s="42">
        <v>1.0369808679664181E-8</v>
      </c>
      <c r="EO35" s="42">
        <v>1.6073325817621612E-2</v>
      </c>
      <c r="EP35" s="42">
        <v>7.1548495569399859E-3</v>
      </c>
      <c r="EQ35" s="42">
        <v>3.1817123493014057E-4</v>
      </c>
      <c r="ER35" s="42">
        <v>5.3459268857640693E-8</v>
      </c>
      <c r="ES35" s="42">
        <v>1.1819810834079752E-8</v>
      </c>
      <c r="ET35" s="42">
        <v>2.1627265755982546E-7</v>
      </c>
      <c r="EU35" s="42">
        <v>1.9982150112952597E-6</v>
      </c>
      <c r="EV35" s="42">
        <v>8.3501664826791301E-6</v>
      </c>
      <c r="EW35" s="42">
        <v>1.4478293091148316E-2</v>
      </c>
      <c r="EX35" s="42">
        <v>3.2788476502874374E-6</v>
      </c>
      <c r="EY35" s="42">
        <v>4.5577567291084597E-7</v>
      </c>
      <c r="EZ35" s="42">
        <v>0.55069232815087887</v>
      </c>
      <c r="FA35" s="42">
        <v>0.29590273428144692</v>
      </c>
      <c r="FB35" s="42">
        <v>1.424349153735819E-2</v>
      </c>
      <c r="FC35" s="42">
        <v>2.2279930388692651E-6</v>
      </c>
      <c r="FD35" s="42">
        <v>4.6305328861389732E-7</v>
      </c>
      <c r="FE35" s="42">
        <v>9.6066900334039471E-6</v>
      </c>
      <c r="FF35" s="42">
        <v>5.7707420898909814E-7</v>
      </c>
      <c r="FG35" s="42">
        <v>2.0021534310106186E-6</v>
      </c>
      <c r="FH35" s="42">
        <v>1.0300330843267449E-3</v>
      </c>
      <c r="FI35" s="42">
        <v>1.2595504149527584E-7</v>
      </c>
      <c r="FJ35" s="42">
        <v>9.6498554522080079E-9</v>
      </c>
      <c r="FK35" s="42">
        <v>0.16640205663292829</v>
      </c>
      <c r="FL35" s="42">
        <v>2.3077368514915597E-2</v>
      </c>
      <c r="FM35" s="42">
        <v>3.8826471867604503E-5</v>
      </c>
      <c r="FN35" s="42">
        <v>1.5534751077070066E-7</v>
      </c>
      <c r="FO35" s="42">
        <v>6.3901812941139305E-8</v>
      </c>
      <c r="FP35" s="42">
        <v>3.5256172657180832E-8</v>
      </c>
      <c r="FQ35" s="42">
        <v>2.5752892202843579E-6</v>
      </c>
      <c r="FR35" s="42">
        <v>1.0352319913689749E-5</v>
      </c>
      <c r="FS35" s="42">
        <v>1.5508326175475061E-2</v>
      </c>
      <c r="FT35" s="42">
        <v>3.4048026917827132E-6</v>
      </c>
      <c r="FU35" s="42">
        <v>4.6542552836305397E-7</v>
      </c>
      <c r="FV35" s="42">
        <v>0.71709438478380716</v>
      </c>
      <c r="FW35" s="42">
        <v>0.31898010279636252</v>
      </c>
      <c r="FX35" s="42">
        <v>1.4282318009225794E-2</v>
      </c>
      <c r="FY35" s="42">
        <v>2.3833405496399657E-6</v>
      </c>
      <c r="FZ35" s="42">
        <v>5.2695510155503662E-7</v>
      </c>
      <c r="GA35" s="42">
        <v>9.6419462060611279E-6</v>
      </c>
      <c r="GB35" s="42">
        <v>7.9980957681536344E-6</v>
      </c>
      <c r="GC35" s="42">
        <v>1.6850385457052006E-4</v>
      </c>
      <c r="GD35" s="42">
        <v>0.57837885240519293</v>
      </c>
      <c r="GE35" s="42">
        <v>2.7476087539878669E-4</v>
      </c>
      <c r="GF35" s="42">
        <v>5.9840155423483704E-5</v>
      </c>
      <c r="GG35" s="42">
        <v>15.426764465421831</v>
      </c>
      <c r="GH35" s="42">
        <v>9.4685324137251641</v>
      </c>
      <c r="GI35" s="42">
        <v>0.62684894081336529</v>
      </c>
      <c r="GJ35" s="42">
        <v>3.5742489206338624E-5</v>
      </c>
      <c r="GK35" s="42">
        <v>9.3345986345098334E-7</v>
      </c>
      <c r="GL35" s="42">
        <v>4.228173271022012E-4</v>
      </c>
      <c r="GM35" s="42" t="s">
        <v>455</v>
      </c>
      <c r="GN35" s="42" t="s">
        <v>455</v>
      </c>
      <c r="GO35" s="42" t="s">
        <v>455</v>
      </c>
      <c r="GP35" s="42" t="s">
        <v>455</v>
      </c>
      <c r="GQ35" s="42" t="s">
        <v>455</v>
      </c>
      <c r="GR35" s="42" t="s">
        <v>455</v>
      </c>
      <c r="GS35" s="42" t="s">
        <v>455</v>
      </c>
      <c r="GT35" s="42" t="s">
        <v>455</v>
      </c>
      <c r="GU35" s="42" t="s">
        <v>455</v>
      </c>
      <c r="GV35" s="42" t="s">
        <v>455</v>
      </c>
      <c r="GW35" s="42" t="s">
        <v>455</v>
      </c>
      <c r="GX35" s="42" t="s">
        <v>455</v>
      </c>
      <c r="GY35" s="42" t="s">
        <v>455</v>
      </c>
      <c r="GZ35" s="42" t="s">
        <v>455</v>
      </c>
      <c r="HA35" s="42" t="s">
        <v>455</v>
      </c>
      <c r="HB35" s="42" t="s">
        <v>455</v>
      </c>
      <c r="HC35" s="42" t="s">
        <v>455</v>
      </c>
      <c r="HD35" s="42" t="s">
        <v>455</v>
      </c>
      <c r="HE35" s="42" t="s">
        <v>455</v>
      </c>
      <c r="HF35" s="42" t="s">
        <v>455</v>
      </c>
      <c r="HG35" s="42" t="s">
        <v>455</v>
      </c>
      <c r="HH35" s="42" t="s">
        <v>455</v>
      </c>
      <c r="HI35" s="42" t="s">
        <v>455</v>
      </c>
      <c r="HJ35" s="42" t="s">
        <v>455</v>
      </c>
      <c r="HK35" s="42" t="s">
        <v>455</v>
      </c>
      <c r="HL35" s="42" t="s">
        <v>455</v>
      </c>
      <c r="HM35" s="42" t="s">
        <v>455</v>
      </c>
      <c r="HN35" s="42" t="s">
        <v>455</v>
      </c>
      <c r="HO35" s="42" t="s">
        <v>455</v>
      </c>
      <c r="HP35" s="42" t="s">
        <v>455</v>
      </c>
      <c r="HQ35" s="42" t="s">
        <v>455</v>
      </c>
      <c r="HR35" s="42" t="s">
        <v>455</v>
      </c>
      <c r="HS35" s="42" t="s">
        <v>455</v>
      </c>
      <c r="HT35" s="42" t="s">
        <v>455</v>
      </c>
      <c r="HU35" s="42" t="s">
        <v>455</v>
      </c>
      <c r="HV35" s="42" t="s">
        <v>455</v>
      </c>
      <c r="HW35" s="42" t="s">
        <v>455</v>
      </c>
      <c r="HX35" s="42" t="s">
        <v>455</v>
      </c>
      <c r="HY35" s="42" t="s">
        <v>455</v>
      </c>
      <c r="HZ35" s="42" t="s">
        <v>455</v>
      </c>
      <c r="IA35" s="42" t="s">
        <v>455</v>
      </c>
      <c r="IB35" s="42" t="s">
        <v>455</v>
      </c>
      <c r="IC35" s="42" t="s">
        <v>455</v>
      </c>
      <c r="ID35" s="42" t="s">
        <v>455</v>
      </c>
      <c r="IE35" s="42" t="s">
        <v>455</v>
      </c>
      <c r="IF35" s="42" t="s">
        <v>455</v>
      </c>
      <c r="IG35" s="42" t="s">
        <v>455</v>
      </c>
      <c r="IH35" s="42" t="s">
        <v>455</v>
      </c>
      <c r="II35" s="42" t="s">
        <v>455</v>
      </c>
      <c r="IJ35" s="42" t="s">
        <v>455</v>
      </c>
      <c r="IK35" s="42" t="s">
        <v>455</v>
      </c>
      <c r="IL35" s="42" t="s">
        <v>455</v>
      </c>
      <c r="IM35" s="42" t="s">
        <v>455</v>
      </c>
      <c r="IN35" s="42" t="s">
        <v>455</v>
      </c>
      <c r="IO35" s="42" t="s">
        <v>455</v>
      </c>
      <c r="IP35" s="42" t="s">
        <v>455</v>
      </c>
      <c r="IQ35" s="42" t="s">
        <v>455</v>
      </c>
      <c r="IR35" s="42" t="s">
        <v>455</v>
      </c>
      <c r="IS35" s="42" t="s">
        <v>455</v>
      </c>
      <c r="IT35" s="42" t="s">
        <v>455</v>
      </c>
      <c r="IU35" s="42" t="s">
        <v>455</v>
      </c>
      <c r="IV35" s="42" t="s">
        <v>455</v>
      </c>
      <c r="IW35" s="42" t="s">
        <v>455</v>
      </c>
      <c r="IX35" s="42" t="s">
        <v>455</v>
      </c>
      <c r="IY35" s="42" t="s">
        <v>455</v>
      </c>
      <c r="IZ35" s="42" t="s">
        <v>455</v>
      </c>
      <c r="JA35" s="42" t="s">
        <v>455</v>
      </c>
      <c r="JB35" s="42" t="s">
        <v>455</v>
      </c>
      <c r="JC35" s="42" t="s">
        <v>455</v>
      </c>
      <c r="JD35" s="42" t="s">
        <v>455</v>
      </c>
      <c r="JE35" s="42" t="s">
        <v>455</v>
      </c>
      <c r="JF35" s="42" t="s">
        <v>455</v>
      </c>
      <c r="JG35" s="42" t="s">
        <v>455</v>
      </c>
      <c r="JH35" s="42" t="s">
        <v>455</v>
      </c>
      <c r="JI35" s="42" t="s">
        <v>455</v>
      </c>
      <c r="JJ35" s="42" t="s">
        <v>455</v>
      </c>
      <c r="JK35" s="42" t="s">
        <v>455</v>
      </c>
      <c r="JL35" s="42" t="s">
        <v>455</v>
      </c>
      <c r="JM35" s="42" t="s">
        <v>455</v>
      </c>
    </row>
    <row r="36" spans="1:273">
      <c r="A36" s="42" t="s">
        <v>208</v>
      </c>
      <c r="B36" s="42" t="s">
        <v>240</v>
      </c>
      <c r="C36" s="42" t="s">
        <v>266</v>
      </c>
      <c r="D36" s="60">
        <v>41529</v>
      </c>
      <c r="E36" s="42" t="s">
        <v>267</v>
      </c>
      <c r="F36" s="42">
        <v>0.79811186249999999</v>
      </c>
      <c r="G36" s="42">
        <v>12.804878048780401</v>
      </c>
      <c r="H36" s="42">
        <v>21.829999923700001</v>
      </c>
      <c r="I36" s="42">
        <v>1</v>
      </c>
      <c r="J36" s="42">
        <v>0</v>
      </c>
      <c r="K36" s="42">
        <v>0</v>
      </c>
      <c r="L36" s="42" t="s">
        <v>454</v>
      </c>
      <c r="M36" s="42" t="s">
        <v>614</v>
      </c>
      <c r="N36" s="42">
        <v>2.5968434108589752E-26</v>
      </c>
      <c r="O36" s="61" t="s">
        <v>455</v>
      </c>
      <c r="P36" s="42">
        <v>18.048007596269272</v>
      </c>
      <c r="Q36" s="42">
        <v>0.79071796923205651</v>
      </c>
      <c r="R36" s="42">
        <v>2.5374334776063705</v>
      </c>
      <c r="S36" s="42">
        <v>0.55693630396641869</v>
      </c>
      <c r="T36" s="42" t="s">
        <v>455</v>
      </c>
      <c r="U36" s="42" t="s">
        <v>455</v>
      </c>
      <c r="V36" s="42" t="s">
        <v>456</v>
      </c>
      <c r="W36" s="42" t="s">
        <v>455</v>
      </c>
      <c r="X36" s="42">
        <v>2.1000000000000005</v>
      </c>
      <c r="Y36" s="42">
        <v>0.31622776601683972</v>
      </c>
      <c r="Z36" s="42" t="s">
        <v>456</v>
      </c>
      <c r="AA36" s="42" t="s">
        <v>455</v>
      </c>
      <c r="AB36" s="42" t="s">
        <v>456</v>
      </c>
      <c r="AC36" s="42" t="s">
        <v>455</v>
      </c>
      <c r="AD36" s="42" t="s">
        <v>622</v>
      </c>
      <c r="AE36" s="42" t="s">
        <v>104</v>
      </c>
      <c r="AF36" s="42">
        <v>1.3990249276380335E-12</v>
      </c>
      <c r="AG36" s="42">
        <v>4</v>
      </c>
      <c r="AH36" s="62">
        <v>42880.56287037037</v>
      </c>
      <c r="AI36" s="42" t="s">
        <v>621</v>
      </c>
      <c r="AJ36" s="63" t="s">
        <v>635</v>
      </c>
      <c r="AK36" s="61" t="s">
        <v>455</v>
      </c>
      <c r="AL36" s="61" t="s">
        <v>455</v>
      </c>
      <c r="AM36" s="61">
        <v>7.3818078129172182E-2</v>
      </c>
      <c r="AN36" s="61" t="s">
        <v>455</v>
      </c>
      <c r="AO36" s="61" t="s">
        <v>455</v>
      </c>
      <c r="AP36" s="61">
        <v>0.29886957247952495</v>
      </c>
      <c r="AQ36" s="61">
        <v>-0.97470462417964088</v>
      </c>
      <c r="AR36" s="61">
        <v>7.0483462696499508</v>
      </c>
      <c r="AS36" s="61">
        <v>17372.452113576834</v>
      </c>
      <c r="AT36" s="61" t="s">
        <v>455</v>
      </c>
      <c r="AU36" s="61" t="s">
        <v>455</v>
      </c>
      <c r="AV36" s="42" t="s">
        <v>455</v>
      </c>
      <c r="AW36" s="42" t="s">
        <v>455</v>
      </c>
      <c r="AX36" s="42" t="s">
        <v>455</v>
      </c>
      <c r="AY36" s="42" t="s">
        <v>455</v>
      </c>
      <c r="AZ36" s="42" t="s">
        <v>455</v>
      </c>
      <c r="BA36" s="42" t="s">
        <v>455</v>
      </c>
      <c r="BB36" s="42" t="s">
        <v>455</v>
      </c>
      <c r="BC36" s="42" t="s">
        <v>455</v>
      </c>
      <c r="BD36" s="42" t="s">
        <v>455</v>
      </c>
      <c r="BE36" s="42" t="s">
        <v>455</v>
      </c>
      <c r="BF36" s="42" t="s">
        <v>455</v>
      </c>
      <c r="BG36" s="42" t="s">
        <v>455</v>
      </c>
      <c r="BH36" s="42" t="s">
        <v>455</v>
      </c>
      <c r="BI36" s="42" t="s">
        <v>455</v>
      </c>
      <c r="BJ36" s="42" t="s">
        <v>455</v>
      </c>
      <c r="BK36" s="42" t="s">
        <v>455</v>
      </c>
      <c r="BL36" s="42" t="s">
        <v>455</v>
      </c>
      <c r="BM36" s="42" t="s">
        <v>455</v>
      </c>
      <c r="BN36" s="42" t="s">
        <v>455</v>
      </c>
      <c r="BO36" s="42" t="s">
        <v>455</v>
      </c>
      <c r="BP36" s="42" t="s">
        <v>455</v>
      </c>
      <c r="BQ36" s="42" t="s">
        <v>455</v>
      </c>
      <c r="BR36" s="42" t="s">
        <v>455</v>
      </c>
      <c r="BS36" s="42" t="s">
        <v>455</v>
      </c>
      <c r="BT36" s="42" t="s">
        <v>455</v>
      </c>
      <c r="BU36" s="42" t="s">
        <v>455</v>
      </c>
      <c r="BV36" s="42" t="s">
        <v>455</v>
      </c>
      <c r="BW36" s="42" t="s">
        <v>455</v>
      </c>
      <c r="BX36" s="42" t="s">
        <v>455</v>
      </c>
      <c r="BY36" s="42" t="s">
        <v>455</v>
      </c>
      <c r="BZ36" s="42" t="s">
        <v>455</v>
      </c>
      <c r="CA36" s="42" t="s">
        <v>455</v>
      </c>
      <c r="CB36" s="42" t="s">
        <v>455</v>
      </c>
      <c r="CC36" s="42" t="s">
        <v>455</v>
      </c>
      <c r="CD36" s="42" t="s">
        <v>455</v>
      </c>
      <c r="CE36" s="42" t="s">
        <v>455</v>
      </c>
      <c r="CF36" s="42" t="s">
        <v>455</v>
      </c>
      <c r="CG36" s="42" t="s">
        <v>455</v>
      </c>
      <c r="CH36" s="42" t="s">
        <v>455</v>
      </c>
      <c r="CI36" s="42" t="s">
        <v>455</v>
      </c>
      <c r="CJ36" s="42" t="s">
        <v>455</v>
      </c>
      <c r="CK36" s="42" t="s">
        <v>455</v>
      </c>
      <c r="CL36" s="42" t="s">
        <v>455</v>
      </c>
      <c r="CM36" s="42" t="s">
        <v>455</v>
      </c>
      <c r="CN36" s="42" t="s">
        <v>455</v>
      </c>
      <c r="CO36" s="42" t="s">
        <v>455</v>
      </c>
      <c r="CP36" s="42" t="s">
        <v>455</v>
      </c>
      <c r="CQ36" s="42" t="s">
        <v>455</v>
      </c>
      <c r="CR36" s="42">
        <v>0.61643940244318096</v>
      </c>
      <c r="CS36" s="42">
        <v>6.1643940244318102E-2</v>
      </c>
      <c r="CT36" s="42" t="s">
        <v>455</v>
      </c>
      <c r="CU36" s="42" t="s">
        <v>455</v>
      </c>
      <c r="CV36" s="42" t="s">
        <v>455</v>
      </c>
      <c r="CW36" s="42" t="s">
        <v>455</v>
      </c>
      <c r="CX36" s="42">
        <v>19.900134314163498</v>
      </c>
      <c r="CY36" s="42">
        <v>1.99001343141635</v>
      </c>
      <c r="CZ36" s="42">
        <v>0.237718203568514</v>
      </c>
      <c r="DA36" s="42">
        <v>2.3771820356851402E-2</v>
      </c>
      <c r="DB36" s="42">
        <v>4.9873959939945296</v>
      </c>
      <c r="DC36" s="42">
        <v>0.498739599399453</v>
      </c>
      <c r="DD36" s="42">
        <v>0.61594780438002295</v>
      </c>
      <c r="DE36" s="42">
        <v>6.1594780438002296E-2</v>
      </c>
      <c r="DF36" s="42" t="s">
        <v>455</v>
      </c>
      <c r="DG36" s="42" t="s">
        <v>455</v>
      </c>
      <c r="DH36" s="42" t="s">
        <v>455</v>
      </c>
      <c r="DI36" s="42" t="s">
        <v>455</v>
      </c>
      <c r="DJ36" s="42">
        <v>0.99920143906339431</v>
      </c>
      <c r="DK36" s="42">
        <v>0.99845843304547321</v>
      </c>
      <c r="DL36" s="42">
        <v>2.0403635576103408E-2</v>
      </c>
      <c r="DM36" s="42">
        <v>0.99842632434080802</v>
      </c>
      <c r="DN36" s="42">
        <v>4.4785832861034674E-8</v>
      </c>
      <c r="DO36" s="42">
        <v>1.8682531018636717E-7</v>
      </c>
      <c r="DP36" s="42">
        <v>3.2204150165552958E-4</v>
      </c>
      <c r="DQ36" s="42">
        <v>7.2654804324260479E-8</v>
      </c>
      <c r="DR36" s="42">
        <v>1.003991703805662E-8</v>
      </c>
      <c r="DS36" s="42">
        <v>1.226080620132637E-2</v>
      </c>
      <c r="DT36" s="42">
        <v>6.5880051227821387E-3</v>
      </c>
      <c r="DU36" s="42">
        <v>3.1369845759897651E-4</v>
      </c>
      <c r="DV36" s="42">
        <v>4.9573906299217844E-8</v>
      </c>
      <c r="DW36" s="42">
        <v>1.0354465717502625E-8</v>
      </c>
      <c r="DX36" s="42">
        <v>2.1290072829586043E-7</v>
      </c>
      <c r="DY36" s="42">
        <v>1.3296151422657384E-8</v>
      </c>
      <c r="DZ36" s="42">
        <v>4.6130540622883813E-8</v>
      </c>
      <c r="EA36" s="42">
        <v>2.3699628680843513E-5</v>
      </c>
      <c r="EB36" s="42">
        <v>2.8926741644712661E-9</v>
      </c>
      <c r="EC36" s="42">
        <v>2.2075671255175375E-10</v>
      </c>
      <c r="ED36" s="42">
        <v>3.6605236923178044E-3</v>
      </c>
      <c r="EE36" s="42">
        <v>5.314908162194305E-4</v>
      </c>
      <c r="EF36" s="42">
        <v>8.8810171716224937E-7</v>
      </c>
      <c r="EG36" s="42">
        <v>3.5777812034249814E-9</v>
      </c>
      <c r="EH36" s="42">
        <v>1.4717114170116944E-9</v>
      </c>
      <c r="EI36" s="42">
        <v>8.1197871283404378E-10</v>
      </c>
      <c r="EJ36" s="42">
        <v>5.8081984283692058E-8</v>
      </c>
      <c r="EK36" s="42">
        <v>2.3295585080925099E-7</v>
      </c>
      <c r="EL36" s="42">
        <v>3.4574113033637309E-4</v>
      </c>
      <c r="EM36" s="42">
        <v>7.5547478488731745E-8</v>
      </c>
      <c r="EN36" s="42">
        <v>1.0260673750608374E-8</v>
      </c>
      <c r="EO36" s="42">
        <v>1.5921329893644174E-2</v>
      </c>
      <c r="EP36" s="42">
        <v>7.1194959390015692E-3</v>
      </c>
      <c r="EQ36" s="42">
        <v>3.1458655931613876E-4</v>
      </c>
      <c r="ER36" s="42">
        <v>5.3151687502642825E-8</v>
      </c>
      <c r="ES36" s="42">
        <v>1.1826177134514319E-8</v>
      </c>
      <c r="ET36" s="42">
        <v>2.1371270700869447E-7</v>
      </c>
      <c r="EU36" s="42">
        <v>1.9956736824069034E-6</v>
      </c>
      <c r="EV36" s="42">
        <v>8.3250660155464118E-6</v>
      </c>
      <c r="EW36" s="42">
        <v>1.4370260414138275E-2</v>
      </c>
      <c r="EX36" s="42">
        <v>3.2480562267758349E-6</v>
      </c>
      <c r="EY36" s="42">
        <v>4.5058857610442988E-7</v>
      </c>
      <c r="EZ36" s="42">
        <v>0.54692105393188906</v>
      </c>
      <c r="FA36" s="42">
        <v>0.2936889532988724</v>
      </c>
      <c r="FB36" s="42">
        <v>1.4080587137364202E-2</v>
      </c>
      <c r="FC36" s="42">
        <v>2.2099722724267126E-6</v>
      </c>
      <c r="FD36" s="42">
        <v>4.6159529961904185E-7</v>
      </c>
      <c r="FE36" s="42">
        <v>9.4909750196693343E-6</v>
      </c>
      <c r="FF36" s="42">
        <v>5.9248154553313409E-7</v>
      </c>
      <c r="FG36" s="42">
        <v>2.0556090373154223E-6</v>
      </c>
      <c r="FH36" s="42">
        <v>1.0575339951879575E-3</v>
      </c>
      <c r="FI36" s="42">
        <v>1.2931792218463304E-7</v>
      </c>
      <c r="FJ36" s="42">
        <v>9.9074974820154147E-9</v>
      </c>
      <c r="FK36" s="42">
        <v>0.16334582054937208</v>
      </c>
      <c r="FL36" s="42">
        <v>2.3693512466111954E-2</v>
      </c>
      <c r="FM36" s="42">
        <v>3.9863102009037726E-5</v>
      </c>
      <c r="FN36" s="42">
        <v>1.5949514263925267E-7</v>
      </c>
      <c r="FO36" s="42">
        <v>6.5607931014727973E-8</v>
      </c>
      <c r="FP36" s="42">
        <v>3.61974791805396E-8</v>
      </c>
      <c r="FQ36" s="42">
        <v>2.5881552279400375E-6</v>
      </c>
      <c r="FR36" s="42">
        <v>1.0380675052861834E-5</v>
      </c>
      <c r="FS36" s="42">
        <v>1.5427794409326233E-2</v>
      </c>
      <c r="FT36" s="42">
        <v>3.3773741489604679E-6</v>
      </c>
      <c r="FU36" s="42">
        <v>4.604960735864453E-7</v>
      </c>
      <c r="FV36" s="42">
        <v>0.71026687448126113</v>
      </c>
      <c r="FW36" s="42">
        <v>0.31738246576498436</v>
      </c>
      <c r="FX36" s="42">
        <v>1.412045023937324E-2</v>
      </c>
      <c r="FY36" s="42">
        <v>2.3694674150659652E-6</v>
      </c>
      <c r="FZ36" s="42">
        <v>5.2720323063376982E-7</v>
      </c>
      <c r="GA36" s="42">
        <v>9.5271724988498739E-6</v>
      </c>
      <c r="GB36" s="42">
        <v>7.9879237938102569E-6</v>
      </c>
      <c r="GC36" s="42">
        <v>1.6799733467392193E-4</v>
      </c>
      <c r="GD36" s="42">
        <v>0.57406316302399585</v>
      </c>
      <c r="GE36" s="42">
        <v>2.7218061569136141E-4</v>
      </c>
      <c r="GF36" s="42">
        <v>5.9159125922478913E-5</v>
      </c>
      <c r="GG36" s="42">
        <v>15.321118252215582</v>
      </c>
      <c r="GH36" s="42">
        <v>9.3976940788199581</v>
      </c>
      <c r="GI36" s="42">
        <v>0.61967959962182984</v>
      </c>
      <c r="GJ36" s="42">
        <v>3.5453391781514634E-5</v>
      </c>
      <c r="GK36" s="42">
        <v>9.3052073259603417E-7</v>
      </c>
      <c r="GL36" s="42">
        <v>4.1772438534570246E-4</v>
      </c>
      <c r="GM36" s="42" t="s">
        <v>455</v>
      </c>
      <c r="GN36" s="42" t="s">
        <v>455</v>
      </c>
      <c r="GO36" s="42" t="s">
        <v>455</v>
      </c>
      <c r="GP36" s="42" t="s">
        <v>455</v>
      </c>
      <c r="GQ36" s="42" t="s">
        <v>455</v>
      </c>
      <c r="GR36" s="42" t="s">
        <v>455</v>
      </c>
      <c r="GS36" s="42" t="s">
        <v>455</v>
      </c>
      <c r="GT36" s="42" t="s">
        <v>455</v>
      </c>
      <c r="GU36" s="42" t="s">
        <v>455</v>
      </c>
      <c r="GV36" s="42" t="s">
        <v>455</v>
      </c>
      <c r="GW36" s="42" t="s">
        <v>455</v>
      </c>
      <c r="GX36" s="42" t="s">
        <v>455</v>
      </c>
      <c r="GY36" s="42" t="s">
        <v>455</v>
      </c>
      <c r="GZ36" s="42" t="s">
        <v>455</v>
      </c>
      <c r="HA36" s="42" t="s">
        <v>455</v>
      </c>
      <c r="HB36" s="42" t="s">
        <v>455</v>
      </c>
      <c r="HC36" s="42" t="s">
        <v>455</v>
      </c>
      <c r="HD36" s="42" t="s">
        <v>455</v>
      </c>
      <c r="HE36" s="42" t="s">
        <v>455</v>
      </c>
      <c r="HF36" s="42" t="s">
        <v>455</v>
      </c>
      <c r="HG36" s="42" t="s">
        <v>455</v>
      </c>
      <c r="HH36" s="42" t="s">
        <v>455</v>
      </c>
      <c r="HI36" s="42" t="s">
        <v>455</v>
      </c>
      <c r="HJ36" s="42" t="s">
        <v>455</v>
      </c>
      <c r="HK36" s="42" t="s">
        <v>455</v>
      </c>
      <c r="HL36" s="42" t="s">
        <v>455</v>
      </c>
      <c r="HM36" s="42" t="s">
        <v>455</v>
      </c>
      <c r="HN36" s="42" t="s">
        <v>455</v>
      </c>
      <c r="HO36" s="42" t="s">
        <v>455</v>
      </c>
      <c r="HP36" s="42" t="s">
        <v>455</v>
      </c>
      <c r="HQ36" s="42" t="s">
        <v>455</v>
      </c>
      <c r="HR36" s="42" t="s">
        <v>455</v>
      </c>
      <c r="HS36" s="42" t="s">
        <v>455</v>
      </c>
      <c r="HT36" s="42" t="s">
        <v>455</v>
      </c>
      <c r="HU36" s="42" t="s">
        <v>455</v>
      </c>
      <c r="HV36" s="42" t="s">
        <v>455</v>
      </c>
      <c r="HW36" s="42" t="s">
        <v>455</v>
      </c>
      <c r="HX36" s="42" t="s">
        <v>455</v>
      </c>
      <c r="HY36" s="42" t="s">
        <v>455</v>
      </c>
      <c r="HZ36" s="42" t="s">
        <v>455</v>
      </c>
      <c r="IA36" s="42" t="s">
        <v>455</v>
      </c>
      <c r="IB36" s="42" t="s">
        <v>455</v>
      </c>
      <c r="IC36" s="42" t="s">
        <v>455</v>
      </c>
      <c r="ID36" s="42" t="s">
        <v>455</v>
      </c>
      <c r="IE36" s="42" t="s">
        <v>455</v>
      </c>
      <c r="IF36" s="42" t="s">
        <v>455</v>
      </c>
      <c r="IG36" s="42" t="s">
        <v>455</v>
      </c>
      <c r="IH36" s="42" t="s">
        <v>455</v>
      </c>
      <c r="II36" s="42" t="s">
        <v>455</v>
      </c>
      <c r="IJ36" s="42" t="s">
        <v>455</v>
      </c>
      <c r="IK36" s="42" t="s">
        <v>455</v>
      </c>
      <c r="IL36" s="42" t="s">
        <v>455</v>
      </c>
      <c r="IM36" s="42" t="s">
        <v>455</v>
      </c>
      <c r="IN36" s="42" t="s">
        <v>455</v>
      </c>
      <c r="IO36" s="42" t="s">
        <v>455</v>
      </c>
      <c r="IP36" s="42" t="s">
        <v>455</v>
      </c>
      <c r="IQ36" s="42" t="s">
        <v>455</v>
      </c>
      <c r="IR36" s="42" t="s">
        <v>455</v>
      </c>
      <c r="IS36" s="42" t="s">
        <v>455</v>
      </c>
      <c r="IT36" s="42" t="s">
        <v>455</v>
      </c>
      <c r="IU36" s="42" t="s">
        <v>455</v>
      </c>
      <c r="IV36" s="42" t="s">
        <v>455</v>
      </c>
      <c r="IW36" s="42" t="s">
        <v>455</v>
      </c>
      <c r="IX36" s="42" t="s">
        <v>455</v>
      </c>
      <c r="IY36" s="42" t="s">
        <v>455</v>
      </c>
      <c r="IZ36" s="42" t="s">
        <v>455</v>
      </c>
      <c r="JA36" s="42" t="s">
        <v>455</v>
      </c>
      <c r="JB36" s="42" t="s">
        <v>455</v>
      </c>
      <c r="JC36" s="42" t="s">
        <v>455</v>
      </c>
      <c r="JD36" s="42" t="s">
        <v>455</v>
      </c>
      <c r="JE36" s="42" t="s">
        <v>455</v>
      </c>
      <c r="JF36" s="42" t="s">
        <v>455</v>
      </c>
      <c r="JG36" s="42" t="s">
        <v>455</v>
      </c>
      <c r="JH36" s="42" t="s">
        <v>455</v>
      </c>
      <c r="JI36" s="42" t="s">
        <v>455</v>
      </c>
      <c r="JJ36" s="42" t="s">
        <v>455</v>
      </c>
      <c r="JK36" s="42" t="s">
        <v>455</v>
      </c>
      <c r="JL36" s="42" t="s">
        <v>455</v>
      </c>
      <c r="JM36" s="42" t="s">
        <v>455</v>
      </c>
    </row>
    <row r="37" spans="1:273">
      <c r="A37" s="42" t="s">
        <v>208</v>
      </c>
      <c r="B37" s="42" t="s">
        <v>240</v>
      </c>
      <c r="C37" s="42" t="s">
        <v>247</v>
      </c>
      <c r="D37" s="60">
        <v>41512</v>
      </c>
      <c r="E37" s="42" t="s">
        <v>269</v>
      </c>
      <c r="F37" s="42">
        <v>0.56876166378000004</v>
      </c>
      <c r="G37" s="42">
        <v>81.707317073170699</v>
      </c>
      <c r="H37" s="42">
        <v>20.790000915499999</v>
      </c>
      <c r="I37" s="42">
        <v>1</v>
      </c>
      <c r="J37" s="42">
        <v>0</v>
      </c>
      <c r="K37" s="42">
        <v>0</v>
      </c>
      <c r="L37" s="42" t="s">
        <v>454</v>
      </c>
      <c r="M37" s="42" t="s">
        <v>614</v>
      </c>
      <c r="N37" s="42">
        <v>1.5178673972671206E-23</v>
      </c>
      <c r="O37" s="61" t="s">
        <v>455</v>
      </c>
      <c r="P37" s="42">
        <v>12.986468559041827</v>
      </c>
      <c r="Q37" s="42">
        <v>0.65955958218063582</v>
      </c>
      <c r="R37" s="42">
        <v>2.5265151078630605</v>
      </c>
      <c r="S37" s="42">
        <v>0.55685765270465071</v>
      </c>
      <c r="T37" s="42" t="s">
        <v>455</v>
      </c>
      <c r="U37" s="42" t="s">
        <v>455</v>
      </c>
      <c r="V37" s="42" t="s">
        <v>456</v>
      </c>
      <c r="W37" s="42" t="s">
        <v>455</v>
      </c>
      <c r="X37" s="42">
        <v>2.1000000000000005</v>
      </c>
      <c r="Y37" s="42">
        <v>0.31622776601683972</v>
      </c>
      <c r="Z37" s="42" t="s">
        <v>456</v>
      </c>
      <c r="AA37" s="42" t="s">
        <v>455</v>
      </c>
      <c r="AB37" s="42" t="s">
        <v>456</v>
      </c>
      <c r="AC37" s="42" t="s">
        <v>455</v>
      </c>
      <c r="AD37" s="42" t="s">
        <v>622</v>
      </c>
      <c r="AE37" s="42" t="s">
        <v>104</v>
      </c>
      <c r="AF37" s="42">
        <v>5.2627694962124109E-20</v>
      </c>
      <c r="AG37" s="42">
        <v>5</v>
      </c>
      <c r="AH37" s="62">
        <v>42880.56287037037</v>
      </c>
      <c r="AI37" s="42" t="s">
        <v>621</v>
      </c>
      <c r="AJ37" s="63" t="s">
        <v>634</v>
      </c>
      <c r="AK37" s="61" t="s">
        <v>455</v>
      </c>
      <c r="AL37" s="61" t="s">
        <v>455</v>
      </c>
      <c r="AM37" s="61">
        <v>6.6489411039314161E-2</v>
      </c>
      <c r="AN37" s="61" t="s">
        <v>455</v>
      </c>
      <c r="AO37" s="61" t="s">
        <v>455</v>
      </c>
      <c r="AP37" s="61">
        <v>0.27197249825932523</v>
      </c>
      <c r="AQ37" s="61">
        <v>-0.98531170819350145</v>
      </c>
      <c r="AR37" s="61">
        <v>44.840214612023608</v>
      </c>
      <c r="AS37" s="61" t="s">
        <v>455</v>
      </c>
      <c r="AT37" s="61" t="s">
        <v>455</v>
      </c>
      <c r="AU37" s="61" t="s">
        <v>455</v>
      </c>
      <c r="AV37" s="42" t="s">
        <v>455</v>
      </c>
      <c r="AW37" s="42" t="s">
        <v>455</v>
      </c>
      <c r="AX37" s="42" t="s">
        <v>455</v>
      </c>
      <c r="AY37" s="42" t="s">
        <v>455</v>
      </c>
      <c r="AZ37" s="42" t="s">
        <v>455</v>
      </c>
      <c r="BA37" s="42" t="s">
        <v>455</v>
      </c>
      <c r="BB37" s="42" t="s">
        <v>455</v>
      </c>
      <c r="BC37" s="42" t="s">
        <v>455</v>
      </c>
      <c r="BD37" s="42" t="s">
        <v>455</v>
      </c>
      <c r="BE37" s="42" t="s">
        <v>455</v>
      </c>
      <c r="BF37" s="42" t="s">
        <v>455</v>
      </c>
      <c r="BG37" s="42" t="s">
        <v>455</v>
      </c>
      <c r="BH37" s="42" t="s">
        <v>455</v>
      </c>
      <c r="BI37" s="42" t="s">
        <v>455</v>
      </c>
      <c r="BJ37" s="42" t="s">
        <v>455</v>
      </c>
      <c r="BK37" s="42" t="s">
        <v>455</v>
      </c>
      <c r="BL37" s="42" t="s">
        <v>455</v>
      </c>
      <c r="BM37" s="42" t="s">
        <v>455</v>
      </c>
      <c r="BN37" s="42" t="s">
        <v>455</v>
      </c>
      <c r="BO37" s="42" t="s">
        <v>455</v>
      </c>
      <c r="BP37" s="42" t="s">
        <v>455</v>
      </c>
      <c r="BQ37" s="42" t="s">
        <v>455</v>
      </c>
      <c r="BR37" s="42" t="s">
        <v>455</v>
      </c>
      <c r="BS37" s="42" t="s">
        <v>455</v>
      </c>
      <c r="BT37" s="42" t="s">
        <v>455</v>
      </c>
      <c r="BU37" s="42" t="s">
        <v>455</v>
      </c>
      <c r="BV37" s="42" t="s">
        <v>455</v>
      </c>
      <c r="BW37" s="42" t="s">
        <v>455</v>
      </c>
      <c r="BX37" s="42" t="s">
        <v>455</v>
      </c>
      <c r="BY37" s="42" t="s">
        <v>455</v>
      </c>
      <c r="BZ37" s="42" t="s">
        <v>455</v>
      </c>
      <c r="CA37" s="42" t="s">
        <v>455</v>
      </c>
      <c r="CB37" s="42" t="s">
        <v>455</v>
      </c>
      <c r="CC37" s="42" t="s">
        <v>455</v>
      </c>
      <c r="CD37" s="42" t="s">
        <v>455</v>
      </c>
      <c r="CE37" s="42" t="s">
        <v>455</v>
      </c>
      <c r="CF37" s="42" t="s">
        <v>455</v>
      </c>
      <c r="CG37" s="42" t="s">
        <v>455</v>
      </c>
      <c r="CH37" s="42" t="s">
        <v>455</v>
      </c>
      <c r="CI37" s="42" t="s">
        <v>455</v>
      </c>
      <c r="CJ37" s="42" t="s">
        <v>455</v>
      </c>
      <c r="CK37" s="42" t="s">
        <v>455</v>
      </c>
      <c r="CL37" s="42" t="s">
        <v>455</v>
      </c>
      <c r="CM37" s="42" t="s">
        <v>455</v>
      </c>
      <c r="CN37" s="42" t="s">
        <v>455</v>
      </c>
      <c r="CO37" s="42" t="s">
        <v>455</v>
      </c>
      <c r="CP37" s="42" t="s">
        <v>455</v>
      </c>
      <c r="CQ37" s="42" t="s">
        <v>455</v>
      </c>
      <c r="CR37" s="42">
        <v>0.67701132661187402</v>
      </c>
      <c r="CS37" s="42">
        <v>6.7701132661187408E-2</v>
      </c>
      <c r="CT37" s="42" t="s">
        <v>455</v>
      </c>
      <c r="CU37" s="42" t="s">
        <v>455</v>
      </c>
      <c r="CV37" s="42" t="s">
        <v>455</v>
      </c>
      <c r="CW37" s="42" t="s">
        <v>455</v>
      </c>
      <c r="CX37" s="42">
        <v>21.371301771473199</v>
      </c>
      <c r="CY37" s="42">
        <v>2.1371301771473199</v>
      </c>
      <c r="CZ37" s="42">
        <v>0.152729695760459</v>
      </c>
      <c r="DA37" s="42">
        <v>1.5272969576045901E-2</v>
      </c>
      <c r="DB37" s="42">
        <v>33.225635685941697</v>
      </c>
      <c r="DC37" s="42">
        <v>3.3225635685941697</v>
      </c>
      <c r="DD37" s="42" t="s">
        <v>455</v>
      </c>
      <c r="DE37" s="42" t="s">
        <v>455</v>
      </c>
      <c r="DF37" s="42" t="s">
        <v>455</v>
      </c>
      <c r="DG37" s="42" t="s">
        <v>455</v>
      </c>
      <c r="DH37" s="42" t="s">
        <v>455</v>
      </c>
      <c r="DI37" s="42" t="s">
        <v>455</v>
      </c>
      <c r="DJ37" s="42">
        <v>0.99982419673689005</v>
      </c>
      <c r="DK37" s="42">
        <v>0.99020404100034287</v>
      </c>
      <c r="DL37" s="42">
        <v>1.4748201072596851E-2</v>
      </c>
      <c r="DM37" s="42">
        <v>0.99005740561923206</v>
      </c>
      <c r="DN37" s="42">
        <v>4.527925216583561E-8</v>
      </c>
      <c r="DO37" s="42">
        <v>1.9362045081420132E-7</v>
      </c>
      <c r="DP37" s="42">
        <v>3.5589423924456133E-4</v>
      </c>
      <c r="DQ37" s="42">
        <v>8.2522721656138427E-8</v>
      </c>
      <c r="DR37" s="42">
        <v>1.1734841643536805E-8</v>
      </c>
      <c r="DS37" s="42">
        <v>1.343727565979227E-2</v>
      </c>
      <c r="DT37" s="42">
        <v>7.2847428767820171E-3</v>
      </c>
      <c r="DU37" s="42">
        <v>3.666918426308685E-4</v>
      </c>
      <c r="DV37" s="42">
        <v>5.53118815681196E-8</v>
      </c>
      <c r="DW37" s="42">
        <v>1.0757244322840584E-8</v>
      </c>
      <c r="DX37" s="42">
        <v>2.5112311356687643E-7</v>
      </c>
      <c r="DY37" s="42">
        <v>1.3238939165202441E-8</v>
      </c>
      <c r="DZ37" s="42">
        <v>4.5932044660950441E-8</v>
      </c>
      <c r="EA37" s="42">
        <v>2.3597651107441005E-5</v>
      </c>
      <c r="EB37" s="42">
        <v>2.8802272229638867E-9</v>
      </c>
      <c r="EC37" s="42">
        <v>2.1980681438408614E-10</v>
      </c>
      <c r="ED37" s="42">
        <v>3.6519981924874375E-3</v>
      </c>
      <c r="EE37" s="42">
        <v>5.2920385449299612E-4</v>
      </c>
      <c r="EF37" s="42">
        <v>8.8428028775208766E-7</v>
      </c>
      <c r="EG37" s="42">
        <v>3.5623863020869153E-9</v>
      </c>
      <c r="EH37" s="42">
        <v>1.4653787625605748E-9</v>
      </c>
      <c r="EI37" s="42">
        <v>8.0848483451615457E-10</v>
      </c>
      <c r="EJ37" s="42">
        <v>5.8518191331038051E-8</v>
      </c>
      <c r="EK37" s="42">
        <v>2.3955249547515176E-7</v>
      </c>
      <c r="EL37" s="42">
        <v>3.7949189035200233E-4</v>
      </c>
      <c r="EM37" s="42">
        <v>8.5402948879102313E-8</v>
      </c>
      <c r="EN37" s="42">
        <v>1.1954648457920891E-8</v>
      </c>
      <c r="EO37" s="42">
        <v>1.7089273852279707E-2</v>
      </c>
      <c r="EP37" s="42">
        <v>7.8139467312750132E-3</v>
      </c>
      <c r="EQ37" s="42">
        <v>3.6757612291862059E-4</v>
      </c>
      <c r="ER37" s="42">
        <v>5.8874267870206515E-8</v>
      </c>
      <c r="ES37" s="42">
        <v>1.2222623085401159E-8</v>
      </c>
      <c r="ET37" s="42">
        <v>2.5193159840139259E-7</v>
      </c>
      <c r="EU37" s="42">
        <v>2.0189181514405699E-6</v>
      </c>
      <c r="EV37" s="42">
        <v>8.6332395788299246E-6</v>
      </c>
      <c r="EW37" s="42">
        <v>1.5890748186480404E-2</v>
      </c>
      <c r="EX37" s="42">
        <v>3.6915039386613907E-6</v>
      </c>
      <c r="EY37" s="42">
        <v>5.2698454410390018E-7</v>
      </c>
      <c r="EZ37" s="42">
        <v>0.59977372036140986</v>
      </c>
      <c r="FA37" s="42">
        <v>0.32495146761904886</v>
      </c>
      <c r="FB37" s="42">
        <v>1.6469492700614447E-2</v>
      </c>
      <c r="FC37" s="42">
        <v>2.4673042544325497E-6</v>
      </c>
      <c r="FD37" s="42">
        <v>4.798497887118121E-7</v>
      </c>
      <c r="FE37" s="42">
        <v>1.1201881203893505E-5</v>
      </c>
      <c r="FF37" s="42">
        <v>5.9029982404638509E-7</v>
      </c>
      <c r="FG37" s="42">
        <v>2.0480395755509524E-6</v>
      </c>
      <c r="FH37" s="42">
        <v>1.0536397901149651E-3</v>
      </c>
      <c r="FI37" s="42">
        <v>1.2884172897392664E-7</v>
      </c>
      <c r="FJ37" s="42">
        <v>9.8710146576989489E-9</v>
      </c>
      <c r="FK37" s="42">
        <v>0.16302036864767111</v>
      </c>
      <c r="FL37" s="42">
        <v>2.3606264777751684E-2</v>
      </c>
      <c r="FM37" s="42">
        <v>3.9716312312653573E-5</v>
      </c>
      <c r="FN37" s="42">
        <v>1.5890782649016451E-7</v>
      </c>
      <c r="FO37" s="42">
        <v>6.5366339974677653E-8</v>
      </c>
      <c r="FP37" s="42">
        <v>3.6064187572235304E-8</v>
      </c>
      <c r="FQ37" s="42">
        <v>2.609217975486955E-6</v>
      </c>
      <c r="FR37" s="42">
        <v>1.0681279154380877E-5</v>
      </c>
      <c r="FS37" s="42">
        <v>1.6944387976595369E-2</v>
      </c>
      <c r="FT37" s="42">
        <v>3.8203456676353173E-6</v>
      </c>
      <c r="FU37" s="42">
        <v>5.3685555876159912E-7</v>
      </c>
      <c r="FV37" s="42">
        <v>0.76279408900908097</v>
      </c>
      <c r="FW37" s="42">
        <v>0.34855773239680055</v>
      </c>
      <c r="FX37" s="42">
        <v>1.6509209012927101E-2</v>
      </c>
      <c r="FY37" s="42">
        <v>2.6262120809227142E-6</v>
      </c>
      <c r="FZ37" s="42">
        <v>5.4521612868648975E-7</v>
      </c>
      <c r="GA37" s="42">
        <v>1.1237945391465741E-5</v>
      </c>
      <c r="GB37" s="42">
        <v>8.0809625751026846E-6</v>
      </c>
      <c r="GC37" s="42">
        <v>1.7421618472891423E-4</v>
      </c>
      <c r="GD37" s="42">
        <v>0.63480360855351914</v>
      </c>
      <c r="GE37" s="42">
        <v>3.0934064705194725E-4</v>
      </c>
      <c r="GF37" s="42">
        <v>6.9189381749033363E-5</v>
      </c>
      <c r="GG37" s="42">
        <v>16.801701137972319</v>
      </c>
      <c r="GH37" s="42">
        <v>10.39805702204842</v>
      </c>
      <c r="GI37" s="42">
        <v>0.72481413900769154</v>
      </c>
      <c r="GJ37" s="42">
        <v>3.9581629809563998E-5</v>
      </c>
      <c r="GK37" s="42">
        <v>9.673195920683678E-7</v>
      </c>
      <c r="GL37" s="42">
        <v>4.9302615705072402E-4</v>
      </c>
      <c r="GM37" s="42" t="s">
        <v>455</v>
      </c>
      <c r="GN37" s="42" t="s">
        <v>455</v>
      </c>
      <c r="GO37" s="42" t="s">
        <v>455</v>
      </c>
      <c r="GP37" s="42" t="s">
        <v>455</v>
      </c>
      <c r="GQ37" s="42" t="s">
        <v>455</v>
      </c>
      <c r="GR37" s="42" t="s">
        <v>455</v>
      </c>
      <c r="GS37" s="42" t="s">
        <v>455</v>
      </c>
      <c r="GT37" s="42" t="s">
        <v>455</v>
      </c>
      <c r="GU37" s="42" t="s">
        <v>455</v>
      </c>
      <c r="GV37" s="42" t="s">
        <v>455</v>
      </c>
      <c r="GW37" s="42" t="s">
        <v>455</v>
      </c>
      <c r="GX37" s="42" t="s">
        <v>455</v>
      </c>
      <c r="GY37" s="42" t="s">
        <v>455</v>
      </c>
      <c r="GZ37" s="42" t="s">
        <v>455</v>
      </c>
      <c r="HA37" s="42" t="s">
        <v>455</v>
      </c>
      <c r="HB37" s="42" t="s">
        <v>455</v>
      </c>
      <c r="HC37" s="42" t="s">
        <v>455</v>
      </c>
      <c r="HD37" s="42" t="s">
        <v>455</v>
      </c>
      <c r="HE37" s="42" t="s">
        <v>455</v>
      </c>
      <c r="HF37" s="42" t="s">
        <v>455</v>
      </c>
      <c r="HG37" s="42" t="s">
        <v>455</v>
      </c>
      <c r="HH37" s="42" t="s">
        <v>455</v>
      </c>
      <c r="HI37" s="42" t="s">
        <v>455</v>
      </c>
      <c r="HJ37" s="42" t="s">
        <v>455</v>
      </c>
      <c r="HK37" s="42" t="s">
        <v>455</v>
      </c>
      <c r="HL37" s="42" t="s">
        <v>455</v>
      </c>
      <c r="HM37" s="42" t="s">
        <v>455</v>
      </c>
      <c r="HN37" s="42" t="s">
        <v>455</v>
      </c>
      <c r="HO37" s="42" t="s">
        <v>455</v>
      </c>
      <c r="HP37" s="42" t="s">
        <v>455</v>
      </c>
      <c r="HQ37" s="42" t="s">
        <v>455</v>
      </c>
      <c r="HR37" s="42" t="s">
        <v>455</v>
      </c>
      <c r="HS37" s="42" t="s">
        <v>455</v>
      </c>
      <c r="HT37" s="42" t="s">
        <v>455</v>
      </c>
      <c r="HU37" s="42" t="s">
        <v>455</v>
      </c>
      <c r="HV37" s="42" t="s">
        <v>455</v>
      </c>
      <c r="HW37" s="42" t="s">
        <v>455</v>
      </c>
      <c r="HX37" s="42" t="s">
        <v>455</v>
      </c>
      <c r="HY37" s="42" t="s">
        <v>455</v>
      </c>
      <c r="HZ37" s="42" t="s">
        <v>455</v>
      </c>
      <c r="IA37" s="42" t="s">
        <v>455</v>
      </c>
      <c r="IB37" s="42" t="s">
        <v>455</v>
      </c>
      <c r="IC37" s="42" t="s">
        <v>455</v>
      </c>
      <c r="ID37" s="42" t="s">
        <v>455</v>
      </c>
      <c r="IE37" s="42" t="s">
        <v>455</v>
      </c>
      <c r="IF37" s="42" t="s">
        <v>455</v>
      </c>
      <c r="IG37" s="42" t="s">
        <v>455</v>
      </c>
      <c r="IH37" s="42" t="s">
        <v>455</v>
      </c>
      <c r="II37" s="42" t="s">
        <v>455</v>
      </c>
      <c r="IJ37" s="42" t="s">
        <v>455</v>
      </c>
      <c r="IK37" s="42" t="s">
        <v>455</v>
      </c>
      <c r="IL37" s="42" t="s">
        <v>455</v>
      </c>
      <c r="IM37" s="42" t="s">
        <v>455</v>
      </c>
      <c r="IN37" s="42" t="s">
        <v>455</v>
      </c>
      <c r="IO37" s="42" t="s">
        <v>455</v>
      </c>
      <c r="IP37" s="42" t="s">
        <v>455</v>
      </c>
      <c r="IQ37" s="42" t="s">
        <v>455</v>
      </c>
      <c r="IR37" s="42" t="s">
        <v>455</v>
      </c>
      <c r="IS37" s="42" t="s">
        <v>455</v>
      </c>
      <c r="IT37" s="42" t="s">
        <v>455</v>
      </c>
      <c r="IU37" s="42" t="s">
        <v>455</v>
      </c>
      <c r="IV37" s="42" t="s">
        <v>455</v>
      </c>
      <c r="IW37" s="42" t="s">
        <v>455</v>
      </c>
      <c r="IX37" s="42" t="s">
        <v>455</v>
      </c>
      <c r="IY37" s="42" t="s">
        <v>455</v>
      </c>
      <c r="IZ37" s="42" t="s">
        <v>455</v>
      </c>
      <c r="JA37" s="42" t="s">
        <v>455</v>
      </c>
      <c r="JB37" s="42" t="s">
        <v>455</v>
      </c>
      <c r="JC37" s="42" t="s">
        <v>455</v>
      </c>
      <c r="JD37" s="42" t="s">
        <v>455</v>
      </c>
      <c r="JE37" s="42" t="s">
        <v>455</v>
      </c>
      <c r="JF37" s="42" t="s">
        <v>455</v>
      </c>
      <c r="JG37" s="42" t="s">
        <v>455</v>
      </c>
      <c r="JH37" s="42" t="s">
        <v>455</v>
      </c>
      <c r="JI37" s="42" t="s">
        <v>455</v>
      </c>
      <c r="JJ37" s="42" t="s">
        <v>455</v>
      </c>
      <c r="JK37" s="42" t="s">
        <v>455</v>
      </c>
      <c r="JL37" s="42" t="s">
        <v>455</v>
      </c>
      <c r="JM37" s="42" t="s">
        <v>455</v>
      </c>
    </row>
    <row r="38" spans="1:273">
      <c r="A38" s="42" t="s">
        <v>208</v>
      </c>
      <c r="B38" s="42" t="s">
        <v>240</v>
      </c>
      <c r="C38" s="42" t="s">
        <v>247</v>
      </c>
      <c r="D38" s="60">
        <v>41512</v>
      </c>
      <c r="E38" s="42" t="s">
        <v>248</v>
      </c>
      <c r="F38" s="42">
        <v>0.56876166378000004</v>
      </c>
      <c r="G38" s="42">
        <v>81.707317073170699</v>
      </c>
      <c r="H38" s="42">
        <v>20.790000915499999</v>
      </c>
      <c r="I38" s="42">
        <v>1</v>
      </c>
      <c r="J38" s="42">
        <v>0</v>
      </c>
      <c r="K38" s="42">
        <v>0</v>
      </c>
      <c r="L38" s="42" t="s">
        <v>454</v>
      </c>
      <c r="M38" s="42" t="s">
        <v>614</v>
      </c>
      <c r="N38" s="42">
        <v>1.434801971966768E-25</v>
      </c>
      <c r="O38" s="61" t="s">
        <v>455</v>
      </c>
      <c r="P38" s="42">
        <v>14.180284387135943</v>
      </c>
      <c r="Q38" s="42">
        <v>0.69024687123357853</v>
      </c>
      <c r="R38" s="42">
        <v>2.4651186982279523</v>
      </c>
      <c r="S38" s="42">
        <v>0.55690225438964658</v>
      </c>
      <c r="T38" s="42" t="s">
        <v>455</v>
      </c>
      <c r="U38" s="42" t="s">
        <v>455</v>
      </c>
      <c r="V38" s="42" t="s">
        <v>456</v>
      </c>
      <c r="W38" s="42" t="s">
        <v>455</v>
      </c>
      <c r="X38" s="42">
        <v>1.7000000000000002</v>
      </c>
      <c r="Y38" s="42">
        <v>0.316227766016839</v>
      </c>
      <c r="Z38" s="42" t="s">
        <v>456</v>
      </c>
      <c r="AA38" s="42" t="s">
        <v>455</v>
      </c>
      <c r="AB38" s="42" t="s">
        <v>456</v>
      </c>
      <c r="AC38" s="42" t="s">
        <v>455</v>
      </c>
      <c r="AD38" s="42" t="s">
        <v>622</v>
      </c>
      <c r="AE38" s="42" t="s">
        <v>123</v>
      </c>
      <c r="AF38" s="42">
        <v>1.0714596619818737E-8</v>
      </c>
      <c r="AG38" s="42">
        <v>8</v>
      </c>
      <c r="AH38" s="62">
        <v>42880.562835648147</v>
      </c>
      <c r="AI38" s="42" t="s">
        <v>621</v>
      </c>
      <c r="AJ38" s="63" t="s">
        <v>633</v>
      </c>
      <c r="AK38" s="61" t="s">
        <v>455</v>
      </c>
      <c r="AL38" s="61" t="s">
        <v>455</v>
      </c>
      <c r="AM38" s="61">
        <v>6.6594135110771724E-2</v>
      </c>
      <c r="AN38" s="61" t="s">
        <v>455</v>
      </c>
      <c r="AO38" s="61" t="s">
        <v>455</v>
      </c>
      <c r="AP38" s="61">
        <v>0.25057499490233215</v>
      </c>
      <c r="AQ38" s="61">
        <v>-0.9165301933431701</v>
      </c>
      <c r="AR38" s="61">
        <v>44.147756719737878</v>
      </c>
      <c r="AS38" s="61" t="s">
        <v>455</v>
      </c>
      <c r="AT38" s="61" t="s">
        <v>455</v>
      </c>
      <c r="AU38" s="61" t="s">
        <v>455</v>
      </c>
      <c r="AV38" s="42" t="s">
        <v>455</v>
      </c>
      <c r="AW38" s="42" t="s">
        <v>455</v>
      </c>
      <c r="AX38" s="42" t="s">
        <v>455</v>
      </c>
      <c r="AY38" s="42" t="s">
        <v>455</v>
      </c>
      <c r="AZ38" s="42" t="s">
        <v>455</v>
      </c>
      <c r="BA38" s="42" t="s">
        <v>455</v>
      </c>
      <c r="BB38" s="42" t="s">
        <v>455</v>
      </c>
      <c r="BC38" s="42" t="s">
        <v>455</v>
      </c>
      <c r="BD38" s="42" t="s">
        <v>455</v>
      </c>
      <c r="BE38" s="42" t="s">
        <v>455</v>
      </c>
      <c r="BF38" s="42" t="s">
        <v>455</v>
      </c>
      <c r="BG38" s="42" t="s">
        <v>455</v>
      </c>
      <c r="BH38" s="42" t="s">
        <v>455</v>
      </c>
      <c r="BI38" s="42" t="s">
        <v>455</v>
      </c>
      <c r="BJ38" s="42" t="s">
        <v>455</v>
      </c>
      <c r="BK38" s="42" t="s">
        <v>455</v>
      </c>
      <c r="BL38" s="42" t="s">
        <v>455</v>
      </c>
      <c r="BM38" s="42" t="s">
        <v>455</v>
      </c>
      <c r="BN38" s="42" t="s">
        <v>455</v>
      </c>
      <c r="BO38" s="42" t="s">
        <v>455</v>
      </c>
      <c r="BP38" s="42" t="s">
        <v>455</v>
      </c>
      <c r="BQ38" s="42" t="s">
        <v>455</v>
      </c>
      <c r="BR38" s="42" t="s">
        <v>455</v>
      </c>
      <c r="BS38" s="42" t="s">
        <v>455</v>
      </c>
      <c r="BT38" s="42" t="s">
        <v>455</v>
      </c>
      <c r="BU38" s="42" t="s">
        <v>455</v>
      </c>
      <c r="BV38" s="42" t="s">
        <v>455</v>
      </c>
      <c r="BW38" s="42" t="s">
        <v>455</v>
      </c>
      <c r="BX38" s="42" t="s">
        <v>455</v>
      </c>
      <c r="BY38" s="42" t="s">
        <v>455</v>
      </c>
      <c r="BZ38" s="42" t="s">
        <v>455</v>
      </c>
      <c r="CA38" s="42" t="s">
        <v>455</v>
      </c>
      <c r="CB38" s="42" t="s">
        <v>455</v>
      </c>
      <c r="CC38" s="42" t="s">
        <v>455</v>
      </c>
      <c r="CD38" s="42" t="s">
        <v>455</v>
      </c>
      <c r="CE38" s="42" t="s">
        <v>455</v>
      </c>
      <c r="CF38" s="42" t="s">
        <v>455</v>
      </c>
      <c r="CG38" s="42" t="s">
        <v>455</v>
      </c>
      <c r="CH38" s="42" t="s">
        <v>455</v>
      </c>
      <c r="CI38" s="42" t="s">
        <v>455</v>
      </c>
      <c r="CJ38" s="42" t="s">
        <v>455</v>
      </c>
      <c r="CK38" s="42" t="s">
        <v>455</v>
      </c>
      <c r="CL38" s="42" t="s">
        <v>455</v>
      </c>
      <c r="CM38" s="42" t="s">
        <v>455</v>
      </c>
      <c r="CN38" s="42" t="s">
        <v>455</v>
      </c>
      <c r="CO38" s="42" t="s">
        <v>455</v>
      </c>
      <c r="CP38" s="42" t="s">
        <v>455</v>
      </c>
      <c r="CQ38" s="42" t="s">
        <v>455</v>
      </c>
      <c r="CR38" s="42">
        <v>0.65957724716200905</v>
      </c>
      <c r="CS38" s="42">
        <v>6.5957724716200913E-2</v>
      </c>
      <c r="CT38" s="42" t="s">
        <v>455</v>
      </c>
      <c r="CU38" s="42" t="s">
        <v>455</v>
      </c>
      <c r="CV38" s="42" t="s">
        <v>455</v>
      </c>
      <c r="CW38" s="42" t="s">
        <v>455</v>
      </c>
      <c r="CX38" s="42">
        <v>20.5090041825271</v>
      </c>
      <c r="CY38" s="42">
        <v>2.0509004182527102</v>
      </c>
      <c r="CZ38" s="42">
        <v>0.84531897019191105</v>
      </c>
      <c r="DA38" s="42">
        <v>8.4531897019191116E-2</v>
      </c>
      <c r="DB38" s="42">
        <v>31.450660788508099</v>
      </c>
      <c r="DC38" s="42">
        <v>3.1450660788508102</v>
      </c>
      <c r="DD38" s="42" t="s">
        <v>455</v>
      </c>
      <c r="DE38" s="42" t="s">
        <v>455</v>
      </c>
      <c r="DF38" s="42" t="s">
        <v>455</v>
      </c>
      <c r="DG38" s="42" t="s">
        <v>455</v>
      </c>
      <c r="DH38" s="42" t="s">
        <v>455</v>
      </c>
      <c r="DI38" s="42" t="s">
        <v>455</v>
      </c>
      <c r="DJ38" s="42">
        <v>0.99966285048391901</v>
      </c>
      <c r="DK38" s="42">
        <v>0.99020404100034287</v>
      </c>
      <c r="DL38" s="42">
        <v>1.594069070049418E-2</v>
      </c>
      <c r="DM38" s="42">
        <v>0.99004535711711295</v>
      </c>
      <c r="DN38" s="42">
        <v>4.5071506430753063E-8</v>
      </c>
      <c r="DO38" s="42">
        <v>1.9159075959841738E-7</v>
      </c>
      <c r="DP38" s="42">
        <v>3.4675133010061E-4</v>
      </c>
      <c r="DQ38" s="42">
        <v>7.9880277368694301E-8</v>
      </c>
      <c r="DR38" s="42">
        <v>1.1279285294483977E-8</v>
      </c>
      <c r="DS38" s="42">
        <v>1.3117857048672235E-2</v>
      </c>
      <c r="DT38" s="42">
        <v>7.0961588740927435E-3</v>
      </c>
      <c r="DU38" s="42">
        <v>3.5248308462659811E-4</v>
      </c>
      <c r="DV38" s="42">
        <v>5.3760827832408853E-8</v>
      </c>
      <c r="DW38" s="42">
        <v>1.0636845414238624E-8</v>
      </c>
      <c r="DX38" s="42">
        <v>2.4086740624062223E-7</v>
      </c>
      <c r="DY38" s="42">
        <v>1.2917221978714466E-8</v>
      </c>
      <c r="DZ38" s="42">
        <v>4.4815857933784162E-8</v>
      </c>
      <c r="EA38" s="42">
        <v>2.3024208641449077E-5</v>
      </c>
      <c r="EB38" s="42">
        <v>2.8102353159798595E-9</v>
      </c>
      <c r="EC38" s="42">
        <v>2.1446532674583183E-10</v>
      </c>
      <c r="ED38" s="42">
        <v>3.2842109179567914E-3</v>
      </c>
      <c r="EE38" s="42">
        <v>5.1634376253082651E-4</v>
      </c>
      <c r="EF38" s="42">
        <v>8.6279154437975732E-7</v>
      </c>
      <c r="EG38" s="42">
        <v>3.4758173645014138E-9</v>
      </c>
      <c r="EH38" s="42">
        <v>1.4297688449722128E-9</v>
      </c>
      <c r="EI38" s="42">
        <v>7.8883798343295137E-10</v>
      </c>
      <c r="EJ38" s="42">
        <v>5.7988728409467529E-8</v>
      </c>
      <c r="EK38" s="42">
        <v>2.3640661753220154E-7</v>
      </c>
      <c r="EL38" s="42">
        <v>3.6977553874205908E-4</v>
      </c>
      <c r="EM38" s="42">
        <v>8.2690512684674161E-8</v>
      </c>
      <c r="EN38" s="42">
        <v>1.1493750621229809E-8</v>
      </c>
      <c r="EO38" s="42">
        <v>1.6402067966629026E-2</v>
      </c>
      <c r="EP38" s="42">
        <v>7.61250263662357E-3</v>
      </c>
      <c r="EQ38" s="42">
        <v>3.5334587617097786E-4</v>
      </c>
      <c r="ER38" s="42">
        <v>5.7236645196910266E-8</v>
      </c>
      <c r="ES38" s="42">
        <v>1.2066614259210837E-8</v>
      </c>
      <c r="ET38" s="42">
        <v>2.4165624422405519E-7</v>
      </c>
      <c r="EU38" s="42">
        <v>2.0093308458062775E-6</v>
      </c>
      <c r="EV38" s="42">
        <v>8.5413601725758189E-6</v>
      </c>
      <c r="EW38" s="42">
        <v>1.5480016999419718E-2</v>
      </c>
      <c r="EX38" s="42">
        <v>3.5727223572731506E-6</v>
      </c>
      <c r="EY38" s="42">
        <v>5.0644482363247569E-7</v>
      </c>
      <c r="EZ38" s="42">
        <v>0.58542196125781665</v>
      </c>
      <c r="FA38" s="42">
        <v>0.31648819521559329</v>
      </c>
      <c r="FB38" s="42">
        <v>1.5828769827284917E-2</v>
      </c>
      <c r="FC38" s="42">
        <v>2.3977292047524329E-6</v>
      </c>
      <c r="FD38" s="42">
        <v>4.7440257013271097E-7</v>
      </c>
      <c r="FE38" s="42">
        <v>1.0742669666778286E-5</v>
      </c>
      <c r="FF38" s="42">
        <v>5.7586210489401917E-7</v>
      </c>
      <c r="FG38" s="42">
        <v>1.9979480474829861E-6</v>
      </c>
      <c r="FH38" s="42">
        <v>1.027869571731432E-3</v>
      </c>
      <c r="FI38" s="42">
        <v>1.2569048172252165E-7</v>
      </c>
      <c r="FJ38" s="42">
        <v>9.6295866044093009E-9</v>
      </c>
      <c r="FK38" s="42">
        <v>0.14658778343149381</v>
      </c>
      <c r="FL38" s="42">
        <v>2.3028896113195252E-2</v>
      </c>
      <c r="FM38" s="42">
        <v>3.8744919573608511E-5</v>
      </c>
      <c r="FN38" s="42">
        <v>1.5502121416788561E-7</v>
      </c>
      <c r="FO38" s="42">
        <v>6.3767591643527343E-8</v>
      </c>
      <c r="FP38" s="42">
        <v>3.5182119527463654E-8</v>
      </c>
      <c r="FQ38" s="42">
        <v>2.5851929507002966E-6</v>
      </c>
      <c r="FR38" s="42">
        <v>1.0539308220058805E-5</v>
      </c>
      <c r="FS38" s="42">
        <v>1.650788657115115E-2</v>
      </c>
      <c r="FT38" s="42">
        <v>3.6984128389956722E-6</v>
      </c>
      <c r="FU38" s="42">
        <v>5.1607441023688499E-7</v>
      </c>
      <c r="FV38" s="42">
        <v>0.73200974468931046</v>
      </c>
      <c r="FW38" s="42">
        <v>0.33951709132878855</v>
      </c>
      <c r="FX38" s="42">
        <v>1.5867514746858526E-2</v>
      </c>
      <c r="FY38" s="42">
        <v>2.5527504189203185E-6</v>
      </c>
      <c r="FZ38" s="42">
        <v>5.3817016177623831E-7</v>
      </c>
      <c r="GA38" s="42">
        <v>1.077785178630575E-5</v>
      </c>
      <c r="GB38" s="42">
        <v>8.0425882319072909E-6</v>
      </c>
      <c r="GC38" s="42">
        <v>1.7236208587452826E-4</v>
      </c>
      <c r="GD38" s="42">
        <v>0.61839571909281887</v>
      </c>
      <c r="GE38" s="42">
        <v>2.993869880947755E-4</v>
      </c>
      <c r="GF38" s="42">
        <v>6.6492660229178633E-5</v>
      </c>
      <c r="GG38" s="42">
        <v>16.399659569499722</v>
      </c>
      <c r="GH38" s="42">
        <v>10.127242461064727</v>
      </c>
      <c r="GI38" s="42">
        <v>0.69661624571389558</v>
      </c>
      <c r="GJ38" s="42">
        <v>3.8465474858072709E-5</v>
      </c>
      <c r="GK38" s="42">
        <v>9.5633865307912938E-7</v>
      </c>
      <c r="GL38" s="42">
        <v>4.7281497150997935E-4</v>
      </c>
      <c r="GM38" s="42" t="s">
        <v>455</v>
      </c>
      <c r="GN38" s="42" t="s">
        <v>455</v>
      </c>
      <c r="GO38" s="42" t="s">
        <v>455</v>
      </c>
      <c r="GP38" s="42" t="s">
        <v>455</v>
      </c>
      <c r="GQ38" s="42" t="s">
        <v>455</v>
      </c>
      <c r="GR38" s="42" t="s">
        <v>455</v>
      </c>
      <c r="GS38" s="42" t="s">
        <v>455</v>
      </c>
      <c r="GT38" s="42" t="s">
        <v>455</v>
      </c>
      <c r="GU38" s="42" t="s">
        <v>455</v>
      </c>
      <c r="GV38" s="42" t="s">
        <v>455</v>
      </c>
      <c r="GW38" s="42" t="s">
        <v>455</v>
      </c>
      <c r="GX38" s="42" t="s">
        <v>455</v>
      </c>
      <c r="GY38" s="42" t="s">
        <v>455</v>
      </c>
      <c r="GZ38" s="42" t="s">
        <v>455</v>
      </c>
      <c r="HA38" s="42" t="s">
        <v>455</v>
      </c>
      <c r="HB38" s="42" t="s">
        <v>455</v>
      </c>
      <c r="HC38" s="42" t="s">
        <v>455</v>
      </c>
      <c r="HD38" s="42" t="s">
        <v>455</v>
      </c>
      <c r="HE38" s="42" t="s">
        <v>455</v>
      </c>
      <c r="HF38" s="42" t="s">
        <v>455</v>
      </c>
      <c r="HG38" s="42" t="s">
        <v>455</v>
      </c>
      <c r="HH38" s="42" t="s">
        <v>455</v>
      </c>
      <c r="HI38" s="42" t="s">
        <v>455</v>
      </c>
      <c r="HJ38" s="42" t="s">
        <v>455</v>
      </c>
      <c r="HK38" s="42" t="s">
        <v>455</v>
      </c>
      <c r="HL38" s="42" t="s">
        <v>455</v>
      </c>
      <c r="HM38" s="42" t="s">
        <v>455</v>
      </c>
      <c r="HN38" s="42" t="s">
        <v>455</v>
      </c>
      <c r="HO38" s="42" t="s">
        <v>455</v>
      </c>
      <c r="HP38" s="42" t="s">
        <v>455</v>
      </c>
      <c r="HQ38" s="42" t="s">
        <v>455</v>
      </c>
      <c r="HR38" s="42" t="s">
        <v>455</v>
      </c>
      <c r="HS38" s="42" t="s">
        <v>455</v>
      </c>
      <c r="HT38" s="42" t="s">
        <v>455</v>
      </c>
      <c r="HU38" s="42" t="s">
        <v>455</v>
      </c>
      <c r="HV38" s="42" t="s">
        <v>455</v>
      </c>
      <c r="HW38" s="42" t="s">
        <v>455</v>
      </c>
      <c r="HX38" s="42" t="s">
        <v>455</v>
      </c>
      <c r="HY38" s="42" t="s">
        <v>455</v>
      </c>
      <c r="HZ38" s="42" t="s">
        <v>455</v>
      </c>
      <c r="IA38" s="42" t="s">
        <v>455</v>
      </c>
      <c r="IB38" s="42" t="s">
        <v>455</v>
      </c>
      <c r="IC38" s="42" t="s">
        <v>455</v>
      </c>
      <c r="ID38" s="42" t="s">
        <v>455</v>
      </c>
      <c r="IE38" s="42" t="s">
        <v>455</v>
      </c>
      <c r="IF38" s="42" t="s">
        <v>455</v>
      </c>
      <c r="IG38" s="42" t="s">
        <v>455</v>
      </c>
      <c r="IH38" s="42" t="s">
        <v>455</v>
      </c>
      <c r="II38" s="42" t="s">
        <v>455</v>
      </c>
      <c r="IJ38" s="42" t="s">
        <v>455</v>
      </c>
      <c r="IK38" s="42" t="s">
        <v>455</v>
      </c>
      <c r="IL38" s="42" t="s">
        <v>455</v>
      </c>
      <c r="IM38" s="42" t="s">
        <v>455</v>
      </c>
      <c r="IN38" s="42" t="s">
        <v>455</v>
      </c>
      <c r="IO38" s="42" t="s">
        <v>455</v>
      </c>
      <c r="IP38" s="42" t="s">
        <v>455</v>
      </c>
      <c r="IQ38" s="42" t="s">
        <v>455</v>
      </c>
      <c r="IR38" s="42" t="s">
        <v>455</v>
      </c>
      <c r="IS38" s="42" t="s">
        <v>455</v>
      </c>
      <c r="IT38" s="42" t="s">
        <v>455</v>
      </c>
      <c r="IU38" s="42" t="s">
        <v>455</v>
      </c>
      <c r="IV38" s="42" t="s">
        <v>455</v>
      </c>
      <c r="IW38" s="42" t="s">
        <v>455</v>
      </c>
      <c r="IX38" s="42" t="s">
        <v>455</v>
      </c>
      <c r="IY38" s="42" t="s">
        <v>455</v>
      </c>
      <c r="IZ38" s="42" t="s">
        <v>455</v>
      </c>
      <c r="JA38" s="42" t="s">
        <v>455</v>
      </c>
      <c r="JB38" s="42" t="s">
        <v>455</v>
      </c>
      <c r="JC38" s="42" t="s">
        <v>455</v>
      </c>
      <c r="JD38" s="42" t="s">
        <v>455</v>
      </c>
      <c r="JE38" s="42" t="s">
        <v>455</v>
      </c>
      <c r="JF38" s="42" t="s">
        <v>455</v>
      </c>
      <c r="JG38" s="42" t="s">
        <v>455</v>
      </c>
      <c r="JH38" s="42" t="s">
        <v>455</v>
      </c>
      <c r="JI38" s="42" t="s">
        <v>455</v>
      </c>
      <c r="JJ38" s="42" t="s">
        <v>455</v>
      </c>
      <c r="JK38" s="42" t="s">
        <v>455</v>
      </c>
      <c r="JL38" s="42" t="s">
        <v>455</v>
      </c>
      <c r="JM38" s="42" t="s">
        <v>455</v>
      </c>
    </row>
    <row r="39" spans="1:273">
      <c r="A39" s="42" t="s">
        <v>208</v>
      </c>
      <c r="B39" s="42" t="s">
        <v>240</v>
      </c>
      <c r="C39" s="42" t="s">
        <v>263</v>
      </c>
      <c r="D39" s="60">
        <v>41505</v>
      </c>
      <c r="E39" s="42" t="s">
        <v>264</v>
      </c>
      <c r="F39" s="42">
        <v>0.59795517722000002</v>
      </c>
      <c r="G39" s="42">
        <v>61.890243902439003</v>
      </c>
      <c r="H39" s="42">
        <v>20.020000457799998</v>
      </c>
      <c r="I39" s="42">
        <v>1</v>
      </c>
      <c r="J39" s="42">
        <v>0</v>
      </c>
      <c r="K39" s="42">
        <v>0</v>
      </c>
      <c r="L39" s="42" t="s">
        <v>454</v>
      </c>
      <c r="M39" s="42" t="s">
        <v>614</v>
      </c>
      <c r="N39" s="42">
        <v>2.8179779525068051E-26</v>
      </c>
      <c r="O39" s="61" t="s">
        <v>455</v>
      </c>
      <c r="P39" s="42">
        <v>14.907409094698799</v>
      </c>
      <c r="Q39" s="42">
        <v>0.707888379033486</v>
      </c>
      <c r="R39" s="42">
        <v>2.4716928312577808</v>
      </c>
      <c r="S39" s="42">
        <v>0.55691040225775745</v>
      </c>
      <c r="T39" s="42" t="s">
        <v>455</v>
      </c>
      <c r="U39" s="42" t="s">
        <v>455</v>
      </c>
      <c r="V39" s="42" t="s">
        <v>456</v>
      </c>
      <c r="W39" s="42" t="s">
        <v>455</v>
      </c>
      <c r="X39" s="42">
        <v>2.7000000000000011</v>
      </c>
      <c r="Y39" s="42">
        <v>0.31622776601683672</v>
      </c>
      <c r="Z39" s="42" t="s">
        <v>456</v>
      </c>
      <c r="AA39" s="42" t="s">
        <v>455</v>
      </c>
      <c r="AB39" s="42" t="s">
        <v>456</v>
      </c>
      <c r="AC39" s="42" t="s">
        <v>455</v>
      </c>
      <c r="AD39" s="42" t="s">
        <v>622</v>
      </c>
      <c r="AE39" s="42" t="s">
        <v>104</v>
      </c>
      <c r="AF39" s="42">
        <v>1.135637094252318E-11</v>
      </c>
      <c r="AG39" s="42">
        <v>4</v>
      </c>
      <c r="AH39" s="62">
        <v>42880.56287037037</v>
      </c>
      <c r="AI39" s="42" t="s">
        <v>621</v>
      </c>
      <c r="AJ39" s="63" t="s">
        <v>632</v>
      </c>
      <c r="AK39" s="61">
        <v>162.42897925098634</v>
      </c>
      <c r="AL39" s="61">
        <v>1.1167519583040995</v>
      </c>
      <c r="AM39" s="61">
        <v>6.7672862225905739E-2</v>
      </c>
      <c r="AN39" s="61" t="s">
        <v>455</v>
      </c>
      <c r="AO39" s="61" t="s">
        <v>455</v>
      </c>
      <c r="AP39" s="61">
        <v>0.31578218739712405</v>
      </c>
      <c r="AQ39" s="61">
        <v>-0.97947572228417401</v>
      </c>
      <c r="AR39" s="61">
        <v>29.29089803222049</v>
      </c>
      <c r="AS39" s="61">
        <v>561562.29339290073</v>
      </c>
      <c r="AT39" s="61" t="s">
        <v>455</v>
      </c>
      <c r="AU39" s="61" t="s">
        <v>455</v>
      </c>
      <c r="AV39" s="42">
        <v>7.36279634517406E-6</v>
      </c>
      <c r="AW39" s="42">
        <v>7.3627963451740605E-8</v>
      </c>
      <c r="AX39" s="42">
        <v>4.0391994785784199E-7</v>
      </c>
      <c r="AY39" s="42">
        <v>6.0587992178676302E-9</v>
      </c>
      <c r="AZ39" s="42" t="s">
        <v>455</v>
      </c>
      <c r="BA39" s="42" t="s">
        <v>455</v>
      </c>
      <c r="BB39" s="42" t="s">
        <v>455</v>
      </c>
      <c r="BC39" s="42" t="s">
        <v>455</v>
      </c>
      <c r="BD39" s="42" t="s">
        <v>455</v>
      </c>
      <c r="BE39" s="42" t="s">
        <v>455</v>
      </c>
      <c r="BF39" s="42" t="s">
        <v>455</v>
      </c>
      <c r="BG39" s="42" t="s">
        <v>455</v>
      </c>
      <c r="BH39" s="42" t="s">
        <v>455</v>
      </c>
      <c r="BI39" s="42" t="s">
        <v>455</v>
      </c>
      <c r="BJ39" s="42" t="s">
        <v>455</v>
      </c>
      <c r="BK39" s="42" t="s">
        <v>455</v>
      </c>
      <c r="BL39" s="42" t="s">
        <v>455</v>
      </c>
      <c r="BM39" s="42" t="s">
        <v>455</v>
      </c>
      <c r="BN39" s="42" t="s">
        <v>455</v>
      </c>
      <c r="BO39" s="42" t="s">
        <v>455</v>
      </c>
      <c r="BP39" s="42" t="s">
        <v>455</v>
      </c>
      <c r="BQ39" s="42" t="s">
        <v>455</v>
      </c>
      <c r="BR39" s="42" t="s">
        <v>455</v>
      </c>
      <c r="BS39" s="42" t="s">
        <v>455</v>
      </c>
      <c r="BT39" s="42" t="s">
        <v>455</v>
      </c>
      <c r="BU39" s="42" t="s">
        <v>455</v>
      </c>
      <c r="BV39" s="42" t="s">
        <v>455</v>
      </c>
      <c r="BW39" s="42" t="s">
        <v>455</v>
      </c>
      <c r="BX39" s="42" t="s">
        <v>455</v>
      </c>
      <c r="BY39" s="42" t="s">
        <v>455</v>
      </c>
      <c r="BZ39" s="42" t="s">
        <v>455</v>
      </c>
      <c r="CA39" s="42" t="s">
        <v>455</v>
      </c>
      <c r="CB39" s="42" t="s">
        <v>455</v>
      </c>
      <c r="CC39" s="42" t="s">
        <v>455</v>
      </c>
      <c r="CD39" s="42" t="s">
        <v>455</v>
      </c>
      <c r="CE39" s="42" t="s">
        <v>455</v>
      </c>
      <c r="CF39" s="42" t="s">
        <v>455</v>
      </c>
      <c r="CG39" s="42" t="s">
        <v>455</v>
      </c>
      <c r="CH39" s="42" t="s">
        <v>455</v>
      </c>
      <c r="CI39" s="42" t="s">
        <v>455</v>
      </c>
      <c r="CJ39" s="42" t="s">
        <v>455</v>
      </c>
      <c r="CK39" s="42" t="s">
        <v>455</v>
      </c>
      <c r="CL39" s="42" t="s">
        <v>455</v>
      </c>
      <c r="CM39" s="42" t="s">
        <v>455</v>
      </c>
      <c r="CN39" s="42" t="s">
        <v>455</v>
      </c>
      <c r="CO39" s="42" t="s">
        <v>455</v>
      </c>
      <c r="CP39" s="42" t="s">
        <v>455</v>
      </c>
      <c r="CQ39" s="42" t="s">
        <v>455</v>
      </c>
      <c r="CR39" s="42">
        <v>0.65142040998828699</v>
      </c>
      <c r="CS39" s="42">
        <v>6.5142040998828699E-2</v>
      </c>
      <c r="CT39" s="42" t="s">
        <v>455</v>
      </c>
      <c r="CU39" s="42" t="s">
        <v>455</v>
      </c>
      <c r="CV39" s="42" t="s">
        <v>455</v>
      </c>
      <c r="CW39" s="42" t="s">
        <v>455</v>
      </c>
      <c r="CX39" s="42">
        <v>21.315372047898599</v>
      </c>
      <c r="CY39" s="42">
        <v>2.13153720478986</v>
      </c>
      <c r="CZ39" s="42">
        <v>0.20505551857668899</v>
      </c>
      <c r="DA39" s="42">
        <v>2.0505551857668902E-2</v>
      </c>
      <c r="DB39" s="42">
        <v>20.650693077161701</v>
      </c>
      <c r="DC39" s="42">
        <v>2.0650693077161701</v>
      </c>
      <c r="DD39" s="42">
        <v>21.281877147315999</v>
      </c>
      <c r="DE39" s="42">
        <v>2.1281877147316002</v>
      </c>
      <c r="DF39" s="42" t="s">
        <v>455</v>
      </c>
      <c r="DG39" s="42" t="s">
        <v>455</v>
      </c>
      <c r="DH39" s="42" t="s">
        <v>455</v>
      </c>
      <c r="DI39" s="42" t="s">
        <v>455</v>
      </c>
      <c r="DJ39" s="42">
        <v>0.99957878041790282</v>
      </c>
      <c r="DK39" s="42">
        <v>0.99257107599482886</v>
      </c>
      <c r="DL39" s="42">
        <v>1.6707544951677741E-2</v>
      </c>
      <c r="DM39" s="42">
        <v>0.99244484795237642</v>
      </c>
      <c r="DN39" s="42">
        <v>4.5051963115223477E-8</v>
      </c>
      <c r="DO39" s="42">
        <v>1.908206326552568E-7</v>
      </c>
      <c r="DP39" s="42">
        <v>3.4214590276649098E-4</v>
      </c>
      <c r="DQ39" s="42">
        <v>7.8507883539627157E-8</v>
      </c>
      <c r="DR39" s="42">
        <v>1.103918505812461E-8</v>
      </c>
      <c r="DS39" s="42">
        <v>1.2959060000543672E-2</v>
      </c>
      <c r="DT39" s="42">
        <v>7.0011958514858324E-3</v>
      </c>
      <c r="DU39" s="42">
        <v>3.4498776255844119E-4</v>
      </c>
      <c r="DV39" s="42">
        <v>5.2971539367549627E-8</v>
      </c>
      <c r="DW39" s="42">
        <v>1.0590024862815572E-8</v>
      </c>
      <c r="DX39" s="42">
        <v>2.354349347474882E-7</v>
      </c>
      <c r="DY39" s="42">
        <v>1.2951670435790772E-8</v>
      </c>
      <c r="DZ39" s="42">
        <v>4.4935375672266448E-8</v>
      </c>
      <c r="EA39" s="42">
        <v>2.3085611043947699E-5</v>
      </c>
      <c r="EB39" s="42">
        <v>2.8177298276338699E-9</v>
      </c>
      <c r="EC39" s="42">
        <v>2.1503727631942636E-10</v>
      </c>
      <c r="ED39" s="42">
        <v>4.088960519069729E-3</v>
      </c>
      <c r="EE39" s="42">
        <v>5.1772078043525478E-4</v>
      </c>
      <c r="EF39" s="42">
        <v>8.6509249094021256E-7</v>
      </c>
      <c r="EG39" s="42">
        <v>3.4850868920734697E-9</v>
      </c>
      <c r="EH39" s="42">
        <v>1.4335818421295135E-9</v>
      </c>
      <c r="EI39" s="42">
        <v>7.9094170600248563E-10</v>
      </c>
      <c r="EJ39" s="42">
        <v>5.8003633551014248E-8</v>
      </c>
      <c r="EK39" s="42">
        <v>2.3575600832752325E-7</v>
      </c>
      <c r="EL39" s="42">
        <v>3.6523151381043868E-4</v>
      </c>
      <c r="EM39" s="42">
        <v>8.1325613367261027E-8</v>
      </c>
      <c r="EN39" s="42">
        <v>1.1254222334444036E-8</v>
      </c>
      <c r="EO39" s="42">
        <v>1.7048020519613401E-2</v>
      </c>
      <c r="EP39" s="42">
        <v>7.5189166319210871E-3</v>
      </c>
      <c r="EQ39" s="42">
        <v>3.458528550493814E-4</v>
      </c>
      <c r="ER39" s="42">
        <v>5.6456626259623096E-8</v>
      </c>
      <c r="ES39" s="42">
        <v>1.2023606704945085E-8</v>
      </c>
      <c r="ET39" s="42">
        <v>2.3622587645349068E-7</v>
      </c>
      <c r="EU39" s="42">
        <v>2.0082906778388886E-6</v>
      </c>
      <c r="EV39" s="42">
        <v>8.5063115046935044E-6</v>
      </c>
      <c r="EW39" s="42">
        <v>1.527313238754931E-2</v>
      </c>
      <c r="EX39" s="42">
        <v>3.5110454229787899E-6</v>
      </c>
      <c r="EY39" s="42">
        <v>4.9562253384086736E-7</v>
      </c>
      <c r="EZ39" s="42">
        <v>0.57828655086171421</v>
      </c>
      <c r="FA39" s="42">
        <v>0.31222659100094091</v>
      </c>
      <c r="FB39" s="42">
        <v>1.5490878530042123E-2</v>
      </c>
      <c r="FC39" s="42">
        <v>2.3623283089976884E-6</v>
      </c>
      <c r="FD39" s="42">
        <v>4.7227465588330769E-7</v>
      </c>
      <c r="FE39" s="42">
        <v>1.0499498748222664E-5</v>
      </c>
      <c r="FF39" s="42">
        <v>5.7734929179702893E-7</v>
      </c>
      <c r="FG39" s="42">
        <v>2.0031078281732898E-6</v>
      </c>
      <c r="FH39" s="42">
        <v>1.0305240859842177E-3</v>
      </c>
      <c r="FI39" s="42">
        <v>1.2601508241539979E-7</v>
      </c>
      <c r="FJ39" s="42">
        <v>9.6544553967083551E-9</v>
      </c>
      <c r="FK39" s="42">
        <v>0.1825068322277057</v>
      </c>
      <c r="FL39" s="42">
        <v>2.3088369157869049E-2</v>
      </c>
      <c r="FM39" s="42">
        <v>3.8844979877036834E-5</v>
      </c>
      <c r="FN39" s="42">
        <v>1.5542156264964833E-7</v>
      </c>
      <c r="FO39" s="42">
        <v>6.3932273997727683E-8</v>
      </c>
      <c r="FP39" s="42">
        <v>3.5272978757366384E-8</v>
      </c>
      <c r="FQ39" s="42">
        <v>2.5856399696359175E-6</v>
      </c>
      <c r="FR39" s="42">
        <v>1.0509419332866794E-5</v>
      </c>
      <c r="FS39" s="42">
        <v>1.6303656473533528E-2</v>
      </c>
      <c r="FT39" s="42">
        <v>3.6370605053941897E-6</v>
      </c>
      <c r="FU39" s="42">
        <v>5.0527698923757571E-7</v>
      </c>
      <c r="FV39" s="42">
        <v>0.76079338308941991</v>
      </c>
      <c r="FW39" s="42">
        <v>0.33531496015880996</v>
      </c>
      <c r="FX39" s="42">
        <v>1.5529723509919159E-2</v>
      </c>
      <c r="FY39" s="42">
        <v>2.5177498716473367E-6</v>
      </c>
      <c r="FZ39" s="42">
        <v>5.3620692988103538E-7</v>
      </c>
      <c r="GA39" s="42">
        <v>1.053477172698003E-5</v>
      </c>
      <c r="GB39" s="42">
        <v>8.0384248345896282E-6</v>
      </c>
      <c r="GC39" s="42">
        <v>1.7165481427126351E-4</v>
      </c>
      <c r="GD39" s="42">
        <v>0.61013109261781984</v>
      </c>
      <c r="GE39" s="42">
        <v>2.9421858435477665E-4</v>
      </c>
      <c r="GF39" s="42">
        <v>6.5071769335569007E-5</v>
      </c>
      <c r="GG39" s="42">
        <v>16.199772463909547</v>
      </c>
      <c r="GH39" s="42">
        <v>9.9908762401209081</v>
      </c>
      <c r="GI39" s="42">
        <v>0.68174581866788886</v>
      </c>
      <c r="GJ39" s="42">
        <v>3.7897557403963054E-5</v>
      </c>
      <c r="GK39" s="42">
        <v>9.5204903330204236E-7</v>
      </c>
      <c r="GL39" s="42">
        <v>4.6211233850577445E-4</v>
      </c>
      <c r="GM39" s="42" t="s">
        <v>455</v>
      </c>
      <c r="GN39" s="42" t="s">
        <v>455</v>
      </c>
      <c r="GO39" s="42" t="s">
        <v>455</v>
      </c>
      <c r="GP39" s="42" t="s">
        <v>455</v>
      </c>
      <c r="GQ39" s="42" t="s">
        <v>455</v>
      </c>
      <c r="GR39" s="42" t="s">
        <v>455</v>
      </c>
      <c r="GS39" s="42" t="s">
        <v>455</v>
      </c>
      <c r="GT39" s="42" t="s">
        <v>455</v>
      </c>
      <c r="GU39" s="42" t="s">
        <v>455</v>
      </c>
      <c r="GV39" s="42" t="s">
        <v>455</v>
      </c>
      <c r="GW39" s="42" t="s">
        <v>455</v>
      </c>
      <c r="GX39" s="42" t="s">
        <v>455</v>
      </c>
      <c r="GY39" s="42" t="s">
        <v>455</v>
      </c>
      <c r="GZ39" s="42" t="s">
        <v>455</v>
      </c>
      <c r="HA39" s="42" t="s">
        <v>455</v>
      </c>
      <c r="HB39" s="42" t="s">
        <v>455</v>
      </c>
      <c r="HC39" s="42" t="s">
        <v>455</v>
      </c>
      <c r="HD39" s="42" t="s">
        <v>455</v>
      </c>
      <c r="HE39" s="42" t="s">
        <v>455</v>
      </c>
      <c r="HF39" s="42" t="s">
        <v>455</v>
      </c>
      <c r="HG39" s="42" t="s">
        <v>455</v>
      </c>
      <c r="HH39" s="42" t="s">
        <v>455</v>
      </c>
      <c r="HI39" s="42" t="s">
        <v>455</v>
      </c>
      <c r="HJ39" s="42" t="s">
        <v>455</v>
      </c>
      <c r="HK39" s="42" t="s">
        <v>455</v>
      </c>
      <c r="HL39" s="42" t="s">
        <v>455</v>
      </c>
      <c r="HM39" s="42" t="s">
        <v>455</v>
      </c>
      <c r="HN39" s="42" t="s">
        <v>455</v>
      </c>
      <c r="HO39" s="42" t="s">
        <v>455</v>
      </c>
      <c r="HP39" s="42" t="s">
        <v>455</v>
      </c>
      <c r="HQ39" s="42" t="s">
        <v>455</v>
      </c>
      <c r="HR39" s="42" t="s">
        <v>455</v>
      </c>
      <c r="HS39" s="42" t="s">
        <v>455</v>
      </c>
      <c r="HT39" s="42" t="s">
        <v>455</v>
      </c>
      <c r="HU39" s="42" t="s">
        <v>455</v>
      </c>
      <c r="HV39" s="42" t="s">
        <v>455</v>
      </c>
      <c r="HW39" s="42" t="s">
        <v>455</v>
      </c>
      <c r="HX39" s="42" t="s">
        <v>455</v>
      </c>
      <c r="HY39" s="42" t="s">
        <v>455</v>
      </c>
      <c r="HZ39" s="42" t="s">
        <v>455</v>
      </c>
      <c r="IA39" s="42" t="s">
        <v>455</v>
      </c>
      <c r="IB39" s="42" t="s">
        <v>455</v>
      </c>
      <c r="IC39" s="42" t="s">
        <v>455</v>
      </c>
      <c r="ID39" s="42" t="s">
        <v>455</v>
      </c>
      <c r="IE39" s="42" t="s">
        <v>455</v>
      </c>
      <c r="IF39" s="42" t="s">
        <v>455</v>
      </c>
      <c r="IG39" s="42" t="s">
        <v>455</v>
      </c>
      <c r="IH39" s="42" t="s">
        <v>455</v>
      </c>
      <c r="II39" s="42" t="s">
        <v>455</v>
      </c>
      <c r="IJ39" s="42" t="s">
        <v>455</v>
      </c>
      <c r="IK39" s="42" t="s">
        <v>455</v>
      </c>
      <c r="IL39" s="42" t="s">
        <v>455</v>
      </c>
      <c r="IM39" s="42" t="s">
        <v>455</v>
      </c>
      <c r="IN39" s="42" t="s">
        <v>455</v>
      </c>
      <c r="IO39" s="42" t="s">
        <v>455</v>
      </c>
      <c r="IP39" s="42" t="s">
        <v>455</v>
      </c>
      <c r="IQ39" s="42" t="s">
        <v>455</v>
      </c>
      <c r="IR39" s="42" t="s">
        <v>455</v>
      </c>
      <c r="IS39" s="42" t="s">
        <v>455</v>
      </c>
      <c r="IT39" s="42" t="s">
        <v>455</v>
      </c>
      <c r="IU39" s="42" t="s">
        <v>455</v>
      </c>
      <c r="IV39" s="42" t="s">
        <v>455</v>
      </c>
      <c r="IW39" s="42" t="s">
        <v>455</v>
      </c>
      <c r="IX39" s="42" t="s">
        <v>455</v>
      </c>
      <c r="IY39" s="42" t="s">
        <v>455</v>
      </c>
      <c r="IZ39" s="42" t="s">
        <v>455</v>
      </c>
      <c r="JA39" s="42" t="s">
        <v>455</v>
      </c>
      <c r="JB39" s="42" t="s">
        <v>455</v>
      </c>
      <c r="JC39" s="42" t="s">
        <v>455</v>
      </c>
      <c r="JD39" s="42" t="s">
        <v>455</v>
      </c>
      <c r="JE39" s="42" t="s">
        <v>455</v>
      </c>
      <c r="JF39" s="42" t="s">
        <v>455</v>
      </c>
      <c r="JG39" s="42" t="s">
        <v>455</v>
      </c>
      <c r="JH39" s="42" t="s">
        <v>455</v>
      </c>
      <c r="JI39" s="42" t="s">
        <v>455</v>
      </c>
      <c r="JJ39" s="42" t="s">
        <v>455</v>
      </c>
      <c r="JK39" s="42" t="s">
        <v>455</v>
      </c>
      <c r="JL39" s="42" t="s">
        <v>455</v>
      </c>
      <c r="JM39" s="42" t="s">
        <v>455</v>
      </c>
    </row>
    <row r="40" spans="1:273">
      <c r="A40" s="42" t="s">
        <v>208</v>
      </c>
      <c r="B40" s="42" t="s">
        <v>240</v>
      </c>
      <c r="C40" s="42" t="s">
        <v>263</v>
      </c>
      <c r="D40" s="60">
        <v>41505</v>
      </c>
      <c r="E40" s="42" t="s">
        <v>265</v>
      </c>
      <c r="F40" s="42">
        <v>0.59795517722000002</v>
      </c>
      <c r="G40" s="42">
        <v>61.890243902439003</v>
      </c>
      <c r="H40" s="42">
        <v>20.020000457799998</v>
      </c>
      <c r="I40" s="42">
        <v>1</v>
      </c>
      <c r="J40" s="42">
        <v>0</v>
      </c>
      <c r="K40" s="42">
        <v>0</v>
      </c>
      <c r="L40" s="42" t="s">
        <v>454</v>
      </c>
      <c r="M40" s="42" t="s">
        <v>614</v>
      </c>
      <c r="N40" s="42">
        <v>1.9785992088923538E-23</v>
      </c>
      <c r="O40" s="61" t="s">
        <v>455</v>
      </c>
      <c r="P40" s="42">
        <v>12.212296924865477</v>
      </c>
      <c r="Q40" s="42">
        <v>0.63878546400937852</v>
      </c>
      <c r="R40" s="42">
        <v>2.5502351091562718</v>
      </c>
      <c r="S40" s="42">
        <v>0.55680464053460943</v>
      </c>
      <c r="T40" s="42" t="s">
        <v>455</v>
      </c>
      <c r="U40" s="42" t="s">
        <v>455</v>
      </c>
      <c r="V40" s="42" t="s">
        <v>456</v>
      </c>
      <c r="W40" s="42" t="s">
        <v>455</v>
      </c>
      <c r="X40" s="42">
        <v>3.8000000000000012</v>
      </c>
      <c r="Y40" s="42">
        <v>0.31622776601683772</v>
      </c>
      <c r="Z40" s="42" t="s">
        <v>456</v>
      </c>
      <c r="AA40" s="42" t="s">
        <v>455</v>
      </c>
      <c r="AB40" s="42" t="s">
        <v>456</v>
      </c>
      <c r="AC40" s="42" t="s">
        <v>455</v>
      </c>
      <c r="AD40" s="42" t="s">
        <v>622</v>
      </c>
      <c r="AE40" s="42" t="s">
        <v>104</v>
      </c>
      <c r="AF40" s="42">
        <v>5.7743747591899071E-20</v>
      </c>
      <c r="AG40" s="42">
        <v>5</v>
      </c>
      <c r="AH40" s="62">
        <v>42880.56287037037</v>
      </c>
      <c r="AI40" s="42" t="s">
        <v>621</v>
      </c>
      <c r="AJ40" s="63" t="s">
        <v>631</v>
      </c>
      <c r="AK40" s="61">
        <v>160.74041597004108</v>
      </c>
      <c r="AL40" s="61">
        <v>1.066973433946282</v>
      </c>
      <c r="AM40" s="61">
        <v>6.5820285881071694E-2</v>
      </c>
      <c r="AN40" s="61" t="s">
        <v>455</v>
      </c>
      <c r="AO40" s="61" t="s">
        <v>455</v>
      </c>
      <c r="AP40" s="61">
        <v>0.36778531542985604</v>
      </c>
      <c r="AQ40" s="61">
        <v>-0.9790330775349213</v>
      </c>
      <c r="AR40" s="61">
        <v>21.104406480569263</v>
      </c>
      <c r="AS40" s="61">
        <v>546232.27096792147</v>
      </c>
      <c r="AT40" s="61" t="s">
        <v>455</v>
      </c>
      <c r="AU40" s="61" t="s">
        <v>455</v>
      </c>
      <c r="AV40" s="42">
        <v>7.36279634517406E-6</v>
      </c>
      <c r="AW40" s="42">
        <v>7.3627963451740605E-8</v>
      </c>
      <c r="AX40" s="42">
        <v>4.0391994785784199E-7</v>
      </c>
      <c r="AY40" s="42">
        <v>6.0587992178676302E-9</v>
      </c>
      <c r="AZ40" s="42" t="s">
        <v>455</v>
      </c>
      <c r="BA40" s="42" t="s">
        <v>455</v>
      </c>
      <c r="BB40" s="42" t="s">
        <v>455</v>
      </c>
      <c r="BC40" s="42" t="s">
        <v>455</v>
      </c>
      <c r="BD40" s="42" t="s">
        <v>455</v>
      </c>
      <c r="BE40" s="42" t="s">
        <v>455</v>
      </c>
      <c r="BF40" s="42" t="s">
        <v>455</v>
      </c>
      <c r="BG40" s="42" t="s">
        <v>455</v>
      </c>
      <c r="BH40" s="42" t="s">
        <v>455</v>
      </c>
      <c r="BI40" s="42" t="s">
        <v>455</v>
      </c>
      <c r="BJ40" s="42" t="s">
        <v>455</v>
      </c>
      <c r="BK40" s="42" t="s">
        <v>455</v>
      </c>
      <c r="BL40" s="42" t="s">
        <v>455</v>
      </c>
      <c r="BM40" s="42" t="s">
        <v>455</v>
      </c>
      <c r="BN40" s="42" t="s">
        <v>455</v>
      </c>
      <c r="BO40" s="42" t="s">
        <v>455</v>
      </c>
      <c r="BP40" s="42" t="s">
        <v>455</v>
      </c>
      <c r="BQ40" s="42" t="s">
        <v>455</v>
      </c>
      <c r="BR40" s="42" t="s">
        <v>455</v>
      </c>
      <c r="BS40" s="42" t="s">
        <v>455</v>
      </c>
      <c r="BT40" s="42" t="s">
        <v>455</v>
      </c>
      <c r="BU40" s="42" t="s">
        <v>455</v>
      </c>
      <c r="BV40" s="42" t="s">
        <v>455</v>
      </c>
      <c r="BW40" s="42" t="s">
        <v>455</v>
      </c>
      <c r="BX40" s="42" t="s">
        <v>455</v>
      </c>
      <c r="BY40" s="42" t="s">
        <v>455</v>
      </c>
      <c r="BZ40" s="42" t="s">
        <v>455</v>
      </c>
      <c r="CA40" s="42" t="s">
        <v>455</v>
      </c>
      <c r="CB40" s="42" t="s">
        <v>455</v>
      </c>
      <c r="CC40" s="42" t="s">
        <v>455</v>
      </c>
      <c r="CD40" s="42" t="s">
        <v>455</v>
      </c>
      <c r="CE40" s="42" t="s">
        <v>455</v>
      </c>
      <c r="CF40" s="42" t="s">
        <v>455</v>
      </c>
      <c r="CG40" s="42" t="s">
        <v>455</v>
      </c>
      <c r="CH40" s="42" t="s">
        <v>455</v>
      </c>
      <c r="CI40" s="42" t="s">
        <v>455</v>
      </c>
      <c r="CJ40" s="42" t="s">
        <v>455</v>
      </c>
      <c r="CK40" s="42" t="s">
        <v>455</v>
      </c>
      <c r="CL40" s="42" t="s">
        <v>455</v>
      </c>
      <c r="CM40" s="42" t="s">
        <v>455</v>
      </c>
      <c r="CN40" s="42" t="s">
        <v>455</v>
      </c>
      <c r="CO40" s="42" t="s">
        <v>455</v>
      </c>
      <c r="CP40" s="42" t="s">
        <v>455</v>
      </c>
      <c r="CQ40" s="42" t="s">
        <v>455</v>
      </c>
      <c r="CR40" s="42">
        <v>0.68990655298981096</v>
      </c>
      <c r="CS40" s="42">
        <v>6.8990655298981102E-2</v>
      </c>
      <c r="CT40" s="42" t="s">
        <v>455</v>
      </c>
      <c r="CU40" s="42" t="s">
        <v>455</v>
      </c>
      <c r="CV40" s="42" t="s">
        <v>455</v>
      </c>
      <c r="CW40" s="42" t="s">
        <v>455</v>
      </c>
      <c r="CX40" s="42">
        <v>23.403517875689399</v>
      </c>
      <c r="CY40" s="42">
        <v>2.3403517875689399</v>
      </c>
      <c r="CZ40" s="42">
        <v>0.22234188776764399</v>
      </c>
      <c r="DA40" s="42">
        <v>2.2234188776764401E-2</v>
      </c>
      <c r="DB40" s="42">
        <v>16.4822830633439</v>
      </c>
      <c r="DC40" s="42">
        <v>1.6482283063343901</v>
      </c>
      <c r="DD40" s="42">
        <v>22.0824839531031</v>
      </c>
      <c r="DE40" s="42">
        <v>2.20824839531031</v>
      </c>
      <c r="DF40" s="42" t="s">
        <v>455</v>
      </c>
      <c r="DG40" s="42" t="s">
        <v>455</v>
      </c>
      <c r="DH40" s="42" t="s">
        <v>455</v>
      </c>
      <c r="DI40" s="42" t="s">
        <v>455</v>
      </c>
      <c r="DJ40" s="42">
        <v>0.99994224440269375</v>
      </c>
      <c r="DK40" s="42">
        <v>0.99257107599482886</v>
      </c>
      <c r="DL40" s="42">
        <v>1.4017268767681256E-2</v>
      </c>
      <c r="DM40" s="42">
        <v>0.99246546235562749</v>
      </c>
      <c r="DN40" s="42">
        <v>4.5522303754541221E-8</v>
      </c>
      <c r="DO40" s="42">
        <v>1.9541612931457705E-7</v>
      </c>
      <c r="DP40" s="42">
        <v>3.6285790272992137E-4</v>
      </c>
      <c r="DQ40" s="42">
        <v>8.4494830784634315E-8</v>
      </c>
      <c r="DR40" s="42">
        <v>1.2071708560311795E-8</v>
      </c>
      <c r="DS40" s="42">
        <v>1.3682640103922502E-2</v>
      </c>
      <c r="DT40" s="42">
        <v>7.4284355336841591E-3</v>
      </c>
      <c r="DU40" s="42">
        <v>3.7719144053356837E-4</v>
      </c>
      <c r="DV40" s="42">
        <v>5.6486317171160324E-8</v>
      </c>
      <c r="DW40" s="42">
        <v>1.0862740044351433E-8</v>
      </c>
      <c r="DX40" s="42">
        <v>2.5868118473711427E-7</v>
      </c>
      <c r="DY40" s="42">
        <v>1.3363231971978866E-8</v>
      </c>
      <c r="DZ40" s="42">
        <v>4.6363274284460998E-8</v>
      </c>
      <c r="EA40" s="42">
        <v>2.381919591951955E-5</v>
      </c>
      <c r="EB40" s="42">
        <v>2.9072680244381514E-9</v>
      </c>
      <c r="EC40" s="42">
        <v>2.2187045449659633E-10</v>
      </c>
      <c r="ED40" s="42">
        <v>5.0298673519297045E-3</v>
      </c>
      <c r="EE40" s="42">
        <v>5.3417224596387283E-4</v>
      </c>
      <c r="EF40" s="42">
        <v>8.9258228820469129E-7</v>
      </c>
      <c r="EG40" s="42">
        <v>3.5958315039103396E-9</v>
      </c>
      <c r="EH40" s="42">
        <v>1.4791363633106372E-9</v>
      </c>
      <c r="EI40" s="42">
        <v>8.1607523493002043E-10</v>
      </c>
      <c r="EJ40" s="42">
        <v>5.8885535726520087E-8</v>
      </c>
      <c r="EK40" s="42">
        <v>2.4177940359903805E-7</v>
      </c>
      <c r="EL40" s="42">
        <v>3.8667709864944092E-4</v>
      </c>
      <c r="EM40" s="42">
        <v>8.7402098809072466E-8</v>
      </c>
      <c r="EN40" s="42">
        <v>1.2293579014808391E-8</v>
      </c>
      <c r="EO40" s="42">
        <v>1.8712507455852206E-2</v>
      </c>
      <c r="EP40" s="42">
        <v>7.9626077796480319E-3</v>
      </c>
      <c r="EQ40" s="42">
        <v>3.7808402282177306E-4</v>
      </c>
      <c r="ER40" s="42">
        <v>6.0082148675070663E-8</v>
      </c>
      <c r="ES40" s="42">
        <v>1.2341876407662071E-8</v>
      </c>
      <c r="ET40" s="42">
        <v>2.5949725997204429E-7</v>
      </c>
      <c r="EU40" s="42">
        <v>2.0299950224940896E-6</v>
      </c>
      <c r="EV40" s="42">
        <v>8.7143349013085978E-6</v>
      </c>
      <c r="EW40" s="42">
        <v>1.6203590045140888E-2</v>
      </c>
      <c r="EX40" s="42">
        <v>3.780168921401301E-6</v>
      </c>
      <c r="EY40" s="42">
        <v>5.4217646304967735E-7</v>
      </c>
      <c r="EZ40" s="42">
        <v>0.61079768655362365</v>
      </c>
      <c r="FA40" s="42">
        <v>0.33140030784120905</v>
      </c>
      <c r="FB40" s="42">
        <v>1.6943068847608891E-2</v>
      </c>
      <c r="FC40" s="42">
        <v>2.5199899513773744E-6</v>
      </c>
      <c r="FD40" s="42">
        <v>4.8461286072596541E-7</v>
      </c>
      <c r="FE40" s="42">
        <v>1.1540387456535105E-5</v>
      </c>
      <c r="FF40" s="42">
        <v>5.9591216063718662E-7</v>
      </c>
      <c r="FG40" s="42">
        <v>2.0675115235018828E-6</v>
      </c>
      <c r="FH40" s="42">
        <v>1.06365737932421E-3</v>
      </c>
      <c r="FI40" s="42">
        <v>1.3006670502929046E-7</v>
      </c>
      <c r="FJ40" s="42">
        <v>9.96486434983004E-9</v>
      </c>
      <c r="FK40" s="42">
        <v>0.22454281598284509</v>
      </c>
      <c r="FL40" s="42">
        <v>2.3830703780081286E-2</v>
      </c>
      <c r="FM40" s="42">
        <v>4.0093919257064292E-5</v>
      </c>
      <c r="FN40" s="42">
        <v>1.6041865907531119E-7</v>
      </c>
      <c r="FO40" s="42">
        <v>6.5987817208283965E-8</v>
      </c>
      <c r="FP40" s="42">
        <v>3.6407071563190628E-8</v>
      </c>
      <c r="FQ40" s="42">
        <v>2.6259071831312762E-6</v>
      </c>
      <c r="FR40" s="42">
        <v>1.0781846424810481E-5</v>
      </c>
      <c r="FS40" s="42">
        <v>1.7267247424465098E-2</v>
      </c>
      <c r="FT40" s="42">
        <v>3.9102356264305914E-6</v>
      </c>
      <c r="FU40" s="42">
        <v>5.5214132739950739E-7</v>
      </c>
      <c r="FV40" s="42">
        <v>0.83534050253646874</v>
      </c>
      <c r="FW40" s="42">
        <v>0.35523101162129034</v>
      </c>
      <c r="FX40" s="42">
        <v>1.6983162766865956E-2</v>
      </c>
      <c r="FY40" s="42">
        <v>2.6804086104526856E-6</v>
      </c>
      <c r="FZ40" s="42">
        <v>5.5060067793424938E-7</v>
      </c>
      <c r="GA40" s="42">
        <v>1.1576794528098296E-5</v>
      </c>
      <c r="GB40" s="42">
        <v>8.1252990829342975E-6</v>
      </c>
      <c r="GC40" s="42">
        <v>1.7585266400793712E-4</v>
      </c>
      <c r="GD40" s="42">
        <v>0.64730101512328819</v>
      </c>
      <c r="GE40" s="42">
        <v>3.1677059527558622E-4</v>
      </c>
      <c r="GF40" s="42">
        <v>7.1183974363181297E-5</v>
      </c>
      <c r="GG40" s="42">
        <v>17.110519912501282</v>
      </c>
      <c r="GH40" s="42">
        <v>10.60441217054928</v>
      </c>
      <c r="GI40" s="42">
        <v>0.74565598844884351</v>
      </c>
      <c r="GJ40" s="42">
        <v>4.0426837995373473E-5</v>
      </c>
      <c r="GK40" s="42">
        <v>9.7692137368025919E-7</v>
      </c>
      <c r="GL40" s="42">
        <v>5.0792476504698831E-4</v>
      </c>
      <c r="GM40" s="42" t="s">
        <v>455</v>
      </c>
      <c r="GN40" s="42" t="s">
        <v>455</v>
      </c>
      <c r="GO40" s="42" t="s">
        <v>455</v>
      </c>
      <c r="GP40" s="42" t="s">
        <v>455</v>
      </c>
      <c r="GQ40" s="42" t="s">
        <v>455</v>
      </c>
      <c r="GR40" s="42" t="s">
        <v>455</v>
      </c>
      <c r="GS40" s="42" t="s">
        <v>455</v>
      </c>
      <c r="GT40" s="42" t="s">
        <v>455</v>
      </c>
      <c r="GU40" s="42" t="s">
        <v>455</v>
      </c>
      <c r="GV40" s="42" t="s">
        <v>455</v>
      </c>
      <c r="GW40" s="42" t="s">
        <v>455</v>
      </c>
      <c r="GX40" s="42" t="s">
        <v>455</v>
      </c>
      <c r="GY40" s="42" t="s">
        <v>455</v>
      </c>
      <c r="GZ40" s="42" t="s">
        <v>455</v>
      </c>
      <c r="HA40" s="42" t="s">
        <v>455</v>
      </c>
      <c r="HB40" s="42" t="s">
        <v>455</v>
      </c>
      <c r="HC40" s="42" t="s">
        <v>455</v>
      </c>
      <c r="HD40" s="42" t="s">
        <v>455</v>
      </c>
      <c r="HE40" s="42" t="s">
        <v>455</v>
      </c>
      <c r="HF40" s="42" t="s">
        <v>455</v>
      </c>
      <c r="HG40" s="42" t="s">
        <v>455</v>
      </c>
      <c r="HH40" s="42" t="s">
        <v>455</v>
      </c>
      <c r="HI40" s="42" t="s">
        <v>455</v>
      </c>
      <c r="HJ40" s="42" t="s">
        <v>455</v>
      </c>
      <c r="HK40" s="42" t="s">
        <v>455</v>
      </c>
      <c r="HL40" s="42" t="s">
        <v>455</v>
      </c>
      <c r="HM40" s="42" t="s">
        <v>455</v>
      </c>
      <c r="HN40" s="42" t="s">
        <v>455</v>
      </c>
      <c r="HO40" s="42" t="s">
        <v>455</v>
      </c>
      <c r="HP40" s="42" t="s">
        <v>455</v>
      </c>
      <c r="HQ40" s="42" t="s">
        <v>455</v>
      </c>
      <c r="HR40" s="42" t="s">
        <v>455</v>
      </c>
      <c r="HS40" s="42" t="s">
        <v>455</v>
      </c>
      <c r="HT40" s="42" t="s">
        <v>455</v>
      </c>
      <c r="HU40" s="42" t="s">
        <v>455</v>
      </c>
      <c r="HV40" s="42" t="s">
        <v>455</v>
      </c>
      <c r="HW40" s="42" t="s">
        <v>455</v>
      </c>
      <c r="HX40" s="42" t="s">
        <v>455</v>
      </c>
      <c r="HY40" s="42" t="s">
        <v>455</v>
      </c>
      <c r="HZ40" s="42" t="s">
        <v>455</v>
      </c>
      <c r="IA40" s="42" t="s">
        <v>455</v>
      </c>
      <c r="IB40" s="42" t="s">
        <v>455</v>
      </c>
      <c r="IC40" s="42" t="s">
        <v>455</v>
      </c>
      <c r="ID40" s="42" t="s">
        <v>455</v>
      </c>
      <c r="IE40" s="42" t="s">
        <v>455</v>
      </c>
      <c r="IF40" s="42" t="s">
        <v>455</v>
      </c>
      <c r="IG40" s="42" t="s">
        <v>455</v>
      </c>
      <c r="IH40" s="42" t="s">
        <v>455</v>
      </c>
      <c r="II40" s="42" t="s">
        <v>455</v>
      </c>
      <c r="IJ40" s="42" t="s">
        <v>455</v>
      </c>
      <c r="IK40" s="42" t="s">
        <v>455</v>
      </c>
      <c r="IL40" s="42" t="s">
        <v>455</v>
      </c>
      <c r="IM40" s="42" t="s">
        <v>455</v>
      </c>
      <c r="IN40" s="42" t="s">
        <v>455</v>
      </c>
      <c r="IO40" s="42" t="s">
        <v>455</v>
      </c>
      <c r="IP40" s="42" t="s">
        <v>455</v>
      </c>
      <c r="IQ40" s="42" t="s">
        <v>455</v>
      </c>
      <c r="IR40" s="42" t="s">
        <v>455</v>
      </c>
      <c r="IS40" s="42" t="s">
        <v>455</v>
      </c>
      <c r="IT40" s="42" t="s">
        <v>455</v>
      </c>
      <c r="IU40" s="42" t="s">
        <v>455</v>
      </c>
      <c r="IV40" s="42" t="s">
        <v>455</v>
      </c>
      <c r="IW40" s="42" t="s">
        <v>455</v>
      </c>
      <c r="IX40" s="42" t="s">
        <v>455</v>
      </c>
      <c r="IY40" s="42" t="s">
        <v>455</v>
      </c>
      <c r="IZ40" s="42" t="s">
        <v>455</v>
      </c>
      <c r="JA40" s="42" t="s">
        <v>455</v>
      </c>
      <c r="JB40" s="42" t="s">
        <v>455</v>
      </c>
      <c r="JC40" s="42" t="s">
        <v>455</v>
      </c>
      <c r="JD40" s="42" t="s">
        <v>455</v>
      </c>
      <c r="JE40" s="42" t="s">
        <v>455</v>
      </c>
      <c r="JF40" s="42" t="s">
        <v>455</v>
      </c>
      <c r="JG40" s="42" t="s">
        <v>455</v>
      </c>
      <c r="JH40" s="42" t="s">
        <v>455</v>
      </c>
      <c r="JI40" s="42" t="s">
        <v>455</v>
      </c>
      <c r="JJ40" s="42" t="s">
        <v>455</v>
      </c>
      <c r="JK40" s="42" t="s">
        <v>455</v>
      </c>
      <c r="JL40" s="42" t="s">
        <v>455</v>
      </c>
      <c r="JM40" s="42" t="s">
        <v>455</v>
      </c>
    </row>
    <row r="41" spans="1:273">
      <c r="A41" s="42" t="s">
        <v>208</v>
      </c>
      <c r="B41" s="42" t="s">
        <v>240</v>
      </c>
      <c r="C41" s="42" t="s">
        <v>258</v>
      </c>
      <c r="D41" s="60">
        <v>41522</v>
      </c>
      <c r="E41" s="42" t="s">
        <v>260</v>
      </c>
      <c r="F41" s="42">
        <v>6.4662381120000001E-2</v>
      </c>
      <c r="G41" s="42">
        <v>64.634146341463406</v>
      </c>
      <c r="H41" s="42">
        <v>18.7999992371</v>
      </c>
      <c r="I41" s="42">
        <v>1</v>
      </c>
      <c r="J41" s="42">
        <v>0</v>
      </c>
      <c r="K41" s="42">
        <v>0</v>
      </c>
      <c r="L41" s="42" t="s">
        <v>454</v>
      </c>
      <c r="M41" s="42" t="s">
        <v>614</v>
      </c>
      <c r="N41" s="42">
        <v>3.0562918786647569E-26</v>
      </c>
      <c r="O41" s="61" t="s">
        <v>455</v>
      </c>
      <c r="P41" s="42">
        <v>13.600681268230268</v>
      </c>
      <c r="Q41" s="42">
        <v>0.67124283591740497</v>
      </c>
      <c r="R41" s="42">
        <v>2.515208612969845</v>
      </c>
      <c r="S41" s="42">
        <v>0.55725110683982737</v>
      </c>
      <c r="T41" s="42" t="s">
        <v>455</v>
      </c>
      <c r="U41" s="42" t="s">
        <v>455</v>
      </c>
      <c r="V41" s="42" t="s">
        <v>456</v>
      </c>
      <c r="W41" s="42" t="s">
        <v>455</v>
      </c>
      <c r="X41" s="42">
        <v>2.5000000000000004</v>
      </c>
      <c r="Y41" s="42">
        <v>0.31622776601684122</v>
      </c>
      <c r="Z41" s="42" t="s">
        <v>456</v>
      </c>
      <c r="AA41" s="42" t="s">
        <v>455</v>
      </c>
      <c r="AB41" s="42" t="s">
        <v>456</v>
      </c>
      <c r="AC41" s="42" t="s">
        <v>455</v>
      </c>
      <c r="AD41" s="42" t="s">
        <v>622</v>
      </c>
      <c r="AE41" s="42" t="s">
        <v>104</v>
      </c>
      <c r="AF41" s="42">
        <v>2.7068903605989308E-11</v>
      </c>
      <c r="AG41" s="42">
        <v>4</v>
      </c>
      <c r="AH41" s="62">
        <v>42880.56287037037</v>
      </c>
      <c r="AI41" s="42" t="s">
        <v>621</v>
      </c>
      <c r="AJ41" s="63" t="s">
        <v>630</v>
      </c>
      <c r="AK41" s="61">
        <v>0.66996478556476236</v>
      </c>
      <c r="AL41" s="61">
        <v>0.65437156425603371</v>
      </c>
      <c r="AM41" s="61">
        <v>6.6715689578923376E-2</v>
      </c>
      <c r="AN41" s="61" t="s">
        <v>455</v>
      </c>
      <c r="AO41" s="61" t="s">
        <v>455</v>
      </c>
      <c r="AP41" s="61">
        <v>0.2971471029095698</v>
      </c>
      <c r="AQ41" s="61">
        <v>-0.97565377089629512</v>
      </c>
      <c r="AR41" s="61">
        <v>111.31791607371163</v>
      </c>
      <c r="AS41" s="61">
        <v>466.98332261889811</v>
      </c>
      <c r="AT41" s="61" t="s">
        <v>455</v>
      </c>
      <c r="AU41" s="61" t="s">
        <v>455</v>
      </c>
      <c r="AV41" s="42">
        <v>7.5800000000000004E-8</v>
      </c>
      <c r="AW41" s="42">
        <v>7.5800000000000007E-10</v>
      </c>
      <c r="AX41" s="42">
        <v>3.2020000000000002E-7</v>
      </c>
      <c r="AY41" s="42">
        <v>3.9E-10</v>
      </c>
      <c r="AZ41" s="42" t="s">
        <v>455</v>
      </c>
      <c r="BA41" s="42" t="s">
        <v>455</v>
      </c>
      <c r="BB41" s="42" t="s">
        <v>455</v>
      </c>
      <c r="BC41" s="42" t="s">
        <v>455</v>
      </c>
      <c r="BD41" s="42" t="s">
        <v>455</v>
      </c>
      <c r="BE41" s="42" t="s">
        <v>455</v>
      </c>
      <c r="BF41" s="42" t="s">
        <v>455</v>
      </c>
      <c r="BG41" s="42" t="s">
        <v>455</v>
      </c>
      <c r="BH41" s="42" t="s">
        <v>455</v>
      </c>
      <c r="BI41" s="42" t="s">
        <v>455</v>
      </c>
      <c r="BJ41" s="42" t="s">
        <v>455</v>
      </c>
      <c r="BK41" s="42" t="s">
        <v>455</v>
      </c>
      <c r="BL41" s="42" t="s">
        <v>455</v>
      </c>
      <c r="BM41" s="42" t="s">
        <v>455</v>
      </c>
      <c r="BN41" s="42" t="s">
        <v>455</v>
      </c>
      <c r="BO41" s="42" t="s">
        <v>455</v>
      </c>
      <c r="BP41" s="42" t="s">
        <v>455</v>
      </c>
      <c r="BQ41" s="42" t="s">
        <v>455</v>
      </c>
      <c r="BR41" s="42" t="s">
        <v>455</v>
      </c>
      <c r="BS41" s="42" t="s">
        <v>455</v>
      </c>
      <c r="BT41" s="42" t="s">
        <v>455</v>
      </c>
      <c r="BU41" s="42" t="s">
        <v>455</v>
      </c>
      <c r="BV41" s="42" t="s">
        <v>455</v>
      </c>
      <c r="BW41" s="42" t="s">
        <v>455</v>
      </c>
      <c r="BX41" s="42" t="s">
        <v>455</v>
      </c>
      <c r="BY41" s="42" t="s">
        <v>455</v>
      </c>
      <c r="BZ41" s="42" t="s">
        <v>455</v>
      </c>
      <c r="CA41" s="42" t="s">
        <v>455</v>
      </c>
      <c r="CB41" s="42" t="s">
        <v>455</v>
      </c>
      <c r="CC41" s="42" t="s">
        <v>455</v>
      </c>
      <c r="CD41" s="42" t="s">
        <v>455</v>
      </c>
      <c r="CE41" s="42" t="s">
        <v>455</v>
      </c>
      <c r="CF41" s="42" t="s">
        <v>455</v>
      </c>
      <c r="CG41" s="42" t="s">
        <v>455</v>
      </c>
      <c r="CH41" s="42" t="s">
        <v>455</v>
      </c>
      <c r="CI41" s="42" t="s">
        <v>455</v>
      </c>
      <c r="CJ41" s="42" t="s">
        <v>455</v>
      </c>
      <c r="CK41" s="42" t="s">
        <v>455</v>
      </c>
      <c r="CL41" s="42" t="s">
        <v>455</v>
      </c>
      <c r="CM41" s="42" t="s">
        <v>455</v>
      </c>
      <c r="CN41" s="42" t="s">
        <v>455</v>
      </c>
      <c r="CO41" s="42" t="s">
        <v>455</v>
      </c>
      <c r="CP41" s="42" t="s">
        <v>455</v>
      </c>
      <c r="CQ41" s="42" t="s">
        <v>455</v>
      </c>
      <c r="CR41" s="42">
        <v>0.671547047127945</v>
      </c>
      <c r="CS41" s="42">
        <v>6.71547047127945E-2</v>
      </c>
      <c r="CT41" s="42" t="s">
        <v>455</v>
      </c>
      <c r="CU41" s="42" t="s">
        <v>455</v>
      </c>
      <c r="CV41" s="42" t="s">
        <v>455</v>
      </c>
      <c r="CW41" s="42" t="s">
        <v>455</v>
      </c>
      <c r="CX41" s="42">
        <v>21.640836349807099</v>
      </c>
      <c r="CY41" s="42">
        <v>2.16408363498071</v>
      </c>
      <c r="CZ41" s="42">
        <v>0.25102677834305298</v>
      </c>
      <c r="DA41" s="42">
        <v>2.5102677834305299E-2</v>
      </c>
      <c r="DB41" s="42">
        <v>80.120938337504001</v>
      </c>
      <c r="DC41" s="42">
        <v>8.0120938337504004</v>
      </c>
      <c r="DD41" s="42">
        <v>1.83497860568748E-2</v>
      </c>
      <c r="DE41" s="42">
        <v>1.8349786056874801E-3</v>
      </c>
      <c r="DF41" s="42" t="s">
        <v>455</v>
      </c>
      <c r="DG41" s="42" t="s">
        <v>455</v>
      </c>
      <c r="DH41" s="42" t="s">
        <v>455</v>
      </c>
      <c r="DI41" s="42" t="s">
        <v>455</v>
      </c>
      <c r="DJ41" s="42">
        <v>0.99935134218631561</v>
      </c>
      <c r="DK41" s="42">
        <v>0.99224299550553974</v>
      </c>
      <c r="DL41" s="42">
        <v>1.5355761049841014E-2</v>
      </c>
      <c r="DM41" s="42">
        <v>0.99212202317587228</v>
      </c>
      <c r="DN41" s="42">
        <v>4.5390178676351754E-8</v>
      </c>
      <c r="DO41" s="42">
        <v>1.9354781411755774E-7</v>
      </c>
      <c r="DP41" s="42">
        <v>3.5311386882852671E-4</v>
      </c>
      <c r="DQ41" s="42">
        <v>8.1615848503233218E-8</v>
      </c>
      <c r="DR41" s="42">
        <v>1.1556308503462775E-8</v>
      </c>
      <c r="DS41" s="42">
        <v>1.3348984380307273E-2</v>
      </c>
      <c r="DT41" s="42">
        <v>7.2269628700612001E-3</v>
      </c>
      <c r="DU41" s="42">
        <v>3.6105804387992539E-4</v>
      </c>
      <c r="DV41" s="42">
        <v>5.4818964915624502E-8</v>
      </c>
      <c r="DW41" s="42">
        <v>1.0747123161550145E-8</v>
      </c>
      <c r="DX41" s="42">
        <v>2.4705494181964584E-7</v>
      </c>
      <c r="DY41" s="42">
        <v>1.317969313196199E-8</v>
      </c>
      <c r="DZ41" s="42">
        <v>4.572649258379179E-8</v>
      </c>
      <c r="EA41" s="42">
        <v>2.3492048445138375E-5</v>
      </c>
      <c r="EB41" s="42">
        <v>2.8673378187856161E-9</v>
      </c>
      <c r="EC41" s="42">
        <v>2.1882314932837654E-10</v>
      </c>
      <c r="ED41" s="42">
        <v>3.963016131046191E-3</v>
      </c>
      <c r="EE41" s="42">
        <v>5.2683559607266325E-4</v>
      </c>
      <c r="EF41" s="42">
        <v>8.8032301453946481E-7</v>
      </c>
      <c r="EG41" s="42">
        <v>3.5464441442874833E-9</v>
      </c>
      <c r="EH41" s="42">
        <v>1.4588209955225103E-9</v>
      </c>
      <c r="EI41" s="42">
        <v>8.048667561503651E-10</v>
      </c>
      <c r="EJ41" s="42">
        <v>5.8569871808313744E-8</v>
      </c>
      <c r="EK41" s="42">
        <v>2.3927430670134953E-7</v>
      </c>
      <c r="EL41" s="42">
        <v>3.7660591727366508E-4</v>
      </c>
      <c r="EM41" s="42">
        <v>8.4483186322018834E-8</v>
      </c>
      <c r="EN41" s="42">
        <v>1.1775131652791152E-8</v>
      </c>
      <c r="EO41" s="42">
        <v>1.7312000511353464E-2</v>
      </c>
      <c r="EP41" s="42">
        <v>7.7537984661338634E-3</v>
      </c>
      <c r="EQ41" s="42">
        <v>3.6193836689446486E-4</v>
      </c>
      <c r="ER41" s="42">
        <v>5.8365409059911985E-8</v>
      </c>
      <c r="ES41" s="42">
        <v>1.2205944157072655E-8</v>
      </c>
      <c r="ET41" s="42">
        <v>2.478598085757962E-7</v>
      </c>
      <c r="EU41" s="42">
        <v>2.0229069978374873E-6</v>
      </c>
      <c r="EV41" s="42">
        <v>8.6259193670003739E-6</v>
      </c>
      <c r="EW41" s="42">
        <v>1.575914747598919E-2</v>
      </c>
      <c r="EX41" s="42">
        <v>3.6492099511866716E-6</v>
      </c>
      <c r="EY41" s="42">
        <v>5.187215954397508E-7</v>
      </c>
      <c r="EZ41" s="42">
        <v>0.59555104124176217</v>
      </c>
      <c r="FA41" s="42">
        <v>0.32222160453851734</v>
      </c>
      <c r="FB41" s="42">
        <v>1.6208788498206242E-2</v>
      </c>
      <c r="FC41" s="42">
        <v>2.4441601751447261E-6</v>
      </c>
      <c r="FD41" s="42">
        <v>4.7917158722837412E-7</v>
      </c>
      <c r="FE41" s="42">
        <v>1.10151997725183E-5</v>
      </c>
      <c r="FF41" s="42">
        <v>5.8738022725359069E-7</v>
      </c>
      <c r="FG41" s="42">
        <v>2.0379100624921362E-6</v>
      </c>
      <c r="FH41" s="42">
        <v>1.048428534365483E-3</v>
      </c>
      <c r="FI41" s="42">
        <v>1.2820448348719742E-7</v>
      </c>
      <c r="FJ41" s="42">
        <v>9.8221930562648307E-9</v>
      </c>
      <c r="FK41" s="42">
        <v>0.17686372718340893</v>
      </c>
      <c r="FL41" s="42">
        <v>2.3489509237384854E-2</v>
      </c>
      <c r="FM41" s="42">
        <v>3.9519877190488661E-5</v>
      </c>
      <c r="FN41" s="42">
        <v>1.5812187541636885E-7</v>
      </c>
      <c r="FO41" s="42">
        <v>6.5043040951414162E-8</v>
      </c>
      <c r="FP41" s="42">
        <v>3.5885815697332419E-8</v>
      </c>
      <c r="FQ41" s="42">
        <v>2.610287225091078E-6</v>
      </c>
      <c r="FR41" s="42">
        <v>1.066382942949251E-5</v>
      </c>
      <c r="FS41" s="42">
        <v>1.6807576010354673E-2</v>
      </c>
      <c r="FT41" s="42">
        <v>3.777414434673869E-6</v>
      </c>
      <c r="FU41" s="42">
        <v>5.2854378849601563E-7</v>
      </c>
      <c r="FV41" s="42">
        <v>0.77241476842517109</v>
      </c>
      <c r="FW41" s="42">
        <v>0.34571111377590219</v>
      </c>
      <c r="FX41" s="42">
        <v>1.6248308375396731E-2</v>
      </c>
      <c r="FY41" s="42">
        <v>2.6022820505610949E-6</v>
      </c>
      <c r="FZ41" s="42">
        <v>5.4421462817978828E-7</v>
      </c>
      <c r="GA41" s="42">
        <v>1.1051085588215632E-5</v>
      </c>
      <c r="GB41" s="42">
        <v>8.0969284122656826E-6</v>
      </c>
      <c r="GC41" s="42">
        <v>1.7406846505025746E-4</v>
      </c>
      <c r="GD41" s="42">
        <v>0.62954642337081612</v>
      </c>
      <c r="GE41" s="42">
        <v>3.0579649548954073E-4</v>
      </c>
      <c r="GF41" s="42">
        <v>6.8104514430071211E-5</v>
      </c>
      <c r="GG41" s="42">
        <v>16.683409538721982</v>
      </c>
      <c r="GH41" s="42">
        <v>10.310704679307108</v>
      </c>
      <c r="GI41" s="42">
        <v>0.71334067741180762</v>
      </c>
      <c r="GJ41" s="42">
        <v>3.9210341843352255E-5</v>
      </c>
      <c r="GK41" s="42">
        <v>9.6595241926193481E-7</v>
      </c>
      <c r="GL41" s="42">
        <v>4.8480978454789339E-4</v>
      </c>
      <c r="GM41" s="42" t="s">
        <v>455</v>
      </c>
      <c r="GN41" s="42" t="s">
        <v>455</v>
      </c>
      <c r="GO41" s="42" t="s">
        <v>455</v>
      </c>
      <c r="GP41" s="42" t="s">
        <v>455</v>
      </c>
      <c r="GQ41" s="42" t="s">
        <v>455</v>
      </c>
      <c r="GR41" s="42" t="s">
        <v>455</v>
      </c>
      <c r="GS41" s="42" t="s">
        <v>455</v>
      </c>
      <c r="GT41" s="42" t="s">
        <v>455</v>
      </c>
      <c r="GU41" s="42" t="s">
        <v>455</v>
      </c>
      <c r="GV41" s="42" t="s">
        <v>455</v>
      </c>
      <c r="GW41" s="42" t="s">
        <v>455</v>
      </c>
      <c r="GX41" s="42" t="s">
        <v>455</v>
      </c>
      <c r="GY41" s="42" t="s">
        <v>455</v>
      </c>
      <c r="GZ41" s="42" t="s">
        <v>455</v>
      </c>
      <c r="HA41" s="42" t="s">
        <v>455</v>
      </c>
      <c r="HB41" s="42" t="s">
        <v>455</v>
      </c>
      <c r="HC41" s="42" t="s">
        <v>455</v>
      </c>
      <c r="HD41" s="42" t="s">
        <v>455</v>
      </c>
      <c r="HE41" s="42" t="s">
        <v>455</v>
      </c>
      <c r="HF41" s="42" t="s">
        <v>455</v>
      </c>
      <c r="HG41" s="42" t="s">
        <v>455</v>
      </c>
      <c r="HH41" s="42" t="s">
        <v>455</v>
      </c>
      <c r="HI41" s="42" t="s">
        <v>455</v>
      </c>
      <c r="HJ41" s="42" t="s">
        <v>455</v>
      </c>
      <c r="HK41" s="42" t="s">
        <v>455</v>
      </c>
      <c r="HL41" s="42" t="s">
        <v>455</v>
      </c>
      <c r="HM41" s="42" t="s">
        <v>455</v>
      </c>
      <c r="HN41" s="42" t="s">
        <v>455</v>
      </c>
      <c r="HO41" s="42" t="s">
        <v>455</v>
      </c>
      <c r="HP41" s="42" t="s">
        <v>455</v>
      </c>
      <c r="HQ41" s="42" t="s">
        <v>455</v>
      </c>
      <c r="HR41" s="42" t="s">
        <v>455</v>
      </c>
      <c r="HS41" s="42" t="s">
        <v>455</v>
      </c>
      <c r="HT41" s="42" t="s">
        <v>455</v>
      </c>
      <c r="HU41" s="42" t="s">
        <v>455</v>
      </c>
      <c r="HV41" s="42" t="s">
        <v>455</v>
      </c>
      <c r="HW41" s="42" t="s">
        <v>455</v>
      </c>
      <c r="HX41" s="42" t="s">
        <v>455</v>
      </c>
      <c r="HY41" s="42" t="s">
        <v>455</v>
      </c>
      <c r="HZ41" s="42" t="s">
        <v>455</v>
      </c>
      <c r="IA41" s="42" t="s">
        <v>455</v>
      </c>
      <c r="IB41" s="42" t="s">
        <v>455</v>
      </c>
      <c r="IC41" s="42" t="s">
        <v>455</v>
      </c>
      <c r="ID41" s="42" t="s">
        <v>455</v>
      </c>
      <c r="IE41" s="42" t="s">
        <v>455</v>
      </c>
      <c r="IF41" s="42" t="s">
        <v>455</v>
      </c>
      <c r="IG41" s="42" t="s">
        <v>455</v>
      </c>
      <c r="IH41" s="42" t="s">
        <v>455</v>
      </c>
      <c r="II41" s="42" t="s">
        <v>455</v>
      </c>
      <c r="IJ41" s="42" t="s">
        <v>455</v>
      </c>
      <c r="IK41" s="42" t="s">
        <v>455</v>
      </c>
      <c r="IL41" s="42" t="s">
        <v>455</v>
      </c>
      <c r="IM41" s="42" t="s">
        <v>455</v>
      </c>
      <c r="IN41" s="42" t="s">
        <v>455</v>
      </c>
      <c r="IO41" s="42" t="s">
        <v>455</v>
      </c>
      <c r="IP41" s="42" t="s">
        <v>455</v>
      </c>
      <c r="IQ41" s="42" t="s">
        <v>455</v>
      </c>
      <c r="IR41" s="42" t="s">
        <v>455</v>
      </c>
      <c r="IS41" s="42" t="s">
        <v>455</v>
      </c>
      <c r="IT41" s="42" t="s">
        <v>455</v>
      </c>
      <c r="IU41" s="42" t="s">
        <v>455</v>
      </c>
      <c r="IV41" s="42" t="s">
        <v>455</v>
      </c>
      <c r="IW41" s="42" t="s">
        <v>455</v>
      </c>
      <c r="IX41" s="42" t="s">
        <v>455</v>
      </c>
      <c r="IY41" s="42" t="s">
        <v>455</v>
      </c>
      <c r="IZ41" s="42" t="s">
        <v>455</v>
      </c>
      <c r="JA41" s="42" t="s">
        <v>455</v>
      </c>
      <c r="JB41" s="42" t="s">
        <v>455</v>
      </c>
      <c r="JC41" s="42" t="s">
        <v>455</v>
      </c>
      <c r="JD41" s="42" t="s">
        <v>455</v>
      </c>
      <c r="JE41" s="42" t="s">
        <v>455</v>
      </c>
      <c r="JF41" s="42" t="s">
        <v>455</v>
      </c>
      <c r="JG41" s="42" t="s">
        <v>455</v>
      </c>
      <c r="JH41" s="42" t="s">
        <v>455</v>
      </c>
      <c r="JI41" s="42" t="s">
        <v>455</v>
      </c>
      <c r="JJ41" s="42" t="s">
        <v>455</v>
      </c>
      <c r="JK41" s="42" t="s">
        <v>455</v>
      </c>
      <c r="JL41" s="42" t="s">
        <v>455</v>
      </c>
      <c r="JM41" s="42" t="s">
        <v>455</v>
      </c>
    </row>
    <row r="42" spans="1:273">
      <c r="A42" s="42" t="s">
        <v>208</v>
      </c>
      <c r="B42" s="42" t="s">
        <v>240</v>
      </c>
      <c r="C42" s="42" t="s">
        <v>258</v>
      </c>
      <c r="D42" s="60">
        <v>41522</v>
      </c>
      <c r="E42" s="42" t="s">
        <v>259</v>
      </c>
      <c r="F42" s="42">
        <v>6.4662381120000001E-2</v>
      </c>
      <c r="G42" s="42">
        <v>64.634146341463406</v>
      </c>
      <c r="H42" s="42">
        <v>18.7999992371</v>
      </c>
      <c r="I42" s="42">
        <v>1</v>
      </c>
      <c r="J42" s="42">
        <v>0</v>
      </c>
      <c r="K42" s="42">
        <v>0</v>
      </c>
      <c r="L42" s="42" t="s">
        <v>454</v>
      </c>
      <c r="M42" s="42" t="s">
        <v>614</v>
      </c>
      <c r="N42" s="42">
        <v>4.2618269890048595E-26</v>
      </c>
      <c r="O42" s="61" t="s">
        <v>455</v>
      </c>
      <c r="P42" s="42">
        <v>13.851820715063576</v>
      </c>
      <c r="Q42" s="42">
        <v>0.67768448942424597</v>
      </c>
      <c r="R42" s="42">
        <v>2.4904108346556852</v>
      </c>
      <c r="S42" s="42">
        <v>0.5572587222660027</v>
      </c>
      <c r="T42" s="42" t="s">
        <v>455</v>
      </c>
      <c r="U42" s="42" t="s">
        <v>455</v>
      </c>
      <c r="V42" s="42" t="s">
        <v>456</v>
      </c>
      <c r="W42" s="42" t="s">
        <v>455</v>
      </c>
      <c r="X42" s="42">
        <v>2.5000000000000004</v>
      </c>
      <c r="Y42" s="42">
        <v>0.31622776601684122</v>
      </c>
      <c r="Z42" s="42" t="s">
        <v>456</v>
      </c>
      <c r="AA42" s="42" t="s">
        <v>455</v>
      </c>
      <c r="AB42" s="42" t="s">
        <v>456</v>
      </c>
      <c r="AC42" s="42" t="s">
        <v>455</v>
      </c>
      <c r="AD42" s="42" t="s">
        <v>622</v>
      </c>
      <c r="AE42" s="42" t="s">
        <v>104</v>
      </c>
      <c r="AF42" s="42">
        <v>1.6221475852972713E-11</v>
      </c>
      <c r="AG42" s="42">
        <v>4</v>
      </c>
      <c r="AH42" s="62">
        <v>42880.56287037037</v>
      </c>
      <c r="AI42" s="42" t="s">
        <v>621</v>
      </c>
      <c r="AJ42" s="63" t="s">
        <v>629</v>
      </c>
      <c r="AK42" s="61">
        <v>0.67157978847984268</v>
      </c>
      <c r="AL42" s="61">
        <v>0.65804146745645875</v>
      </c>
      <c r="AM42" s="61">
        <v>6.6423042411036359E-2</v>
      </c>
      <c r="AN42" s="61" t="s">
        <v>455</v>
      </c>
      <c r="AO42" s="61" t="s">
        <v>455</v>
      </c>
      <c r="AP42" s="61">
        <v>0.29720073799663083</v>
      </c>
      <c r="AQ42" s="61">
        <v>-0.97548367642329203</v>
      </c>
      <c r="AR42" s="61">
        <v>111.35753417190956</v>
      </c>
      <c r="AS42" s="61">
        <v>498.19048458631488</v>
      </c>
      <c r="AT42" s="61" t="s">
        <v>455</v>
      </c>
      <c r="AU42" s="61" t="s">
        <v>455</v>
      </c>
      <c r="AV42" s="42">
        <v>7.5800000000000004E-8</v>
      </c>
      <c r="AW42" s="42">
        <v>7.5800000000000007E-10</v>
      </c>
      <c r="AX42" s="42">
        <v>3.2020000000000002E-7</v>
      </c>
      <c r="AY42" s="42">
        <v>3.9E-10</v>
      </c>
      <c r="AZ42" s="42" t="s">
        <v>455</v>
      </c>
      <c r="BA42" s="42" t="s">
        <v>455</v>
      </c>
      <c r="BB42" s="42" t="s">
        <v>455</v>
      </c>
      <c r="BC42" s="42" t="s">
        <v>455</v>
      </c>
      <c r="BD42" s="42" t="s">
        <v>455</v>
      </c>
      <c r="BE42" s="42" t="s">
        <v>455</v>
      </c>
      <c r="BF42" s="42" t="s">
        <v>455</v>
      </c>
      <c r="BG42" s="42" t="s">
        <v>455</v>
      </c>
      <c r="BH42" s="42" t="s">
        <v>455</v>
      </c>
      <c r="BI42" s="42" t="s">
        <v>455</v>
      </c>
      <c r="BJ42" s="42" t="s">
        <v>455</v>
      </c>
      <c r="BK42" s="42" t="s">
        <v>455</v>
      </c>
      <c r="BL42" s="42" t="s">
        <v>455</v>
      </c>
      <c r="BM42" s="42" t="s">
        <v>455</v>
      </c>
      <c r="BN42" s="42" t="s">
        <v>455</v>
      </c>
      <c r="BO42" s="42" t="s">
        <v>455</v>
      </c>
      <c r="BP42" s="42" t="s">
        <v>455</v>
      </c>
      <c r="BQ42" s="42" t="s">
        <v>455</v>
      </c>
      <c r="BR42" s="42" t="s">
        <v>455</v>
      </c>
      <c r="BS42" s="42" t="s">
        <v>455</v>
      </c>
      <c r="BT42" s="42" t="s">
        <v>455</v>
      </c>
      <c r="BU42" s="42" t="s">
        <v>455</v>
      </c>
      <c r="BV42" s="42" t="s">
        <v>455</v>
      </c>
      <c r="BW42" s="42" t="s">
        <v>455</v>
      </c>
      <c r="BX42" s="42" t="s">
        <v>455</v>
      </c>
      <c r="BY42" s="42" t="s">
        <v>455</v>
      </c>
      <c r="BZ42" s="42" t="s">
        <v>455</v>
      </c>
      <c r="CA42" s="42" t="s">
        <v>455</v>
      </c>
      <c r="CB42" s="42" t="s">
        <v>455</v>
      </c>
      <c r="CC42" s="42" t="s">
        <v>455</v>
      </c>
      <c r="CD42" s="42" t="s">
        <v>455</v>
      </c>
      <c r="CE42" s="42" t="s">
        <v>455</v>
      </c>
      <c r="CF42" s="42" t="s">
        <v>455</v>
      </c>
      <c r="CG42" s="42" t="s">
        <v>455</v>
      </c>
      <c r="CH42" s="42" t="s">
        <v>455</v>
      </c>
      <c r="CI42" s="42" t="s">
        <v>455</v>
      </c>
      <c r="CJ42" s="42" t="s">
        <v>455</v>
      </c>
      <c r="CK42" s="42" t="s">
        <v>455</v>
      </c>
      <c r="CL42" s="42" t="s">
        <v>455</v>
      </c>
      <c r="CM42" s="42" t="s">
        <v>455</v>
      </c>
      <c r="CN42" s="42" t="s">
        <v>455</v>
      </c>
      <c r="CO42" s="42" t="s">
        <v>455</v>
      </c>
      <c r="CP42" s="42" t="s">
        <v>455</v>
      </c>
      <c r="CQ42" s="42" t="s">
        <v>455</v>
      </c>
      <c r="CR42" s="42">
        <v>0.667679493460136</v>
      </c>
      <c r="CS42" s="42">
        <v>6.67679493460136E-2</v>
      </c>
      <c r="CT42" s="42" t="s">
        <v>455</v>
      </c>
      <c r="CU42" s="42" t="s">
        <v>455</v>
      </c>
      <c r="CV42" s="42" t="s">
        <v>455</v>
      </c>
      <c r="CW42" s="42" t="s">
        <v>455</v>
      </c>
      <c r="CX42" s="42">
        <v>21.5319084089844</v>
      </c>
      <c r="CY42" s="42">
        <v>2.1531908408984402</v>
      </c>
      <c r="CZ42" s="42">
        <v>0.25138318974491197</v>
      </c>
      <c r="DA42" s="42">
        <v>2.5138318974491199E-2</v>
      </c>
      <c r="DB42" s="42">
        <v>79.483926086455298</v>
      </c>
      <c r="DC42" s="42">
        <v>7.9483926086455305</v>
      </c>
      <c r="DD42" s="42">
        <v>1.9456221274150799E-2</v>
      </c>
      <c r="DE42" s="42">
        <v>1.9456221274150799E-3</v>
      </c>
      <c r="DF42" s="42" t="s">
        <v>455</v>
      </c>
      <c r="DG42" s="42" t="s">
        <v>455</v>
      </c>
      <c r="DH42" s="42" t="s">
        <v>455</v>
      </c>
      <c r="DI42" s="42" t="s">
        <v>455</v>
      </c>
      <c r="DJ42" s="42">
        <v>0.99931725979793251</v>
      </c>
      <c r="DK42" s="42">
        <v>0.99224299550553974</v>
      </c>
      <c r="DL42" s="42">
        <v>1.5608709914323211E-2</v>
      </c>
      <c r="DM42" s="42">
        <v>0.99211999885351976</v>
      </c>
      <c r="DN42" s="42">
        <v>4.5346324789517556E-8</v>
      </c>
      <c r="DO42" s="42">
        <v>1.9311941606093076E-7</v>
      </c>
      <c r="DP42" s="42">
        <v>3.5118854633410415E-4</v>
      </c>
      <c r="DQ42" s="42">
        <v>8.1059722432398895E-8</v>
      </c>
      <c r="DR42" s="42">
        <v>1.1460572064803028E-8</v>
      </c>
      <c r="DS42" s="42">
        <v>1.3281696819413796E-2</v>
      </c>
      <c r="DT42" s="42">
        <v>7.1872570091687845E-3</v>
      </c>
      <c r="DU42" s="42">
        <v>3.5807331593011002E-4</v>
      </c>
      <c r="DV42" s="42">
        <v>5.4492560183181412E-8</v>
      </c>
      <c r="DW42" s="42">
        <v>1.072175034548582E-8</v>
      </c>
      <c r="DX42" s="42">
        <v>2.4490053422466364E-7</v>
      </c>
      <c r="DY42" s="42">
        <v>1.3049752773595788E-8</v>
      </c>
      <c r="DZ42" s="42">
        <v>4.5275668974040351E-8</v>
      </c>
      <c r="EA42" s="42">
        <v>2.3260437195684106E-5</v>
      </c>
      <c r="EB42" s="42">
        <v>2.8390683515074747E-9</v>
      </c>
      <c r="EC42" s="42">
        <v>2.1666574261504536E-10</v>
      </c>
      <c r="ED42" s="42">
        <v>3.9436530338273629E-3</v>
      </c>
      <c r="EE42" s="42">
        <v>5.2164145342697976E-4</v>
      </c>
      <c r="EF42" s="42">
        <v>8.7164379212946886E-7</v>
      </c>
      <c r="EG42" s="42">
        <v>3.5114792768645124E-9</v>
      </c>
      <c r="EH42" s="42">
        <v>1.4444382841002969E-9</v>
      </c>
      <c r="EI42" s="42">
        <v>7.9693146708979889E-10</v>
      </c>
      <c r="EJ42" s="42">
        <v>5.8396077563113344E-8</v>
      </c>
      <c r="EK42" s="42">
        <v>2.3839508503497111E-7</v>
      </c>
      <c r="EL42" s="42">
        <v>3.7444898352978826E-4</v>
      </c>
      <c r="EM42" s="42">
        <v>8.3898790783906369E-8</v>
      </c>
      <c r="EN42" s="42">
        <v>1.1677237807418074E-8</v>
      </c>
      <c r="EO42" s="42">
        <v>1.7225349853241159E-2</v>
      </c>
      <c r="EP42" s="42">
        <v>7.7088984625957643E-3</v>
      </c>
      <c r="EQ42" s="42">
        <v>3.5894495972223949E-4</v>
      </c>
      <c r="ER42" s="42">
        <v>5.8004039460045925E-8</v>
      </c>
      <c r="ES42" s="42">
        <v>1.2166188629586117E-8</v>
      </c>
      <c r="ET42" s="42">
        <v>2.4569746569175344E-7</v>
      </c>
      <c r="EU42" s="42">
        <v>2.0208836352586496E-6</v>
      </c>
      <c r="EV42" s="42">
        <v>8.606533255547831E-6</v>
      </c>
      <c r="EW42" s="42">
        <v>1.5672687574747133E-2</v>
      </c>
      <c r="EX42" s="42">
        <v>3.6242208212812518E-6</v>
      </c>
      <c r="EY42" s="42">
        <v>5.1440678294931391E-7</v>
      </c>
      <c r="EZ42" s="42">
        <v>0.59252886816560513</v>
      </c>
      <c r="FA42" s="42">
        <v>0.32044034888311024</v>
      </c>
      <c r="FB42" s="42">
        <v>1.6074248456135705E-2</v>
      </c>
      <c r="FC42" s="42">
        <v>2.429524222433781E-6</v>
      </c>
      <c r="FD42" s="42">
        <v>4.7802401068476957E-7</v>
      </c>
      <c r="FE42" s="42">
        <v>1.0918770892497575E-5</v>
      </c>
      <c r="FF42" s="42">
        <v>5.8156933217280637E-7</v>
      </c>
      <c r="FG42" s="42">
        <v>2.0177492177653979E-6</v>
      </c>
      <c r="FH42" s="42">
        <v>1.0380565335213546E-3</v>
      </c>
      <c r="FI42" s="42">
        <v>1.2693616908391325E-7</v>
      </c>
      <c r="FJ42" s="42">
        <v>9.7250230620006082E-9</v>
      </c>
      <c r="FK42" s="42">
        <v>0.17599690395866974</v>
      </c>
      <c r="FL42" s="42">
        <v>2.325712982223882E-2</v>
      </c>
      <c r="FM42" s="42">
        <v>3.9128910914634774E-5</v>
      </c>
      <c r="FN42" s="42">
        <v>1.5655759118379039E-7</v>
      </c>
      <c r="FO42" s="42">
        <v>6.4399576515317922E-8</v>
      </c>
      <c r="FP42" s="42">
        <v>3.5530800836038292E-8</v>
      </c>
      <c r="FQ42" s="42">
        <v>2.602452967431456E-6</v>
      </c>
      <c r="FR42" s="42">
        <v>1.0624282473313229E-5</v>
      </c>
      <c r="FS42" s="42">
        <v>1.6710744108268488E-2</v>
      </c>
      <c r="FT42" s="42">
        <v>3.751156990365165E-6</v>
      </c>
      <c r="FU42" s="42">
        <v>5.2413180601131452E-7</v>
      </c>
      <c r="FV42" s="42">
        <v>0.76852577212427486</v>
      </c>
      <c r="FW42" s="42">
        <v>0.34369747870534906</v>
      </c>
      <c r="FX42" s="42">
        <v>1.611337736705034E-2</v>
      </c>
      <c r="FY42" s="42">
        <v>2.5860818136175714E-6</v>
      </c>
      <c r="FZ42" s="42">
        <v>5.424235872000875E-7</v>
      </c>
      <c r="GA42" s="42">
        <v>1.0954301693333614E-5</v>
      </c>
      <c r="GB42" s="42">
        <v>8.0888296603357037E-6</v>
      </c>
      <c r="GC42" s="42">
        <v>1.7367725913697857E-4</v>
      </c>
      <c r="GD42" s="42">
        <v>0.62609252323599851</v>
      </c>
      <c r="GE42" s="42">
        <v>3.0370245638172634E-4</v>
      </c>
      <c r="GF42" s="42">
        <v>6.7538009753764273E-5</v>
      </c>
      <c r="GG42" s="42">
        <v>16.598748195470364</v>
      </c>
      <c r="GH42" s="42">
        <v>10.253706635840867</v>
      </c>
      <c r="GI42" s="42">
        <v>0.70741963743030434</v>
      </c>
      <c r="GJ42" s="42">
        <v>3.8975545157425034E-5</v>
      </c>
      <c r="GK42" s="42">
        <v>9.6363904265921328E-7</v>
      </c>
      <c r="GL42" s="42">
        <v>4.8056567953731728E-4</v>
      </c>
      <c r="GM42" s="42" t="s">
        <v>455</v>
      </c>
      <c r="GN42" s="42" t="s">
        <v>455</v>
      </c>
      <c r="GO42" s="42" t="s">
        <v>455</v>
      </c>
      <c r="GP42" s="42" t="s">
        <v>455</v>
      </c>
      <c r="GQ42" s="42" t="s">
        <v>455</v>
      </c>
      <c r="GR42" s="42" t="s">
        <v>455</v>
      </c>
      <c r="GS42" s="42" t="s">
        <v>455</v>
      </c>
      <c r="GT42" s="42" t="s">
        <v>455</v>
      </c>
      <c r="GU42" s="42" t="s">
        <v>455</v>
      </c>
      <c r="GV42" s="42" t="s">
        <v>455</v>
      </c>
      <c r="GW42" s="42" t="s">
        <v>455</v>
      </c>
      <c r="GX42" s="42" t="s">
        <v>455</v>
      </c>
      <c r="GY42" s="42" t="s">
        <v>455</v>
      </c>
      <c r="GZ42" s="42" t="s">
        <v>455</v>
      </c>
      <c r="HA42" s="42" t="s">
        <v>455</v>
      </c>
      <c r="HB42" s="42" t="s">
        <v>455</v>
      </c>
      <c r="HC42" s="42" t="s">
        <v>455</v>
      </c>
      <c r="HD42" s="42" t="s">
        <v>455</v>
      </c>
      <c r="HE42" s="42" t="s">
        <v>455</v>
      </c>
      <c r="HF42" s="42" t="s">
        <v>455</v>
      </c>
      <c r="HG42" s="42" t="s">
        <v>455</v>
      </c>
      <c r="HH42" s="42" t="s">
        <v>455</v>
      </c>
      <c r="HI42" s="42" t="s">
        <v>455</v>
      </c>
      <c r="HJ42" s="42" t="s">
        <v>455</v>
      </c>
      <c r="HK42" s="42" t="s">
        <v>455</v>
      </c>
      <c r="HL42" s="42" t="s">
        <v>455</v>
      </c>
      <c r="HM42" s="42" t="s">
        <v>455</v>
      </c>
      <c r="HN42" s="42" t="s">
        <v>455</v>
      </c>
      <c r="HO42" s="42" t="s">
        <v>455</v>
      </c>
      <c r="HP42" s="42" t="s">
        <v>455</v>
      </c>
      <c r="HQ42" s="42" t="s">
        <v>455</v>
      </c>
      <c r="HR42" s="42" t="s">
        <v>455</v>
      </c>
      <c r="HS42" s="42" t="s">
        <v>455</v>
      </c>
      <c r="HT42" s="42" t="s">
        <v>455</v>
      </c>
      <c r="HU42" s="42" t="s">
        <v>455</v>
      </c>
      <c r="HV42" s="42" t="s">
        <v>455</v>
      </c>
      <c r="HW42" s="42" t="s">
        <v>455</v>
      </c>
      <c r="HX42" s="42" t="s">
        <v>455</v>
      </c>
      <c r="HY42" s="42" t="s">
        <v>455</v>
      </c>
      <c r="HZ42" s="42" t="s">
        <v>455</v>
      </c>
      <c r="IA42" s="42" t="s">
        <v>455</v>
      </c>
      <c r="IB42" s="42" t="s">
        <v>455</v>
      </c>
      <c r="IC42" s="42" t="s">
        <v>455</v>
      </c>
      <c r="ID42" s="42" t="s">
        <v>455</v>
      </c>
      <c r="IE42" s="42" t="s">
        <v>455</v>
      </c>
      <c r="IF42" s="42" t="s">
        <v>455</v>
      </c>
      <c r="IG42" s="42" t="s">
        <v>455</v>
      </c>
      <c r="IH42" s="42" t="s">
        <v>455</v>
      </c>
      <c r="II42" s="42" t="s">
        <v>455</v>
      </c>
      <c r="IJ42" s="42" t="s">
        <v>455</v>
      </c>
      <c r="IK42" s="42" t="s">
        <v>455</v>
      </c>
      <c r="IL42" s="42" t="s">
        <v>455</v>
      </c>
      <c r="IM42" s="42" t="s">
        <v>455</v>
      </c>
      <c r="IN42" s="42" t="s">
        <v>455</v>
      </c>
      <c r="IO42" s="42" t="s">
        <v>455</v>
      </c>
      <c r="IP42" s="42" t="s">
        <v>455</v>
      </c>
      <c r="IQ42" s="42" t="s">
        <v>455</v>
      </c>
      <c r="IR42" s="42" t="s">
        <v>455</v>
      </c>
      <c r="IS42" s="42" t="s">
        <v>455</v>
      </c>
      <c r="IT42" s="42" t="s">
        <v>455</v>
      </c>
      <c r="IU42" s="42" t="s">
        <v>455</v>
      </c>
      <c r="IV42" s="42" t="s">
        <v>455</v>
      </c>
      <c r="IW42" s="42" t="s">
        <v>455</v>
      </c>
      <c r="IX42" s="42" t="s">
        <v>455</v>
      </c>
      <c r="IY42" s="42" t="s">
        <v>455</v>
      </c>
      <c r="IZ42" s="42" t="s">
        <v>455</v>
      </c>
      <c r="JA42" s="42" t="s">
        <v>455</v>
      </c>
      <c r="JB42" s="42" t="s">
        <v>455</v>
      </c>
      <c r="JC42" s="42" t="s">
        <v>455</v>
      </c>
      <c r="JD42" s="42" t="s">
        <v>455</v>
      </c>
      <c r="JE42" s="42" t="s">
        <v>455</v>
      </c>
      <c r="JF42" s="42" t="s">
        <v>455</v>
      </c>
      <c r="JG42" s="42" t="s">
        <v>455</v>
      </c>
      <c r="JH42" s="42" t="s">
        <v>455</v>
      </c>
      <c r="JI42" s="42" t="s">
        <v>455</v>
      </c>
      <c r="JJ42" s="42" t="s">
        <v>455</v>
      </c>
      <c r="JK42" s="42" t="s">
        <v>455</v>
      </c>
      <c r="JL42" s="42" t="s">
        <v>455</v>
      </c>
      <c r="JM42" s="42" t="s">
        <v>455</v>
      </c>
    </row>
    <row r="43" spans="1:273">
      <c r="A43" s="42" t="s">
        <v>208</v>
      </c>
      <c r="B43" s="42" t="s">
        <v>270</v>
      </c>
      <c r="C43" s="42" t="s">
        <v>276</v>
      </c>
      <c r="D43" s="60">
        <v>41526</v>
      </c>
      <c r="E43" s="42" t="s">
        <v>278</v>
      </c>
      <c r="F43" s="42">
        <v>0.61536420000000003</v>
      </c>
      <c r="G43" s="42">
        <v>17.987804878048699</v>
      </c>
      <c r="H43" s="42">
        <v>23.489999771099999</v>
      </c>
      <c r="I43" s="42">
        <v>1</v>
      </c>
      <c r="J43" s="42">
        <v>0</v>
      </c>
      <c r="K43" s="42">
        <v>0</v>
      </c>
      <c r="L43" s="42" t="s">
        <v>454</v>
      </c>
      <c r="M43" s="42" t="s">
        <v>614</v>
      </c>
      <c r="N43" s="42">
        <v>6.0111688687278123E-23</v>
      </c>
      <c r="O43" s="61" t="s">
        <v>455</v>
      </c>
      <c r="P43" s="42">
        <v>23.716471133880919</v>
      </c>
      <c r="Q43" s="42">
        <v>6.4429784303041755</v>
      </c>
      <c r="R43" s="42">
        <v>1.9298614701332044</v>
      </c>
      <c r="S43" s="42">
        <v>0.4587784099805392</v>
      </c>
      <c r="T43" s="42" t="s">
        <v>455</v>
      </c>
      <c r="U43" s="42" t="s">
        <v>455</v>
      </c>
      <c r="V43" s="42" t="s">
        <v>456</v>
      </c>
      <c r="W43" s="42" t="s">
        <v>455</v>
      </c>
      <c r="X43" s="42">
        <v>1.0101737292803101</v>
      </c>
      <c r="Y43" s="42">
        <v>1.9908138033015597</v>
      </c>
      <c r="Z43" s="42" t="s">
        <v>456</v>
      </c>
      <c r="AA43" s="42" t="s">
        <v>455</v>
      </c>
      <c r="AB43" s="42" t="s">
        <v>456</v>
      </c>
      <c r="AC43" s="42" t="s">
        <v>455</v>
      </c>
      <c r="AD43" s="42" t="s">
        <v>613</v>
      </c>
      <c r="AE43" s="42" t="s">
        <v>91</v>
      </c>
      <c r="AF43" s="42">
        <v>1.1153038129320789E-15</v>
      </c>
      <c r="AG43" s="42">
        <v>3</v>
      </c>
      <c r="AH43" s="62">
        <v>42880.574386574073</v>
      </c>
      <c r="AJ43" s="63" t="s">
        <v>628</v>
      </c>
      <c r="AK43" s="61">
        <v>0.25782900695827715</v>
      </c>
      <c r="AL43" s="61">
        <v>0.19598837140853109</v>
      </c>
      <c r="AM43" s="61">
        <v>6.2425481099427138E-2</v>
      </c>
      <c r="AN43" s="61" t="s">
        <v>455</v>
      </c>
      <c r="AO43" s="61" t="s">
        <v>455</v>
      </c>
      <c r="AP43" s="61">
        <v>0.20865938829685571</v>
      </c>
      <c r="AQ43" s="61">
        <v>-0.97488752665156264</v>
      </c>
      <c r="AR43" s="61">
        <v>98.900631758834564</v>
      </c>
      <c r="AS43" s="61">
        <v>122.69662929953363</v>
      </c>
      <c r="AT43" s="61" t="s">
        <v>455</v>
      </c>
      <c r="AU43" s="61" t="s">
        <v>455</v>
      </c>
      <c r="AV43" s="42">
        <v>5.54E-8</v>
      </c>
      <c r="AW43" s="42">
        <v>5.5400000000000005E-10</v>
      </c>
      <c r="AX43" s="42">
        <v>2.1409999999999999E-7</v>
      </c>
      <c r="AY43" s="42">
        <v>2.8000000000000002E-10</v>
      </c>
      <c r="AZ43" s="42" t="s">
        <v>455</v>
      </c>
      <c r="BA43" s="42" t="s">
        <v>455</v>
      </c>
      <c r="BB43" s="42" t="s">
        <v>455</v>
      </c>
      <c r="BC43" s="42" t="s">
        <v>455</v>
      </c>
      <c r="BD43" s="42" t="s">
        <v>455</v>
      </c>
      <c r="BE43" s="42" t="s">
        <v>455</v>
      </c>
      <c r="BF43" s="42" t="s">
        <v>455</v>
      </c>
      <c r="BG43" s="42" t="s">
        <v>455</v>
      </c>
      <c r="BH43" s="42" t="s">
        <v>455</v>
      </c>
      <c r="BI43" s="42" t="s">
        <v>455</v>
      </c>
      <c r="BJ43" s="42" t="s">
        <v>455</v>
      </c>
      <c r="BK43" s="42" t="s">
        <v>455</v>
      </c>
      <c r="BL43" s="42" t="s">
        <v>455</v>
      </c>
      <c r="BM43" s="42" t="s">
        <v>455</v>
      </c>
      <c r="BN43" s="42" t="s">
        <v>455</v>
      </c>
      <c r="BO43" s="42" t="s">
        <v>455</v>
      </c>
      <c r="BP43" s="42" t="s">
        <v>455</v>
      </c>
      <c r="BQ43" s="42" t="s">
        <v>455</v>
      </c>
      <c r="BR43" s="42" t="s">
        <v>455</v>
      </c>
      <c r="BS43" s="42" t="s">
        <v>455</v>
      </c>
      <c r="BT43" s="42" t="s">
        <v>455</v>
      </c>
      <c r="BU43" s="42" t="s">
        <v>455</v>
      </c>
      <c r="BV43" s="42" t="s">
        <v>455</v>
      </c>
      <c r="BW43" s="42" t="s">
        <v>455</v>
      </c>
      <c r="BX43" s="42" t="s">
        <v>455</v>
      </c>
      <c r="BY43" s="42" t="s">
        <v>455</v>
      </c>
      <c r="BZ43" s="42" t="s">
        <v>455</v>
      </c>
      <c r="CA43" s="42" t="s">
        <v>455</v>
      </c>
      <c r="CB43" s="42" t="s">
        <v>455</v>
      </c>
      <c r="CC43" s="42" t="s">
        <v>455</v>
      </c>
      <c r="CD43" s="42" t="s">
        <v>455</v>
      </c>
      <c r="CE43" s="42" t="s">
        <v>455</v>
      </c>
      <c r="CF43" s="42" t="s">
        <v>455</v>
      </c>
      <c r="CG43" s="42" t="s">
        <v>455</v>
      </c>
      <c r="CH43" s="42" t="s">
        <v>455</v>
      </c>
      <c r="CI43" s="42" t="s">
        <v>455</v>
      </c>
      <c r="CJ43" s="42" t="s">
        <v>455</v>
      </c>
      <c r="CK43" s="42" t="s">
        <v>455</v>
      </c>
      <c r="CL43" s="42" t="s">
        <v>455</v>
      </c>
      <c r="CM43" s="42" t="s">
        <v>455</v>
      </c>
      <c r="CN43" s="42" t="s">
        <v>455</v>
      </c>
      <c r="CO43" s="42" t="s">
        <v>455</v>
      </c>
      <c r="CP43" s="42" t="s">
        <v>455</v>
      </c>
      <c r="CQ43" s="42" t="s">
        <v>455</v>
      </c>
      <c r="CR43" s="42">
        <v>0.54608887632176695</v>
      </c>
      <c r="CS43" s="42">
        <v>5.4608887632176695E-2</v>
      </c>
      <c r="CT43" s="42" t="s">
        <v>455</v>
      </c>
      <c r="CU43" s="42" t="s">
        <v>455</v>
      </c>
      <c r="CV43" s="42" t="s">
        <v>455</v>
      </c>
      <c r="CW43" s="42" t="s">
        <v>455</v>
      </c>
      <c r="CX43" s="42">
        <v>16.744030025218901</v>
      </c>
      <c r="CY43" s="42">
        <v>1.6744030025218901</v>
      </c>
      <c r="CZ43" s="42">
        <v>0.21130528327025899</v>
      </c>
      <c r="DA43" s="42">
        <v>2.1130528327025902E-2</v>
      </c>
      <c r="DB43" s="42">
        <v>52.139600300066697</v>
      </c>
      <c r="DC43" s="42">
        <v>5.2139600300066702</v>
      </c>
      <c r="DD43" s="42">
        <v>3.8905497049326501E-3</v>
      </c>
      <c r="DE43" s="42">
        <v>3.8905497049326502E-4</v>
      </c>
      <c r="DF43" s="42" t="s">
        <v>455</v>
      </c>
      <c r="DG43" s="42" t="s">
        <v>455</v>
      </c>
      <c r="DH43" s="42" t="s">
        <v>455</v>
      </c>
      <c r="DI43" s="42" t="s">
        <v>455</v>
      </c>
      <c r="DJ43" s="42">
        <v>0.99783550420929912</v>
      </c>
      <c r="DK43" s="42">
        <v>0.99783514128708206</v>
      </c>
      <c r="DL43" s="42">
        <v>2.8922420246574834E-2</v>
      </c>
      <c r="DM43" s="42">
        <v>0.99777066347936105</v>
      </c>
      <c r="DN43" s="42">
        <v>4.4044142481631959E-8</v>
      </c>
      <c r="DO43" s="42">
        <v>1.7901511847297615E-7</v>
      </c>
      <c r="DP43" s="42">
        <v>2.887427667932343E-4</v>
      </c>
      <c r="DQ43" s="42">
        <v>6.3258590169095721E-8</v>
      </c>
      <c r="DR43" s="42">
        <v>8.4829509974346415E-9</v>
      </c>
      <c r="DS43" s="42">
        <v>1.1101424913360613E-2</v>
      </c>
      <c r="DT43" s="42">
        <v>5.9067364001387434E-3</v>
      </c>
      <c r="DU43" s="42">
        <v>2.6456887185116588E-4</v>
      </c>
      <c r="DV43" s="42">
        <v>4.4039517550049171E-8</v>
      </c>
      <c r="DW43" s="42">
        <v>9.9025734323788708E-9</v>
      </c>
      <c r="DX43" s="42">
        <v>1.7796670778571887E-7</v>
      </c>
      <c r="DY43" s="42">
        <v>1.0112474103497993E-8</v>
      </c>
      <c r="DZ43" s="42">
        <v>3.5084881527021668E-8</v>
      </c>
      <c r="EA43" s="42">
        <v>1.8024906131044115E-5</v>
      </c>
      <c r="EB43" s="42">
        <v>2.2000420759518562E-9</v>
      </c>
      <c r="EC43" s="42">
        <v>1.6789794790158835E-10</v>
      </c>
      <c r="ED43" s="42">
        <v>2.3146643647240367E-3</v>
      </c>
      <c r="EE43" s="42">
        <v>4.0422878353410085E-4</v>
      </c>
      <c r="EF43" s="42">
        <v>6.7545151454661981E-7</v>
      </c>
      <c r="EG43" s="42">
        <v>2.721104672887819E-9</v>
      </c>
      <c r="EH43" s="42">
        <v>1.1193196526772578E-9</v>
      </c>
      <c r="EI43" s="42">
        <v>6.1755567044263141E-10</v>
      </c>
      <c r="EJ43" s="42">
        <v>5.4156616585129953E-8</v>
      </c>
      <c r="EK43" s="42">
        <v>2.1409999999999782E-7</v>
      </c>
      <c r="EL43" s="42">
        <v>3.0676767292427842E-4</v>
      </c>
      <c r="EM43" s="42">
        <v>6.5458632245047577E-8</v>
      </c>
      <c r="EN43" s="42">
        <v>8.6508489453362298E-9</v>
      </c>
      <c r="EO43" s="42">
        <v>1.341608927808465E-2</v>
      </c>
      <c r="EP43" s="42">
        <v>6.3109651836728443E-3</v>
      </c>
      <c r="EQ43" s="42">
        <v>2.652443233657125E-4</v>
      </c>
      <c r="ER43" s="42">
        <v>4.676062222293699E-8</v>
      </c>
      <c r="ES43" s="42">
        <v>1.1021893085056129E-8</v>
      </c>
      <c r="ET43" s="42">
        <v>1.785842634561615E-7</v>
      </c>
      <c r="EU43" s="42">
        <v>1.9599407194682657E-6</v>
      </c>
      <c r="EV43" s="42">
        <v>7.9661336070908819E-6</v>
      </c>
      <c r="EW43" s="42">
        <v>1.2866778086559581E-2</v>
      </c>
      <c r="EX43" s="42">
        <v>2.8241295278812356E-6</v>
      </c>
      <c r="EY43" s="42">
        <v>3.8019194608459544E-7</v>
      </c>
      <c r="EZ43" s="42">
        <v>0.49452726614655562</v>
      </c>
      <c r="FA43" s="42">
        <v>0.26295847657998855</v>
      </c>
      <c r="FB43" s="42">
        <v>1.1859135422563834E-2</v>
      </c>
      <c r="FC43" s="42">
        <v>1.9605690282719545E-6</v>
      </c>
      <c r="FD43" s="42">
        <v>4.4084676335626745E-7</v>
      </c>
      <c r="FE43" s="42">
        <v>7.9227937715638336E-6</v>
      </c>
      <c r="FF43" s="42">
        <v>4.4999967426496441E-7</v>
      </c>
      <c r="FG43" s="42">
        <v>1.561269552076412E-6</v>
      </c>
      <c r="FH43" s="42">
        <v>8.0321481225290557E-4</v>
      </c>
      <c r="FI43" s="42">
        <v>9.8219131546693076E-8</v>
      </c>
      <c r="FJ43" s="42">
        <v>7.5249105618574157E-9</v>
      </c>
      <c r="FK43" s="42">
        <v>0.10318775685025094</v>
      </c>
      <c r="FL43" s="42">
        <v>1.7995620238853427E-2</v>
      </c>
      <c r="FM43" s="42">
        <v>3.0276694783996916E-5</v>
      </c>
      <c r="FN43" s="42">
        <v>1.2113923678403193E-7</v>
      </c>
      <c r="FO43" s="42">
        <v>4.9830324350878449E-8</v>
      </c>
      <c r="FP43" s="42">
        <v>2.7492592745312306E-8</v>
      </c>
      <c r="FQ43" s="42">
        <v>2.4099403937332301E-6</v>
      </c>
      <c r="FR43" s="42">
        <v>9.5274031591672938E-6</v>
      </c>
      <c r="FS43" s="42">
        <v>1.3669992898812487E-2</v>
      </c>
      <c r="FT43" s="42">
        <v>2.9223486594279286E-6</v>
      </c>
      <c r="FU43" s="42">
        <v>3.8771685664645286E-7</v>
      </c>
      <c r="FV43" s="42">
        <v>0.59771502299680657</v>
      </c>
      <c r="FW43" s="42">
        <v>0.28095409681884198</v>
      </c>
      <c r="FX43" s="42">
        <v>1.1889412117347831E-2</v>
      </c>
      <c r="FY43" s="42">
        <v>2.0817082650559865E-6</v>
      </c>
      <c r="FZ43" s="42">
        <v>4.906770877071459E-7</v>
      </c>
      <c r="GA43" s="42">
        <v>7.9502863643091459E-6</v>
      </c>
      <c r="GB43" s="42">
        <v>7.8448983145462131E-6</v>
      </c>
      <c r="GC43" s="42">
        <v>1.6075418635101186E-4</v>
      </c>
      <c r="GD43" s="42">
        <v>0.51400205100188212</v>
      </c>
      <c r="GE43" s="42">
        <v>2.3665640617739179E-4</v>
      </c>
      <c r="GF43" s="42">
        <v>4.991654117728479E-5</v>
      </c>
      <c r="GG43" s="42">
        <v>13.853390117469921</v>
      </c>
      <c r="GH43" s="42">
        <v>8.4143557003877376</v>
      </c>
      <c r="GI43" s="42">
        <v>0.52191462037932312</v>
      </c>
      <c r="GJ43" s="42">
        <v>3.1452350213291699E-5</v>
      </c>
      <c r="GK43" s="42">
        <v>8.886941733146325E-7</v>
      </c>
      <c r="GL43" s="42">
        <v>3.4870433770908468E-4</v>
      </c>
      <c r="GM43" s="42" t="s">
        <v>455</v>
      </c>
      <c r="GN43" s="42" t="s">
        <v>455</v>
      </c>
      <c r="GO43" s="42" t="s">
        <v>455</v>
      </c>
      <c r="GP43" s="42" t="s">
        <v>455</v>
      </c>
      <c r="GQ43" s="42" t="s">
        <v>455</v>
      </c>
      <c r="GR43" s="42" t="s">
        <v>455</v>
      </c>
      <c r="GS43" s="42" t="s">
        <v>455</v>
      </c>
      <c r="GT43" s="42" t="s">
        <v>455</v>
      </c>
      <c r="GU43" s="42" t="s">
        <v>455</v>
      </c>
      <c r="GV43" s="42" t="s">
        <v>455</v>
      </c>
      <c r="GW43" s="42" t="s">
        <v>455</v>
      </c>
      <c r="GX43" s="42" t="s">
        <v>455</v>
      </c>
      <c r="GY43" s="42" t="s">
        <v>455</v>
      </c>
      <c r="GZ43" s="42" t="s">
        <v>455</v>
      </c>
      <c r="HA43" s="42" t="s">
        <v>455</v>
      </c>
      <c r="HB43" s="42" t="s">
        <v>455</v>
      </c>
      <c r="HC43" s="42" t="s">
        <v>455</v>
      </c>
      <c r="HD43" s="42" t="s">
        <v>455</v>
      </c>
      <c r="HE43" s="42" t="s">
        <v>455</v>
      </c>
      <c r="HF43" s="42" t="s">
        <v>455</v>
      </c>
      <c r="HG43" s="42" t="s">
        <v>455</v>
      </c>
      <c r="HH43" s="42" t="s">
        <v>455</v>
      </c>
      <c r="HI43" s="42" t="s">
        <v>455</v>
      </c>
      <c r="HJ43" s="42" t="s">
        <v>455</v>
      </c>
      <c r="HK43" s="42" t="s">
        <v>455</v>
      </c>
      <c r="HL43" s="42" t="s">
        <v>455</v>
      </c>
      <c r="HM43" s="42" t="s">
        <v>455</v>
      </c>
      <c r="HN43" s="42" t="s">
        <v>455</v>
      </c>
      <c r="HO43" s="42" t="s">
        <v>455</v>
      </c>
      <c r="HP43" s="42" t="s">
        <v>455</v>
      </c>
      <c r="HQ43" s="42" t="s">
        <v>455</v>
      </c>
      <c r="HR43" s="42" t="s">
        <v>455</v>
      </c>
      <c r="HS43" s="42" t="s">
        <v>455</v>
      </c>
      <c r="HT43" s="42" t="s">
        <v>455</v>
      </c>
      <c r="HU43" s="42" t="s">
        <v>455</v>
      </c>
      <c r="HV43" s="42" t="s">
        <v>455</v>
      </c>
      <c r="HW43" s="42" t="s">
        <v>455</v>
      </c>
      <c r="HX43" s="42" t="s">
        <v>455</v>
      </c>
      <c r="HY43" s="42" t="s">
        <v>455</v>
      </c>
      <c r="HZ43" s="42" t="s">
        <v>455</v>
      </c>
      <c r="IA43" s="42" t="s">
        <v>455</v>
      </c>
      <c r="IB43" s="42" t="s">
        <v>455</v>
      </c>
      <c r="IC43" s="42" t="s">
        <v>455</v>
      </c>
      <c r="ID43" s="42" t="s">
        <v>455</v>
      </c>
      <c r="IE43" s="42" t="s">
        <v>455</v>
      </c>
      <c r="IF43" s="42" t="s">
        <v>455</v>
      </c>
      <c r="IG43" s="42" t="s">
        <v>455</v>
      </c>
      <c r="IH43" s="42" t="s">
        <v>455</v>
      </c>
      <c r="II43" s="42" t="s">
        <v>455</v>
      </c>
      <c r="IJ43" s="42" t="s">
        <v>455</v>
      </c>
      <c r="IK43" s="42" t="s">
        <v>455</v>
      </c>
      <c r="IL43" s="42" t="s">
        <v>455</v>
      </c>
      <c r="IM43" s="42" t="s">
        <v>455</v>
      </c>
      <c r="IN43" s="42" t="s">
        <v>455</v>
      </c>
      <c r="IO43" s="42" t="s">
        <v>455</v>
      </c>
      <c r="IP43" s="42" t="s">
        <v>455</v>
      </c>
      <c r="IQ43" s="42" t="s">
        <v>455</v>
      </c>
      <c r="IR43" s="42" t="s">
        <v>455</v>
      </c>
      <c r="IS43" s="42" t="s">
        <v>455</v>
      </c>
      <c r="IT43" s="42" t="s">
        <v>455</v>
      </c>
      <c r="IU43" s="42" t="s">
        <v>455</v>
      </c>
      <c r="IV43" s="42" t="s">
        <v>455</v>
      </c>
      <c r="IW43" s="42" t="s">
        <v>455</v>
      </c>
      <c r="IX43" s="42" t="s">
        <v>455</v>
      </c>
      <c r="IY43" s="42" t="s">
        <v>455</v>
      </c>
      <c r="IZ43" s="42" t="s">
        <v>455</v>
      </c>
      <c r="JA43" s="42" t="s">
        <v>455</v>
      </c>
      <c r="JB43" s="42" t="s">
        <v>455</v>
      </c>
      <c r="JC43" s="42" t="s">
        <v>455</v>
      </c>
      <c r="JD43" s="42" t="s">
        <v>455</v>
      </c>
      <c r="JE43" s="42" t="s">
        <v>455</v>
      </c>
      <c r="JF43" s="42" t="s">
        <v>455</v>
      </c>
      <c r="JG43" s="42" t="s">
        <v>455</v>
      </c>
      <c r="JH43" s="42" t="s">
        <v>455</v>
      </c>
      <c r="JI43" s="42" t="s">
        <v>455</v>
      </c>
      <c r="JJ43" s="42" t="s">
        <v>455</v>
      </c>
      <c r="JK43" s="42" t="s">
        <v>455</v>
      </c>
      <c r="JL43" s="42" t="s">
        <v>455</v>
      </c>
      <c r="JM43" s="42" t="s">
        <v>455</v>
      </c>
    </row>
    <row r="44" spans="1:273">
      <c r="A44" s="42" t="s">
        <v>208</v>
      </c>
      <c r="B44" s="42" t="s">
        <v>270</v>
      </c>
      <c r="C44" s="42" t="s">
        <v>276</v>
      </c>
      <c r="D44" s="60">
        <v>41526</v>
      </c>
      <c r="E44" s="42" t="s">
        <v>277</v>
      </c>
      <c r="F44" s="42">
        <v>0.61536420000000003</v>
      </c>
      <c r="G44" s="42">
        <v>17.987804878048699</v>
      </c>
      <c r="H44" s="42">
        <v>23.489999771099999</v>
      </c>
      <c r="I44" s="42">
        <v>1</v>
      </c>
      <c r="J44" s="42">
        <v>0</v>
      </c>
      <c r="K44" s="42">
        <v>0</v>
      </c>
      <c r="L44" s="42" t="s">
        <v>454</v>
      </c>
      <c r="M44" s="42" t="s">
        <v>614</v>
      </c>
      <c r="N44" s="42">
        <v>2.1201992028682489E-22</v>
      </c>
      <c r="O44" s="61" t="s">
        <v>455</v>
      </c>
      <c r="P44" s="42">
        <v>24.008297880877741</v>
      </c>
      <c r="Q44" s="42">
        <v>6.4779664379182664</v>
      </c>
      <c r="R44" s="42">
        <v>1.9505540294927253</v>
      </c>
      <c r="S44" s="42">
        <v>0.4580693915210427</v>
      </c>
      <c r="T44" s="42" t="s">
        <v>455</v>
      </c>
      <c r="U44" s="42" t="s">
        <v>455</v>
      </c>
      <c r="V44" s="42" t="s">
        <v>456</v>
      </c>
      <c r="W44" s="42" t="s">
        <v>455</v>
      </c>
      <c r="X44" s="42">
        <v>1.0270783659990947</v>
      </c>
      <c r="Y44" s="42">
        <v>1.9851080100951917</v>
      </c>
      <c r="Z44" s="42" t="s">
        <v>456</v>
      </c>
      <c r="AA44" s="42" t="s">
        <v>455</v>
      </c>
      <c r="AB44" s="42" t="s">
        <v>456</v>
      </c>
      <c r="AC44" s="42" t="s">
        <v>455</v>
      </c>
      <c r="AD44" s="42" t="s">
        <v>613</v>
      </c>
      <c r="AE44" s="42" t="s">
        <v>91</v>
      </c>
      <c r="AF44" s="42">
        <v>1.0486272400696024E-12</v>
      </c>
      <c r="AG44" s="42">
        <v>3</v>
      </c>
      <c r="AH44" s="62">
        <v>42880.574386574073</v>
      </c>
      <c r="AJ44" s="63" t="s">
        <v>627</v>
      </c>
      <c r="AK44" s="61">
        <v>0.25883924745421316</v>
      </c>
      <c r="AL44" s="61">
        <v>0.19850696991999239</v>
      </c>
      <c r="AM44" s="61">
        <v>6.3436208825636387E-2</v>
      </c>
      <c r="AN44" s="61" t="s">
        <v>455</v>
      </c>
      <c r="AO44" s="61" t="s">
        <v>455</v>
      </c>
      <c r="AP44" s="61">
        <v>0.21237597877950254</v>
      </c>
      <c r="AQ44" s="61">
        <v>-0.95578220378845502</v>
      </c>
      <c r="AR44" s="61">
        <v>97.999596104796098</v>
      </c>
      <c r="AS44" s="61">
        <v>112.46658010624381</v>
      </c>
      <c r="AT44" s="61" t="s">
        <v>455</v>
      </c>
      <c r="AU44" s="61" t="s">
        <v>455</v>
      </c>
      <c r="AV44" s="42">
        <v>5.54E-8</v>
      </c>
      <c r="AW44" s="42">
        <v>5.5400000000000005E-10</v>
      </c>
      <c r="AX44" s="42">
        <v>2.1409999999999999E-7</v>
      </c>
      <c r="AY44" s="42">
        <v>2.8000000000000002E-10</v>
      </c>
      <c r="AZ44" s="42" t="s">
        <v>455</v>
      </c>
      <c r="BA44" s="42" t="s">
        <v>455</v>
      </c>
      <c r="BB44" s="42" t="s">
        <v>455</v>
      </c>
      <c r="BC44" s="42" t="s">
        <v>455</v>
      </c>
      <c r="BD44" s="42" t="s">
        <v>455</v>
      </c>
      <c r="BE44" s="42" t="s">
        <v>455</v>
      </c>
      <c r="BF44" s="42" t="s">
        <v>455</v>
      </c>
      <c r="BG44" s="42" t="s">
        <v>455</v>
      </c>
      <c r="BH44" s="42" t="s">
        <v>455</v>
      </c>
      <c r="BI44" s="42" t="s">
        <v>455</v>
      </c>
      <c r="BJ44" s="42" t="s">
        <v>455</v>
      </c>
      <c r="BK44" s="42" t="s">
        <v>455</v>
      </c>
      <c r="BL44" s="42" t="s">
        <v>455</v>
      </c>
      <c r="BM44" s="42" t="s">
        <v>455</v>
      </c>
      <c r="BN44" s="42" t="s">
        <v>455</v>
      </c>
      <c r="BO44" s="42" t="s">
        <v>455</v>
      </c>
      <c r="BP44" s="42" t="s">
        <v>455</v>
      </c>
      <c r="BQ44" s="42" t="s">
        <v>455</v>
      </c>
      <c r="BR44" s="42" t="s">
        <v>455</v>
      </c>
      <c r="BS44" s="42" t="s">
        <v>455</v>
      </c>
      <c r="BT44" s="42" t="s">
        <v>455</v>
      </c>
      <c r="BU44" s="42" t="s">
        <v>455</v>
      </c>
      <c r="BV44" s="42" t="s">
        <v>455</v>
      </c>
      <c r="BW44" s="42" t="s">
        <v>455</v>
      </c>
      <c r="BX44" s="42" t="s">
        <v>455</v>
      </c>
      <c r="BY44" s="42" t="s">
        <v>455</v>
      </c>
      <c r="BZ44" s="42" t="s">
        <v>455</v>
      </c>
      <c r="CA44" s="42" t="s">
        <v>455</v>
      </c>
      <c r="CB44" s="42" t="s">
        <v>455</v>
      </c>
      <c r="CC44" s="42" t="s">
        <v>455</v>
      </c>
      <c r="CD44" s="42" t="s">
        <v>455</v>
      </c>
      <c r="CE44" s="42" t="s">
        <v>455</v>
      </c>
      <c r="CF44" s="42" t="s">
        <v>455</v>
      </c>
      <c r="CG44" s="42" t="s">
        <v>455</v>
      </c>
      <c r="CH44" s="42" t="s">
        <v>455</v>
      </c>
      <c r="CI44" s="42" t="s">
        <v>455</v>
      </c>
      <c r="CJ44" s="42" t="s">
        <v>455</v>
      </c>
      <c r="CK44" s="42" t="s">
        <v>455</v>
      </c>
      <c r="CL44" s="42" t="s">
        <v>455</v>
      </c>
      <c r="CM44" s="42" t="s">
        <v>455</v>
      </c>
      <c r="CN44" s="42" t="s">
        <v>455</v>
      </c>
      <c r="CO44" s="42" t="s">
        <v>455</v>
      </c>
      <c r="CP44" s="42" t="s">
        <v>455</v>
      </c>
      <c r="CQ44" s="42" t="s">
        <v>455</v>
      </c>
      <c r="CR44" s="42">
        <v>0.54362765874630103</v>
      </c>
      <c r="CS44" s="42">
        <v>5.4362765874630105E-2</v>
      </c>
      <c r="CT44" s="42" t="s">
        <v>455</v>
      </c>
      <c r="CU44" s="42" t="s">
        <v>455</v>
      </c>
      <c r="CV44" s="42" t="s">
        <v>455</v>
      </c>
      <c r="CW44" s="42" t="s">
        <v>455</v>
      </c>
      <c r="CX44" s="42">
        <v>16.712418633876499</v>
      </c>
      <c r="CY44" s="42">
        <v>1.67124186338765</v>
      </c>
      <c r="CZ44" s="42">
        <v>0.37003891438928499</v>
      </c>
      <c r="DA44" s="42">
        <v>3.7003891438928502E-2</v>
      </c>
      <c r="DB44" s="42">
        <v>51.229628697950297</v>
      </c>
      <c r="DC44" s="42">
        <v>5.12296286979503</v>
      </c>
      <c r="DD44" s="42">
        <v>3.5476590249242201E-3</v>
      </c>
      <c r="DE44" s="42">
        <v>3.5476590249242204E-4</v>
      </c>
      <c r="DF44" s="42" t="s">
        <v>455</v>
      </c>
      <c r="DG44" s="42" t="s">
        <v>455</v>
      </c>
      <c r="DH44" s="42" t="s">
        <v>455</v>
      </c>
      <c r="DI44" s="42" t="s">
        <v>455</v>
      </c>
      <c r="DJ44" s="42">
        <v>0.99776364294134634</v>
      </c>
      <c r="DK44" s="42">
        <v>0.99783514128708206</v>
      </c>
      <c r="DL44" s="42">
        <v>2.9434461299362332E-2</v>
      </c>
      <c r="DM44" s="42">
        <v>0.9977694873487718</v>
      </c>
      <c r="DN44" s="42">
        <v>4.4008796287561745E-8</v>
      </c>
      <c r="DO44" s="42">
        <v>1.7863892774381819E-7</v>
      </c>
      <c r="DP44" s="42">
        <v>2.871888937364398E-4</v>
      </c>
      <c r="DQ44" s="42">
        <v>6.2825643279730498E-8</v>
      </c>
      <c r="DR44" s="42">
        <v>8.4125172191486196E-9</v>
      </c>
      <c r="DS44" s="42">
        <v>1.1047294260438049E-2</v>
      </c>
      <c r="DT44" s="42">
        <v>5.8750058738564481E-3</v>
      </c>
      <c r="DU44" s="42">
        <v>2.6233627390662205E-4</v>
      </c>
      <c r="DV44" s="42">
        <v>4.3781902978620908E-8</v>
      </c>
      <c r="DW44" s="42">
        <v>9.8808871178240875E-9</v>
      </c>
      <c r="DX44" s="42">
        <v>1.7638784409823694E-7</v>
      </c>
      <c r="DY44" s="42">
        <v>1.0220903114541878E-8</v>
      </c>
      <c r="DZ44" s="42">
        <v>3.5461072256177729E-8</v>
      </c>
      <c r="EA44" s="42">
        <v>1.8218174635462037E-5</v>
      </c>
      <c r="EB44" s="42">
        <v>2.2236315936217118E-9</v>
      </c>
      <c r="EC44" s="42">
        <v>1.6969820056586659E-10</v>
      </c>
      <c r="ED44" s="42">
        <v>2.3443391650808526E-3</v>
      </c>
      <c r="EE44" s="42">
        <v>4.0856304701754591E-4</v>
      </c>
      <c r="EF44" s="42">
        <v>6.826939103224362E-7</v>
      </c>
      <c r="EG44" s="42">
        <v>2.7502811815847412E-9</v>
      </c>
      <c r="EH44" s="42">
        <v>1.1313213371057806E-9</v>
      </c>
      <c r="EI44" s="42">
        <v>6.2417728943766932E-10</v>
      </c>
      <c r="EJ44" s="42">
        <v>5.4229699402103623E-8</v>
      </c>
      <c r="EK44" s="42">
        <v>2.1409999999999592E-7</v>
      </c>
      <c r="EL44" s="42">
        <v>3.0540706837190183E-4</v>
      </c>
      <c r="EM44" s="42">
        <v>6.504927487335221E-8</v>
      </c>
      <c r="EN44" s="42">
        <v>8.5822154197144862E-9</v>
      </c>
      <c r="EO44" s="42">
        <v>1.3391633425518901E-2</v>
      </c>
      <c r="EP44" s="42">
        <v>6.283568920873994E-3</v>
      </c>
      <c r="EQ44" s="42">
        <v>2.6301896781694449E-4</v>
      </c>
      <c r="ER44" s="42">
        <v>4.653218416020565E-8</v>
      </c>
      <c r="ES44" s="42">
        <v>1.1012208454929868E-8</v>
      </c>
      <c r="ET44" s="42">
        <v>1.7701202138767461E-7</v>
      </c>
      <c r="EU44" s="42">
        <v>1.9582267967208212E-6</v>
      </c>
      <c r="EV44" s="42">
        <v>7.9488207093135814E-6</v>
      </c>
      <c r="EW44" s="42">
        <v>1.279661370639322E-2</v>
      </c>
      <c r="EX44" s="42">
        <v>2.8045989640173437E-6</v>
      </c>
      <c r="EY44" s="42">
        <v>3.7700806669804158E-7</v>
      </c>
      <c r="EZ44" s="42">
        <v>0.49208050573012796</v>
      </c>
      <c r="FA44" s="42">
        <v>0.26152704840728191</v>
      </c>
      <c r="FB44" s="42">
        <v>1.1758213751795969E-2</v>
      </c>
      <c r="FC44" s="42">
        <v>1.9489600700835807E-6</v>
      </c>
      <c r="FD44" s="42">
        <v>4.3984964424789779E-7</v>
      </c>
      <c r="FE44" s="42">
        <v>7.8519397652372237E-6</v>
      </c>
      <c r="FF44" s="42">
        <v>4.5479195192712033E-7</v>
      </c>
      <c r="FG44" s="42">
        <v>1.5778963134429426E-6</v>
      </c>
      <c r="FH44" s="42">
        <v>8.1176865933948322E-4</v>
      </c>
      <c r="FI44" s="42">
        <v>9.9265117526297182E-8</v>
      </c>
      <c r="FJ44" s="42">
        <v>7.6050471994099583E-9</v>
      </c>
      <c r="FK44" s="42">
        <v>0.10450607904273768</v>
      </c>
      <c r="FL44" s="42">
        <v>1.8187264841770467E-2</v>
      </c>
      <c r="FM44" s="42">
        <v>3.0599126857606962E-5</v>
      </c>
      <c r="FN44" s="42">
        <v>1.2242931073663883E-7</v>
      </c>
      <c r="FO44" s="42">
        <v>5.0360993068971972E-8</v>
      </c>
      <c r="FP44" s="42">
        <v>2.778537548632986E-8</v>
      </c>
      <c r="FQ44" s="42">
        <v>2.4130187486479415E-6</v>
      </c>
      <c r="FR44" s="42">
        <v>9.526717022756524E-6</v>
      </c>
      <c r="FS44" s="42">
        <v>1.3608382365732703E-2</v>
      </c>
      <c r="FT44" s="42">
        <v>2.9038640815436409E-6</v>
      </c>
      <c r="FU44" s="42">
        <v>3.8461311389745154E-7</v>
      </c>
      <c r="FV44" s="42">
        <v>0.59658658477286564</v>
      </c>
      <c r="FW44" s="42">
        <v>0.27971431324905238</v>
      </c>
      <c r="FX44" s="42">
        <v>1.1788812878653576E-2</v>
      </c>
      <c r="FY44" s="42">
        <v>2.0713893808202195E-6</v>
      </c>
      <c r="FZ44" s="42">
        <v>4.9021063731686976E-7</v>
      </c>
      <c r="GA44" s="42">
        <v>7.8797251407235536E-6</v>
      </c>
      <c r="GB44" s="42">
        <v>7.8380381327360522E-6</v>
      </c>
      <c r="GC44" s="42">
        <v>1.6040481726773529E-4</v>
      </c>
      <c r="GD44" s="42">
        <v>0.51119912434299641</v>
      </c>
      <c r="GE44" s="42">
        <v>2.3501978398672536E-4</v>
      </c>
      <c r="GF44" s="42">
        <v>4.9498520100985974E-5</v>
      </c>
      <c r="GG44" s="42">
        <v>13.784848039220368</v>
      </c>
      <c r="GH44" s="42">
        <v>8.3685517165749328</v>
      </c>
      <c r="GI44" s="42">
        <v>0.51747310810966474</v>
      </c>
      <c r="GJ44" s="42">
        <v>3.1266113965913036E-5</v>
      </c>
      <c r="GK44" s="42">
        <v>8.8668410084645225E-7</v>
      </c>
      <c r="GL44" s="42">
        <v>3.4558585449943289E-4</v>
      </c>
      <c r="GM44" s="42" t="s">
        <v>455</v>
      </c>
      <c r="GN44" s="42" t="s">
        <v>455</v>
      </c>
      <c r="GO44" s="42" t="s">
        <v>455</v>
      </c>
      <c r="GP44" s="42" t="s">
        <v>455</v>
      </c>
      <c r="GQ44" s="42" t="s">
        <v>455</v>
      </c>
      <c r="GR44" s="42" t="s">
        <v>455</v>
      </c>
      <c r="GS44" s="42" t="s">
        <v>455</v>
      </c>
      <c r="GT44" s="42" t="s">
        <v>455</v>
      </c>
      <c r="GU44" s="42" t="s">
        <v>455</v>
      </c>
      <c r="GV44" s="42" t="s">
        <v>455</v>
      </c>
      <c r="GW44" s="42" t="s">
        <v>455</v>
      </c>
      <c r="GX44" s="42" t="s">
        <v>455</v>
      </c>
      <c r="GY44" s="42" t="s">
        <v>455</v>
      </c>
      <c r="GZ44" s="42" t="s">
        <v>455</v>
      </c>
      <c r="HA44" s="42" t="s">
        <v>455</v>
      </c>
      <c r="HB44" s="42" t="s">
        <v>455</v>
      </c>
      <c r="HC44" s="42" t="s">
        <v>455</v>
      </c>
      <c r="HD44" s="42" t="s">
        <v>455</v>
      </c>
      <c r="HE44" s="42" t="s">
        <v>455</v>
      </c>
      <c r="HF44" s="42" t="s">
        <v>455</v>
      </c>
      <c r="HG44" s="42" t="s">
        <v>455</v>
      </c>
      <c r="HH44" s="42" t="s">
        <v>455</v>
      </c>
      <c r="HI44" s="42" t="s">
        <v>455</v>
      </c>
      <c r="HJ44" s="42" t="s">
        <v>455</v>
      </c>
      <c r="HK44" s="42" t="s">
        <v>455</v>
      </c>
      <c r="HL44" s="42" t="s">
        <v>455</v>
      </c>
      <c r="HM44" s="42" t="s">
        <v>455</v>
      </c>
      <c r="HN44" s="42" t="s">
        <v>455</v>
      </c>
      <c r="HO44" s="42" t="s">
        <v>455</v>
      </c>
      <c r="HP44" s="42" t="s">
        <v>455</v>
      </c>
      <c r="HQ44" s="42" t="s">
        <v>455</v>
      </c>
      <c r="HR44" s="42" t="s">
        <v>455</v>
      </c>
      <c r="HS44" s="42" t="s">
        <v>455</v>
      </c>
      <c r="HT44" s="42" t="s">
        <v>455</v>
      </c>
      <c r="HU44" s="42" t="s">
        <v>455</v>
      </c>
      <c r="HV44" s="42" t="s">
        <v>455</v>
      </c>
      <c r="HW44" s="42" t="s">
        <v>455</v>
      </c>
      <c r="HX44" s="42" t="s">
        <v>455</v>
      </c>
      <c r="HY44" s="42" t="s">
        <v>455</v>
      </c>
      <c r="HZ44" s="42" t="s">
        <v>455</v>
      </c>
      <c r="IA44" s="42" t="s">
        <v>455</v>
      </c>
      <c r="IB44" s="42" t="s">
        <v>455</v>
      </c>
      <c r="IC44" s="42" t="s">
        <v>455</v>
      </c>
      <c r="ID44" s="42" t="s">
        <v>455</v>
      </c>
      <c r="IE44" s="42" t="s">
        <v>455</v>
      </c>
      <c r="IF44" s="42" t="s">
        <v>455</v>
      </c>
      <c r="IG44" s="42" t="s">
        <v>455</v>
      </c>
      <c r="IH44" s="42" t="s">
        <v>455</v>
      </c>
      <c r="II44" s="42" t="s">
        <v>455</v>
      </c>
      <c r="IJ44" s="42" t="s">
        <v>455</v>
      </c>
      <c r="IK44" s="42" t="s">
        <v>455</v>
      </c>
      <c r="IL44" s="42" t="s">
        <v>455</v>
      </c>
      <c r="IM44" s="42" t="s">
        <v>455</v>
      </c>
      <c r="IN44" s="42" t="s">
        <v>455</v>
      </c>
      <c r="IO44" s="42" t="s">
        <v>455</v>
      </c>
      <c r="IP44" s="42" t="s">
        <v>455</v>
      </c>
      <c r="IQ44" s="42" t="s">
        <v>455</v>
      </c>
      <c r="IR44" s="42" t="s">
        <v>455</v>
      </c>
      <c r="IS44" s="42" t="s">
        <v>455</v>
      </c>
      <c r="IT44" s="42" t="s">
        <v>455</v>
      </c>
      <c r="IU44" s="42" t="s">
        <v>455</v>
      </c>
      <c r="IV44" s="42" t="s">
        <v>455</v>
      </c>
      <c r="IW44" s="42" t="s">
        <v>455</v>
      </c>
      <c r="IX44" s="42" t="s">
        <v>455</v>
      </c>
      <c r="IY44" s="42" t="s">
        <v>455</v>
      </c>
      <c r="IZ44" s="42" t="s">
        <v>455</v>
      </c>
      <c r="JA44" s="42" t="s">
        <v>455</v>
      </c>
      <c r="JB44" s="42" t="s">
        <v>455</v>
      </c>
      <c r="JC44" s="42" t="s">
        <v>455</v>
      </c>
      <c r="JD44" s="42" t="s">
        <v>455</v>
      </c>
      <c r="JE44" s="42" t="s">
        <v>455</v>
      </c>
      <c r="JF44" s="42" t="s">
        <v>455</v>
      </c>
      <c r="JG44" s="42" t="s">
        <v>455</v>
      </c>
      <c r="JH44" s="42" t="s">
        <v>455</v>
      </c>
      <c r="JI44" s="42" t="s">
        <v>455</v>
      </c>
      <c r="JJ44" s="42" t="s">
        <v>455</v>
      </c>
      <c r="JK44" s="42" t="s">
        <v>455</v>
      </c>
      <c r="JL44" s="42" t="s">
        <v>455</v>
      </c>
      <c r="JM44" s="42" t="s">
        <v>455</v>
      </c>
    </row>
    <row r="45" spans="1:273">
      <c r="A45" s="42" t="s">
        <v>208</v>
      </c>
      <c r="B45" s="42" t="s">
        <v>270</v>
      </c>
      <c r="C45" s="42" t="s">
        <v>271</v>
      </c>
      <c r="D45" s="60">
        <v>41528</v>
      </c>
      <c r="E45" s="42" t="s">
        <v>288</v>
      </c>
      <c r="F45" s="42">
        <v>0.84992100378000002</v>
      </c>
      <c r="G45" s="42">
        <v>61.890243902439003</v>
      </c>
      <c r="H45" s="42">
        <v>22.1800003052</v>
      </c>
      <c r="I45" s="42">
        <v>1</v>
      </c>
      <c r="J45" s="42">
        <v>0</v>
      </c>
      <c r="K45" s="42">
        <v>0</v>
      </c>
      <c r="L45" s="42" t="s">
        <v>454</v>
      </c>
      <c r="M45" s="42" t="s">
        <v>614</v>
      </c>
      <c r="N45" s="42">
        <v>2.0471226901566207E-25</v>
      </c>
      <c r="O45" s="61" t="s">
        <v>455</v>
      </c>
      <c r="P45" s="42">
        <v>15.309891999657999</v>
      </c>
      <c r="Q45" s="42">
        <v>0.71999972318867289</v>
      </c>
      <c r="R45" s="42">
        <v>2.4474110178028821</v>
      </c>
      <c r="S45" s="42">
        <v>0.55674380540878521</v>
      </c>
      <c r="T45" s="42" t="s">
        <v>455</v>
      </c>
      <c r="U45" s="42" t="s">
        <v>455</v>
      </c>
      <c r="V45" s="42" t="s">
        <v>456</v>
      </c>
      <c r="W45" s="42" t="s">
        <v>455</v>
      </c>
      <c r="X45" s="42">
        <v>1.7000000000000002</v>
      </c>
      <c r="Y45" s="42">
        <v>0.316227766016839</v>
      </c>
      <c r="Z45" s="42" t="s">
        <v>456</v>
      </c>
      <c r="AA45" s="42" t="s">
        <v>455</v>
      </c>
      <c r="AB45" s="42" t="s">
        <v>456</v>
      </c>
      <c r="AC45" s="42" t="s">
        <v>455</v>
      </c>
      <c r="AD45" s="42" t="s">
        <v>622</v>
      </c>
      <c r="AE45" s="42" t="s">
        <v>123</v>
      </c>
      <c r="AF45" s="42">
        <v>8.4527189947420496E-6</v>
      </c>
      <c r="AG45" s="42">
        <v>19</v>
      </c>
      <c r="AH45" s="62">
        <v>42880.56287037037</v>
      </c>
      <c r="AI45" s="42" t="s">
        <v>621</v>
      </c>
      <c r="AJ45" s="63" t="s">
        <v>626</v>
      </c>
      <c r="AK45" s="61" t="s">
        <v>455</v>
      </c>
      <c r="AL45" s="61" t="s">
        <v>455</v>
      </c>
      <c r="AM45" s="61">
        <v>6.7705245597353469E-2</v>
      </c>
      <c r="AN45" s="61" t="s">
        <v>455</v>
      </c>
      <c r="AO45" s="61" t="s">
        <v>455</v>
      </c>
      <c r="AP45" s="61">
        <v>0.25504985486276599</v>
      </c>
      <c r="AQ45" s="61">
        <v>-0.95272089237959678</v>
      </c>
      <c r="AR45" s="61">
        <v>29.291888521581679</v>
      </c>
      <c r="AS45" s="61" t="s">
        <v>455</v>
      </c>
      <c r="AT45" s="61" t="s">
        <v>455</v>
      </c>
      <c r="AU45" s="61" t="s">
        <v>455</v>
      </c>
      <c r="AV45" s="42" t="s">
        <v>455</v>
      </c>
      <c r="AW45" s="42" t="s">
        <v>455</v>
      </c>
      <c r="AX45" s="42" t="s">
        <v>455</v>
      </c>
      <c r="AY45" s="42" t="s">
        <v>455</v>
      </c>
      <c r="AZ45" s="42" t="s">
        <v>455</v>
      </c>
      <c r="BA45" s="42" t="s">
        <v>455</v>
      </c>
      <c r="BB45" s="42" t="s">
        <v>455</v>
      </c>
      <c r="BC45" s="42" t="s">
        <v>455</v>
      </c>
      <c r="BD45" s="42" t="s">
        <v>455</v>
      </c>
      <c r="BE45" s="42" t="s">
        <v>455</v>
      </c>
      <c r="BF45" s="42" t="s">
        <v>455</v>
      </c>
      <c r="BG45" s="42" t="s">
        <v>455</v>
      </c>
      <c r="BH45" s="42" t="s">
        <v>455</v>
      </c>
      <c r="BI45" s="42" t="s">
        <v>455</v>
      </c>
      <c r="BJ45" s="42" t="s">
        <v>455</v>
      </c>
      <c r="BK45" s="42" t="s">
        <v>455</v>
      </c>
      <c r="BL45" s="42" t="s">
        <v>455</v>
      </c>
      <c r="BM45" s="42" t="s">
        <v>455</v>
      </c>
      <c r="BN45" s="42" t="s">
        <v>455</v>
      </c>
      <c r="BO45" s="42" t="s">
        <v>455</v>
      </c>
      <c r="BP45" s="42" t="s">
        <v>455</v>
      </c>
      <c r="BQ45" s="42" t="s">
        <v>455</v>
      </c>
      <c r="BR45" s="42" t="s">
        <v>455</v>
      </c>
      <c r="BS45" s="42" t="s">
        <v>455</v>
      </c>
      <c r="BT45" s="42" t="s">
        <v>455</v>
      </c>
      <c r="BU45" s="42" t="s">
        <v>455</v>
      </c>
      <c r="BV45" s="42" t="s">
        <v>455</v>
      </c>
      <c r="BW45" s="42" t="s">
        <v>455</v>
      </c>
      <c r="BX45" s="42" t="s">
        <v>455</v>
      </c>
      <c r="BY45" s="42" t="s">
        <v>455</v>
      </c>
      <c r="BZ45" s="42" t="s">
        <v>455</v>
      </c>
      <c r="CA45" s="42" t="s">
        <v>455</v>
      </c>
      <c r="CB45" s="42" t="s">
        <v>455</v>
      </c>
      <c r="CC45" s="42" t="s">
        <v>455</v>
      </c>
      <c r="CD45" s="42" t="s">
        <v>455</v>
      </c>
      <c r="CE45" s="42" t="s">
        <v>455</v>
      </c>
      <c r="CF45" s="42" t="s">
        <v>455</v>
      </c>
      <c r="CG45" s="42" t="s">
        <v>455</v>
      </c>
      <c r="CH45" s="42" t="s">
        <v>455</v>
      </c>
      <c r="CI45" s="42" t="s">
        <v>455</v>
      </c>
      <c r="CJ45" s="42" t="s">
        <v>455</v>
      </c>
      <c r="CK45" s="42" t="s">
        <v>455</v>
      </c>
      <c r="CL45" s="42" t="s">
        <v>455</v>
      </c>
      <c r="CM45" s="42" t="s">
        <v>455</v>
      </c>
      <c r="CN45" s="42" t="s">
        <v>455</v>
      </c>
      <c r="CO45" s="42" t="s">
        <v>455</v>
      </c>
      <c r="CP45" s="42" t="s">
        <v>455</v>
      </c>
      <c r="CQ45" s="42" t="s">
        <v>455</v>
      </c>
      <c r="CR45" s="42">
        <v>0.644856604501578</v>
      </c>
      <c r="CS45" s="42">
        <v>6.44856604501578E-2</v>
      </c>
      <c r="CT45" s="42" t="s">
        <v>455</v>
      </c>
      <c r="CU45" s="42" t="s">
        <v>455</v>
      </c>
      <c r="CV45" s="42" t="s">
        <v>455</v>
      </c>
      <c r="CW45" s="42" t="s">
        <v>455</v>
      </c>
      <c r="CX45" s="42">
        <v>20.137125716733902</v>
      </c>
      <c r="CY45" s="42">
        <v>2.0137125716733904</v>
      </c>
      <c r="CZ45" s="42">
        <v>0.46756540942547697</v>
      </c>
      <c r="DA45" s="42">
        <v>4.6756540942547699E-2</v>
      </c>
      <c r="DB45" s="42">
        <v>20.357699360445402</v>
      </c>
      <c r="DC45" s="42">
        <v>2.0357699360445403</v>
      </c>
      <c r="DD45" s="42" t="s">
        <v>455</v>
      </c>
      <c r="DE45" s="42" t="s">
        <v>455</v>
      </c>
      <c r="DF45" s="42" t="s">
        <v>455</v>
      </c>
      <c r="DG45" s="42" t="s">
        <v>455</v>
      </c>
      <c r="DH45" s="42" t="s">
        <v>455</v>
      </c>
      <c r="DI45" s="42" t="s">
        <v>455</v>
      </c>
      <c r="DJ45" s="42">
        <v>0.99971157401873567</v>
      </c>
      <c r="DK45" s="42">
        <v>0.99257107599482886</v>
      </c>
      <c r="DL45" s="42">
        <v>1.7143595377588521E-2</v>
      </c>
      <c r="DM45" s="42">
        <v>0.99244149606164989</v>
      </c>
      <c r="DN45" s="42">
        <v>4.4924972718629302E-8</v>
      </c>
      <c r="DO45" s="42">
        <v>1.8988619473713715E-7</v>
      </c>
      <c r="DP45" s="42">
        <v>3.3864313030279749E-4</v>
      </c>
      <c r="DQ45" s="42">
        <v>7.7528973302635158E-8</v>
      </c>
      <c r="DR45" s="42">
        <v>1.0879836762940422E-8</v>
      </c>
      <c r="DS45" s="42">
        <v>1.2833449251854584E-2</v>
      </c>
      <c r="DT45" s="42">
        <v>6.9292153570869354E-3</v>
      </c>
      <c r="DU45" s="42">
        <v>3.4003675390786061E-4</v>
      </c>
      <c r="DV45" s="42">
        <v>5.2385221882048393E-8</v>
      </c>
      <c r="DW45" s="42">
        <v>1.0536956374468491E-8</v>
      </c>
      <c r="DX45" s="42">
        <v>2.3185906476297724E-7</v>
      </c>
      <c r="DY45" s="42">
        <v>1.2824433733287102E-8</v>
      </c>
      <c r="DZ45" s="42">
        <v>4.4493932303656381E-8</v>
      </c>
      <c r="EA45" s="42">
        <v>2.2858818906278892E-5</v>
      </c>
      <c r="EB45" s="42">
        <v>2.7900485602952903E-9</v>
      </c>
      <c r="EC45" s="42">
        <v>2.1292475854885041E-10</v>
      </c>
      <c r="ED45" s="42">
        <v>3.2703840527736772E-3</v>
      </c>
      <c r="EE45" s="42">
        <v>5.1263471178899199E-4</v>
      </c>
      <c r="EF45" s="42">
        <v>8.5659385623098857E-7</v>
      </c>
      <c r="EG45" s="42">
        <v>3.4508495351020634E-9</v>
      </c>
      <c r="EH45" s="42">
        <v>1.4194983903256721E-9</v>
      </c>
      <c r="EI45" s="42">
        <v>7.8317152569691617E-10</v>
      </c>
      <c r="EJ45" s="42">
        <v>5.7749406451916403E-8</v>
      </c>
      <c r="EK45" s="42">
        <v>2.3438012704079353E-7</v>
      </c>
      <c r="EL45" s="42">
        <v>3.6150194920907638E-4</v>
      </c>
      <c r="EM45" s="42">
        <v>8.0319021862930448E-8</v>
      </c>
      <c r="EN45" s="42">
        <v>1.1092761521489273E-8</v>
      </c>
      <c r="EO45" s="42">
        <v>1.6103833304628262E-2</v>
      </c>
      <c r="EP45" s="42">
        <v>7.4418500688759274E-3</v>
      </c>
      <c r="EQ45" s="42">
        <v>3.408933477640916E-4</v>
      </c>
      <c r="ER45" s="42">
        <v>5.5836071417150456E-8</v>
      </c>
      <c r="ES45" s="42">
        <v>1.1956454764794163E-8</v>
      </c>
      <c r="ET45" s="42">
        <v>2.3264223628867416E-7</v>
      </c>
      <c r="EU45" s="42">
        <v>2.0028958491518137E-6</v>
      </c>
      <c r="EV45" s="42">
        <v>8.4657811010245346E-6</v>
      </c>
      <c r="EW45" s="42">
        <v>1.5118779550259575E-2</v>
      </c>
      <c r="EX45" s="42">
        <v>3.4677270264756902E-6</v>
      </c>
      <c r="EY45" s="42">
        <v>4.8853322047602762E-7</v>
      </c>
      <c r="EZ45" s="42">
        <v>0.57275736314205383</v>
      </c>
      <c r="FA45" s="42">
        <v>0.30905758862086974</v>
      </c>
      <c r="FB45" s="42">
        <v>1.527059334591657E-2</v>
      </c>
      <c r="FC45" s="42">
        <v>2.3364911494165835E-6</v>
      </c>
      <c r="FD45" s="42">
        <v>4.6997043109157866E-7</v>
      </c>
      <c r="FE45" s="42">
        <v>1.0341402274681356E-5</v>
      </c>
      <c r="FF45" s="42">
        <v>5.7175338208879685E-7</v>
      </c>
      <c r="FG45" s="42">
        <v>1.9836928731338177E-6</v>
      </c>
      <c r="FH45" s="42">
        <v>1.0205358174970817E-3</v>
      </c>
      <c r="FI45" s="42">
        <v>1.2479369177183097E-7</v>
      </c>
      <c r="FJ45" s="42">
        <v>9.5608803954920215E-9</v>
      </c>
      <c r="FK45" s="42">
        <v>0.14597487676185528</v>
      </c>
      <c r="FL45" s="42">
        <v>2.2864587071438125E-2</v>
      </c>
      <c r="FM45" s="42">
        <v>3.8468478159447636E-5</v>
      </c>
      <c r="FN45" s="42">
        <v>1.5391515215663019E-7</v>
      </c>
      <c r="FO45" s="42">
        <v>6.3312615780741461E-8</v>
      </c>
      <c r="FP45" s="42">
        <v>3.4931098361789181E-8</v>
      </c>
      <c r="FQ45" s="42">
        <v>2.5746492312406106E-6</v>
      </c>
      <c r="FR45" s="42">
        <v>1.0449473974158352E-5</v>
      </c>
      <c r="FS45" s="42">
        <v>1.6139315367756656E-2</v>
      </c>
      <c r="FT45" s="42">
        <v>3.5925207182475211E-6</v>
      </c>
      <c r="FU45" s="42">
        <v>4.9809410087151964E-7</v>
      </c>
      <c r="FV45" s="42">
        <v>0.71873223990390911</v>
      </c>
      <c r="FW45" s="42">
        <v>0.33192217569230786</v>
      </c>
      <c r="FX45" s="42">
        <v>1.5309061824076018E-2</v>
      </c>
      <c r="FY45" s="42">
        <v>2.4904063015732137E-6</v>
      </c>
      <c r="FZ45" s="42">
        <v>5.3328304687232012E-7</v>
      </c>
      <c r="GA45" s="42">
        <v>1.0376333373043145E-5</v>
      </c>
      <c r="GB45" s="42">
        <v>8.016831384311202E-6</v>
      </c>
      <c r="GC45" s="42">
        <v>1.7083692288434479E-4</v>
      </c>
      <c r="GD45" s="42">
        <v>0.60396500547376952</v>
      </c>
      <c r="GE45" s="42">
        <v>2.9058858936460989E-4</v>
      </c>
      <c r="GF45" s="42">
        <v>6.4140992115959095E-5</v>
      </c>
      <c r="GG45" s="42">
        <v>16.044881116643612</v>
      </c>
      <c r="GH45" s="42">
        <v>9.8894719667614872</v>
      </c>
      <c r="GI45" s="42">
        <v>0.67205117785711532</v>
      </c>
      <c r="GJ45" s="42">
        <v>3.7483065804869563E-5</v>
      </c>
      <c r="GK45" s="42">
        <v>9.4740399262889168E-7</v>
      </c>
      <c r="GL45" s="42">
        <v>4.5515407003509555E-4</v>
      </c>
      <c r="GM45" s="42" t="s">
        <v>455</v>
      </c>
      <c r="GN45" s="42" t="s">
        <v>455</v>
      </c>
      <c r="GO45" s="42" t="s">
        <v>455</v>
      </c>
      <c r="GP45" s="42" t="s">
        <v>455</v>
      </c>
      <c r="GQ45" s="42" t="s">
        <v>455</v>
      </c>
      <c r="GR45" s="42" t="s">
        <v>455</v>
      </c>
      <c r="GS45" s="42" t="s">
        <v>455</v>
      </c>
      <c r="GT45" s="42" t="s">
        <v>455</v>
      </c>
      <c r="GU45" s="42" t="s">
        <v>455</v>
      </c>
      <c r="GV45" s="42" t="s">
        <v>455</v>
      </c>
      <c r="GW45" s="42" t="s">
        <v>455</v>
      </c>
      <c r="GX45" s="42" t="s">
        <v>455</v>
      </c>
      <c r="GY45" s="42" t="s">
        <v>455</v>
      </c>
      <c r="GZ45" s="42" t="s">
        <v>455</v>
      </c>
      <c r="HA45" s="42" t="s">
        <v>455</v>
      </c>
      <c r="HB45" s="42" t="s">
        <v>455</v>
      </c>
      <c r="HC45" s="42" t="s">
        <v>455</v>
      </c>
      <c r="HD45" s="42" t="s">
        <v>455</v>
      </c>
      <c r="HE45" s="42" t="s">
        <v>455</v>
      </c>
      <c r="HF45" s="42" t="s">
        <v>455</v>
      </c>
      <c r="HG45" s="42" t="s">
        <v>455</v>
      </c>
      <c r="HH45" s="42" t="s">
        <v>455</v>
      </c>
      <c r="HI45" s="42" t="s">
        <v>455</v>
      </c>
      <c r="HJ45" s="42" t="s">
        <v>455</v>
      </c>
      <c r="HK45" s="42" t="s">
        <v>455</v>
      </c>
      <c r="HL45" s="42" t="s">
        <v>455</v>
      </c>
      <c r="HM45" s="42" t="s">
        <v>455</v>
      </c>
      <c r="HN45" s="42" t="s">
        <v>455</v>
      </c>
      <c r="HO45" s="42" t="s">
        <v>455</v>
      </c>
      <c r="HP45" s="42" t="s">
        <v>455</v>
      </c>
      <c r="HQ45" s="42" t="s">
        <v>455</v>
      </c>
      <c r="HR45" s="42" t="s">
        <v>455</v>
      </c>
      <c r="HS45" s="42" t="s">
        <v>455</v>
      </c>
      <c r="HT45" s="42" t="s">
        <v>455</v>
      </c>
      <c r="HU45" s="42" t="s">
        <v>455</v>
      </c>
      <c r="HV45" s="42" t="s">
        <v>455</v>
      </c>
      <c r="HW45" s="42" t="s">
        <v>455</v>
      </c>
      <c r="HX45" s="42" t="s">
        <v>455</v>
      </c>
      <c r="HY45" s="42" t="s">
        <v>455</v>
      </c>
      <c r="HZ45" s="42" t="s">
        <v>455</v>
      </c>
      <c r="IA45" s="42" t="s">
        <v>455</v>
      </c>
      <c r="IB45" s="42" t="s">
        <v>455</v>
      </c>
      <c r="IC45" s="42" t="s">
        <v>455</v>
      </c>
      <c r="ID45" s="42" t="s">
        <v>455</v>
      </c>
      <c r="IE45" s="42" t="s">
        <v>455</v>
      </c>
      <c r="IF45" s="42" t="s">
        <v>455</v>
      </c>
      <c r="IG45" s="42" t="s">
        <v>455</v>
      </c>
      <c r="IH45" s="42" t="s">
        <v>455</v>
      </c>
      <c r="II45" s="42" t="s">
        <v>455</v>
      </c>
      <c r="IJ45" s="42" t="s">
        <v>455</v>
      </c>
      <c r="IK45" s="42" t="s">
        <v>455</v>
      </c>
      <c r="IL45" s="42" t="s">
        <v>455</v>
      </c>
      <c r="IM45" s="42" t="s">
        <v>455</v>
      </c>
      <c r="IN45" s="42" t="s">
        <v>455</v>
      </c>
      <c r="IO45" s="42" t="s">
        <v>455</v>
      </c>
      <c r="IP45" s="42" t="s">
        <v>455</v>
      </c>
      <c r="IQ45" s="42" t="s">
        <v>455</v>
      </c>
      <c r="IR45" s="42" t="s">
        <v>455</v>
      </c>
      <c r="IS45" s="42" t="s">
        <v>455</v>
      </c>
      <c r="IT45" s="42" t="s">
        <v>455</v>
      </c>
      <c r="IU45" s="42" t="s">
        <v>455</v>
      </c>
      <c r="IV45" s="42" t="s">
        <v>455</v>
      </c>
      <c r="IW45" s="42" t="s">
        <v>455</v>
      </c>
      <c r="IX45" s="42" t="s">
        <v>455</v>
      </c>
      <c r="IY45" s="42" t="s">
        <v>455</v>
      </c>
      <c r="IZ45" s="42" t="s">
        <v>455</v>
      </c>
      <c r="JA45" s="42" t="s">
        <v>455</v>
      </c>
      <c r="JB45" s="42" t="s">
        <v>455</v>
      </c>
      <c r="JC45" s="42" t="s">
        <v>455</v>
      </c>
      <c r="JD45" s="42" t="s">
        <v>455</v>
      </c>
      <c r="JE45" s="42" t="s">
        <v>455</v>
      </c>
      <c r="JF45" s="42" t="s">
        <v>455</v>
      </c>
      <c r="JG45" s="42" t="s">
        <v>455</v>
      </c>
      <c r="JH45" s="42" t="s">
        <v>455</v>
      </c>
      <c r="JI45" s="42" t="s">
        <v>455</v>
      </c>
      <c r="JJ45" s="42" t="s">
        <v>455</v>
      </c>
      <c r="JK45" s="42" t="s">
        <v>455</v>
      </c>
      <c r="JL45" s="42" t="s">
        <v>455</v>
      </c>
      <c r="JM45" s="42" t="s">
        <v>455</v>
      </c>
    </row>
    <row r="46" spans="1:273">
      <c r="A46" s="42" t="s">
        <v>208</v>
      </c>
      <c r="B46" s="42" t="s">
        <v>270</v>
      </c>
      <c r="C46" s="42" t="s">
        <v>271</v>
      </c>
      <c r="D46" s="60">
        <v>41528</v>
      </c>
      <c r="E46" s="42" t="s">
        <v>272</v>
      </c>
      <c r="F46" s="42">
        <v>0.84992100378000002</v>
      </c>
      <c r="G46" s="42">
        <v>61.890243902439003</v>
      </c>
      <c r="H46" s="42">
        <v>22.1800003052</v>
      </c>
      <c r="I46" s="42">
        <v>1</v>
      </c>
      <c r="J46" s="42">
        <v>0</v>
      </c>
      <c r="K46" s="42">
        <v>0</v>
      </c>
      <c r="L46" s="42" t="s">
        <v>454</v>
      </c>
      <c r="M46" s="42" t="s">
        <v>614</v>
      </c>
      <c r="N46" s="42">
        <v>5.3537435646651172E-25</v>
      </c>
      <c r="O46" s="61" t="s">
        <v>455</v>
      </c>
      <c r="P46" s="42">
        <v>15.056728839453854</v>
      </c>
      <c r="Q46" s="42">
        <v>0.71324527269062732</v>
      </c>
      <c r="R46" s="42">
        <v>2.4712775835141749</v>
      </c>
      <c r="S46" s="42">
        <v>0.5567336838644944</v>
      </c>
      <c r="T46" s="42" t="s">
        <v>455</v>
      </c>
      <c r="U46" s="42" t="s">
        <v>455</v>
      </c>
      <c r="V46" s="42" t="s">
        <v>456</v>
      </c>
      <c r="W46" s="42" t="s">
        <v>455</v>
      </c>
      <c r="X46" s="42">
        <v>1.7000000000000002</v>
      </c>
      <c r="Y46" s="42">
        <v>0.316227766016839</v>
      </c>
      <c r="Z46" s="42" t="s">
        <v>456</v>
      </c>
      <c r="AA46" s="42" t="s">
        <v>455</v>
      </c>
      <c r="AB46" s="42" t="s">
        <v>456</v>
      </c>
      <c r="AC46" s="42" t="s">
        <v>455</v>
      </c>
      <c r="AD46" s="42" t="s">
        <v>622</v>
      </c>
      <c r="AE46" s="42" t="s">
        <v>123</v>
      </c>
      <c r="AF46" s="42">
        <v>6.1900741712760198E-13</v>
      </c>
      <c r="AG46" s="42">
        <v>5</v>
      </c>
      <c r="AH46" s="62">
        <v>42880.562835648147</v>
      </c>
      <c r="AI46" s="42" t="s">
        <v>621</v>
      </c>
      <c r="AJ46" s="63" t="s">
        <v>625</v>
      </c>
      <c r="AK46" s="61" t="s">
        <v>455</v>
      </c>
      <c r="AL46" s="61" t="s">
        <v>455</v>
      </c>
      <c r="AM46" s="61">
        <v>6.7996331207944349E-2</v>
      </c>
      <c r="AN46" s="61" t="s">
        <v>455</v>
      </c>
      <c r="AO46" s="61" t="s">
        <v>455</v>
      </c>
      <c r="AP46" s="61">
        <v>0.25523102912844053</v>
      </c>
      <c r="AQ46" s="61">
        <v>-0.91028311123442984</v>
      </c>
      <c r="AR46" s="61">
        <v>29.262627636127398</v>
      </c>
      <c r="AS46" s="61" t="s">
        <v>455</v>
      </c>
      <c r="AT46" s="61" t="s">
        <v>455</v>
      </c>
      <c r="AU46" s="61" t="s">
        <v>455</v>
      </c>
      <c r="AV46" s="42" t="s">
        <v>455</v>
      </c>
      <c r="AW46" s="42" t="s">
        <v>455</v>
      </c>
      <c r="AX46" s="42" t="s">
        <v>455</v>
      </c>
      <c r="AY46" s="42" t="s">
        <v>455</v>
      </c>
      <c r="AZ46" s="42" t="s">
        <v>455</v>
      </c>
      <c r="BA46" s="42" t="s">
        <v>455</v>
      </c>
      <c r="BB46" s="42" t="s">
        <v>455</v>
      </c>
      <c r="BC46" s="42" t="s">
        <v>455</v>
      </c>
      <c r="BD46" s="42" t="s">
        <v>455</v>
      </c>
      <c r="BE46" s="42" t="s">
        <v>455</v>
      </c>
      <c r="BF46" s="42" t="s">
        <v>455</v>
      </c>
      <c r="BG46" s="42" t="s">
        <v>455</v>
      </c>
      <c r="BH46" s="42" t="s">
        <v>455</v>
      </c>
      <c r="BI46" s="42" t="s">
        <v>455</v>
      </c>
      <c r="BJ46" s="42" t="s">
        <v>455</v>
      </c>
      <c r="BK46" s="42" t="s">
        <v>455</v>
      </c>
      <c r="BL46" s="42" t="s">
        <v>455</v>
      </c>
      <c r="BM46" s="42" t="s">
        <v>455</v>
      </c>
      <c r="BN46" s="42" t="s">
        <v>455</v>
      </c>
      <c r="BO46" s="42" t="s">
        <v>455</v>
      </c>
      <c r="BP46" s="42" t="s">
        <v>455</v>
      </c>
      <c r="BQ46" s="42" t="s">
        <v>455</v>
      </c>
      <c r="BR46" s="42" t="s">
        <v>455</v>
      </c>
      <c r="BS46" s="42" t="s">
        <v>455</v>
      </c>
      <c r="BT46" s="42" t="s">
        <v>455</v>
      </c>
      <c r="BU46" s="42" t="s">
        <v>455</v>
      </c>
      <c r="BV46" s="42" t="s">
        <v>455</v>
      </c>
      <c r="BW46" s="42" t="s">
        <v>455</v>
      </c>
      <c r="BX46" s="42" t="s">
        <v>455</v>
      </c>
      <c r="BY46" s="42" t="s">
        <v>455</v>
      </c>
      <c r="BZ46" s="42" t="s">
        <v>455</v>
      </c>
      <c r="CA46" s="42" t="s">
        <v>455</v>
      </c>
      <c r="CB46" s="42" t="s">
        <v>455</v>
      </c>
      <c r="CC46" s="42" t="s">
        <v>455</v>
      </c>
      <c r="CD46" s="42" t="s">
        <v>455</v>
      </c>
      <c r="CE46" s="42" t="s">
        <v>455</v>
      </c>
      <c r="CF46" s="42" t="s">
        <v>455</v>
      </c>
      <c r="CG46" s="42" t="s">
        <v>455</v>
      </c>
      <c r="CH46" s="42" t="s">
        <v>455</v>
      </c>
      <c r="CI46" s="42" t="s">
        <v>455</v>
      </c>
      <c r="CJ46" s="42" t="s">
        <v>455</v>
      </c>
      <c r="CK46" s="42" t="s">
        <v>455</v>
      </c>
      <c r="CL46" s="42" t="s">
        <v>455</v>
      </c>
      <c r="CM46" s="42" t="s">
        <v>455</v>
      </c>
      <c r="CN46" s="42" t="s">
        <v>455</v>
      </c>
      <c r="CO46" s="42" t="s">
        <v>455</v>
      </c>
      <c r="CP46" s="42" t="s">
        <v>455</v>
      </c>
      <c r="CQ46" s="42" t="s">
        <v>455</v>
      </c>
      <c r="CR46" s="42">
        <v>0.64853000310912301</v>
      </c>
      <c r="CS46" s="42">
        <v>6.4853000310912304E-2</v>
      </c>
      <c r="CT46" s="42" t="s">
        <v>455</v>
      </c>
      <c r="CU46" s="42" t="s">
        <v>455</v>
      </c>
      <c r="CV46" s="42" t="s">
        <v>455</v>
      </c>
      <c r="CW46" s="42" t="s">
        <v>455</v>
      </c>
      <c r="CX46" s="42">
        <v>20.2407096401977</v>
      </c>
      <c r="CY46" s="42">
        <v>2.0240709640197703</v>
      </c>
      <c r="CZ46" s="42">
        <v>0.89209129703911205</v>
      </c>
      <c r="DA46" s="42">
        <v>8.9209129703911205E-2</v>
      </c>
      <c r="DB46" s="42">
        <v>20.5062625603748</v>
      </c>
      <c r="DC46" s="42">
        <v>2.0506262560374799</v>
      </c>
      <c r="DD46" s="42" t="s">
        <v>455</v>
      </c>
      <c r="DE46" s="42" t="s">
        <v>455</v>
      </c>
      <c r="DF46" s="42" t="s">
        <v>455</v>
      </c>
      <c r="DG46" s="42" t="s">
        <v>455</v>
      </c>
      <c r="DH46" s="42" t="s">
        <v>455</v>
      </c>
      <c r="DI46" s="42" t="s">
        <v>455</v>
      </c>
      <c r="DJ46" s="42">
        <v>0.99975076497068915</v>
      </c>
      <c r="DK46" s="42">
        <v>0.99257107599482886</v>
      </c>
      <c r="DL46" s="42">
        <v>1.686671549459105E-2</v>
      </c>
      <c r="DM46" s="42">
        <v>0.9924436247635452</v>
      </c>
      <c r="DN46" s="42">
        <v>4.4966181437236775E-8</v>
      </c>
      <c r="DO46" s="42">
        <v>1.9029568244138695E-7</v>
      </c>
      <c r="DP46" s="42">
        <v>3.4046602568135628E-4</v>
      </c>
      <c r="DQ46" s="42">
        <v>7.8053212106063804E-8</v>
      </c>
      <c r="DR46" s="42">
        <v>1.0969340345733719E-8</v>
      </c>
      <c r="DS46" s="42">
        <v>1.2897096145470174E-2</v>
      </c>
      <c r="DT46" s="42">
        <v>6.9667307861589825E-3</v>
      </c>
      <c r="DU46" s="42">
        <v>3.4283596073845363E-4</v>
      </c>
      <c r="DV46" s="42">
        <v>5.2692422991084117E-8</v>
      </c>
      <c r="DW46" s="42">
        <v>1.0561037242884153E-8</v>
      </c>
      <c r="DX46" s="42">
        <v>2.3387244988712003E-7</v>
      </c>
      <c r="DY46" s="42">
        <v>1.2949494537614278E-8</v>
      </c>
      <c r="DZ46" s="42">
        <v>4.4927826468287692E-8</v>
      </c>
      <c r="EA46" s="42">
        <v>2.3081732630022395E-5</v>
      </c>
      <c r="EB46" s="42">
        <v>2.817256445206162E-9</v>
      </c>
      <c r="EC46" s="42">
        <v>2.1500114976573267E-10</v>
      </c>
      <c r="ED46" s="42">
        <v>3.2890200219436831E-3</v>
      </c>
      <c r="EE46" s="42">
        <v>5.1763380264287923E-4</v>
      </c>
      <c r="EF46" s="42">
        <v>8.6494715422993527E-7</v>
      </c>
      <c r="EG46" s="42">
        <v>3.4845013927549874E-9</v>
      </c>
      <c r="EH46" s="42">
        <v>1.4333409984382216E-9</v>
      </c>
      <c r="EI46" s="42">
        <v>7.9080882672452694E-10</v>
      </c>
      <c r="EJ46" s="42">
        <v>5.7915675974851052E-8</v>
      </c>
      <c r="EK46" s="42">
        <v>2.3522350890967464E-7</v>
      </c>
      <c r="EL46" s="42">
        <v>3.6354775831137868E-4</v>
      </c>
      <c r="EM46" s="42">
        <v>8.0870468551269966E-8</v>
      </c>
      <c r="EN46" s="42">
        <v>1.1184341495499452E-8</v>
      </c>
      <c r="EO46" s="42">
        <v>1.6186116167413857E-2</v>
      </c>
      <c r="EP46" s="42">
        <v>7.4843645888018617E-3</v>
      </c>
      <c r="EQ46" s="42">
        <v>3.4370090789268356E-4</v>
      </c>
      <c r="ER46" s="42">
        <v>5.6176924383839104E-8</v>
      </c>
      <c r="ES46" s="42">
        <v>1.1994378241322374E-8</v>
      </c>
      <c r="ET46" s="42">
        <v>2.3466325871384456E-7</v>
      </c>
      <c r="EU46" s="42">
        <v>2.004811652829494E-6</v>
      </c>
      <c r="EV46" s="42">
        <v>8.4843700678218866E-6</v>
      </c>
      <c r="EW46" s="42">
        <v>1.5200758901977649E-2</v>
      </c>
      <c r="EX46" s="42">
        <v>3.4913121167462494E-6</v>
      </c>
      <c r="EY46" s="42">
        <v>4.9257147536767352E-7</v>
      </c>
      <c r="EZ46" s="42">
        <v>0.57562049133701221</v>
      </c>
      <c r="FA46" s="42">
        <v>0.31074303706644474</v>
      </c>
      <c r="FB46" s="42">
        <v>1.5396905530197662E-2</v>
      </c>
      <c r="FC46" s="42">
        <v>2.3502850983088906E-6</v>
      </c>
      <c r="FD46" s="42">
        <v>4.7106295451313325E-7</v>
      </c>
      <c r="FE46" s="42">
        <v>1.0431612415464326E-5</v>
      </c>
      <c r="FF46" s="42">
        <v>5.7735161664766723E-7</v>
      </c>
      <c r="FG46" s="42">
        <v>2.0031158942202741E-6</v>
      </c>
      <c r="FH46" s="42">
        <v>1.0305282356638194E-3</v>
      </c>
      <c r="FI46" s="42">
        <v>1.2601558984867942E-7</v>
      </c>
      <c r="FJ46" s="42">
        <v>9.6544942729434304E-9</v>
      </c>
      <c r="FK46" s="42">
        <v>0.14680997697717557</v>
      </c>
      <c r="FL46" s="42">
        <v>2.3088462129334575E-2</v>
      </c>
      <c r="FM46" s="42">
        <v>3.8845136296690105E-5</v>
      </c>
      <c r="FN46" s="42">
        <v>1.5542218849595033E-7</v>
      </c>
      <c r="FO46" s="42">
        <v>6.3932531438050434E-8</v>
      </c>
      <c r="FP46" s="42">
        <v>3.5273120793407516E-8</v>
      </c>
      <c r="FQ46" s="42">
        <v>2.5821632694771613E-6</v>
      </c>
      <c r="FR46" s="42">
        <v>1.0487485962042161E-5</v>
      </c>
      <c r="FS46" s="42">
        <v>1.6231287137641468E-2</v>
      </c>
      <c r="FT46" s="42">
        <v>3.6173277065949288E-6</v>
      </c>
      <c r="FU46" s="42">
        <v>5.0222596964061695E-7</v>
      </c>
      <c r="FV46" s="42">
        <v>0.72243046831418778</v>
      </c>
      <c r="FW46" s="42">
        <v>0.33383149919577931</v>
      </c>
      <c r="FX46" s="42">
        <v>1.5435750666494353E-2</v>
      </c>
      <c r="FY46" s="42">
        <v>2.5057072868048409E-6</v>
      </c>
      <c r="FZ46" s="42">
        <v>5.3499548595118369E-7</v>
      </c>
      <c r="GA46" s="42">
        <v>1.0466885536257733E-5</v>
      </c>
      <c r="GB46" s="42">
        <v>8.0244996188107207E-6</v>
      </c>
      <c r="GC46" s="42">
        <v>1.7121204265762533E-4</v>
      </c>
      <c r="GD46" s="42">
        <v>0.60723991661620313</v>
      </c>
      <c r="GE46" s="42">
        <v>2.925649727591022E-4</v>
      </c>
      <c r="GF46" s="42">
        <v>6.4671186715447958E-5</v>
      </c>
      <c r="GG46" s="42">
        <v>16.125087072020257</v>
      </c>
      <c r="GH46" s="42">
        <v>9.943404294481752</v>
      </c>
      <c r="GI46" s="42">
        <v>0.67761011393123405</v>
      </c>
      <c r="GJ46" s="42">
        <v>3.770435467821644E-5</v>
      </c>
      <c r="GK46" s="42">
        <v>9.4960638874393513E-7</v>
      </c>
      <c r="GL46" s="42">
        <v>4.5912447091934827E-4</v>
      </c>
      <c r="GM46" s="42" t="s">
        <v>455</v>
      </c>
      <c r="GN46" s="42" t="s">
        <v>455</v>
      </c>
      <c r="GO46" s="42" t="s">
        <v>455</v>
      </c>
      <c r="GP46" s="42" t="s">
        <v>455</v>
      </c>
      <c r="GQ46" s="42" t="s">
        <v>455</v>
      </c>
      <c r="GR46" s="42" t="s">
        <v>455</v>
      </c>
      <c r="GS46" s="42" t="s">
        <v>455</v>
      </c>
      <c r="GT46" s="42" t="s">
        <v>455</v>
      </c>
      <c r="GU46" s="42" t="s">
        <v>455</v>
      </c>
      <c r="GV46" s="42" t="s">
        <v>455</v>
      </c>
      <c r="GW46" s="42" t="s">
        <v>455</v>
      </c>
      <c r="GX46" s="42" t="s">
        <v>455</v>
      </c>
      <c r="GY46" s="42" t="s">
        <v>455</v>
      </c>
      <c r="GZ46" s="42" t="s">
        <v>455</v>
      </c>
      <c r="HA46" s="42" t="s">
        <v>455</v>
      </c>
      <c r="HB46" s="42" t="s">
        <v>455</v>
      </c>
      <c r="HC46" s="42" t="s">
        <v>455</v>
      </c>
      <c r="HD46" s="42" t="s">
        <v>455</v>
      </c>
      <c r="HE46" s="42" t="s">
        <v>455</v>
      </c>
      <c r="HF46" s="42" t="s">
        <v>455</v>
      </c>
      <c r="HG46" s="42" t="s">
        <v>455</v>
      </c>
      <c r="HH46" s="42" t="s">
        <v>455</v>
      </c>
      <c r="HI46" s="42" t="s">
        <v>455</v>
      </c>
      <c r="HJ46" s="42" t="s">
        <v>455</v>
      </c>
      <c r="HK46" s="42" t="s">
        <v>455</v>
      </c>
      <c r="HL46" s="42" t="s">
        <v>455</v>
      </c>
      <c r="HM46" s="42" t="s">
        <v>455</v>
      </c>
      <c r="HN46" s="42" t="s">
        <v>455</v>
      </c>
      <c r="HO46" s="42" t="s">
        <v>455</v>
      </c>
      <c r="HP46" s="42" t="s">
        <v>455</v>
      </c>
      <c r="HQ46" s="42" t="s">
        <v>455</v>
      </c>
      <c r="HR46" s="42" t="s">
        <v>455</v>
      </c>
      <c r="HS46" s="42" t="s">
        <v>455</v>
      </c>
      <c r="HT46" s="42" t="s">
        <v>455</v>
      </c>
      <c r="HU46" s="42" t="s">
        <v>455</v>
      </c>
      <c r="HV46" s="42" t="s">
        <v>455</v>
      </c>
      <c r="HW46" s="42" t="s">
        <v>455</v>
      </c>
      <c r="HX46" s="42" t="s">
        <v>455</v>
      </c>
      <c r="HY46" s="42" t="s">
        <v>455</v>
      </c>
      <c r="HZ46" s="42" t="s">
        <v>455</v>
      </c>
      <c r="IA46" s="42" t="s">
        <v>455</v>
      </c>
      <c r="IB46" s="42" t="s">
        <v>455</v>
      </c>
      <c r="IC46" s="42" t="s">
        <v>455</v>
      </c>
      <c r="ID46" s="42" t="s">
        <v>455</v>
      </c>
      <c r="IE46" s="42" t="s">
        <v>455</v>
      </c>
      <c r="IF46" s="42" t="s">
        <v>455</v>
      </c>
      <c r="IG46" s="42" t="s">
        <v>455</v>
      </c>
      <c r="IH46" s="42" t="s">
        <v>455</v>
      </c>
      <c r="II46" s="42" t="s">
        <v>455</v>
      </c>
      <c r="IJ46" s="42" t="s">
        <v>455</v>
      </c>
      <c r="IK46" s="42" t="s">
        <v>455</v>
      </c>
      <c r="IL46" s="42" t="s">
        <v>455</v>
      </c>
      <c r="IM46" s="42" t="s">
        <v>455</v>
      </c>
      <c r="IN46" s="42" t="s">
        <v>455</v>
      </c>
      <c r="IO46" s="42" t="s">
        <v>455</v>
      </c>
      <c r="IP46" s="42" t="s">
        <v>455</v>
      </c>
      <c r="IQ46" s="42" t="s">
        <v>455</v>
      </c>
      <c r="IR46" s="42" t="s">
        <v>455</v>
      </c>
      <c r="IS46" s="42" t="s">
        <v>455</v>
      </c>
      <c r="IT46" s="42" t="s">
        <v>455</v>
      </c>
      <c r="IU46" s="42" t="s">
        <v>455</v>
      </c>
      <c r="IV46" s="42" t="s">
        <v>455</v>
      </c>
      <c r="IW46" s="42" t="s">
        <v>455</v>
      </c>
      <c r="IX46" s="42" t="s">
        <v>455</v>
      </c>
      <c r="IY46" s="42" t="s">
        <v>455</v>
      </c>
      <c r="IZ46" s="42" t="s">
        <v>455</v>
      </c>
      <c r="JA46" s="42" t="s">
        <v>455</v>
      </c>
      <c r="JB46" s="42" t="s">
        <v>455</v>
      </c>
      <c r="JC46" s="42" t="s">
        <v>455</v>
      </c>
      <c r="JD46" s="42" t="s">
        <v>455</v>
      </c>
      <c r="JE46" s="42" t="s">
        <v>455</v>
      </c>
      <c r="JF46" s="42" t="s">
        <v>455</v>
      </c>
      <c r="JG46" s="42" t="s">
        <v>455</v>
      </c>
      <c r="JH46" s="42" t="s">
        <v>455</v>
      </c>
      <c r="JI46" s="42" t="s">
        <v>455</v>
      </c>
      <c r="JJ46" s="42" t="s">
        <v>455</v>
      </c>
      <c r="JK46" s="42" t="s">
        <v>455</v>
      </c>
      <c r="JL46" s="42" t="s">
        <v>455</v>
      </c>
      <c r="JM46" s="42" t="s">
        <v>455</v>
      </c>
    </row>
    <row r="47" spans="1:273">
      <c r="A47" s="42" t="s">
        <v>208</v>
      </c>
      <c r="B47" s="42" t="s">
        <v>270</v>
      </c>
      <c r="C47" s="42" t="s">
        <v>273</v>
      </c>
      <c r="D47" s="60">
        <v>41513</v>
      </c>
      <c r="E47" s="42" t="s">
        <v>275</v>
      </c>
      <c r="F47" s="42">
        <v>1.5401885613799999</v>
      </c>
      <c r="G47" s="42">
        <v>134.451219512195</v>
      </c>
      <c r="H47" s="42">
        <v>21.290000915499999</v>
      </c>
      <c r="I47" s="42">
        <v>1</v>
      </c>
      <c r="J47" s="42">
        <v>0</v>
      </c>
      <c r="K47" s="42">
        <v>0</v>
      </c>
      <c r="L47" s="42" t="s">
        <v>454</v>
      </c>
      <c r="M47" s="42" t="s">
        <v>614</v>
      </c>
      <c r="N47" s="42">
        <v>1.4611305711956617E-22</v>
      </c>
      <c r="O47" s="61" t="s">
        <v>455</v>
      </c>
      <c r="P47" s="42">
        <v>12.964519796539356</v>
      </c>
      <c r="Q47" s="42">
        <v>0.72938661367320923</v>
      </c>
      <c r="R47" s="42">
        <v>2.5193899347798632</v>
      </c>
      <c r="S47" s="42">
        <v>0.60710974765487857</v>
      </c>
      <c r="T47" s="42" t="s">
        <v>455</v>
      </c>
      <c r="U47" s="42" t="s">
        <v>455</v>
      </c>
      <c r="V47" s="42" t="s">
        <v>456</v>
      </c>
      <c r="W47" s="42" t="s">
        <v>455</v>
      </c>
      <c r="X47" s="42">
        <v>1.8500000000000003</v>
      </c>
      <c r="Y47" s="42">
        <v>0.34520525295346832</v>
      </c>
      <c r="Z47" s="42" t="s">
        <v>456</v>
      </c>
      <c r="AA47" s="42" t="s">
        <v>455</v>
      </c>
      <c r="AB47" s="42" t="s">
        <v>456</v>
      </c>
      <c r="AC47" s="42" t="s">
        <v>455</v>
      </c>
      <c r="AD47" s="42" t="s">
        <v>622</v>
      </c>
      <c r="AE47" s="42" t="s">
        <v>123</v>
      </c>
      <c r="AF47" s="42">
        <v>4.1908139721592565E-5</v>
      </c>
      <c r="AG47" s="42">
        <v>15</v>
      </c>
      <c r="AH47" s="62">
        <v>42880.562835648147</v>
      </c>
      <c r="AI47" s="42" t="s">
        <v>624</v>
      </c>
      <c r="AJ47" s="63" t="s">
        <v>623</v>
      </c>
      <c r="AK47" s="61" t="s">
        <v>455</v>
      </c>
      <c r="AL47" s="61" t="s">
        <v>455</v>
      </c>
      <c r="AM47" s="61">
        <v>6.7193897317074702E-2</v>
      </c>
      <c r="AN47" s="61" t="s">
        <v>455</v>
      </c>
      <c r="AO47" s="61" t="s">
        <v>455</v>
      </c>
      <c r="AP47" s="61">
        <v>0.26006307018596186</v>
      </c>
      <c r="AQ47" s="61">
        <v>-0.94430063710333545</v>
      </c>
      <c r="AR47" s="61">
        <v>54.385906825436315</v>
      </c>
      <c r="AS47" s="61" t="s">
        <v>455</v>
      </c>
      <c r="AT47" s="61" t="s">
        <v>455</v>
      </c>
      <c r="AU47" s="61" t="s">
        <v>455</v>
      </c>
      <c r="AV47" s="42" t="s">
        <v>455</v>
      </c>
      <c r="AW47" s="42" t="s">
        <v>455</v>
      </c>
      <c r="AX47" s="42" t="s">
        <v>455</v>
      </c>
      <c r="AY47" s="42" t="s">
        <v>455</v>
      </c>
      <c r="AZ47" s="42" t="s">
        <v>455</v>
      </c>
      <c r="BA47" s="42" t="s">
        <v>455</v>
      </c>
      <c r="BB47" s="42" t="s">
        <v>455</v>
      </c>
      <c r="BC47" s="42" t="s">
        <v>455</v>
      </c>
      <c r="BD47" s="42" t="s">
        <v>455</v>
      </c>
      <c r="BE47" s="42" t="s">
        <v>455</v>
      </c>
      <c r="BF47" s="42" t="s">
        <v>455</v>
      </c>
      <c r="BG47" s="42" t="s">
        <v>455</v>
      </c>
      <c r="BH47" s="42" t="s">
        <v>455</v>
      </c>
      <c r="BI47" s="42" t="s">
        <v>455</v>
      </c>
      <c r="BJ47" s="42" t="s">
        <v>455</v>
      </c>
      <c r="BK47" s="42" t="s">
        <v>455</v>
      </c>
      <c r="BL47" s="42" t="s">
        <v>455</v>
      </c>
      <c r="BM47" s="42" t="s">
        <v>455</v>
      </c>
      <c r="BN47" s="42" t="s">
        <v>455</v>
      </c>
      <c r="BO47" s="42" t="s">
        <v>455</v>
      </c>
      <c r="BP47" s="42" t="s">
        <v>455</v>
      </c>
      <c r="BQ47" s="42" t="s">
        <v>455</v>
      </c>
      <c r="BR47" s="42" t="s">
        <v>455</v>
      </c>
      <c r="BS47" s="42" t="s">
        <v>455</v>
      </c>
      <c r="BT47" s="42" t="s">
        <v>455</v>
      </c>
      <c r="BU47" s="42" t="s">
        <v>455</v>
      </c>
      <c r="BV47" s="42" t="s">
        <v>455</v>
      </c>
      <c r="BW47" s="42" t="s">
        <v>455</v>
      </c>
      <c r="BX47" s="42" t="s">
        <v>455</v>
      </c>
      <c r="BY47" s="42" t="s">
        <v>455</v>
      </c>
      <c r="BZ47" s="42" t="s">
        <v>455</v>
      </c>
      <c r="CA47" s="42" t="s">
        <v>455</v>
      </c>
      <c r="CB47" s="42" t="s">
        <v>455</v>
      </c>
      <c r="CC47" s="42" t="s">
        <v>455</v>
      </c>
      <c r="CD47" s="42" t="s">
        <v>455</v>
      </c>
      <c r="CE47" s="42" t="s">
        <v>455</v>
      </c>
      <c r="CF47" s="42" t="s">
        <v>455</v>
      </c>
      <c r="CG47" s="42" t="s">
        <v>455</v>
      </c>
      <c r="CH47" s="42" t="s">
        <v>455</v>
      </c>
      <c r="CI47" s="42" t="s">
        <v>455</v>
      </c>
      <c r="CJ47" s="42" t="s">
        <v>455</v>
      </c>
      <c r="CK47" s="42" t="s">
        <v>455</v>
      </c>
      <c r="CL47" s="42" t="s">
        <v>455</v>
      </c>
      <c r="CM47" s="42" t="s">
        <v>455</v>
      </c>
      <c r="CN47" s="42" t="s">
        <v>455</v>
      </c>
      <c r="CO47" s="42" t="s">
        <v>455</v>
      </c>
      <c r="CP47" s="42" t="s">
        <v>455</v>
      </c>
      <c r="CQ47" s="42" t="s">
        <v>455</v>
      </c>
      <c r="CR47" s="42">
        <v>0.66935689863703995</v>
      </c>
      <c r="CS47" s="42">
        <v>6.6935689863704004E-2</v>
      </c>
      <c r="CT47" s="42" t="s">
        <v>455</v>
      </c>
      <c r="CU47" s="42" t="s">
        <v>455</v>
      </c>
      <c r="CV47" s="42" t="s">
        <v>455</v>
      </c>
      <c r="CW47" s="42" t="s">
        <v>455</v>
      </c>
      <c r="CX47" s="42">
        <v>20.907551544655899</v>
      </c>
      <c r="CY47" s="42">
        <v>2.0907551544655898</v>
      </c>
      <c r="CZ47" s="42">
        <v>0.57225177231139301</v>
      </c>
      <c r="DA47" s="42">
        <v>5.7225177231139304E-2</v>
      </c>
      <c r="DB47" s="42">
        <v>39.726961083331098</v>
      </c>
      <c r="DC47" s="42">
        <v>3.97269610833311</v>
      </c>
      <c r="DD47" s="42" t="s">
        <v>455</v>
      </c>
      <c r="DE47" s="42" t="s">
        <v>455</v>
      </c>
      <c r="DF47" s="42" t="s">
        <v>455</v>
      </c>
      <c r="DG47" s="42" t="s">
        <v>455</v>
      </c>
      <c r="DH47" s="42" t="s">
        <v>455</v>
      </c>
      <c r="DI47" s="42" t="s">
        <v>455</v>
      </c>
      <c r="DJ47" s="42">
        <v>1.0005813656721994</v>
      </c>
      <c r="DK47" s="42">
        <v>0.98393155516340614</v>
      </c>
      <c r="DL47" s="42">
        <v>1.471925144718862E-2</v>
      </c>
      <c r="DM47" s="42">
        <v>0.98369150634456692</v>
      </c>
      <c r="DN47" s="42">
        <v>4.4753230242011214E-8</v>
      </c>
      <c r="DO47" s="42">
        <v>1.9130075175380085E-7</v>
      </c>
      <c r="DP47" s="42">
        <v>3.5137205160979491E-4</v>
      </c>
      <c r="DQ47" s="42">
        <v>8.146031969403935E-8</v>
      </c>
      <c r="DR47" s="42">
        <v>1.1599228553424679E-8</v>
      </c>
      <c r="DS47" s="42">
        <v>1.3259895341494179E-2</v>
      </c>
      <c r="DT47" s="42">
        <v>7.1923395768086883E-3</v>
      </c>
      <c r="DU47" s="42">
        <v>3.6260342238168868E-4</v>
      </c>
      <c r="DV47" s="42">
        <v>5.4595687244772859E-8</v>
      </c>
      <c r="DW47" s="42">
        <v>1.0632355757576897E-8</v>
      </c>
      <c r="DX47" s="42">
        <v>2.4819968182695844E-7</v>
      </c>
      <c r="DY47" s="42">
        <v>1.3201603258246479E-8</v>
      </c>
      <c r="DZ47" s="42">
        <v>4.5802509014297912E-8</v>
      </c>
      <c r="EA47" s="42">
        <v>2.3531101990843914E-5</v>
      </c>
      <c r="EB47" s="42">
        <v>2.8721045256490405E-9</v>
      </c>
      <c r="EC47" s="42">
        <v>2.1918692432584842E-10</v>
      </c>
      <c r="ED47" s="42">
        <v>3.4465305085676721E-3</v>
      </c>
      <c r="EE47" s="42">
        <v>5.2771141573899026E-4</v>
      </c>
      <c r="EF47" s="42">
        <v>8.8178647717293166E-7</v>
      </c>
      <c r="EG47" s="42">
        <v>3.55233980803961E-9</v>
      </c>
      <c r="EH47" s="42">
        <v>1.4612461621723206E-9</v>
      </c>
      <c r="EI47" s="42">
        <v>8.0620477912955801E-10</v>
      </c>
      <c r="EJ47" s="42">
        <v>5.7954833500257693E-8</v>
      </c>
      <c r="EK47" s="42">
        <v>2.3710326076809876E-7</v>
      </c>
      <c r="EL47" s="42">
        <v>3.7490315360063883E-4</v>
      </c>
      <c r="EM47" s="42">
        <v>8.4332424219688391E-8</v>
      </c>
      <c r="EN47" s="42">
        <v>1.1818415477750528E-8</v>
      </c>
      <c r="EO47" s="42">
        <v>1.6706425850061851E-2</v>
      </c>
      <c r="EP47" s="42">
        <v>7.7200509925476786E-3</v>
      </c>
      <c r="EQ47" s="42">
        <v>3.6348520885886161E-4</v>
      </c>
      <c r="ER47" s="42">
        <v>5.8148027052812469E-8</v>
      </c>
      <c r="ES47" s="42">
        <v>1.2093601919749218E-8</v>
      </c>
      <c r="ET47" s="42">
        <v>2.49005886606088E-7</v>
      </c>
      <c r="EU47" s="42">
        <v>1.9969749751285458E-6</v>
      </c>
      <c r="EV47" s="42">
        <v>8.5362673889456638E-6</v>
      </c>
      <c r="EW47" s="42">
        <v>1.5700712798673973E-2</v>
      </c>
      <c r="EX47" s="42">
        <v>3.6467389112693683E-6</v>
      </c>
      <c r="EY47" s="42">
        <v>5.2128894895881803E-7</v>
      </c>
      <c r="EZ47" s="42">
        <v>0.59230455172317997</v>
      </c>
      <c r="FA47" s="42">
        <v>0.32107258660397275</v>
      </c>
      <c r="FB47" s="42">
        <v>1.6298199881590376E-2</v>
      </c>
      <c r="FC47" s="42">
        <v>2.437201182438971E-6</v>
      </c>
      <c r="FD47" s="42">
        <v>4.7463804069907032E-7</v>
      </c>
      <c r="FE47" s="42">
        <v>1.1079859757375901E-5</v>
      </c>
      <c r="FF47" s="42">
        <v>5.8908085954308801E-7</v>
      </c>
      <c r="FG47" s="42">
        <v>2.0438103899028331E-6</v>
      </c>
      <c r="FH47" s="42">
        <v>1.0514640322185666E-3</v>
      </c>
      <c r="FI47" s="42">
        <v>1.2857567181489469E-7</v>
      </c>
      <c r="FJ47" s="42">
        <v>9.8506310899100706E-9</v>
      </c>
      <c r="FK47" s="42">
        <v>0.15391423268095972</v>
      </c>
      <c r="FL47" s="42">
        <v>2.3557518026275037E-2</v>
      </c>
      <c r="FM47" s="42">
        <v>3.963429843946778E-5</v>
      </c>
      <c r="FN47" s="42">
        <v>1.5857968307575582E-7</v>
      </c>
      <c r="FO47" s="42">
        <v>6.52313589957009E-8</v>
      </c>
      <c r="FP47" s="42">
        <v>3.5989715307972939E-8</v>
      </c>
      <c r="FQ47" s="42">
        <v>2.5860558346716338E-6</v>
      </c>
      <c r="FR47" s="42">
        <v>1.0580077778848497E-5</v>
      </c>
      <c r="FS47" s="42">
        <v>1.6752176830892539E-2</v>
      </c>
      <c r="FT47" s="42">
        <v>3.775314583084263E-6</v>
      </c>
      <c r="FU47" s="42">
        <v>5.311395800487281E-7</v>
      </c>
      <c r="FV47" s="42">
        <v>0.74621878440413969</v>
      </c>
      <c r="FW47" s="42">
        <v>0.34463010463024779</v>
      </c>
      <c r="FX47" s="42">
        <v>1.6337834180029844E-2</v>
      </c>
      <c r="FY47" s="42">
        <v>2.5957808655147268E-6</v>
      </c>
      <c r="FZ47" s="42">
        <v>5.3986939969477122E-7</v>
      </c>
      <c r="GA47" s="42">
        <v>1.1115849472683873E-5</v>
      </c>
      <c r="GB47" s="42">
        <v>7.9931323743440145E-6</v>
      </c>
      <c r="GC47" s="42">
        <v>1.7225931502870681E-4</v>
      </c>
      <c r="GD47" s="42">
        <v>0.62721207488142783</v>
      </c>
      <c r="GE47" s="42">
        <v>3.0558942728655053E-4</v>
      </c>
      <c r="GF47" s="42">
        <v>6.8441589975650098E-5</v>
      </c>
      <c r="GG47" s="42">
        <v>16.59246432924213</v>
      </c>
      <c r="GH47" s="42">
        <v>10.273937484223204</v>
      </c>
      <c r="GI47" s="42">
        <v>0.71727562768885167</v>
      </c>
      <c r="GJ47" s="42">
        <v>3.9098702481229888E-5</v>
      </c>
      <c r="GK47" s="42">
        <v>9.5681333348444194E-7</v>
      </c>
      <c r="GL47" s="42">
        <v>4.8765565152943401E-4</v>
      </c>
      <c r="GM47" s="42" t="s">
        <v>455</v>
      </c>
      <c r="GN47" s="42" t="s">
        <v>455</v>
      </c>
      <c r="GO47" s="42" t="s">
        <v>455</v>
      </c>
      <c r="GP47" s="42" t="s">
        <v>455</v>
      </c>
      <c r="GQ47" s="42" t="s">
        <v>455</v>
      </c>
      <c r="GR47" s="42" t="s">
        <v>455</v>
      </c>
      <c r="GS47" s="42" t="s">
        <v>455</v>
      </c>
      <c r="GT47" s="42" t="s">
        <v>455</v>
      </c>
      <c r="GU47" s="42" t="s">
        <v>455</v>
      </c>
      <c r="GV47" s="42" t="s">
        <v>455</v>
      </c>
      <c r="GW47" s="42" t="s">
        <v>455</v>
      </c>
      <c r="GX47" s="42" t="s">
        <v>455</v>
      </c>
      <c r="GY47" s="42" t="s">
        <v>455</v>
      </c>
      <c r="GZ47" s="42" t="s">
        <v>455</v>
      </c>
      <c r="HA47" s="42" t="s">
        <v>455</v>
      </c>
      <c r="HB47" s="42" t="s">
        <v>455</v>
      </c>
      <c r="HC47" s="42" t="s">
        <v>455</v>
      </c>
      <c r="HD47" s="42" t="s">
        <v>455</v>
      </c>
      <c r="HE47" s="42" t="s">
        <v>455</v>
      </c>
      <c r="HF47" s="42" t="s">
        <v>455</v>
      </c>
      <c r="HG47" s="42" t="s">
        <v>455</v>
      </c>
      <c r="HH47" s="42" t="s">
        <v>455</v>
      </c>
      <c r="HI47" s="42" t="s">
        <v>455</v>
      </c>
      <c r="HJ47" s="42" t="s">
        <v>455</v>
      </c>
      <c r="HK47" s="42" t="s">
        <v>455</v>
      </c>
      <c r="HL47" s="42" t="s">
        <v>455</v>
      </c>
      <c r="HM47" s="42" t="s">
        <v>455</v>
      </c>
      <c r="HN47" s="42" t="s">
        <v>455</v>
      </c>
      <c r="HO47" s="42" t="s">
        <v>455</v>
      </c>
      <c r="HP47" s="42" t="s">
        <v>455</v>
      </c>
      <c r="HQ47" s="42" t="s">
        <v>455</v>
      </c>
      <c r="HR47" s="42" t="s">
        <v>455</v>
      </c>
      <c r="HS47" s="42" t="s">
        <v>455</v>
      </c>
      <c r="HT47" s="42" t="s">
        <v>455</v>
      </c>
      <c r="HU47" s="42" t="s">
        <v>455</v>
      </c>
      <c r="HV47" s="42" t="s">
        <v>455</v>
      </c>
      <c r="HW47" s="42" t="s">
        <v>455</v>
      </c>
      <c r="HX47" s="42" t="s">
        <v>455</v>
      </c>
      <c r="HY47" s="42" t="s">
        <v>455</v>
      </c>
      <c r="HZ47" s="42" t="s">
        <v>455</v>
      </c>
      <c r="IA47" s="42" t="s">
        <v>455</v>
      </c>
      <c r="IB47" s="42" t="s">
        <v>455</v>
      </c>
      <c r="IC47" s="42" t="s">
        <v>455</v>
      </c>
      <c r="ID47" s="42" t="s">
        <v>455</v>
      </c>
      <c r="IE47" s="42" t="s">
        <v>455</v>
      </c>
      <c r="IF47" s="42" t="s">
        <v>455</v>
      </c>
      <c r="IG47" s="42" t="s">
        <v>455</v>
      </c>
      <c r="IH47" s="42" t="s">
        <v>455</v>
      </c>
      <c r="II47" s="42" t="s">
        <v>455</v>
      </c>
      <c r="IJ47" s="42" t="s">
        <v>455</v>
      </c>
      <c r="IK47" s="42" t="s">
        <v>455</v>
      </c>
      <c r="IL47" s="42" t="s">
        <v>455</v>
      </c>
      <c r="IM47" s="42" t="s">
        <v>455</v>
      </c>
      <c r="IN47" s="42" t="s">
        <v>455</v>
      </c>
      <c r="IO47" s="42" t="s">
        <v>455</v>
      </c>
      <c r="IP47" s="42" t="s">
        <v>455</v>
      </c>
      <c r="IQ47" s="42" t="s">
        <v>455</v>
      </c>
      <c r="IR47" s="42" t="s">
        <v>455</v>
      </c>
      <c r="IS47" s="42" t="s">
        <v>455</v>
      </c>
      <c r="IT47" s="42" t="s">
        <v>455</v>
      </c>
      <c r="IU47" s="42" t="s">
        <v>455</v>
      </c>
      <c r="IV47" s="42" t="s">
        <v>455</v>
      </c>
      <c r="IW47" s="42" t="s">
        <v>455</v>
      </c>
      <c r="IX47" s="42" t="s">
        <v>455</v>
      </c>
      <c r="IY47" s="42" t="s">
        <v>455</v>
      </c>
      <c r="IZ47" s="42" t="s">
        <v>455</v>
      </c>
      <c r="JA47" s="42" t="s">
        <v>455</v>
      </c>
      <c r="JB47" s="42" t="s">
        <v>455</v>
      </c>
      <c r="JC47" s="42" t="s">
        <v>455</v>
      </c>
      <c r="JD47" s="42" t="s">
        <v>455</v>
      </c>
      <c r="JE47" s="42" t="s">
        <v>455</v>
      </c>
      <c r="JF47" s="42" t="s">
        <v>455</v>
      </c>
      <c r="JG47" s="42" t="s">
        <v>455</v>
      </c>
      <c r="JH47" s="42" t="s">
        <v>455</v>
      </c>
      <c r="JI47" s="42" t="s">
        <v>455</v>
      </c>
      <c r="JJ47" s="42" t="s">
        <v>455</v>
      </c>
      <c r="JK47" s="42" t="s">
        <v>455</v>
      </c>
      <c r="JL47" s="42" t="s">
        <v>455</v>
      </c>
      <c r="JM47" s="42" t="s">
        <v>455</v>
      </c>
    </row>
    <row r="48" spans="1:273">
      <c r="A48" s="42" t="s">
        <v>208</v>
      </c>
      <c r="B48" s="42" t="s">
        <v>270</v>
      </c>
      <c r="C48" s="42" t="s">
        <v>273</v>
      </c>
      <c r="D48" s="60">
        <v>41513</v>
      </c>
      <c r="E48" s="42" t="s">
        <v>274</v>
      </c>
      <c r="F48" s="42">
        <v>1.5401885613799999</v>
      </c>
      <c r="G48" s="42">
        <v>134.451219512195</v>
      </c>
      <c r="H48" s="42">
        <v>21.290000915499999</v>
      </c>
      <c r="I48" s="42">
        <v>1</v>
      </c>
      <c r="J48" s="42">
        <v>0</v>
      </c>
      <c r="K48" s="42">
        <v>0</v>
      </c>
      <c r="L48" s="42" t="s">
        <v>454</v>
      </c>
      <c r="M48" s="42" t="s">
        <v>614</v>
      </c>
      <c r="N48" s="42">
        <v>7.1954405159582015E-24</v>
      </c>
      <c r="O48" s="61" t="s">
        <v>455</v>
      </c>
      <c r="P48" s="42">
        <v>13.657590015125601</v>
      </c>
      <c r="Q48" s="42">
        <v>0.6860826372950295</v>
      </c>
      <c r="R48" s="42">
        <v>2.4994491051324688</v>
      </c>
      <c r="S48" s="42">
        <v>0.55617809719050904</v>
      </c>
      <c r="T48" s="42" t="s">
        <v>455</v>
      </c>
      <c r="U48" s="42" t="s">
        <v>455</v>
      </c>
      <c r="V48" s="42" t="s">
        <v>456</v>
      </c>
      <c r="W48" s="42" t="s">
        <v>455</v>
      </c>
      <c r="X48" s="42">
        <v>1.5000000000000002</v>
      </c>
      <c r="Y48" s="42">
        <v>0.3162277660168375</v>
      </c>
      <c r="Z48" s="42" t="s">
        <v>456</v>
      </c>
      <c r="AA48" s="42" t="s">
        <v>455</v>
      </c>
      <c r="AB48" s="42" t="s">
        <v>456</v>
      </c>
      <c r="AC48" s="42" t="s">
        <v>455</v>
      </c>
      <c r="AD48" s="42" t="s">
        <v>622</v>
      </c>
      <c r="AE48" s="42" t="s">
        <v>104</v>
      </c>
      <c r="AF48" s="42">
        <v>3.1732972521252791E-20</v>
      </c>
      <c r="AG48" s="42">
        <v>5</v>
      </c>
      <c r="AH48" s="62">
        <v>42880.562835648147</v>
      </c>
      <c r="AI48" s="42" t="s">
        <v>621</v>
      </c>
      <c r="AJ48" s="63" t="s">
        <v>620</v>
      </c>
      <c r="AK48" s="61" t="s">
        <v>455</v>
      </c>
      <c r="AL48" s="61" t="s">
        <v>455</v>
      </c>
      <c r="AM48" s="61">
        <v>6.7647915181642926E-2</v>
      </c>
      <c r="AN48" s="61" t="s">
        <v>455</v>
      </c>
      <c r="AO48" s="61" t="s">
        <v>455</v>
      </c>
      <c r="AP48" s="61">
        <v>0.24112687670039845</v>
      </c>
      <c r="AQ48" s="61">
        <v>-0.93171772188950308</v>
      </c>
      <c r="AR48" s="61">
        <v>48.637730844005837</v>
      </c>
      <c r="AS48" s="61" t="s">
        <v>455</v>
      </c>
      <c r="AT48" s="61" t="s">
        <v>455</v>
      </c>
      <c r="AU48" s="61" t="s">
        <v>455</v>
      </c>
      <c r="AV48" s="42" t="s">
        <v>455</v>
      </c>
      <c r="AW48" s="42" t="s">
        <v>455</v>
      </c>
      <c r="AX48" s="42" t="s">
        <v>455</v>
      </c>
      <c r="AY48" s="42" t="s">
        <v>455</v>
      </c>
      <c r="AZ48" s="42" t="s">
        <v>455</v>
      </c>
      <c r="BA48" s="42" t="s">
        <v>455</v>
      </c>
      <c r="BB48" s="42" t="s">
        <v>455</v>
      </c>
      <c r="BC48" s="42" t="s">
        <v>455</v>
      </c>
      <c r="BD48" s="42" t="s">
        <v>455</v>
      </c>
      <c r="BE48" s="42" t="s">
        <v>455</v>
      </c>
      <c r="BF48" s="42" t="s">
        <v>455</v>
      </c>
      <c r="BG48" s="42" t="s">
        <v>455</v>
      </c>
      <c r="BH48" s="42" t="s">
        <v>455</v>
      </c>
      <c r="BI48" s="42" t="s">
        <v>455</v>
      </c>
      <c r="BJ48" s="42" t="s">
        <v>455</v>
      </c>
      <c r="BK48" s="42" t="s">
        <v>455</v>
      </c>
      <c r="BL48" s="42" t="s">
        <v>455</v>
      </c>
      <c r="BM48" s="42" t="s">
        <v>455</v>
      </c>
      <c r="BN48" s="42" t="s">
        <v>455</v>
      </c>
      <c r="BO48" s="42" t="s">
        <v>455</v>
      </c>
      <c r="BP48" s="42" t="s">
        <v>455</v>
      </c>
      <c r="BQ48" s="42" t="s">
        <v>455</v>
      </c>
      <c r="BR48" s="42" t="s">
        <v>455</v>
      </c>
      <c r="BS48" s="42" t="s">
        <v>455</v>
      </c>
      <c r="BT48" s="42" t="s">
        <v>455</v>
      </c>
      <c r="BU48" s="42" t="s">
        <v>455</v>
      </c>
      <c r="BV48" s="42" t="s">
        <v>455</v>
      </c>
      <c r="BW48" s="42" t="s">
        <v>455</v>
      </c>
      <c r="BX48" s="42" t="s">
        <v>455</v>
      </c>
      <c r="BY48" s="42" t="s">
        <v>455</v>
      </c>
      <c r="BZ48" s="42" t="s">
        <v>455</v>
      </c>
      <c r="CA48" s="42" t="s">
        <v>455</v>
      </c>
      <c r="CB48" s="42" t="s">
        <v>455</v>
      </c>
      <c r="CC48" s="42" t="s">
        <v>455</v>
      </c>
      <c r="CD48" s="42" t="s">
        <v>455</v>
      </c>
      <c r="CE48" s="42" t="s">
        <v>455</v>
      </c>
      <c r="CF48" s="42" t="s">
        <v>455</v>
      </c>
      <c r="CG48" s="42" t="s">
        <v>455</v>
      </c>
      <c r="CH48" s="42" t="s">
        <v>455</v>
      </c>
      <c r="CI48" s="42" t="s">
        <v>455</v>
      </c>
      <c r="CJ48" s="42" t="s">
        <v>455</v>
      </c>
      <c r="CK48" s="42" t="s">
        <v>455</v>
      </c>
      <c r="CL48" s="42" t="s">
        <v>455</v>
      </c>
      <c r="CM48" s="42" t="s">
        <v>455</v>
      </c>
      <c r="CN48" s="42" t="s">
        <v>455</v>
      </c>
      <c r="CO48" s="42" t="s">
        <v>455</v>
      </c>
      <c r="CP48" s="42" t="s">
        <v>455</v>
      </c>
      <c r="CQ48" s="42" t="s">
        <v>455</v>
      </c>
      <c r="CR48" s="42">
        <v>0.65951185895159004</v>
      </c>
      <c r="CS48" s="42">
        <v>6.5951185895159012E-2</v>
      </c>
      <c r="CT48" s="42" t="s">
        <v>455</v>
      </c>
      <c r="CU48" s="42" t="s">
        <v>455</v>
      </c>
      <c r="CV48" s="42" t="s">
        <v>455</v>
      </c>
      <c r="CW48" s="42" t="s">
        <v>455</v>
      </c>
      <c r="CX48" s="42">
        <v>20.305013201946299</v>
      </c>
      <c r="CY48" s="42">
        <v>2.03050132019463</v>
      </c>
      <c r="CZ48" s="42">
        <v>0.69083194830636696</v>
      </c>
      <c r="DA48" s="42">
        <v>6.9083194830636699E-2</v>
      </c>
      <c r="DB48" s="42">
        <v>34.790811524215499</v>
      </c>
      <c r="DC48" s="42">
        <v>3.4790811524215499</v>
      </c>
      <c r="DD48" s="42" t="s">
        <v>455</v>
      </c>
      <c r="DE48" s="42" t="s">
        <v>455</v>
      </c>
      <c r="DF48" s="42" t="s">
        <v>455</v>
      </c>
      <c r="DG48" s="42" t="s">
        <v>455</v>
      </c>
      <c r="DH48" s="42" t="s">
        <v>455</v>
      </c>
      <c r="DI48" s="42" t="s">
        <v>455</v>
      </c>
      <c r="DJ48" s="42">
        <v>1.0004883994500737</v>
      </c>
      <c r="DK48" s="42">
        <v>0.98393155516340614</v>
      </c>
      <c r="DL48" s="42">
        <v>1.5400395229921942E-2</v>
      </c>
      <c r="DM48" s="42">
        <v>0.98368022416549095</v>
      </c>
      <c r="DN48" s="42">
        <v>4.4633692722657715E-8</v>
      </c>
      <c r="DO48" s="42">
        <v>1.9013291439275989E-7</v>
      </c>
      <c r="DP48" s="42">
        <v>3.4608893125715948E-4</v>
      </c>
      <c r="DQ48" s="42">
        <v>7.9931786520385473E-8</v>
      </c>
      <c r="DR48" s="42">
        <v>1.1335015797906555E-8</v>
      </c>
      <c r="DS48" s="42">
        <v>1.3075450247075973E-2</v>
      </c>
      <c r="DT48" s="42">
        <v>7.0833390458443285E-3</v>
      </c>
      <c r="DU48" s="42">
        <v>3.5435520561005951E-4</v>
      </c>
      <c r="DV48" s="42">
        <v>5.3698389150823101E-8</v>
      </c>
      <c r="DW48" s="42">
        <v>1.0562879420703508E-8</v>
      </c>
      <c r="DX48" s="42">
        <v>2.4224698473489389E-7</v>
      </c>
      <c r="DY48" s="42">
        <v>1.3097113310894134E-8</v>
      </c>
      <c r="DZ48" s="42">
        <v>4.5439984731308272E-8</v>
      </c>
      <c r="EA48" s="42">
        <v>2.3344854641937256E-5</v>
      </c>
      <c r="EB48" s="42">
        <v>2.8493719798510192E-9</v>
      </c>
      <c r="EC48" s="42">
        <v>2.17452072146524E-10</v>
      </c>
      <c r="ED48" s="42">
        <v>3.1510942218685271E-3</v>
      </c>
      <c r="EE48" s="42">
        <v>5.2353460956104658E-4</v>
      </c>
      <c r="EF48" s="42">
        <v>8.748071867963449E-7</v>
      </c>
      <c r="EG48" s="42">
        <v>3.5242232382367785E-9</v>
      </c>
      <c r="EH48" s="42">
        <v>1.4496804809768316E-9</v>
      </c>
      <c r="EI48" s="42">
        <v>7.9982371364241085E-10</v>
      </c>
      <c r="EJ48" s="42">
        <v>5.7730806033551849E-8</v>
      </c>
      <c r="EK48" s="42">
        <v>2.3557289912406816E-7</v>
      </c>
      <c r="EL48" s="42">
        <v>3.6943378589909673E-4</v>
      </c>
      <c r="EM48" s="42">
        <v>8.2781158500236492E-8</v>
      </c>
      <c r="EN48" s="42">
        <v>1.1552467870053079E-8</v>
      </c>
      <c r="EO48" s="42">
        <v>1.62265444689445E-2</v>
      </c>
      <c r="EP48" s="42">
        <v>7.606873655405375E-3</v>
      </c>
      <c r="EQ48" s="42">
        <v>3.5523001279685586E-4</v>
      </c>
      <c r="ER48" s="42">
        <v>5.7222612389059879E-8</v>
      </c>
      <c r="ES48" s="42">
        <v>1.201255990168034E-8</v>
      </c>
      <c r="ET48" s="42">
        <v>2.430468084485363E-7</v>
      </c>
      <c r="EU48" s="42">
        <v>1.9914559339710958E-6</v>
      </c>
      <c r="EV48" s="42">
        <v>8.4833675923785891E-6</v>
      </c>
      <c r="EW48" s="42">
        <v>1.5463204934038369E-2</v>
      </c>
      <c r="EX48" s="42">
        <v>3.5779785082334908E-6</v>
      </c>
      <c r="EY48" s="42">
        <v>5.0936745001182757E-7</v>
      </c>
      <c r="EZ48" s="42">
        <v>0.58401133080919809</v>
      </c>
      <c r="FA48" s="42">
        <v>0.31617732420536293</v>
      </c>
      <c r="FB48" s="42">
        <v>1.5925981424806175E-2</v>
      </c>
      <c r="FC48" s="42">
        <v>2.3969222545977604E-6</v>
      </c>
      <c r="FD48" s="42">
        <v>4.714927422683936E-7</v>
      </c>
      <c r="FE48" s="42">
        <v>1.0813121175560828E-5</v>
      </c>
      <c r="FF48" s="42">
        <v>5.8436401807353939E-7</v>
      </c>
      <c r="FG48" s="42">
        <v>2.0274453536827373E-6</v>
      </c>
      <c r="FH48" s="42">
        <v>1.0430448329345268E-3</v>
      </c>
      <c r="FI48" s="42">
        <v>1.2754615090793161E-7</v>
      </c>
      <c r="FJ48" s="42">
        <v>9.7717558990539268E-9</v>
      </c>
      <c r="FK48" s="42">
        <v>0.14071659097511036</v>
      </c>
      <c r="FL48" s="42">
        <v>2.3368890139040366E-2</v>
      </c>
      <c r="FM48" s="42">
        <v>3.9316941833039687E-5</v>
      </c>
      <c r="FN48" s="42">
        <v>1.5730991643295595E-7</v>
      </c>
      <c r="FO48" s="42">
        <v>6.4709043639088236E-8</v>
      </c>
      <c r="FP48" s="42">
        <v>3.5701541318117531E-8</v>
      </c>
      <c r="FQ48" s="42">
        <v>2.5758199520446352E-6</v>
      </c>
      <c r="FR48" s="42">
        <v>1.0510812946061326E-5</v>
      </c>
      <c r="FS48" s="42">
        <v>1.6506249766972896E-2</v>
      </c>
      <c r="FT48" s="42">
        <v>3.7055246591414224E-6</v>
      </c>
      <c r="FU48" s="42">
        <v>5.191392059108815E-7</v>
      </c>
      <c r="FV48" s="42">
        <v>0.72472792178430845</v>
      </c>
      <c r="FW48" s="42">
        <v>0.3395462143444033</v>
      </c>
      <c r="FX48" s="42">
        <v>1.5965298366639215E-2</v>
      </c>
      <c r="FY48" s="42">
        <v>2.5542321710307163E-6</v>
      </c>
      <c r="FZ48" s="42">
        <v>5.3620178590748184E-7</v>
      </c>
      <c r="GA48" s="42">
        <v>1.0848822716878946E-5</v>
      </c>
      <c r="GB48" s="42">
        <v>7.971041748722574E-6</v>
      </c>
      <c r="GC48" s="42">
        <v>1.7119181300392222E-4</v>
      </c>
      <c r="GD48" s="42">
        <v>0.6177241107049648</v>
      </c>
      <c r="GE48" s="42">
        <v>2.9982744303295008E-4</v>
      </c>
      <c r="GF48" s="42">
        <v>6.6876380614402884E-5</v>
      </c>
      <c r="GG48" s="42">
        <v>16.36014301449039</v>
      </c>
      <c r="GH48" s="42">
        <v>10.117294961782568</v>
      </c>
      <c r="GI48" s="42">
        <v>0.70089447951500738</v>
      </c>
      <c r="GJ48" s="42">
        <v>3.8452529392494384E-5</v>
      </c>
      <c r="GK48" s="42">
        <v>9.5047278928400932E-7</v>
      </c>
      <c r="GL48" s="42">
        <v>4.759157396757236E-4</v>
      </c>
      <c r="GM48" s="42" t="s">
        <v>455</v>
      </c>
      <c r="GN48" s="42" t="s">
        <v>455</v>
      </c>
      <c r="GO48" s="42" t="s">
        <v>455</v>
      </c>
      <c r="GP48" s="42" t="s">
        <v>455</v>
      </c>
      <c r="GQ48" s="42" t="s">
        <v>455</v>
      </c>
      <c r="GR48" s="42" t="s">
        <v>455</v>
      </c>
      <c r="GS48" s="42" t="s">
        <v>455</v>
      </c>
      <c r="GT48" s="42" t="s">
        <v>455</v>
      </c>
      <c r="GU48" s="42" t="s">
        <v>455</v>
      </c>
      <c r="GV48" s="42" t="s">
        <v>455</v>
      </c>
      <c r="GW48" s="42" t="s">
        <v>455</v>
      </c>
      <c r="GX48" s="42" t="s">
        <v>455</v>
      </c>
      <c r="GY48" s="42" t="s">
        <v>455</v>
      </c>
      <c r="GZ48" s="42" t="s">
        <v>455</v>
      </c>
      <c r="HA48" s="42" t="s">
        <v>455</v>
      </c>
      <c r="HB48" s="42" t="s">
        <v>455</v>
      </c>
      <c r="HC48" s="42" t="s">
        <v>455</v>
      </c>
      <c r="HD48" s="42" t="s">
        <v>455</v>
      </c>
      <c r="HE48" s="42" t="s">
        <v>455</v>
      </c>
      <c r="HF48" s="42" t="s">
        <v>455</v>
      </c>
      <c r="HG48" s="42" t="s">
        <v>455</v>
      </c>
      <c r="HH48" s="42" t="s">
        <v>455</v>
      </c>
      <c r="HI48" s="42" t="s">
        <v>455</v>
      </c>
      <c r="HJ48" s="42" t="s">
        <v>455</v>
      </c>
      <c r="HK48" s="42" t="s">
        <v>455</v>
      </c>
      <c r="HL48" s="42" t="s">
        <v>455</v>
      </c>
      <c r="HM48" s="42" t="s">
        <v>455</v>
      </c>
      <c r="HN48" s="42" t="s">
        <v>455</v>
      </c>
      <c r="HO48" s="42" t="s">
        <v>455</v>
      </c>
      <c r="HP48" s="42" t="s">
        <v>455</v>
      </c>
      <c r="HQ48" s="42" t="s">
        <v>455</v>
      </c>
      <c r="HR48" s="42" t="s">
        <v>455</v>
      </c>
      <c r="HS48" s="42" t="s">
        <v>455</v>
      </c>
      <c r="HT48" s="42" t="s">
        <v>455</v>
      </c>
      <c r="HU48" s="42" t="s">
        <v>455</v>
      </c>
      <c r="HV48" s="42" t="s">
        <v>455</v>
      </c>
      <c r="HW48" s="42" t="s">
        <v>455</v>
      </c>
      <c r="HX48" s="42" t="s">
        <v>455</v>
      </c>
      <c r="HY48" s="42" t="s">
        <v>455</v>
      </c>
      <c r="HZ48" s="42" t="s">
        <v>455</v>
      </c>
      <c r="IA48" s="42" t="s">
        <v>455</v>
      </c>
      <c r="IB48" s="42" t="s">
        <v>455</v>
      </c>
      <c r="IC48" s="42" t="s">
        <v>455</v>
      </c>
      <c r="ID48" s="42" t="s">
        <v>455</v>
      </c>
      <c r="IE48" s="42" t="s">
        <v>455</v>
      </c>
      <c r="IF48" s="42" t="s">
        <v>455</v>
      </c>
      <c r="IG48" s="42" t="s">
        <v>455</v>
      </c>
      <c r="IH48" s="42" t="s">
        <v>455</v>
      </c>
      <c r="II48" s="42" t="s">
        <v>455</v>
      </c>
      <c r="IJ48" s="42" t="s">
        <v>455</v>
      </c>
      <c r="IK48" s="42" t="s">
        <v>455</v>
      </c>
      <c r="IL48" s="42" t="s">
        <v>455</v>
      </c>
      <c r="IM48" s="42" t="s">
        <v>455</v>
      </c>
      <c r="IN48" s="42" t="s">
        <v>455</v>
      </c>
      <c r="IO48" s="42" t="s">
        <v>455</v>
      </c>
      <c r="IP48" s="42" t="s">
        <v>455</v>
      </c>
      <c r="IQ48" s="42" t="s">
        <v>455</v>
      </c>
      <c r="IR48" s="42" t="s">
        <v>455</v>
      </c>
      <c r="IS48" s="42" t="s">
        <v>455</v>
      </c>
      <c r="IT48" s="42" t="s">
        <v>455</v>
      </c>
      <c r="IU48" s="42" t="s">
        <v>455</v>
      </c>
      <c r="IV48" s="42" t="s">
        <v>455</v>
      </c>
      <c r="IW48" s="42" t="s">
        <v>455</v>
      </c>
      <c r="IX48" s="42" t="s">
        <v>455</v>
      </c>
      <c r="IY48" s="42" t="s">
        <v>455</v>
      </c>
      <c r="IZ48" s="42" t="s">
        <v>455</v>
      </c>
      <c r="JA48" s="42" t="s">
        <v>455</v>
      </c>
      <c r="JB48" s="42" t="s">
        <v>455</v>
      </c>
      <c r="JC48" s="42" t="s">
        <v>455</v>
      </c>
      <c r="JD48" s="42" t="s">
        <v>455</v>
      </c>
      <c r="JE48" s="42" t="s">
        <v>455</v>
      </c>
      <c r="JF48" s="42" t="s">
        <v>455</v>
      </c>
      <c r="JG48" s="42" t="s">
        <v>455</v>
      </c>
      <c r="JH48" s="42" t="s">
        <v>455</v>
      </c>
      <c r="JI48" s="42" t="s">
        <v>455</v>
      </c>
      <c r="JJ48" s="42" t="s">
        <v>455</v>
      </c>
      <c r="JK48" s="42" t="s">
        <v>455</v>
      </c>
      <c r="JL48" s="42" t="s">
        <v>455</v>
      </c>
      <c r="JM48" s="42" t="s">
        <v>455</v>
      </c>
    </row>
    <row r="49" spans="1:273">
      <c r="A49" s="42" t="s">
        <v>208</v>
      </c>
      <c r="B49" s="42" t="s">
        <v>270</v>
      </c>
      <c r="C49" s="42" t="s">
        <v>282</v>
      </c>
      <c r="D49" s="60">
        <v>41494</v>
      </c>
      <c r="E49" s="42" t="s">
        <v>284</v>
      </c>
      <c r="F49" s="42">
        <v>0.32665329450000002</v>
      </c>
      <c r="G49" s="42">
        <v>100</v>
      </c>
      <c r="H49" s="42">
        <v>20.9300003052</v>
      </c>
      <c r="I49" s="42">
        <v>1</v>
      </c>
      <c r="J49" s="42">
        <v>0</v>
      </c>
      <c r="K49" s="42">
        <v>0</v>
      </c>
      <c r="L49" s="42" t="s">
        <v>454</v>
      </c>
      <c r="M49" s="42" t="s">
        <v>614</v>
      </c>
      <c r="N49" s="42">
        <v>3.1568021728761461E-20</v>
      </c>
      <c r="O49" s="61" t="s">
        <v>455</v>
      </c>
      <c r="P49" s="42">
        <v>12.36050885835729</v>
      </c>
      <c r="Q49" s="42">
        <v>5.3153877561714875</v>
      </c>
      <c r="R49" s="42">
        <v>2.1912604252570627</v>
      </c>
      <c r="S49" s="42">
        <v>0.51719273552853073</v>
      </c>
      <c r="T49" s="42" t="s">
        <v>455</v>
      </c>
      <c r="U49" s="42" t="s">
        <v>455</v>
      </c>
      <c r="V49" s="42" t="s">
        <v>456</v>
      </c>
      <c r="W49" s="42" t="s">
        <v>455</v>
      </c>
      <c r="X49" s="42">
        <v>0.73514621015442538</v>
      </c>
      <c r="Y49" s="42">
        <v>2.4166699809347763</v>
      </c>
      <c r="Z49" s="42" t="s">
        <v>456</v>
      </c>
      <c r="AA49" s="42" t="s">
        <v>455</v>
      </c>
      <c r="AB49" s="42" t="s">
        <v>456</v>
      </c>
      <c r="AC49" s="42" t="s">
        <v>455</v>
      </c>
      <c r="AD49" s="42" t="s">
        <v>613</v>
      </c>
      <c r="AE49" s="42" t="s">
        <v>91</v>
      </c>
      <c r="AF49" s="42">
        <v>4.1482151735379591E-8</v>
      </c>
      <c r="AG49" s="42">
        <v>4</v>
      </c>
      <c r="AH49" s="62">
        <v>42880.574386574073</v>
      </c>
      <c r="AJ49" s="63" t="s">
        <v>619</v>
      </c>
      <c r="AK49" s="61">
        <v>1.8091821994219339</v>
      </c>
      <c r="AL49" s="61">
        <v>0.20475186947973345</v>
      </c>
      <c r="AM49" s="61">
        <v>5.6745414450199982E-2</v>
      </c>
      <c r="AN49" s="61" t="s">
        <v>455</v>
      </c>
      <c r="AO49" s="61" t="s">
        <v>455</v>
      </c>
      <c r="AP49" s="61">
        <v>0.16898140572079567</v>
      </c>
      <c r="AQ49" s="61">
        <v>-0.97726690309214526</v>
      </c>
      <c r="AR49" s="61">
        <v>15.465042545460509</v>
      </c>
      <c r="AS49" s="61" t="s">
        <v>455</v>
      </c>
      <c r="AT49" s="61" t="s">
        <v>455</v>
      </c>
      <c r="AU49" s="61" t="s">
        <v>455</v>
      </c>
      <c r="AV49" s="42">
        <v>1.2739999999999999E-7</v>
      </c>
      <c r="AW49" s="42">
        <v>1E-10</v>
      </c>
      <c r="AX49" s="42">
        <v>2.3440000000000001E-7</v>
      </c>
      <c r="AY49" s="42">
        <v>2.8000000000000002E-10</v>
      </c>
      <c r="AZ49" s="42" t="s">
        <v>455</v>
      </c>
      <c r="BA49" s="42" t="s">
        <v>455</v>
      </c>
      <c r="BB49" s="42" t="s">
        <v>455</v>
      </c>
      <c r="BC49" s="42" t="s">
        <v>455</v>
      </c>
      <c r="BD49" s="42" t="s">
        <v>455</v>
      </c>
      <c r="BE49" s="42" t="s">
        <v>455</v>
      </c>
      <c r="BF49" s="42" t="s">
        <v>455</v>
      </c>
      <c r="BG49" s="42" t="s">
        <v>455</v>
      </c>
      <c r="BH49" s="42" t="s">
        <v>455</v>
      </c>
      <c r="BI49" s="42" t="s">
        <v>455</v>
      </c>
      <c r="BJ49" s="42" t="s">
        <v>455</v>
      </c>
      <c r="BK49" s="42" t="s">
        <v>455</v>
      </c>
      <c r="BL49" s="42" t="s">
        <v>455</v>
      </c>
      <c r="BM49" s="42" t="s">
        <v>455</v>
      </c>
      <c r="BN49" s="42" t="s">
        <v>455</v>
      </c>
      <c r="BO49" s="42" t="s">
        <v>455</v>
      </c>
      <c r="BP49" s="42" t="s">
        <v>455</v>
      </c>
      <c r="BQ49" s="42" t="s">
        <v>455</v>
      </c>
      <c r="BR49" s="42" t="s">
        <v>455</v>
      </c>
      <c r="BS49" s="42" t="s">
        <v>455</v>
      </c>
      <c r="BT49" s="42" t="s">
        <v>455</v>
      </c>
      <c r="BU49" s="42" t="s">
        <v>455</v>
      </c>
      <c r="BV49" s="42" t="s">
        <v>455</v>
      </c>
      <c r="BW49" s="42" t="s">
        <v>455</v>
      </c>
      <c r="BX49" s="42" t="s">
        <v>455</v>
      </c>
      <c r="BY49" s="42" t="s">
        <v>455</v>
      </c>
      <c r="BZ49" s="42" t="s">
        <v>455</v>
      </c>
      <c r="CA49" s="42" t="s">
        <v>455</v>
      </c>
      <c r="CB49" s="42" t="s">
        <v>455</v>
      </c>
      <c r="CC49" s="42" t="s">
        <v>455</v>
      </c>
      <c r="CD49" s="42" t="s">
        <v>455</v>
      </c>
      <c r="CE49" s="42" t="s">
        <v>455</v>
      </c>
      <c r="CF49" s="42" t="s">
        <v>455</v>
      </c>
      <c r="CG49" s="42" t="s">
        <v>455</v>
      </c>
      <c r="CH49" s="42" t="s">
        <v>455</v>
      </c>
      <c r="CI49" s="42" t="s">
        <v>455</v>
      </c>
      <c r="CJ49" s="42" t="s">
        <v>455</v>
      </c>
      <c r="CK49" s="42" t="s">
        <v>455</v>
      </c>
      <c r="CL49" s="42" t="s">
        <v>455</v>
      </c>
      <c r="CM49" s="42" t="s">
        <v>455</v>
      </c>
      <c r="CN49" s="42" t="s">
        <v>455</v>
      </c>
      <c r="CO49" s="42" t="s">
        <v>455</v>
      </c>
      <c r="CP49" s="42" t="s">
        <v>455</v>
      </c>
      <c r="CQ49" s="42" t="s">
        <v>455</v>
      </c>
      <c r="CR49" s="42">
        <v>0.67975215809604805</v>
      </c>
      <c r="CS49" s="42">
        <v>6.7975215809604805E-2</v>
      </c>
      <c r="CT49" s="42" t="s">
        <v>455</v>
      </c>
      <c r="CU49" s="42" t="s">
        <v>455</v>
      </c>
      <c r="CV49" s="42" t="s">
        <v>455</v>
      </c>
      <c r="CW49" s="42" t="s">
        <v>455</v>
      </c>
      <c r="CX49" s="42">
        <v>19.884128338298598</v>
      </c>
      <c r="CY49" s="42">
        <v>1.9884128338298599</v>
      </c>
      <c r="CZ49" s="42">
        <v>0.239554143136127</v>
      </c>
      <c r="DA49" s="42">
        <v>2.39554143136127E-2</v>
      </c>
      <c r="DB49" s="42">
        <v>12.1752725384688</v>
      </c>
      <c r="DC49" s="42">
        <v>1.21752725384688</v>
      </c>
      <c r="DD49" s="42" t="s">
        <v>455</v>
      </c>
      <c r="DE49" s="42" t="s">
        <v>455</v>
      </c>
      <c r="DF49" s="42" t="s">
        <v>455</v>
      </c>
      <c r="DG49" s="42" t="s">
        <v>455</v>
      </c>
      <c r="DH49" s="42" t="s">
        <v>455</v>
      </c>
      <c r="DI49" s="42" t="s">
        <v>455</v>
      </c>
      <c r="DJ49" s="42">
        <v>0.99971299674244685</v>
      </c>
      <c r="DK49" s="42">
        <v>0.98802409609545883</v>
      </c>
      <c r="DL49" s="42">
        <v>1.415672932940487E-2</v>
      </c>
      <c r="DM49" s="42">
        <v>0.98785212187288673</v>
      </c>
      <c r="DN49" s="42">
        <v>4.5351276975276299E-8</v>
      </c>
      <c r="DO49" s="42">
        <v>1.9456288546887631E-7</v>
      </c>
      <c r="DP49" s="42">
        <v>3.6067006594158927E-4</v>
      </c>
      <c r="DQ49" s="42">
        <v>8.3923739351771801E-8</v>
      </c>
      <c r="DR49" s="42">
        <v>1.1975378847267715E-8</v>
      </c>
      <c r="DS49" s="42">
        <v>1.3605209396230387E-2</v>
      </c>
      <c r="DT49" s="42">
        <v>7.3833833973569723E-3</v>
      </c>
      <c r="DU49" s="42">
        <v>3.7414395365752444E-4</v>
      </c>
      <c r="DV49" s="42">
        <v>5.6132359417023656E-8</v>
      </c>
      <c r="DW49" s="42">
        <v>1.0813101022742568E-8</v>
      </c>
      <c r="DX49" s="42">
        <v>2.5655904691936564E-7</v>
      </c>
      <c r="DY49" s="42">
        <v>1.1482204628347009E-8</v>
      </c>
      <c r="DZ49" s="42">
        <v>3.9837114531173386E-8</v>
      </c>
      <c r="EA49" s="42">
        <v>2.0466372371900964E-5</v>
      </c>
      <c r="EB49" s="42">
        <v>2.4980368847930525E-9</v>
      </c>
      <c r="EC49" s="42">
        <v>1.9063965699736396E-10</v>
      </c>
      <c r="ED49" s="42">
        <v>2.2988586499561366E-3</v>
      </c>
      <c r="EE49" s="42">
        <v>4.5898140867434503E-4</v>
      </c>
      <c r="EF49" s="42">
        <v>7.6694114883998563E-7</v>
      </c>
      <c r="EG49" s="42">
        <v>3.0896771996124555E-9</v>
      </c>
      <c r="EH49" s="42">
        <v>1.2709310466490969E-9</v>
      </c>
      <c r="EI49" s="42">
        <v>7.0120333608226128E-10</v>
      </c>
      <c r="EJ49" s="42">
        <v>5.6833481603623307E-8</v>
      </c>
      <c r="EK49" s="42">
        <v>2.3440000000004969E-7</v>
      </c>
      <c r="EL49" s="42">
        <v>3.8113643831349023E-4</v>
      </c>
      <c r="EM49" s="42">
        <v>8.6421776236564853E-8</v>
      </c>
      <c r="EN49" s="42">
        <v>1.2166018504265079E-8</v>
      </c>
      <c r="EO49" s="42">
        <v>1.5904068046186524E-2</v>
      </c>
      <c r="EP49" s="42">
        <v>7.8423648060313173E-3</v>
      </c>
      <c r="EQ49" s="42">
        <v>3.7491089480636442E-4</v>
      </c>
      <c r="ER49" s="42">
        <v>5.9222036616636112E-8</v>
      </c>
      <c r="ES49" s="42">
        <v>1.2084032069391665E-8</v>
      </c>
      <c r="ET49" s="42">
        <v>2.572602502554479E-7</v>
      </c>
      <c r="EU49" s="42">
        <v>2.0219047042104057E-6</v>
      </c>
      <c r="EV49" s="42">
        <v>8.674296439116127E-6</v>
      </c>
      <c r="EW49" s="42">
        <v>1.6102198714820048E-2</v>
      </c>
      <c r="EX49" s="42">
        <v>3.7537583806779433E-6</v>
      </c>
      <c r="EY49" s="42">
        <v>5.3772670013452739E-7</v>
      </c>
      <c r="EZ49" s="42">
        <v>0.60720191396747303</v>
      </c>
      <c r="FA49" s="42">
        <v>0.32931490774828975</v>
      </c>
      <c r="FB49" s="42">
        <v>1.6802325732178741E-2</v>
      </c>
      <c r="FC49" s="42">
        <v>2.5036249329444467E-6</v>
      </c>
      <c r="FD49" s="42">
        <v>4.8228774995649094E-7</v>
      </c>
      <c r="FE49" s="42">
        <v>1.144308974913648E-5</v>
      </c>
      <c r="FF49" s="42">
        <v>5.1191333742195848E-7</v>
      </c>
      <c r="FG49" s="42">
        <v>1.7760784123326382E-6</v>
      </c>
      <c r="FH49" s="42">
        <v>9.1372593964375234E-4</v>
      </c>
      <c r="FI49" s="42">
        <v>1.1173271072002797E-7</v>
      </c>
      <c r="FJ49" s="42">
        <v>8.5602330397555609E-9</v>
      </c>
      <c r="FK49" s="42">
        <v>0.10260583297899617</v>
      </c>
      <c r="FL49" s="42">
        <v>2.0471565963901983E-2</v>
      </c>
      <c r="FM49" s="42">
        <v>3.444234464902371E-5</v>
      </c>
      <c r="FN49" s="42">
        <v>1.3780630196267419E-7</v>
      </c>
      <c r="FO49" s="42">
        <v>5.66862802399653E-8</v>
      </c>
      <c r="FP49" s="42">
        <v>3.1275189097912474E-8</v>
      </c>
      <c r="FQ49" s="42">
        <v>2.5338180416323642E-6</v>
      </c>
      <c r="FR49" s="42">
        <v>1.0450374851448765E-5</v>
      </c>
      <c r="FS49" s="42">
        <v>1.7015924654463801E-2</v>
      </c>
      <c r="FT49" s="42">
        <v>3.8654910913979713E-6</v>
      </c>
      <c r="FU49" s="42">
        <v>5.4628693317428295E-7</v>
      </c>
      <c r="FV49" s="42">
        <v>0.7098077469464692</v>
      </c>
      <c r="FW49" s="42">
        <v>0.34978647371219174</v>
      </c>
      <c r="FX49" s="42">
        <v>1.6836768076827765E-2</v>
      </c>
      <c r="FY49" s="42">
        <v>2.6414312349071209E-6</v>
      </c>
      <c r="FZ49" s="42">
        <v>5.3897403019645624E-7</v>
      </c>
      <c r="GA49" s="42">
        <v>1.1474364938234392E-5</v>
      </c>
      <c r="GB49" s="42">
        <v>8.0929166115475952E-6</v>
      </c>
      <c r="GC49" s="42">
        <v>1.7504469985243172E-4</v>
      </c>
      <c r="GD49" s="42">
        <v>0.64325063425963125</v>
      </c>
      <c r="GE49" s="42">
        <v>3.1455744478405028E-4</v>
      </c>
      <c r="GF49" s="42">
        <v>7.0599751640762509E-5</v>
      </c>
      <c r="GG49" s="42">
        <v>17.00979009673641</v>
      </c>
      <c r="GH49" s="42">
        <v>10.537681870055973</v>
      </c>
      <c r="GI49" s="42">
        <v>0.73946195431032036</v>
      </c>
      <c r="GJ49" s="42">
        <v>4.0164302841763965E-5</v>
      </c>
      <c r="GK49" s="42">
        <v>9.7223422938229091E-7</v>
      </c>
      <c r="GL49" s="42">
        <v>5.0364242051079405E-4</v>
      </c>
      <c r="GM49" s="42" t="s">
        <v>455</v>
      </c>
      <c r="GN49" s="42" t="s">
        <v>455</v>
      </c>
      <c r="GO49" s="42" t="s">
        <v>455</v>
      </c>
      <c r="GP49" s="42" t="s">
        <v>455</v>
      </c>
      <c r="GQ49" s="42" t="s">
        <v>455</v>
      </c>
      <c r="GR49" s="42" t="s">
        <v>455</v>
      </c>
      <c r="GS49" s="42" t="s">
        <v>455</v>
      </c>
      <c r="GT49" s="42" t="s">
        <v>455</v>
      </c>
      <c r="GU49" s="42" t="s">
        <v>455</v>
      </c>
      <c r="GV49" s="42" t="s">
        <v>455</v>
      </c>
      <c r="GW49" s="42" t="s">
        <v>455</v>
      </c>
      <c r="GX49" s="42" t="s">
        <v>455</v>
      </c>
      <c r="GY49" s="42" t="s">
        <v>455</v>
      </c>
      <c r="GZ49" s="42" t="s">
        <v>455</v>
      </c>
      <c r="HA49" s="42" t="s">
        <v>455</v>
      </c>
      <c r="HB49" s="42" t="s">
        <v>455</v>
      </c>
      <c r="HC49" s="42" t="s">
        <v>455</v>
      </c>
      <c r="HD49" s="42" t="s">
        <v>455</v>
      </c>
      <c r="HE49" s="42" t="s">
        <v>455</v>
      </c>
      <c r="HF49" s="42" t="s">
        <v>455</v>
      </c>
      <c r="HG49" s="42" t="s">
        <v>455</v>
      </c>
      <c r="HH49" s="42" t="s">
        <v>455</v>
      </c>
      <c r="HI49" s="42" t="s">
        <v>455</v>
      </c>
      <c r="HJ49" s="42" t="s">
        <v>455</v>
      </c>
      <c r="HK49" s="42" t="s">
        <v>455</v>
      </c>
      <c r="HL49" s="42" t="s">
        <v>455</v>
      </c>
      <c r="HM49" s="42" t="s">
        <v>455</v>
      </c>
      <c r="HN49" s="42" t="s">
        <v>455</v>
      </c>
      <c r="HO49" s="42" t="s">
        <v>455</v>
      </c>
      <c r="HP49" s="42" t="s">
        <v>455</v>
      </c>
      <c r="HQ49" s="42" t="s">
        <v>455</v>
      </c>
      <c r="HR49" s="42" t="s">
        <v>455</v>
      </c>
      <c r="HS49" s="42" t="s">
        <v>455</v>
      </c>
      <c r="HT49" s="42" t="s">
        <v>455</v>
      </c>
      <c r="HU49" s="42" t="s">
        <v>455</v>
      </c>
      <c r="HV49" s="42" t="s">
        <v>455</v>
      </c>
      <c r="HW49" s="42" t="s">
        <v>455</v>
      </c>
      <c r="HX49" s="42" t="s">
        <v>455</v>
      </c>
      <c r="HY49" s="42" t="s">
        <v>455</v>
      </c>
      <c r="HZ49" s="42" t="s">
        <v>455</v>
      </c>
      <c r="IA49" s="42" t="s">
        <v>455</v>
      </c>
      <c r="IB49" s="42" t="s">
        <v>455</v>
      </c>
      <c r="IC49" s="42" t="s">
        <v>455</v>
      </c>
      <c r="ID49" s="42" t="s">
        <v>455</v>
      </c>
      <c r="IE49" s="42" t="s">
        <v>455</v>
      </c>
      <c r="IF49" s="42" t="s">
        <v>455</v>
      </c>
      <c r="IG49" s="42" t="s">
        <v>455</v>
      </c>
      <c r="IH49" s="42" t="s">
        <v>455</v>
      </c>
      <c r="II49" s="42" t="s">
        <v>455</v>
      </c>
      <c r="IJ49" s="42" t="s">
        <v>455</v>
      </c>
      <c r="IK49" s="42" t="s">
        <v>455</v>
      </c>
      <c r="IL49" s="42" t="s">
        <v>455</v>
      </c>
      <c r="IM49" s="42" t="s">
        <v>455</v>
      </c>
      <c r="IN49" s="42" t="s">
        <v>455</v>
      </c>
      <c r="IO49" s="42" t="s">
        <v>455</v>
      </c>
      <c r="IP49" s="42" t="s">
        <v>455</v>
      </c>
      <c r="IQ49" s="42" t="s">
        <v>455</v>
      </c>
      <c r="IR49" s="42" t="s">
        <v>455</v>
      </c>
      <c r="IS49" s="42" t="s">
        <v>455</v>
      </c>
      <c r="IT49" s="42" t="s">
        <v>455</v>
      </c>
      <c r="IU49" s="42" t="s">
        <v>455</v>
      </c>
      <c r="IV49" s="42" t="s">
        <v>455</v>
      </c>
      <c r="IW49" s="42" t="s">
        <v>455</v>
      </c>
      <c r="IX49" s="42" t="s">
        <v>455</v>
      </c>
      <c r="IY49" s="42" t="s">
        <v>455</v>
      </c>
      <c r="IZ49" s="42" t="s">
        <v>455</v>
      </c>
      <c r="JA49" s="42" t="s">
        <v>455</v>
      </c>
      <c r="JB49" s="42" t="s">
        <v>455</v>
      </c>
      <c r="JC49" s="42" t="s">
        <v>455</v>
      </c>
      <c r="JD49" s="42" t="s">
        <v>455</v>
      </c>
      <c r="JE49" s="42" t="s">
        <v>455</v>
      </c>
      <c r="JF49" s="42" t="s">
        <v>455</v>
      </c>
      <c r="JG49" s="42" t="s">
        <v>455</v>
      </c>
      <c r="JH49" s="42" t="s">
        <v>455</v>
      </c>
      <c r="JI49" s="42" t="s">
        <v>455</v>
      </c>
      <c r="JJ49" s="42" t="s">
        <v>455</v>
      </c>
      <c r="JK49" s="42" t="s">
        <v>455</v>
      </c>
      <c r="JL49" s="42" t="s">
        <v>455</v>
      </c>
      <c r="JM49" s="42" t="s">
        <v>455</v>
      </c>
    </row>
    <row r="50" spans="1:273">
      <c r="A50" s="42" t="s">
        <v>208</v>
      </c>
      <c r="B50" s="42" t="s">
        <v>270</v>
      </c>
      <c r="C50" s="42" t="s">
        <v>282</v>
      </c>
      <c r="D50" s="60">
        <v>41494</v>
      </c>
      <c r="E50" s="42" t="s">
        <v>283</v>
      </c>
      <c r="F50" s="42">
        <v>0.32665329450000002</v>
      </c>
      <c r="G50" s="42">
        <v>100</v>
      </c>
      <c r="H50" s="42">
        <v>20.9300003052</v>
      </c>
      <c r="I50" s="42">
        <v>1</v>
      </c>
      <c r="J50" s="42">
        <v>0</v>
      </c>
      <c r="K50" s="42">
        <v>0</v>
      </c>
      <c r="L50" s="42" t="s">
        <v>454</v>
      </c>
      <c r="M50" s="42" t="s">
        <v>614</v>
      </c>
      <c r="N50" s="42">
        <v>1.1822482015782311E-19</v>
      </c>
      <c r="O50" s="61" t="s">
        <v>455</v>
      </c>
      <c r="P50" s="42">
        <v>12.006384155091729</v>
      </c>
      <c r="Q50" s="42">
        <v>5.2761720332257926</v>
      </c>
      <c r="R50" s="42">
        <v>2.1566285735721622</v>
      </c>
      <c r="S50" s="42">
        <v>0.51918684512826074</v>
      </c>
      <c r="T50" s="42" t="s">
        <v>455</v>
      </c>
      <c r="U50" s="42" t="s">
        <v>455</v>
      </c>
      <c r="V50" s="42" t="s">
        <v>456</v>
      </c>
      <c r="W50" s="42" t="s">
        <v>455</v>
      </c>
      <c r="X50" s="42">
        <v>0.82168431856547497</v>
      </c>
      <c r="Y50" s="42">
        <v>2.4371068032019512</v>
      </c>
      <c r="Z50" s="42" t="s">
        <v>456</v>
      </c>
      <c r="AA50" s="42" t="s">
        <v>455</v>
      </c>
      <c r="AB50" s="42" t="s">
        <v>456</v>
      </c>
      <c r="AC50" s="42" t="s">
        <v>455</v>
      </c>
      <c r="AD50" s="42" t="s">
        <v>613</v>
      </c>
      <c r="AE50" s="42" t="s">
        <v>91</v>
      </c>
      <c r="AF50" s="42">
        <v>8.7835831489792066E-8</v>
      </c>
      <c r="AG50" s="42">
        <v>4</v>
      </c>
      <c r="AH50" s="62">
        <v>42880.574386574073</v>
      </c>
      <c r="AJ50" s="63" t="s">
        <v>618</v>
      </c>
      <c r="AK50" s="61">
        <v>1.8051376730012749</v>
      </c>
      <c r="AL50" s="61">
        <v>0.20086585789618283</v>
      </c>
      <c r="AM50" s="61">
        <v>5.5408481928230113E-2</v>
      </c>
      <c r="AN50" s="61" t="s">
        <v>455</v>
      </c>
      <c r="AO50" s="61" t="s">
        <v>455</v>
      </c>
      <c r="AP50" s="61">
        <v>0.1708220971891623</v>
      </c>
      <c r="AQ50" s="61">
        <v>-0.97613609513218402</v>
      </c>
      <c r="AR50" s="61">
        <v>15.596101579792315</v>
      </c>
      <c r="AS50" s="61" t="s">
        <v>455</v>
      </c>
      <c r="AT50" s="61" t="s">
        <v>455</v>
      </c>
      <c r="AU50" s="61" t="s">
        <v>455</v>
      </c>
      <c r="AV50" s="42">
        <v>1.2739999999999999E-7</v>
      </c>
      <c r="AW50" s="42">
        <v>1E-10</v>
      </c>
      <c r="AX50" s="42">
        <v>2.3440000000000001E-7</v>
      </c>
      <c r="AY50" s="42">
        <v>2.8000000000000002E-10</v>
      </c>
      <c r="AZ50" s="42" t="s">
        <v>455</v>
      </c>
      <c r="BA50" s="42" t="s">
        <v>455</v>
      </c>
      <c r="BB50" s="42" t="s">
        <v>455</v>
      </c>
      <c r="BC50" s="42" t="s">
        <v>455</v>
      </c>
      <c r="BD50" s="42" t="s">
        <v>455</v>
      </c>
      <c r="BE50" s="42" t="s">
        <v>455</v>
      </c>
      <c r="BF50" s="42" t="s">
        <v>455</v>
      </c>
      <c r="BG50" s="42" t="s">
        <v>455</v>
      </c>
      <c r="BH50" s="42" t="s">
        <v>455</v>
      </c>
      <c r="BI50" s="42" t="s">
        <v>455</v>
      </c>
      <c r="BJ50" s="42" t="s">
        <v>455</v>
      </c>
      <c r="BK50" s="42" t="s">
        <v>455</v>
      </c>
      <c r="BL50" s="42" t="s">
        <v>455</v>
      </c>
      <c r="BM50" s="42" t="s">
        <v>455</v>
      </c>
      <c r="BN50" s="42" t="s">
        <v>455</v>
      </c>
      <c r="BO50" s="42" t="s">
        <v>455</v>
      </c>
      <c r="BP50" s="42" t="s">
        <v>455</v>
      </c>
      <c r="BQ50" s="42" t="s">
        <v>455</v>
      </c>
      <c r="BR50" s="42" t="s">
        <v>455</v>
      </c>
      <c r="BS50" s="42" t="s">
        <v>455</v>
      </c>
      <c r="BT50" s="42" t="s">
        <v>455</v>
      </c>
      <c r="BU50" s="42" t="s">
        <v>455</v>
      </c>
      <c r="BV50" s="42" t="s">
        <v>455</v>
      </c>
      <c r="BW50" s="42" t="s">
        <v>455</v>
      </c>
      <c r="BX50" s="42" t="s">
        <v>455</v>
      </c>
      <c r="BY50" s="42" t="s">
        <v>455</v>
      </c>
      <c r="BZ50" s="42" t="s">
        <v>455</v>
      </c>
      <c r="CA50" s="42" t="s">
        <v>455</v>
      </c>
      <c r="CB50" s="42" t="s">
        <v>455</v>
      </c>
      <c r="CC50" s="42" t="s">
        <v>455</v>
      </c>
      <c r="CD50" s="42" t="s">
        <v>455</v>
      </c>
      <c r="CE50" s="42" t="s">
        <v>455</v>
      </c>
      <c r="CF50" s="42" t="s">
        <v>455</v>
      </c>
      <c r="CG50" s="42" t="s">
        <v>455</v>
      </c>
      <c r="CH50" s="42" t="s">
        <v>455</v>
      </c>
      <c r="CI50" s="42" t="s">
        <v>455</v>
      </c>
      <c r="CJ50" s="42" t="s">
        <v>455</v>
      </c>
      <c r="CK50" s="42" t="s">
        <v>455</v>
      </c>
      <c r="CL50" s="42" t="s">
        <v>455</v>
      </c>
      <c r="CM50" s="42" t="s">
        <v>455</v>
      </c>
      <c r="CN50" s="42" t="s">
        <v>455</v>
      </c>
      <c r="CO50" s="42" t="s">
        <v>455</v>
      </c>
      <c r="CP50" s="42" t="s">
        <v>455</v>
      </c>
      <c r="CQ50" s="42" t="s">
        <v>455</v>
      </c>
      <c r="CR50" s="42">
        <v>0.68431289806906603</v>
      </c>
      <c r="CS50" s="42">
        <v>6.8431289806906603E-2</v>
      </c>
      <c r="CT50" s="42" t="s">
        <v>455</v>
      </c>
      <c r="CU50" s="42" t="s">
        <v>455</v>
      </c>
      <c r="CV50" s="42" t="s">
        <v>455</v>
      </c>
      <c r="CW50" s="42" t="s">
        <v>455</v>
      </c>
      <c r="CX50" s="42">
        <v>20.062847104330899</v>
      </c>
      <c r="CY50" s="42">
        <v>2.0062847104330901</v>
      </c>
      <c r="CZ50" s="42">
        <v>0.25349737203519201</v>
      </c>
      <c r="DA50" s="42">
        <v>2.5349737203519202E-2</v>
      </c>
      <c r="DB50" s="42">
        <v>12.4202772986617</v>
      </c>
      <c r="DC50" s="42">
        <v>1.2420277298661702</v>
      </c>
      <c r="DD50" s="42" t="s">
        <v>455</v>
      </c>
      <c r="DE50" s="42" t="s">
        <v>455</v>
      </c>
      <c r="DF50" s="42" t="s">
        <v>455</v>
      </c>
      <c r="DG50" s="42" t="s">
        <v>455</v>
      </c>
      <c r="DH50" s="42" t="s">
        <v>455</v>
      </c>
      <c r="DI50" s="42" t="s">
        <v>455</v>
      </c>
      <c r="DJ50" s="42">
        <v>0.99975452935167819</v>
      </c>
      <c r="DK50" s="42">
        <v>0.98802409609545883</v>
      </c>
      <c r="DL50" s="42">
        <v>1.3830405271306589E-2</v>
      </c>
      <c r="DM50" s="42">
        <v>0.98785614161240098</v>
      </c>
      <c r="DN50" s="42">
        <v>4.5416665722396468E-8</v>
      </c>
      <c r="DO50" s="42">
        <v>1.9519249253255423E-7</v>
      </c>
      <c r="DP50" s="42">
        <v>3.6353479062495688E-4</v>
      </c>
      <c r="DQ50" s="42">
        <v>8.4755114194648923E-8</v>
      </c>
      <c r="DR50" s="42">
        <v>1.2119967312674746E-8</v>
      </c>
      <c r="DS50" s="42">
        <v>1.3705342302107477E-2</v>
      </c>
      <c r="DT50" s="42">
        <v>7.4425926141927926E-3</v>
      </c>
      <c r="DU50" s="42">
        <v>3.7864311348562835E-4</v>
      </c>
      <c r="DV50" s="42">
        <v>5.6621580772545585E-8</v>
      </c>
      <c r="DW50" s="42">
        <v>1.085076617667936E-8</v>
      </c>
      <c r="DX50" s="42">
        <v>2.5981665441119235E-7</v>
      </c>
      <c r="DY50" s="42">
        <v>1.1300733725518131E-8</v>
      </c>
      <c r="DZ50" s="42">
        <v>3.9207507467541912E-8</v>
      </c>
      <c r="EA50" s="42">
        <v>2.0142910877164017E-5</v>
      </c>
      <c r="EB50" s="42">
        <v>2.4585565738722596E-9</v>
      </c>
      <c r="EC50" s="42">
        <v>1.8762668590077748E-10</v>
      </c>
      <c r="ED50" s="42">
        <v>2.3410139930556718E-3</v>
      </c>
      <c r="EE50" s="42">
        <v>4.5172742102042498E-4</v>
      </c>
      <c r="EF50" s="42">
        <v>7.5482000075024385E-7</v>
      </c>
      <c r="EG50" s="42">
        <v>3.0408462887367543E-9</v>
      </c>
      <c r="EH50" s="42">
        <v>1.2508445726718543E-9</v>
      </c>
      <c r="EI50" s="42">
        <v>6.901211435430774E-10</v>
      </c>
      <c r="EJ50" s="42">
        <v>5.6717399447914598E-8</v>
      </c>
      <c r="EK50" s="42">
        <v>2.3440000000009615E-7</v>
      </c>
      <c r="EL50" s="42">
        <v>3.836777015021209E-4</v>
      </c>
      <c r="EM50" s="42">
        <v>8.7213670768521182E-8</v>
      </c>
      <c r="EN50" s="42">
        <v>1.2307593998575524E-8</v>
      </c>
      <c r="EO50" s="42">
        <v>1.6046356295163149E-2</v>
      </c>
      <c r="EP50" s="42">
        <v>7.8943200352132176E-3</v>
      </c>
      <c r="EQ50" s="42">
        <v>3.793979334863786E-4</v>
      </c>
      <c r="ER50" s="42">
        <v>5.966242706128234E-8</v>
      </c>
      <c r="ES50" s="42">
        <v>1.2101610749351215E-8</v>
      </c>
      <c r="ET50" s="42">
        <v>2.6050677555473543E-7</v>
      </c>
      <c r="EU50" s="42">
        <v>2.0249040634983136E-6</v>
      </c>
      <c r="EV50" s="42">
        <v>8.702728067974796E-6</v>
      </c>
      <c r="EW50" s="42">
        <v>1.6230769284203583E-2</v>
      </c>
      <c r="EX50" s="42">
        <v>3.7911017797012982E-6</v>
      </c>
      <c r="EY50" s="42">
        <v>5.4424172021460951E-7</v>
      </c>
      <c r="EZ50" s="42">
        <v>0.61169626757746132</v>
      </c>
      <c r="FA50" s="42">
        <v>0.33196955814038509</v>
      </c>
      <c r="FB50" s="42">
        <v>1.7005083676163626E-2</v>
      </c>
      <c r="FC50" s="42">
        <v>2.5255501845455669E-6</v>
      </c>
      <c r="FD50" s="42">
        <v>4.8398780369729558E-7</v>
      </c>
      <c r="FE50" s="42">
        <v>1.1588867540313608E-5</v>
      </c>
      <c r="FF50" s="42">
        <v>5.0384371633934757E-7</v>
      </c>
      <c r="FG50" s="42">
        <v>1.748080939415234E-6</v>
      </c>
      <c r="FH50" s="42">
        <v>8.9932228658909374E-4</v>
      </c>
      <c r="FI50" s="42">
        <v>1.0997139572365699E-7</v>
      </c>
      <c r="FJ50" s="42">
        <v>8.425292548934258E-9</v>
      </c>
      <c r="FK50" s="42">
        <v>0.1044912392712074</v>
      </c>
      <c r="FL50" s="42">
        <v>2.0148859427033206E-2</v>
      </c>
      <c r="FM50" s="42">
        <v>3.3899407690368005E-5</v>
      </c>
      <c r="FN50" s="42">
        <v>1.3563397208114577E-7</v>
      </c>
      <c r="FO50" s="42">
        <v>5.5792697735506807E-8</v>
      </c>
      <c r="FP50" s="42">
        <v>3.0782178060969565E-8</v>
      </c>
      <c r="FQ50" s="42">
        <v>2.5287477798376612E-6</v>
      </c>
      <c r="FR50" s="42">
        <v>1.045080900739003E-5</v>
      </c>
      <c r="FS50" s="42">
        <v>1.7130091570792677E-2</v>
      </c>
      <c r="FT50" s="42">
        <v>3.9010731754249552E-6</v>
      </c>
      <c r="FU50" s="42">
        <v>5.5266701276354377E-7</v>
      </c>
      <c r="FV50" s="42">
        <v>0.71618750684866872</v>
      </c>
      <c r="FW50" s="42">
        <v>0.3521184175674183</v>
      </c>
      <c r="FX50" s="42">
        <v>1.7038983083853994E-2</v>
      </c>
      <c r="FY50" s="42">
        <v>2.6611841566267126E-6</v>
      </c>
      <c r="FZ50" s="42">
        <v>5.3978050143280239E-7</v>
      </c>
      <c r="GA50" s="42">
        <v>1.1619649718374577E-5</v>
      </c>
      <c r="GB50" s="42">
        <v>8.1049219076204331E-6</v>
      </c>
      <c r="GC50" s="42">
        <v>1.7561844159331099E-4</v>
      </c>
      <c r="GD50" s="42">
        <v>0.64838677136536471</v>
      </c>
      <c r="GE50" s="42">
        <v>3.1768674693540938E-4</v>
      </c>
      <c r="GF50" s="42">
        <v>7.1455128172136735E-5</v>
      </c>
      <c r="GG50" s="42">
        <v>17.135692222154454</v>
      </c>
      <c r="GH50" s="42">
        <v>10.622627497022554</v>
      </c>
      <c r="GI50" s="42">
        <v>0.74838523004612312</v>
      </c>
      <c r="GJ50" s="42">
        <v>4.0516037813564871E-5</v>
      </c>
      <c r="GK50" s="42">
        <v>9.7566133371730419E-7</v>
      </c>
      <c r="GL50" s="42">
        <v>5.100585092783147E-4</v>
      </c>
      <c r="GM50" s="42" t="s">
        <v>455</v>
      </c>
      <c r="GN50" s="42" t="s">
        <v>455</v>
      </c>
      <c r="GO50" s="42" t="s">
        <v>455</v>
      </c>
      <c r="GP50" s="42" t="s">
        <v>455</v>
      </c>
      <c r="GQ50" s="42" t="s">
        <v>455</v>
      </c>
      <c r="GR50" s="42" t="s">
        <v>455</v>
      </c>
      <c r="GS50" s="42" t="s">
        <v>455</v>
      </c>
      <c r="GT50" s="42" t="s">
        <v>455</v>
      </c>
      <c r="GU50" s="42" t="s">
        <v>455</v>
      </c>
      <c r="GV50" s="42" t="s">
        <v>455</v>
      </c>
      <c r="GW50" s="42" t="s">
        <v>455</v>
      </c>
      <c r="GX50" s="42" t="s">
        <v>455</v>
      </c>
      <c r="GY50" s="42" t="s">
        <v>455</v>
      </c>
      <c r="GZ50" s="42" t="s">
        <v>455</v>
      </c>
      <c r="HA50" s="42" t="s">
        <v>455</v>
      </c>
      <c r="HB50" s="42" t="s">
        <v>455</v>
      </c>
      <c r="HC50" s="42" t="s">
        <v>455</v>
      </c>
      <c r="HD50" s="42" t="s">
        <v>455</v>
      </c>
      <c r="HE50" s="42" t="s">
        <v>455</v>
      </c>
      <c r="HF50" s="42" t="s">
        <v>455</v>
      </c>
      <c r="HG50" s="42" t="s">
        <v>455</v>
      </c>
      <c r="HH50" s="42" t="s">
        <v>455</v>
      </c>
      <c r="HI50" s="42" t="s">
        <v>455</v>
      </c>
      <c r="HJ50" s="42" t="s">
        <v>455</v>
      </c>
      <c r="HK50" s="42" t="s">
        <v>455</v>
      </c>
      <c r="HL50" s="42" t="s">
        <v>455</v>
      </c>
      <c r="HM50" s="42" t="s">
        <v>455</v>
      </c>
      <c r="HN50" s="42" t="s">
        <v>455</v>
      </c>
      <c r="HO50" s="42" t="s">
        <v>455</v>
      </c>
      <c r="HP50" s="42" t="s">
        <v>455</v>
      </c>
      <c r="HQ50" s="42" t="s">
        <v>455</v>
      </c>
      <c r="HR50" s="42" t="s">
        <v>455</v>
      </c>
      <c r="HS50" s="42" t="s">
        <v>455</v>
      </c>
      <c r="HT50" s="42" t="s">
        <v>455</v>
      </c>
      <c r="HU50" s="42" t="s">
        <v>455</v>
      </c>
      <c r="HV50" s="42" t="s">
        <v>455</v>
      </c>
      <c r="HW50" s="42" t="s">
        <v>455</v>
      </c>
      <c r="HX50" s="42" t="s">
        <v>455</v>
      </c>
      <c r="HY50" s="42" t="s">
        <v>455</v>
      </c>
      <c r="HZ50" s="42" t="s">
        <v>455</v>
      </c>
      <c r="IA50" s="42" t="s">
        <v>455</v>
      </c>
      <c r="IB50" s="42" t="s">
        <v>455</v>
      </c>
      <c r="IC50" s="42" t="s">
        <v>455</v>
      </c>
      <c r="ID50" s="42" t="s">
        <v>455</v>
      </c>
      <c r="IE50" s="42" t="s">
        <v>455</v>
      </c>
      <c r="IF50" s="42" t="s">
        <v>455</v>
      </c>
      <c r="IG50" s="42" t="s">
        <v>455</v>
      </c>
      <c r="IH50" s="42" t="s">
        <v>455</v>
      </c>
      <c r="II50" s="42" t="s">
        <v>455</v>
      </c>
      <c r="IJ50" s="42" t="s">
        <v>455</v>
      </c>
      <c r="IK50" s="42" t="s">
        <v>455</v>
      </c>
      <c r="IL50" s="42" t="s">
        <v>455</v>
      </c>
      <c r="IM50" s="42" t="s">
        <v>455</v>
      </c>
      <c r="IN50" s="42" t="s">
        <v>455</v>
      </c>
      <c r="IO50" s="42" t="s">
        <v>455</v>
      </c>
      <c r="IP50" s="42" t="s">
        <v>455</v>
      </c>
      <c r="IQ50" s="42" t="s">
        <v>455</v>
      </c>
      <c r="IR50" s="42" t="s">
        <v>455</v>
      </c>
      <c r="IS50" s="42" t="s">
        <v>455</v>
      </c>
      <c r="IT50" s="42" t="s">
        <v>455</v>
      </c>
      <c r="IU50" s="42" t="s">
        <v>455</v>
      </c>
      <c r="IV50" s="42" t="s">
        <v>455</v>
      </c>
      <c r="IW50" s="42" t="s">
        <v>455</v>
      </c>
      <c r="IX50" s="42" t="s">
        <v>455</v>
      </c>
      <c r="IY50" s="42" t="s">
        <v>455</v>
      </c>
      <c r="IZ50" s="42" t="s">
        <v>455</v>
      </c>
      <c r="JA50" s="42" t="s">
        <v>455</v>
      </c>
      <c r="JB50" s="42" t="s">
        <v>455</v>
      </c>
      <c r="JC50" s="42" t="s">
        <v>455</v>
      </c>
      <c r="JD50" s="42" t="s">
        <v>455</v>
      </c>
      <c r="JE50" s="42" t="s">
        <v>455</v>
      </c>
      <c r="JF50" s="42" t="s">
        <v>455</v>
      </c>
      <c r="JG50" s="42" t="s">
        <v>455</v>
      </c>
      <c r="JH50" s="42" t="s">
        <v>455</v>
      </c>
      <c r="JI50" s="42" t="s">
        <v>455</v>
      </c>
      <c r="JJ50" s="42" t="s">
        <v>455</v>
      </c>
      <c r="JK50" s="42" t="s">
        <v>455</v>
      </c>
      <c r="JL50" s="42" t="s">
        <v>455</v>
      </c>
      <c r="JM50" s="42" t="s">
        <v>455</v>
      </c>
    </row>
    <row r="51" spans="1:273">
      <c r="A51" s="42" t="s">
        <v>208</v>
      </c>
      <c r="B51" s="42" t="s">
        <v>270</v>
      </c>
      <c r="C51" s="42" t="s">
        <v>279</v>
      </c>
      <c r="D51" s="60">
        <v>41492</v>
      </c>
      <c r="E51" s="42" t="s">
        <v>280</v>
      </c>
      <c r="F51" s="42">
        <v>0.23046814937999999</v>
      </c>
      <c r="G51" s="42">
        <v>33.536585365853597</v>
      </c>
      <c r="H51" s="42">
        <v>20.670000076299999</v>
      </c>
      <c r="I51" s="42">
        <v>1</v>
      </c>
      <c r="J51" s="42">
        <v>0</v>
      </c>
      <c r="K51" s="42">
        <v>0</v>
      </c>
      <c r="L51" s="42" t="s">
        <v>454</v>
      </c>
      <c r="M51" s="42" t="s">
        <v>614</v>
      </c>
      <c r="N51" s="42">
        <v>5.498537046534985E-22</v>
      </c>
      <c r="O51" s="61" t="s">
        <v>455</v>
      </c>
      <c r="P51" s="42">
        <v>16.603181980631291</v>
      </c>
      <c r="Q51" s="42">
        <v>5.7080131531501577</v>
      </c>
      <c r="R51" s="42">
        <v>1.981642934907822</v>
      </c>
      <c r="S51" s="42">
        <v>0.49224252551091396</v>
      </c>
      <c r="T51" s="42" t="s">
        <v>455</v>
      </c>
      <c r="U51" s="42" t="s">
        <v>455</v>
      </c>
      <c r="V51" s="42" t="s">
        <v>456</v>
      </c>
      <c r="W51" s="42" t="s">
        <v>455</v>
      </c>
      <c r="X51" s="42">
        <v>0.65578618021461066</v>
      </c>
      <c r="Y51" s="42">
        <v>2.2221692482180266</v>
      </c>
      <c r="Z51" s="42" t="s">
        <v>456</v>
      </c>
      <c r="AA51" s="42" t="s">
        <v>455</v>
      </c>
      <c r="AB51" s="42" t="s">
        <v>456</v>
      </c>
      <c r="AC51" s="42" t="s">
        <v>455</v>
      </c>
      <c r="AD51" s="42" t="s">
        <v>613</v>
      </c>
      <c r="AE51" s="42" t="s">
        <v>91</v>
      </c>
      <c r="AF51" s="42">
        <v>8.2748410965092441E-14</v>
      </c>
      <c r="AG51" s="42">
        <v>4</v>
      </c>
      <c r="AH51" s="62">
        <v>42880.574386574073</v>
      </c>
      <c r="AJ51" s="63" t="s">
        <v>617</v>
      </c>
      <c r="AK51" s="61">
        <v>2.36699543732301</v>
      </c>
      <c r="AL51" s="61">
        <v>0.19044012232435947</v>
      </c>
      <c r="AM51" s="61">
        <v>5.5723261703642279E-2</v>
      </c>
      <c r="AN51" s="61" t="s">
        <v>455</v>
      </c>
      <c r="AO51" s="61" t="s">
        <v>455</v>
      </c>
      <c r="AP51" s="61">
        <v>0.16422417906778808</v>
      </c>
      <c r="AQ51" s="61">
        <v>-0.97535029681370766</v>
      </c>
      <c r="AR51" s="61">
        <v>14.595659212276706</v>
      </c>
      <c r="AS51" s="61" t="s">
        <v>455</v>
      </c>
      <c r="AT51" s="61" t="s">
        <v>455</v>
      </c>
      <c r="AU51" s="61" t="s">
        <v>455</v>
      </c>
      <c r="AV51" s="42">
        <v>1.5160000000000001E-7</v>
      </c>
      <c r="AW51" s="42">
        <v>1E-10</v>
      </c>
      <c r="AX51" s="42">
        <v>2.252E-7</v>
      </c>
      <c r="AY51" s="42">
        <v>2.8000000000000002E-10</v>
      </c>
      <c r="AZ51" s="42" t="s">
        <v>455</v>
      </c>
      <c r="BA51" s="42" t="s">
        <v>455</v>
      </c>
      <c r="BB51" s="42" t="s">
        <v>455</v>
      </c>
      <c r="BC51" s="42" t="s">
        <v>455</v>
      </c>
      <c r="BD51" s="42" t="s">
        <v>455</v>
      </c>
      <c r="BE51" s="42" t="s">
        <v>455</v>
      </c>
      <c r="BF51" s="42" t="s">
        <v>455</v>
      </c>
      <c r="BG51" s="42" t="s">
        <v>455</v>
      </c>
      <c r="BH51" s="42" t="s">
        <v>455</v>
      </c>
      <c r="BI51" s="42" t="s">
        <v>455</v>
      </c>
      <c r="BJ51" s="42" t="s">
        <v>455</v>
      </c>
      <c r="BK51" s="42" t="s">
        <v>455</v>
      </c>
      <c r="BL51" s="42" t="s">
        <v>455</v>
      </c>
      <c r="BM51" s="42" t="s">
        <v>455</v>
      </c>
      <c r="BN51" s="42" t="s">
        <v>455</v>
      </c>
      <c r="BO51" s="42" t="s">
        <v>455</v>
      </c>
      <c r="BP51" s="42" t="s">
        <v>455</v>
      </c>
      <c r="BQ51" s="42" t="s">
        <v>455</v>
      </c>
      <c r="BR51" s="42" t="s">
        <v>455</v>
      </c>
      <c r="BS51" s="42" t="s">
        <v>455</v>
      </c>
      <c r="BT51" s="42" t="s">
        <v>455</v>
      </c>
      <c r="BU51" s="42" t="s">
        <v>455</v>
      </c>
      <c r="BV51" s="42" t="s">
        <v>455</v>
      </c>
      <c r="BW51" s="42" t="s">
        <v>455</v>
      </c>
      <c r="BX51" s="42" t="s">
        <v>455</v>
      </c>
      <c r="BY51" s="42" t="s">
        <v>455</v>
      </c>
      <c r="BZ51" s="42" t="s">
        <v>455</v>
      </c>
      <c r="CA51" s="42" t="s">
        <v>455</v>
      </c>
      <c r="CB51" s="42" t="s">
        <v>455</v>
      </c>
      <c r="CC51" s="42" t="s">
        <v>455</v>
      </c>
      <c r="CD51" s="42" t="s">
        <v>455</v>
      </c>
      <c r="CE51" s="42" t="s">
        <v>455</v>
      </c>
      <c r="CF51" s="42" t="s">
        <v>455</v>
      </c>
      <c r="CG51" s="42" t="s">
        <v>455</v>
      </c>
      <c r="CH51" s="42" t="s">
        <v>455</v>
      </c>
      <c r="CI51" s="42" t="s">
        <v>455</v>
      </c>
      <c r="CJ51" s="42" t="s">
        <v>455</v>
      </c>
      <c r="CK51" s="42" t="s">
        <v>455</v>
      </c>
      <c r="CL51" s="42" t="s">
        <v>455</v>
      </c>
      <c r="CM51" s="42" t="s">
        <v>455</v>
      </c>
      <c r="CN51" s="42" t="s">
        <v>455</v>
      </c>
      <c r="CO51" s="42" t="s">
        <v>455</v>
      </c>
      <c r="CP51" s="42" t="s">
        <v>455</v>
      </c>
      <c r="CQ51" s="42" t="s">
        <v>455</v>
      </c>
      <c r="CR51" s="42">
        <v>0.62496555096018902</v>
      </c>
      <c r="CS51" s="42">
        <v>6.2496555096018903E-2</v>
      </c>
      <c r="CT51" s="42" t="s">
        <v>455</v>
      </c>
      <c r="CU51" s="42" t="s">
        <v>455</v>
      </c>
      <c r="CV51" s="42" t="s">
        <v>455</v>
      </c>
      <c r="CW51" s="42" t="s">
        <v>455</v>
      </c>
      <c r="CX51" s="42">
        <v>18.3540797053479</v>
      </c>
      <c r="CY51" s="42">
        <v>1.8354079705347901</v>
      </c>
      <c r="CZ51" s="42">
        <v>0.23889917229200899</v>
      </c>
      <c r="DA51" s="42">
        <v>2.3889917229200901E-2</v>
      </c>
      <c r="DB51" s="42">
        <v>10.118185285200299</v>
      </c>
      <c r="DC51" s="42">
        <v>1.0118185285200301</v>
      </c>
      <c r="DD51" s="42" t="s">
        <v>455</v>
      </c>
      <c r="DE51" s="42" t="s">
        <v>455</v>
      </c>
      <c r="DF51" s="42" t="s">
        <v>455</v>
      </c>
      <c r="DG51" s="42" t="s">
        <v>455</v>
      </c>
      <c r="DH51" s="42" t="s">
        <v>455</v>
      </c>
      <c r="DI51" s="42" t="s">
        <v>455</v>
      </c>
      <c r="DJ51" s="42">
        <v>0.99902292090547118</v>
      </c>
      <c r="DK51" s="42">
        <v>0.99596759959505876</v>
      </c>
      <c r="DL51" s="42">
        <v>1.8627503231590951E-2</v>
      </c>
      <c r="DM51" s="42">
        <v>0.99589106030766128</v>
      </c>
      <c r="DN51" s="42">
        <v>4.5025306039776607E-8</v>
      </c>
      <c r="DO51" s="42">
        <v>1.8917373144336923E-7</v>
      </c>
      <c r="DP51" s="42">
        <v>3.3215114202191196E-4</v>
      </c>
      <c r="DQ51" s="42">
        <v>7.5529140810343403E-8</v>
      </c>
      <c r="DR51" s="42">
        <v>1.0513280514544745E-8</v>
      </c>
      <c r="DS51" s="42">
        <v>1.2618338114418736E-2</v>
      </c>
      <c r="DT51" s="42">
        <v>6.7953710242516872E-3</v>
      </c>
      <c r="DU51" s="42">
        <v>3.2848963756276073E-4</v>
      </c>
      <c r="DV51" s="42">
        <v>5.1268931043006895E-8</v>
      </c>
      <c r="DW51" s="42">
        <v>1.0488724923615458E-8</v>
      </c>
      <c r="DX51" s="42">
        <v>2.2355564599245906E-7</v>
      </c>
      <c r="DY51" s="42">
        <v>1.0383808978916984E-8</v>
      </c>
      <c r="DZ51" s="42">
        <v>3.6026268556624208E-8</v>
      </c>
      <c r="EA51" s="42">
        <v>1.8508545012039059E-5</v>
      </c>
      <c r="EB51" s="42">
        <v>2.2590729457949147E-9</v>
      </c>
      <c r="EC51" s="42">
        <v>1.7240293533698127E-10</v>
      </c>
      <c r="ED51" s="42">
        <v>2.0717233588484884E-3</v>
      </c>
      <c r="EE51" s="42">
        <v>4.1507492914579208E-4</v>
      </c>
      <c r="EF51" s="42">
        <v>6.9357502721775158E-7</v>
      </c>
      <c r="EG51" s="42">
        <v>2.7941165382200299E-9</v>
      </c>
      <c r="EH51" s="42">
        <v>1.1493529022465358E-9</v>
      </c>
      <c r="EI51" s="42">
        <v>6.3412573917050887E-10</v>
      </c>
      <c r="EJ51" s="42">
        <v>5.5409115018693591E-8</v>
      </c>
      <c r="EK51" s="42">
        <v>2.2519999999999344E-7</v>
      </c>
      <c r="EL51" s="42">
        <v>3.5065968703395102E-4</v>
      </c>
      <c r="EM51" s="42">
        <v>7.7788213756138318E-8</v>
      </c>
      <c r="EN51" s="42">
        <v>1.0685683449881726E-8</v>
      </c>
      <c r="EO51" s="42">
        <v>1.4690061473267225E-2</v>
      </c>
      <c r="EP51" s="42">
        <v>7.2104459533974792E-3</v>
      </c>
      <c r="EQ51" s="42">
        <v>3.2918321258997848E-4</v>
      </c>
      <c r="ER51" s="42">
        <v>5.4063047581226925E-8</v>
      </c>
      <c r="ES51" s="42">
        <v>1.1638077825861993E-8</v>
      </c>
      <c r="ET51" s="42">
        <v>2.2418977173162957E-7</v>
      </c>
      <c r="EU51" s="42">
        <v>2.0059862427841626E-6</v>
      </c>
      <c r="EV51" s="42">
        <v>8.4282072437403231E-6</v>
      </c>
      <c r="EW51" s="42">
        <v>1.481872869631627E-2</v>
      </c>
      <c r="EX51" s="42">
        <v>3.3759510991904508E-6</v>
      </c>
      <c r="EY51" s="42">
        <v>4.7174869409926374E-7</v>
      </c>
      <c r="EZ51" s="42">
        <v>0.56276901263883128</v>
      </c>
      <c r="FA51" s="42">
        <v>0.30287906706898921</v>
      </c>
      <c r="FB51" s="42">
        <v>1.4741865918203532E-2</v>
      </c>
      <c r="FC51" s="42">
        <v>2.2851270296370988E-6</v>
      </c>
      <c r="FD51" s="42">
        <v>4.6749694877149679E-7</v>
      </c>
      <c r="FE51" s="42">
        <v>9.9641837442801787E-6</v>
      </c>
      <c r="FF51" s="42">
        <v>4.6262379518319168E-7</v>
      </c>
      <c r="FG51" s="42">
        <v>1.6050688184726667E-6</v>
      </c>
      <c r="FH51" s="42">
        <v>8.2574789725958948E-4</v>
      </c>
      <c r="FI51" s="42">
        <v>1.009745339703815E-7</v>
      </c>
      <c r="FJ51" s="42">
        <v>7.7360115609568577E-9</v>
      </c>
      <c r="FK51" s="42">
        <v>9.2420279105381864E-2</v>
      </c>
      <c r="FL51" s="42">
        <v>1.8500462572939302E-2</v>
      </c>
      <c r="FM51" s="42">
        <v>3.1126065745391146E-5</v>
      </c>
      <c r="FN51" s="42">
        <v>1.2453763118420898E-7</v>
      </c>
      <c r="FO51" s="42">
        <v>5.122824545166031E-8</v>
      </c>
      <c r="FP51" s="42">
        <v>2.826385955953608E-8</v>
      </c>
      <c r="FQ51" s="42">
        <v>2.4686100379673542E-6</v>
      </c>
      <c r="FR51" s="42">
        <v>1.003327606221299E-5</v>
      </c>
      <c r="FS51" s="42">
        <v>1.564447659357586E-2</v>
      </c>
      <c r="FT51" s="42">
        <v>3.4769256331608323E-6</v>
      </c>
      <c r="FU51" s="42">
        <v>4.794847056602206E-7</v>
      </c>
      <c r="FV51" s="42">
        <v>0.65518929174421314</v>
      </c>
      <c r="FW51" s="42">
        <v>0.32137952964192851</v>
      </c>
      <c r="FX51" s="42">
        <v>1.4772991983948923E-2</v>
      </c>
      <c r="FY51" s="42">
        <v>2.4096646608213078E-6</v>
      </c>
      <c r="FZ51" s="42">
        <v>5.187251942231571E-7</v>
      </c>
      <c r="GA51" s="42">
        <v>9.9924476038397148E-6</v>
      </c>
      <c r="GB51" s="42">
        <v>8.0292010562899933E-6</v>
      </c>
      <c r="GC51" s="42">
        <v>1.700786937165066E-4</v>
      </c>
      <c r="GD51" s="42">
        <v>0.5919785739604424</v>
      </c>
      <c r="GE51" s="42">
        <v>2.8289795020996139E-4</v>
      </c>
      <c r="GF51" s="42">
        <v>6.1937301294374636E-5</v>
      </c>
      <c r="GG51" s="42">
        <v>15.765073458656637</v>
      </c>
      <c r="GH51" s="42">
        <v>9.6917666913271709</v>
      </c>
      <c r="GI51" s="42">
        <v>0.64878214812717838</v>
      </c>
      <c r="GJ51" s="42">
        <v>3.665905896787197E-5</v>
      </c>
      <c r="GK51" s="42">
        <v>9.4241774908948499E-7</v>
      </c>
      <c r="GL51" s="42">
        <v>4.3855162630025463E-4</v>
      </c>
      <c r="GM51" s="42" t="s">
        <v>455</v>
      </c>
      <c r="GN51" s="42" t="s">
        <v>455</v>
      </c>
      <c r="GO51" s="42" t="s">
        <v>455</v>
      </c>
      <c r="GP51" s="42" t="s">
        <v>455</v>
      </c>
      <c r="GQ51" s="42" t="s">
        <v>455</v>
      </c>
      <c r="GR51" s="42" t="s">
        <v>455</v>
      </c>
      <c r="GS51" s="42" t="s">
        <v>455</v>
      </c>
      <c r="GT51" s="42" t="s">
        <v>455</v>
      </c>
      <c r="GU51" s="42" t="s">
        <v>455</v>
      </c>
      <c r="GV51" s="42" t="s">
        <v>455</v>
      </c>
      <c r="GW51" s="42" t="s">
        <v>455</v>
      </c>
      <c r="GX51" s="42" t="s">
        <v>455</v>
      </c>
      <c r="GY51" s="42" t="s">
        <v>455</v>
      </c>
      <c r="GZ51" s="42" t="s">
        <v>455</v>
      </c>
      <c r="HA51" s="42" t="s">
        <v>455</v>
      </c>
      <c r="HB51" s="42" t="s">
        <v>455</v>
      </c>
      <c r="HC51" s="42" t="s">
        <v>455</v>
      </c>
      <c r="HD51" s="42" t="s">
        <v>455</v>
      </c>
      <c r="HE51" s="42" t="s">
        <v>455</v>
      </c>
      <c r="HF51" s="42" t="s">
        <v>455</v>
      </c>
      <c r="HG51" s="42" t="s">
        <v>455</v>
      </c>
      <c r="HH51" s="42" t="s">
        <v>455</v>
      </c>
      <c r="HI51" s="42" t="s">
        <v>455</v>
      </c>
      <c r="HJ51" s="42" t="s">
        <v>455</v>
      </c>
      <c r="HK51" s="42" t="s">
        <v>455</v>
      </c>
      <c r="HL51" s="42" t="s">
        <v>455</v>
      </c>
      <c r="HM51" s="42" t="s">
        <v>455</v>
      </c>
      <c r="HN51" s="42" t="s">
        <v>455</v>
      </c>
      <c r="HO51" s="42" t="s">
        <v>455</v>
      </c>
      <c r="HP51" s="42" t="s">
        <v>455</v>
      </c>
      <c r="HQ51" s="42" t="s">
        <v>455</v>
      </c>
      <c r="HR51" s="42" t="s">
        <v>455</v>
      </c>
      <c r="HS51" s="42" t="s">
        <v>455</v>
      </c>
      <c r="HT51" s="42" t="s">
        <v>455</v>
      </c>
      <c r="HU51" s="42" t="s">
        <v>455</v>
      </c>
      <c r="HV51" s="42" t="s">
        <v>455</v>
      </c>
      <c r="HW51" s="42" t="s">
        <v>455</v>
      </c>
      <c r="HX51" s="42" t="s">
        <v>455</v>
      </c>
      <c r="HY51" s="42" t="s">
        <v>455</v>
      </c>
      <c r="HZ51" s="42" t="s">
        <v>455</v>
      </c>
      <c r="IA51" s="42" t="s">
        <v>455</v>
      </c>
      <c r="IB51" s="42" t="s">
        <v>455</v>
      </c>
      <c r="IC51" s="42" t="s">
        <v>455</v>
      </c>
      <c r="ID51" s="42" t="s">
        <v>455</v>
      </c>
      <c r="IE51" s="42" t="s">
        <v>455</v>
      </c>
      <c r="IF51" s="42" t="s">
        <v>455</v>
      </c>
      <c r="IG51" s="42" t="s">
        <v>455</v>
      </c>
      <c r="IH51" s="42" t="s">
        <v>455</v>
      </c>
      <c r="II51" s="42" t="s">
        <v>455</v>
      </c>
      <c r="IJ51" s="42" t="s">
        <v>455</v>
      </c>
      <c r="IK51" s="42" t="s">
        <v>455</v>
      </c>
      <c r="IL51" s="42" t="s">
        <v>455</v>
      </c>
      <c r="IM51" s="42" t="s">
        <v>455</v>
      </c>
      <c r="IN51" s="42" t="s">
        <v>455</v>
      </c>
      <c r="IO51" s="42" t="s">
        <v>455</v>
      </c>
      <c r="IP51" s="42" t="s">
        <v>455</v>
      </c>
      <c r="IQ51" s="42" t="s">
        <v>455</v>
      </c>
      <c r="IR51" s="42" t="s">
        <v>455</v>
      </c>
      <c r="IS51" s="42" t="s">
        <v>455</v>
      </c>
      <c r="IT51" s="42" t="s">
        <v>455</v>
      </c>
      <c r="IU51" s="42" t="s">
        <v>455</v>
      </c>
      <c r="IV51" s="42" t="s">
        <v>455</v>
      </c>
      <c r="IW51" s="42" t="s">
        <v>455</v>
      </c>
      <c r="IX51" s="42" t="s">
        <v>455</v>
      </c>
      <c r="IY51" s="42" t="s">
        <v>455</v>
      </c>
      <c r="IZ51" s="42" t="s">
        <v>455</v>
      </c>
      <c r="JA51" s="42" t="s">
        <v>455</v>
      </c>
      <c r="JB51" s="42" t="s">
        <v>455</v>
      </c>
      <c r="JC51" s="42" t="s">
        <v>455</v>
      </c>
      <c r="JD51" s="42" t="s">
        <v>455</v>
      </c>
      <c r="JE51" s="42" t="s">
        <v>455</v>
      </c>
      <c r="JF51" s="42" t="s">
        <v>455</v>
      </c>
      <c r="JG51" s="42" t="s">
        <v>455</v>
      </c>
      <c r="JH51" s="42" t="s">
        <v>455</v>
      </c>
      <c r="JI51" s="42" t="s">
        <v>455</v>
      </c>
      <c r="JJ51" s="42" t="s">
        <v>455</v>
      </c>
      <c r="JK51" s="42" t="s">
        <v>455</v>
      </c>
      <c r="JL51" s="42" t="s">
        <v>455</v>
      </c>
      <c r="JM51" s="42" t="s">
        <v>455</v>
      </c>
    </row>
    <row r="52" spans="1:273">
      <c r="A52" s="42" t="s">
        <v>208</v>
      </c>
      <c r="B52" s="42" t="s">
        <v>270</v>
      </c>
      <c r="C52" s="42" t="s">
        <v>279</v>
      </c>
      <c r="D52" s="60">
        <v>41492</v>
      </c>
      <c r="E52" s="42" t="s">
        <v>281</v>
      </c>
      <c r="F52" s="42">
        <v>0.23046814937999999</v>
      </c>
      <c r="G52" s="42">
        <v>33.536585365853597</v>
      </c>
      <c r="H52" s="42">
        <v>20.670000076299999</v>
      </c>
      <c r="I52" s="42">
        <v>1</v>
      </c>
      <c r="J52" s="42">
        <v>0</v>
      </c>
      <c r="K52" s="42">
        <v>0</v>
      </c>
      <c r="L52" s="42" t="s">
        <v>454</v>
      </c>
      <c r="M52" s="42" t="s">
        <v>614</v>
      </c>
      <c r="N52" s="42">
        <v>2.434033271673785E-22</v>
      </c>
      <c r="O52" s="61" t="s">
        <v>455</v>
      </c>
      <c r="P52" s="42">
        <v>16.465884778123204</v>
      </c>
      <c r="Q52" s="42">
        <v>5.6923539980359354</v>
      </c>
      <c r="R52" s="42">
        <v>1.9697864414612274</v>
      </c>
      <c r="S52" s="42">
        <v>0.49285978404846054</v>
      </c>
      <c r="T52" s="42" t="s">
        <v>455</v>
      </c>
      <c r="U52" s="42" t="s">
        <v>455</v>
      </c>
      <c r="V52" s="42" t="s">
        <v>456</v>
      </c>
      <c r="W52" s="42" t="s">
        <v>455</v>
      </c>
      <c r="X52" s="42">
        <v>0.64172453993547351</v>
      </c>
      <c r="Y52" s="42">
        <v>2.2253978327733055</v>
      </c>
      <c r="Z52" s="42" t="s">
        <v>456</v>
      </c>
      <c r="AA52" s="42" t="s">
        <v>455</v>
      </c>
      <c r="AB52" s="42" t="s">
        <v>456</v>
      </c>
      <c r="AC52" s="42" t="s">
        <v>455</v>
      </c>
      <c r="AD52" s="42" t="s">
        <v>613</v>
      </c>
      <c r="AE52" s="42" t="s">
        <v>91</v>
      </c>
      <c r="AF52" s="42">
        <v>1.4626455352696848E-13</v>
      </c>
      <c r="AG52" s="42">
        <v>4</v>
      </c>
      <c r="AH52" s="62">
        <v>42880.574386574073</v>
      </c>
      <c r="AJ52" s="63" t="s">
        <v>616</v>
      </c>
      <c r="AK52" s="61">
        <v>2.3653909436186478</v>
      </c>
      <c r="AL52" s="61">
        <v>0.18908523773968255</v>
      </c>
      <c r="AM52" s="61">
        <v>5.5232184705320764E-2</v>
      </c>
      <c r="AN52" s="61" t="s">
        <v>455</v>
      </c>
      <c r="AO52" s="61" t="s">
        <v>455</v>
      </c>
      <c r="AP52" s="61">
        <v>0.16217203959830639</v>
      </c>
      <c r="AQ52" s="61">
        <v>-0.97691418674362707</v>
      </c>
      <c r="AR52" s="61">
        <v>14.572487731565452</v>
      </c>
      <c r="AS52" s="61" t="s">
        <v>455</v>
      </c>
      <c r="AT52" s="61" t="s">
        <v>455</v>
      </c>
      <c r="AU52" s="61" t="s">
        <v>455</v>
      </c>
      <c r="AV52" s="42">
        <v>1.5160000000000001E-7</v>
      </c>
      <c r="AW52" s="42">
        <v>1E-10</v>
      </c>
      <c r="AX52" s="42">
        <v>2.252E-7</v>
      </c>
      <c r="AY52" s="42">
        <v>2.8000000000000002E-10</v>
      </c>
      <c r="AZ52" s="42" t="s">
        <v>455</v>
      </c>
      <c r="BA52" s="42" t="s">
        <v>455</v>
      </c>
      <c r="BB52" s="42" t="s">
        <v>455</v>
      </c>
      <c r="BC52" s="42" t="s">
        <v>455</v>
      </c>
      <c r="BD52" s="42" t="s">
        <v>455</v>
      </c>
      <c r="BE52" s="42" t="s">
        <v>455</v>
      </c>
      <c r="BF52" s="42" t="s">
        <v>455</v>
      </c>
      <c r="BG52" s="42" t="s">
        <v>455</v>
      </c>
      <c r="BH52" s="42" t="s">
        <v>455</v>
      </c>
      <c r="BI52" s="42" t="s">
        <v>455</v>
      </c>
      <c r="BJ52" s="42" t="s">
        <v>455</v>
      </c>
      <c r="BK52" s="42" t="s">
        <v>455</v>
      </c>
      <c r="BL52" s="42" t="s">
        <v>455</v>
      </c>
      <c r="BM52" s="42" t="s">
        <v>455</v>
      </c>
      <c r="BN52" s="42" t="s">
        <v>455</v>
      </c>
      <c r="BO52" s="42" t="s">
        <v>455</v>
      </c>
      <c r="BP52" s="42" t="s">
        <v>455</v>
      </c>
      <c r="BQ52" s="42" t="s">
        <v>455</v>
      </c>
      <c r="BR52" s="42" t="s">
        <v>455</v>
      </c>
      <c r="BS52" s="42" t="s">
        <v>455</v>
      </c>
      <c r="BT52" s="42" t="s">
        <v>455</v>
      </c>
      <c r="BU52" s="42" t="s">
        <v>455</v>
      </c>
      <c r="BV52" s="42" t="s">
        <v>455</v>
      </c>
      <c r="BW52" s="42" t="s">
        <v>455</v>
      </c>
      <c r="BX52" s="42" t="s">
        <v>455</v>
      </c>
      <c r="BY52" s="42" t="s">
        <v>455</v>
      </c>
      <c r="BZ52" s="42" t="s">
        <v>455</v>
      </c>
      <c r="CA52" s="42" t="s">
        <v>455</v>
      </c>
      <c r="CB52" s="42" t="s">
        <v>455</v>
      </c>
      <c r="CC52" s="42" t="s">
        <v>455</v>
      </c>
      <c r="CD52" s="42" t="s">
        <v>455</v>
      </c>
      <c r="CE52" s="42" t="s">
        <v>455</v>
      </c>
      <c r="CF52" s="42" t="s">
        <v>455</v>
      </c>
      <c r="CG52" s="42" t="s">
        <v>455</v>
      </c>
      <c r="CH52" s="42" t="s">
        <v>455</v>
      </c>
      <c r="CI52" s="42" t="s">
        <v>455</v>
      </c>
      <c r="CJ52" s="42" t="s">
        <v>455</v>
      </c>
      <c r="CK52" s="42" t="s">
        <v>455</v>
      </c>
      <c r="CL52" s="42" t="s">
        <v>455</v>
      </c>
      <c r="CM52" s="42" t="s">
        <v>455</v>
      </c>
      <c r="CN52" s="42" t="s">
        <v>455</v>
      </c>
      <c r="CO52" s="42" t="s">
        <v>455</v>
      </c>
      <c r="CP52" s="42" t="s">
        <v>455</v>
      </c>
      <c r="CQ52" s="42" t="s">
        <v>455</v>
      </c>
      <c r="CR52" s="42">
        <v>0.62647269982155096</v>
      </c>
      <c r="CS52" s="42">
        <v>6.2647269982155099E-2</v>
      </c>
      <c r="CT52" s="42" t="s">
        <v>455</v>
      </c>
      <c r="CU52" s="42" t="s">
        <v>455</v>
      </c>
      <c r="CV52" s="42" t="s">
        <v>455</v>
      </c>
      <c r="CW52" s="42" t="s">
        <v>455</v>
      </c>
      <c r="CX52" s="42">
        <v>18.3702314954615</v>
      </c>
      <c r="CY52" s="42">
        <v>1.83702314954615</v>
      </c>
      <c r="CZ52" s="42">
        <v>0.224388945735082</v>
      </c>
      <c r="DA52" s="42">
        <v>2.24388945735082E-2</v>
      </c>
      <c r="DB52" s="42">
        <v>10.147633985280899</v>
      </c>
      <c r="DC52" s="42">
        <v>1.0147633985280899</v>
      </c>
      <c r="DD52" s="42" t="s">
        <v>455</v>
      </c>
      <c r="DE52" s="42" t="s">
        <v>455</v>
      </c>
      <c r="DF52" s="42" t="s">
        <v>455</v>
      </c>
      <c r="DG52" s="42" t="s">
        <v>455</v>
      </c>
      <c r="DH52" s="42" t="s">
        <v>455</v>
      </c>
      <c r="DI52" s="42" t="s">
        <v>455</v>
      </c>
      <c r="DJ52" s="42">
        <v>0.99904612082689603</v>
      </c>
      <c r="DK52" s="42">
        <v>0.99596759959505876</v>
      </c>
      <c r="DL52" s="42">
        <v>1.8465454090566689E-2</v>
      </c>
      <c r="DM52" s="42">
        <v>0.99589173868434244</v>
      </c>
      <c r="DN52" s="42">
        <v>4.5046772437377393E-8</v>
      </c>
      <c r="DO52" s="42">
        <v>1.8938928249423054E-7</v>
      </c>
      <c r="DP52" s="42">
        <v>3.330993597557907E-4</v>
      </c>
      <c r="DQ52" s="42">
        <v>7.5800592669025288E-8</v>
      </c>
      <c r="DR52" s="42">
        <v>1.0559214220301644E-8</v>
      </c>
      <c r="DS52" s="42">
        <v>1.2651449399193753E-2</v>
      </c>
      <c r="DT52" s="42">
        <v>6.8148518276816075E-3</v>
      </c>
      <c r="DU52" s="42">
        <v>3.2992824296287909E-4</v>
      </c>
      <c r="DV52" s="42">
        <v>5.1427973118315908E-8</v>
      </c>
      <c r="DW52" s="42">
        <v>1.0501312978776228E-8</v>
      </c>
      <c r="DX52" s="42">
        <v>2.2458788450854519E-7</v>
      </c>
      <c r="DY52" s="42">
        <v>1.032168095325683E-8</v>
      </c>
      <c r="DZ52" s="42">
        <v>3.5810717505765101E-8</v>
      </c>
      <c r="EA52" s="42">
        <v>1.8397805363247846E-5</v>
      </c>
      <c r="EB52" s="42">
        <v>2.2455565432657928E-9</v>
      </c>
      <c r="EC52" s="42">
        <v>1.7137142040712601E-10</v>
      </c>
      <c r="ED52" s="42">
        <v>2.0512214183653933E-3</v>
      </c>
      <c r="EE52" s="42">
        <v>4.1259146802846876E-4</v>
      </c>
      <c r="EF52" s="42">
        <v>6.894252545114072E-7</v>
      </c>
      <c r="EG52" s="42">
        <v>2.777398882460332E-9</v>
      </c>
      <c r="EH52" s="42">
        <v>1.1424761360475128E-9</v>
      </c>
      <c r="EI52" s="42">
        <v>6.3033166126759327E-10</v>
      </c>
      <c r="EJ52" s="42">
        <v>5.5368453390634223E-8</v>
      </c>
      <c r="EK52" s="42">
        <v>2.2519999999999564E-7</v>
      </c>
      <c r="EL52" s="42">
        <v>3.5149716511903854E-4</v>
      </c>
      <c r="EM52" s="42">
        <v>7.8046149212291081E-8</v>
      </c>
      <c r="EN52" s="42">
        <v>1.073058564070877E-8</v>
      </c>
      <c r="EO52" s="42">
        <v>1.4702670817559146E-2</v>
      </c>
      <c r="EP52" s="42">
        <v>7.2274432957100763E-3</v>
      </c>
      <c r="EQ52" s="42">
        <v>3.306176682173905E-4</v>
      </c>
      <c r="ER52" s="42">
        <v>5.420537200077624E-8</v>
      </c>
      <c r="ES52" s="42">
        <v>1.164378911482374E-8</v>
      </c>
      <c r="ET52" s="42">
        <v>2.2521821616981278E-7</v>
      </c>
      <c r="EU52" s="42">
        <v>2.0069892291464162E-6</v>
      </c>
      <c r="EV52" s="42">
        <v>8.4380065807228961E-6</v>
      </c>
      <c r="EW52" s="42">
        <v>1.4861377987241436E-2</v>
      </c>
      <c r="EX52" s="42">
        <v>3.3881629532657102E-6</v>
      </c>
      <c r="EY52" s="42">
        <v>4.7382082033690079E-7</v>
      </c>
      <c r="EZ52" s="42">
        <v>0.56425885593160541</v>
      </c>
      <c r="FA52" s="42">
        <v>0.30375440717655894</v>
      </c>
      <c r="FB52" s="42">
        <v>1.4806771092192535E-2</v>
      </c>
      <c r="FC52" s="42">
        <v>2.2922689857162219E-6</v>
      </c>
      <c r="FD52" s="42">
        <v>4.6806888529649003E-7</v>
      </c>
      <c r="FE52" s="42">
        <v>1.0010424502676052E-5</v>
      </c>
      <c r="FF52" s="42">
        <v>4.5986652048535129E-7</v>
      </c>
      <c r="FG52" s="42">
        <v>1.5955024803648009E-6</v>
      </c>
      <c r="FH52" s="42">
        <v>8.2082637396654889E-4</v>
      </c>
      <c r="FI52" s="42">
        <v>1.0037271769862552E-7</v>
      </c>
      <c r="FJ52" s="42">
        <v>7.689904315369114E-9</v>
      </c>
      <c r="FK52" s="42">
        <v>9.1507009527821426E-2</v>
      </c>
      <c r="FL52" s="42">
        <v>1.8390198341220465E-2</v>
      </c>
      <c r="FM52" s="42">
        <v>3.0940551912300718E-5</v>
      </c>
      <c r="FN52" s="42">
        <v>1.2379537697470087E-7</v>
      </c>
      <c r="FO52" s="42">
        <v>5.0922921025054325E-8</v>
      </c>
      <c r="FP52" s="42">
        <v>2.809540470347743E-8</v>
      </c>
      <c r="FQ52" s="42">
        <v>2.4668557496317675E-6</v>
      </c>
      <c r="FR52" s="42">
        <v>1.0033509061087697E-5</v>
      </c>
      <c r="FS52" s="42">
        <v>1.5682204361207985E-2</v>
      </c>
      <c r="FT52" s="42">
        <v>3.4885356709643357E-6</v>
      </c>
      <c r="FU52" s="42">
        <v>4.815107246522699E-7</v>
      </c>
      <c r="FV52" s="42">
        <v>0.65576586545942683</v>
      </c>
      <c r="FW52" s="42">
        <v>0.3221446055177794</v>
      </c>
      <c r="FX52" s="42">
        <v>1.4837711644104835E-2</v>
      </c>
      <c r="FY52" s="42">
        <v>2.4160643626909228E-6</v>
      </c>
      <c r="FZ52" s="42">
        <v>5.1899180632154435E-7</v>
      </c>
      <c r="GA52" s="42">
        <v>1.0038519907379529E-5</v>
      </c>
      <c r="GB52" s="42">
        <v>8.0332156297638741E-6</v>
      </c>
      <c r="GC52" s="42">
        <v>1.7027644139701382E-4</v>
      </c>
      <c r="GD52" s="42">
        <v>0.59368232783432096</v>
      </c>
      <c r="GE52" s="42">
        <v>2.8392127915775997E-4</v>
      </c>
      <c r="GF52" s="42">
        <v>6.2209356964492714E-5</v>
      </c>
      <c r="GG52" s="42">
        <v>15.806809034754435</v>
      </c>
      <c r="GH52" s="42">
        <v>9.7197765243612739</v>
      </c>
      <c r="GI52" s="42">
        <v>0.6516385923818474</v>
      </c>
      <c r="GJ52" s="42">
        <v>3.677363351259306E-5</v>
      </c>
      <c r="GK52" s="42">
        <v>9.4357070449148842E-7</v>
      </c>
      <c r="GL52" s="42">
        <v>4.4058681155138054E-4</v>
      </c>
      <c r="GM52" s="42" t="s">
        <v>455</v>
      </c>
      <c r="GN52" s="42" t="s">
        <v>455</v>
      </c>
      <c r="GO52" s="42" t="s">
        <v>455</v>
      </c>
      <c r="GP52" s="42" t="s">
        <v>455</v>
      </c>
      <c r="GQ52" s="42" t="s">
        <v>455</v>
      </c>
      <c r="GR52" s="42" t="s">
        <v>455</v>
      </c>
      <c r="GS52" s="42" t="s">
        <v>455</v>
      </c>
      <c r="GT52" s="42" t="s">
        <v>455</v>
      </c>
      <c r="GU52" s="42" t="s">
        <v>455</v>
      </c>
      <c r="GV52" s="42" t="s">
        <v>455</v>
      </c>
      <c r="GW52" s="42" t="s">
        <v>455</v>
      </c>
      <c r="GX52" s="42" t="s">
        <v>455</v>
      </c>
      <c r="GY52" s="42" t="s">
        <v>455</v>
      </c>
      <c r="GZ52" s="42" t="s">
        <v>455</v>
      </c>
      <c r="HA52" s="42" t="s">
        <v>455</v>
      </c>
      <c r="HB52" s="42" t="s">
        <v>455</v>
      </c>
      <c r="HC52" s="42" t="s">
        <v>455</v>
      </c>
      <c r="HD52" s="42" t="s">
        <v>455</v>
      </c>
      <c r="HE52" s="42" t="s">
        <v>455</v>
      </c>
      <c r="HF52" s="42" t="s">
        <v>455</v>
      </c>
      <c r="HG52" s="42" t="s">
        <v>455</v>
      </c>
      <c r="HH52" s="42" t="s">
        <v>455</v>
      </c>
      <c r="HI52" s="42" t="s">
        <v>455</v>
      </c>
      <c r="HJ52" s="42" t="s">
        <v>455</v>
      </c>
      <c r="HK52" s="42" t="s">
        <v>455</v>
      </c>
      <c r="HL52" s="42" t="s">
        <v>455</v>
      </c>
      <c r="HM52" s="42" t="s">
        <v>455</v>
      </c>
      <c r="HN52" s="42" t="s">
        <v>455</v>
      </c>
      <c r="HO52" s="42" t="s">
        <v>455</v>
      </c>
      <c r="HP52" s="42" t="s">
        <v>455</v>
      </c>
      <c r="HQ52" s="42" t="s">
        <v>455</v>
      </c>
      <c r="HR52" s="42" t="s">
        <v>455</v>
      </c>
      <c r="HS52" s="42" t="s">
        <v>455</v>
      </c>
      <c r="HT52" s="42" t="s">
        <v>455</v>
      </c>
      <c r="HU52" s="42" t="s">
        <v>455</v>
      </c>
      <c r="HV52" s="42" t="s">
        <v>455</v>
      </c>
      <c r="HW52" s="42" t="s">
        <v>455</v>
      </c>
      <c r="HX52" s="42" t="s">
        <v>455</v>
      </c>
      <c r="HY52" s="42" t="s">
        <v>455</v>
      </c>
      <c r="HZ52" s="42" t="s">
        <v>455</v>
      </c>
      <c r="IA52" s="42" t="s">
        <v>455</v>
      </c>
      <c r="IB52" s="42" t="s">
        <v>455</v>
      </c>
      <c r="IC52" s="42" t="s">
        <v>455</v>
      </c>
      <c r="ID52" s="42" t="s">
        <v>455</v>
      </c>
      <c r="IE52" s="42" t="s">
        <v>455</v>
      </c>
      <c r="IF52" s="42" t="s">
        <v>455</v>
      </c>
      <c r="IG52" s="42" t="s">
        <v>455</v>
      </c>
      <c r="IH52" s="42" t="s">
        <v>455</v>
      </c>
      <c r="II52" s="42" t="s">
        <v>455</v>
      </c>
      <c r="IJ52" s="42" t="s">
        <v>455</v>
      </c>
      <c r="IK52" s="42" t="s">
        <v>455</v>
      </c>
      <c r="IL52" s="42" t="s">
        <v>455</v>
      </c>
      <c r="IM52" s="42" t="s">
        <v>455</v>
      </c>
      <c r="IN52" s="42" t="s">
        <v>455</v>
      </c>
      <c r="IO52" s="42" t="s">
        <v>455</v>
      </c>
      <c r="IP52" s="42" t="s">
        <v>455</v>
      </c>
      <c r="IQ52" s="42" t="s">
        <v>455</v>
      </c>
      <c r="IR52" s="42" t="s">
        <v>455</v>
      </c>
      <c r="IS52" s="42" t="s">
        <v>455</v>
      </c>
      <c r="IT52" s="42" t="s">
        <v>455</v>
      </c>
      <c r="IU52" s="42" t="s">
        <v>455</v>
      </c>
      <c r="IV52" s="42" t="s">
        <v>455</v>
      </c>
      <c r="IW52" s="42" t="s">
        <v>455</v>
      </c>
      <c r="IX52" s="42" t="s">
        <v>455</v>
      </c>
      <c r="IY52" s="42" t="s">
        <v>455</v>
      </c>
      <c r="IZ52" s="42" t="s">
        <v>455</v>
      </c>
      <c r="JA52" s="42" t="s">
        <v>455</v>
      </c>
      <c r="JB52" s="42" t="s">
        <v>455</v>
      </c>
      <c r="JC52" s="42" t="s">
        <v>455</v>
      </c>
      <c r="JD52" s="42" t="s">
        <v>455</v>
      </c>
      <c r="JE52" s="42" t="s">
        <v>455</v>
      </c>
      <c r="JF52" s="42" t="s">
        <v>455</v>
      </c>
      <c r="JG52" s="42" t="s">
        <v>455</v>
      </c>
      <c r="JH52" s="42" t="s">
        <v>455</v>
      </c>
      <c r="JI52" s="42" t="s">
        <v>455</v>
      </c>
      <c r="JJ52" s="42" t="s">
        <v>455</v>
      </c>
      <c r="JK52" s="42" t="s">
        <v>455</v>
      </c>
      <c r="JL52" s="42" t="s">
        <v>455</v>
      </c>
      <c r="JM52" s="42" t="s">
        <v>455</v>
      </c>
    </row>
    <row r="53" spans="1:273">
      <c r="A53" s="42" t="s">
        <v>208</v>
      </c>
      <c r="B53" s="42" t="s">
        <v>270</v>
      </c>
      <c r="C53" s="42" t="s">
        <v>285</v>
      </c>
      <c r="D53" s="60">
        <v>41500</v>
      </c>
      <c r="E53" s="42" t="s">
        <v>286</v>
      </c>
      <c r="F53" s="42">
        <v>0.70302982272000003</v>
      </c>
      <c r="G53" s="42">
        <v>100</v>
      </c>
      <c r="H53" s="42">
        <v>20.459999084500001</v>
      </c>
      <c r="I53" s="42">
        <v>1</v>
      </c>
      <c r="J53" s="42">
        <v>0</v>
      </c>
      <c r="K53" s="42">
        <v>0</v>
      </c>
      <c r="L53" s="42" t="s">
        <v>454</v>
      </c>
      <c r="M53" s="42" t="s">
        <v>614</v>
      </c>
      <c r="N53" s="42">
        <v>4.6111390916044476E-25</v>
      </c>
      <c r="O53" s="61" t="s">
        <v>455</v>
      </c>
      <c r="P53" s="42">
        <v>16.10292681238537</v>
      </c>
      <c r="Q53" s="42">
        <v>6.2800049692671633</v>
      </c>
      <c r="R53" s="42">
        <v>6.0316135382643727</v>
      </c>
      <c r="S53" s="42">
        <v>0.6084953372091122</v>
      </c>
      <c r="T53" s="42" t="s">
        <v>455</v>
      </c>
      <c r="U53" s="42" t="s">
        <v>455</v>
      </c>
      <c r="V53" s="42" t="s">
        <v>456</v>
      </c>
      <c r="W53" s="42" t="s">
        <v>455</v>
      </c>
      <c r="X53" s="42">
        <v>0.86995415253437058</v>
      </c>
      <c r="Y53" s="42">
        <v>2.6496065033493439</v>
      </c>
      <c r="Z53" s="42" t="s">
        <v>456</v>
      </c>
      <c r="AA53" s="42" t="s">
        <v>455</v>
      </c>
      <c r="AB53" s="42" t="s">
        <v>456</v>
      </c>
      <c r="AC53" s="42" t="s">
        <v>455</v>
      </c>
      <c r="AD53" s="42" t="s">
        <v>613</v>
      </c>
      <c r="AE53" s="42" t="s">
        <v>91</v>
      </c>
      <c r="AF53" s="42">
        <v>1.2118008841205466E-15</v>
      </c>
      <c r="AG53" s="42">
        <v>4</v>
      </c>
      <c r="AH53" s="62">
        <v>42880.574386574073</v>
      </c>
      <c r="AJ53" s="63" t="s">
        <v>615</v>
      </c>
      <c r="AK53" s="61">
        <v>162.14462141680733</v>
      </c>
      <c r="AL53" s="61">
        <v>0.58356952653018834</v>
      </c>
      <c r="AM53" s="61">
        <v>0.16977413256284368</v>
      </c>
      <c r="AN53" s="61" t="s">
        <v>455</v>
      </c>
      <c r="AO53" s="61" t="s">
        <v>455</v>
      </c>
      <c r="AP53" s="61">
        <v>0.42927824805267578</v>
      </c>
      <c r="AQ53" s="61">
        <v>-0.97438001723225376</v>
      </c>
      <c r="AR53" s="61">
        <v>8.7428380822819971</v>
      </c>
      <c r="AS53" s="61">
        <v>94546.986629040082</v>
      </c>
      <c r="AT53" s="61" t="s">
        <v>455</v>
      </c>
      <c r="AU53" s="61" t="s">
        <v>455</v>
      </c>
      <c r="AV53" s="42">
        <v>7.2802601683677401E-6</v>
      </c>
      <c r="AW53" s="42">
        <v>7.2802601683677404E-8</v>
      </c>
      <c r="AX53" s="42">
        <v>2.9755819573653701E-7</v>
      </c>
      <c r="AY53" s="42">
        <v>4.4633729360480602E-9</v>
      </c>
      <c r="AZ53" s="42" t="s">
        <v>455</v>
      </c>
      <c r="BA53" s="42" t="s">
        <v>455</v>
      </c>
      <c r="BB53" s="42" t="s">
        <v>455</v>
      </c>
      <c r="BC53" s="42" t="s">
        <v>455</v>
      </c>
      <c r="BD53" s="42" t="s">
        <v>455</v>
      </c>
      <c r="BE53" s="42" t="s">
        <v>455</v>
      </c>
      <c r="BF53" s="42" t="s">
        <v>455</v>
      </c>
      <c r="BG53" s="42" t="s">
        <v>455</v>
      </c>
      <c r="BH53" s="42" t="s">
        <v>455</v>
      </c>
      <c r="BI53" s="42" t="s">
        <v>455</v>
      </c>
      <c r="BJ53" s="42" t="s">
        <v>455</v>
      </c>
      <c r="BK53" s="42" t="s">
        <v>455</v>
      </c>
      <c r="BL53" s="42" t="s">
        <v>455</v>
      </c>
      <c r="BM53" s="42" t="s">
        <v>455</v>
      </c>
      <c r="BN53" s="42" t="s">
        <v>455</v>
      </c>
      <c r="BO53" s="42" t="s">
        <v>455</v>
      </c>
      <c r="BP53" s="42" t="s">
        <v>455</v>
      </c>
      <c r="BQ53" s="42" t="s">
        <v>455</v>
      </c>
      <c r="BR53" s="42" t="s">
        <v>455</v>
      </c>
      <c r="BS53" s="42" t="s">
        <v>455</v>
      </c>
      <c r="BT53" s="42" t="s">
        <v>455</v>
      </c>
      <c r="BU53" s="42" t="s">
        <v>455</v>
      </c>
      <c r="BV53" s="42" t="s">
        <v>455</v>
      </c>
      <c r="BW53" s="42" t="s">
        <v>455</v>
      </c>
      <c r="BX53" s="42" t="s">
        <v>455</v>
      </c>
      <c r="BY53" s="42" t="s">
        <v>455</v>
      </c>
      <c r="BZ53" s="42" t="s">
        <v>455</v>
      </c>
      <c r="CA53" s="42" t="s">
        <v>455</v>
      </c>
      <c r="CB53" s="42" t="s">
        <v>455</v>
      </c>
      <c r="CC53" s="42" t="s">
        <v>455</v>
      </c>
      <c r="CD53" s="42" t="s">
        <v>455</v>
      </c>
      <c r="CE53" s="42" t="s">
        <v>455</v>
      </c>
      <c r="CF53" s="42" t="s">
        <v>455</v>
      </c>
      <c r="CG53" s="42" t="s">
        <v>455</v>
      </c>
      <c r="CH53" s="42" t="s">
        <v>455</v>
      </c>
      <c r="CI53" s="42" t="s">
        <v>455</v>
      </c>
      <c r="CJ53" s="42" t="s">
        <v>455</v>
      </c>
      <c r="CK53" s="42" t="s">
        <v>455</v>
      </c>
      <c r="CL53" s="42" t="s">
        <v>455</v>
      </c>
      <c r="CM53" s="42" t="s">
        <v>455</v>
      </c>
      <c r="CN53" s="42" t="s">
        <v>455</v>
      </c>
      <c r="CO53" s="42" t="s">
        <v>455</v>
      </c>
      <c r="CP53" s="42" t="s">
        <v>455</v>
      </c>
      <c r="CQ53" s="42" t="s">
        <v>455</v>
      </c>
      <c r="CR53" s="42">
        <v>0.69211109491882705</v>
      </c>
      <c r="CS53" s="42">
        <v>6.9211109491882708E-2</v>
      </c>
      <c r="CT53" s="42" t="s">
        <v>455</v>
      </c>
      <c r="CU53" s="42" t="s">
        <v>455</v>
      </c>
      <c r="CV53" s="42" t="s">
        <v>455</v>
      </c>
      <c r="CW53" s="42" t="s">
        <v>455</v>
      </c>
      <c r="CX53" s="42">
        <v>22.496772284271501</v>
      </c>
      <c r="CY53" s="42">
        <v>2.2496772284271502</v>
      </c>
      <c r="CZ53" s="42">
        <v>0.248184714446466</v>
      </c>
      <c r="DA53" s="42">
        <v>2.4818471444646602E-2</v>
      </c>
      <c r="DB53" s="42">
        <v>6.35667538188466</v>
      </c>
      <c r="DC53" s="42">
        <v>0.635667538188466</v>
      </c>
      <c r="DD53" s="42">
        <v>3.4668166114222898</v>
      </c>
      <c r="DE53" s="42">
        <v>0.34668166114222898</v>
      </c>
      <c r="DF53" s="42" t="s">
        <v>455</v>
      </c>
      <c r="DG53" s="42" t="s">
        <v>455</v>
      </c>
      <c r="DH53" s="42" t="s">
        <v>455</v>
      </c>
      <c r="DI53" s="42" t="s">
        <v>455</v>
      </c>
      <c r="DJ53" s="42">
        <v>0.99947088787166738</v>
      </c>
      <c r="DK53" s="42">
        <v>0.98802409609545883</v>
      </c>
      <c r="DL53" s="42">
        <v>1.8038365758969301E-2</v>
      </c>
      <c r="DM53" s="42">
        <v>0.98780410202706392</v>
      </c>
      <c r="DN53" s="42">
        <v>4.462457974491165E-8</v>
      </c>
      <c r="DO53" s="42">
        <v>1.879034616108878E-7</v>
      </c>
      <c r="DP53" s="42">
        <v>3.3182481687274527E-4</v>
      </c>
      <c r="DQ53" s="42">
        <v>7.5646993394294052E-8</v>
      </c>
      <c r="DR53" s="42">
        <v>1.0565910016630497E-8</v>
      </c>
      <c r="DS53" s="42">
        <v>1.2592585070700022E-2</v>
      </c>
      <c r="DT53" s="42">
        <v>6.7890924651513055E-3</v>
      </c>
      <c r="DU53" s="42">
        <v>3.3019662899506181E-4</v>
      </c>
      <c r="DV53" s="42">
        <v>5.1257431209353413E-8</v>
      </c>
      <c r="DW53" s="42">
        <v>1.0422404060615506E-8</v>
      </c>
      <c r="DX53" s="42">
        <v>2.2485470548239635E-7</v>
      </c>
      <c r="DY53" s="42">
        <v>3.160565494050531E-8</v>
      </c>
      <c r="DZ53" s="42">
        <v>1.096547341256463E-7</v>
      </c>
      <c r="EA53" s="42">
        <v>5.6335270447389224E-5</v>
      </c>
      <c r="EB53" s="42">
        <v>6.8760394336213888E-9</v>
      </c>
      <c r="EC53" s="42">
        <v>5.2475037782899987E-10</v>
      </c>
      <c r="ED53" s="42">
        <v>5.4053545967573773E-3</v>
      </c>
      <c r="EE53" s="42">
        <v>1.2633817717248559E-3</v>
      </c>
      <c r="EF53" s="42">
        <v>2.1110647383925513E-6</v>
      </c>
      <c r="EG53" s="42">
        <v>8.5045750889527689E-9</v>
      </c>
      <c r="EH53" s="42">
        <v>3.4983358521933352E-9</v>
      </c>
      <c r="EI53" s="42">
        <v>1.9301163322446124E-9</v>
      </c>
      <c r="EJ53" s="42">
        <v>7.623023468541696E-8</v>
      </c>
      <c r="EK53" s="42">
        <v>2.975581957365341E-7</v>
      </c>
      <c r="EL53" s="42">
        <v>3.8816008732013449E-4</v>
      </c>
      <c r="EM53" s="42">
        <v>8.2523032827915441E-8</v>
      </c>
      <c r="EN53" s="42">
        <v>1.1090660394459497E-8</v>
      </c>
      <c r="EO53" s="42">
        <v>1.7997939667457399E-2</v>
      </c>
      <c r="EP53" s="42">
        <v>8.0524742368761615E-3</v>
      </c>
      <c r="EQ53" s="42">
        <v>3.3230769373345436E-4</v>
      </c>
      <c r="ER53" s="42">
        <v>5.9762006298306182E-8</v>
      </c>
      <c r="ES53" s="42">
        <v>1.3920739912808841E-8</v>
      </c>
      <c r="ET53" s="42">
        <v>2.2678482181464097E-7</v>
      </c>
      <c r="EU53" s="42">
        <v>1.9890244064294429E-6</v>
      </c>
      <c r="EV53" s="42">
        <v>8.3753671217449714E-6</v>
      </c>
      <c r="EW53" s="42">
        <v>1.4810808156062739E-2</v>
      </c>
      <c r="EX53" s="42">
        <v>3.3827349510182718E-6</v>
      </c>
      <c r="EY53" s="42">
        <v>4.743228624111773E-7</v>
      </c>
      <c r="EZ53" s="42">
        <v>0.56187227845448251</v>
      </c>
      <c r="FA53" s="42">
        <v>0.30273491005566261</v>
      </c>
      <c r="FB53" s="42">
        <v>1.4825116479669647E-2</v>
      </c>
      <c r="FC53" s="42">
        <v>2.2856388989396522E-6</v>
      </c>
      <c r="FD53" s="42">
        <v>4.647492388784086E-7</v>
      </c>
      <c r="FE53" s="42">
        <v>1.0026578572794367E-5</v>
      </c>
      <c r="FF53" s="42">
        <v>1.4087397442666234E-6</v>
      </c>
      <c r="FG53" s="42">
        <v>4.8876090257530898E-6</v>
      </c>
      <c r="FH53" s="42">
        <v>2.5144921072499955E-3</v>
      </c>
      <c r="FI53" s="42">
        <v>3.0747843203039168E-7</v>
      </c>
      <c r="FJ53" s="42">
        <v>2.3556996119731643E-8</v>
      </c>
      <c r="FK53" s="42">
        <v>0.24119954732429572</v>
      </c>
      <c r="FL53" s="42">
        <v>5.6335919563965442E-2</v>
      </c>
      <c r="FM53" s="42">
        <v>9.4782253646995621E-5</v>
      </c>
      <c r="FN53" s="42">
        <v>3.7923062439220487E-7</v>
      </c>
      <c r="FO53" s="42">
        <v>1.5599557599111983E-7</v>
      </c>
      <c r="FP53" s="42">
        <v>8.6066524684755006E-8</v>
      </c>
      <c r="FQ53" s="42">
        <v>3.3977641506960663E-6</v>
      </c>
      <c r="FR53" s="42">
        <v>1.3262976147498061E-5</v>
      </c>
      <c r="FS53" s="42">
        <v>1.7325300263312735E-2</v>
      </c>
      <c r="FT53" s="42">
        <v>3.6902133830486635E-6</v>
      </c>
      <c r="FU53" s="42">
        <v>4.9787985853090895E-7</v>
      </c>
      <c r="FV53" s="42">
        <v>0.80307182577877823</v>
      </c>
      <c r="FW53" s="42">
        <v>0.35907082961962805</v>
      </c>
      <c r="FX53" s="42">
        <v>1.4919898733316643E-2</v>
      </c>
      <c r="FY53" s="42">
        <v>2.6648695233318571E-6</v>
      </c>
      <c r="FZ53" s="42">
        <v>6.2074481486952843E-7</v>
      </c>
      <c r="GA53" s="42">
        <v>1.0112645097479122E-5</v>
      </c>
      <c r="GB53" s="42">
        <v>7.961309267467498E-6</v>
      </c>
      <c r="GC53" s="42">
        <v>1.69012395906677E-4</v>
      </c>
      <c r="GD53" s="42">
        <v>0.59166216421839435</v>
      </c>
      <c r="GE53" s="42">
        <v>2.8346642342542917E-4</v>
      </c>
      <c r="GF53" s="42">
        <v>6.2275271574550699E-5</v>
      </c>
      <c r="GG53" s="42">
        <v>15.7399528852568</v>
      </c>
      <c r="GH53" s="42">
        <v>9.6871538398891364</v>
      </c>
      <c r="GI53" s="42">
        <v>0.65244596371202135</v>
      </c>
      <c r="GJ53" s="42">
        <v>3.6667270610683411E-5</v>
      </c>
      <c r="GK53" s="42">
        <v>9.3687869567020634E-7</v>
      </c>
      <c r="GL53" s="42">
        <v>4.412977974086839E-4</v>
      </c>
      <c r="GM53" s="42" t="s">
        <v>455</v>
      </c>
      <c r="GN53" s="42" t="s">
        <v>455</v>
      </c>
      <c r="GO53" s="42" t="s">
        <v>455</v>
      </c>
      <c r="GP53" s="42" t="s">
        <v>455</v>
      </c>
      <c r="GQ53" s="42" t="s">
        <v>455</v>
      </c>
      <c r="GR53" s="42" t="s">
        <v>455</v>
      </c>
      <c r="GS53" s="42" t="s">
        <v>455</v>
      </c>
      <c r="GT53" s="42" t="s">
        <v>455</v>
      </c>
      <c r="GU53" s="42" t="s">
        <v>455</v>
      </c>
      <c r="GV53" s="42" t="s">
        <v>455</v>
      </c>
      <c r="GW53" s="42" t="s">
        <v>455</v>
      </c>
      <c r="GX53" s="42" t="s">
        <v>455</v>
      </c>
      <c r="GY53" s="42" t="s">
        <v>455</v>
      </c>
      <c r="GZ53" s="42" t="s">
        <v>455</v>
      </c>
      <c r="HA53" s="42" t="s">
        <v>455</v>
      </c>
      <c r="HB53" s="42" t="s">
        <v>455</v>
      </c>
      <c r="HC53" s="42" t="s">
        <v>455</v>
      </c>
      <c r="HD53" s="42" t="s">
        <v>455</v>
      </c>
      <c r="HE53" s="42" t="s">
        <v>455</v>
      </c>
      <c r="HF53" s="42" t="s">
        <v>455</v>
      </c>
      <c r="HG53" s="42" t="s">
        <v>455</v>
      </c>
      <c r="HH53" s="42" t="s">
        <v>455</v>
      </c>
      <c r="HI53" s="42" t="s">
        <v>455</v>
      </c>
      <c r="HJ53" s="42" t="s">
        <v>455</v>
      </c>
      <c r="HK53" s="42" t="s">
        <v>455</v>
      </c>
      <c r="HL53" s="42" t="s">
        <v>455</v>
      </c>
      <c r="HM53" s="42" t="s">
        <v>455</v>
      </c>
      <c r="HN53" s="42" t="s">
        <v>455</v>
      </c>
      <c r="HO53" s="42" t="s">
        <v>455</v>
      </c>
      <c r="HP53" s="42" t="s">
        <v>455</v>
      </c>
      <c r="HQ53" s="42" t="s">
        <v>455</v>
      </c>
      <c r="HR53" s="42" t="s">
        <v>455</v>
      </c>
      <c r="HS53" s="42" t="s">
        <v>455</v>
      </c>
      <c r="HT53" s="42" t="s">
        <v>455</v>
      </c>
      <c r="HU53" s="42" t="s">
        <v>455</v>
      </c>
      <c r="HV53" s="42" t="s">
        <v>455</v>
      </c>
      <c r="HW53" s="42" t="s">
        <v>455</v>
      </c>
      <c r="HX53" s="42" t="s">
        <v>455</v>
      </c>
      <c r="HY53" s="42" t="s">
        <v>455</v>
      </c>
      <c r="HZ53" s="42" t="s">
        <v>455</v>
      </c>
      <c r="IA53" s="42" t="s">
        <v>455</v>
      </c>
      <c r="IB53" s="42" t="s">
        <v>455</v>
      </c>
      <c r="IC53" s="42" t="s">
        <v>455</v>
      </c>
      <c r="ID53" s="42" t="s">
        <v>455</v>
      </c>
      <c r="IE53" s="42" t="s">
        <v>455</v>
      </c>
      <c r="IF53" s="42" t="s">
        <v>455</v>
      </c>
      <c r="IG53" s="42" t="s">
        <v>455</v>
      </c>
      <c r="IH53" s="42" t="s">
        <v>455</v>
      </c>
      <c r="II53" s="42" t="s">
        <v>455</v>
      </c>
      <c r="IJ53" s="42" t="s">
        <v>455</v>
      </c>
      <c r="IK53" s="42" t="s">
        <v>455</v>
      </c>
      <c r="IL53" s="42" t="s">
        <v>455</v>
      </c>
      <c r="IM53" s="42" t="s">
        <v>455</v>
      </c>
      <c r="IN53" s="42" t="s">
        <v>455</v>
      </c>
      <c r="IO53" s="42" t="s">
        <v>455</v>
      </c>
      <c r="IP53" s="42" t="s">
        <v>455</v>
      </c>
      <c r="IQ53" s="42" t="s">
        <v>455</v>
      </c>
      <c r="IR53" s="42" t="s">
        <v>455</v>
      </c>
      <c r="IS53" s="42" t="s">
        <v>455</v>
      </c>
      <c r="IT53" s="42" t="s">
        <v>455</v>
      </c>
      <c r="IU53" s="42" t="s">
        <v>455</v>
      </c>
      <c r="IV53" s="42" t="s">
        <v>455</v>
      </c>
      <c r="IW53" s="42" t="s">
        <v>455</v>
      </c>
      <c r="IX53" s="42" t="s">
        <v>455</v>
      </c>
      <c r="IY53" s="42" t="s">
        <v>455</v>
      </c>
      <c r="IZ53" s="42" t="s">
        <v>455</v>
      </c>
      <c r="JA53" s="42" t="s">
        <v>455</v>
      </c>
      <c r="JB53" s="42" t="s">
        <v>455</v>
      </c>
      <c r="JC53" s="42" t="s">
        <v>455</v>
      </c>
      <c r="JD53" s="42" t="s">
        <v>455</v>
      </c>
      <c r="JE53" s="42" t="s">
        <v>455</v>
      </c>
      <c r="JF53" s="42" t="s">
        <v>455</v>
      </c>
      <c r="JG53" s="42" t="s">
        <v>455</v>
      </c>
      <c r="JH53" s="42" t="s">
        <v>455</v>
      </c>
      <c r="JI53" s="42" t="s">
        <v>455</v>
      </c>
      <c r="JJ53" s="42" t="s">
        <v>455</v>
      </c>
      <c r="JK53" s="42" t="s">
        <v>455</v>
      </c>
      <c r="JL53" s="42" t="s">
        <v>455</v>
      </c>
      <c r="JM53" s="42" t="s">
        <v>455</v>
      </c>
    </row>
    <row r="54" spans="1:273">
      <c r="A54" s="42" t="s">
        <v>208</v>
      </c>
      <c r="B54" s="42" t="s">
        <v>270</v>
      </c>
      <c r="C54" s="42" t="s">
        <v>285</v>
      </c>
      <c r="D54" s="60">
        <v>41500</v>
      </c>
      <c r="E54" s="42" t="s">
        <v>287</v>
      </c>
      <c r="F54" s="42">
        <v>0.70302982272000003</v>
      </c>
      <c r="G54" s="42">
        <v>100</v>
      </c>
      <c r="H54" s="42">
        <v>20.459999084500001</v>
      </c>
      <c r="I54" s="42">
        <v>1</v>
      </c>
      <c r="J54" s="42">
        <v>0</v>
      </c>
      <c r="K54" s="42">
        <v>0</v>
      </c>
      <c r="L54" s="42" t="s">
        <v>454</v>
      </c>
      <c r="M54" s="42" t="s">
        <v>614</v>
      </c>
      <c r="N54" s="42">
        <v>7.9302931841817496E-26</v>
      </c>
      <c r="O54" s="61" t="s">
        <v>455</v>
      </c>
      <c r="P54" s="42">
        <v>15.950615081660072</v>
      </c>
      <c r="Q54" s="42">
        <v>6.2592247913509098</v>
      </c>
      <c r="R54" s="42">
        <v>6.0184271952654997</v>
      </c>
      <c r="S54" s="42">
        <v>0.60903383180813986</v>
      </c>
      <c r="T54" s="42" t="s">
        <v>455</v>
      </c>
      <c r="U54" s="42" t="s">
        <v>455</v>
      </c>
      <c r="V54" s="42" t="s">
        <v>456</v>
      </c>
      <c r="W54" s="42" t="s">
        <v>455</v>
      </c>
      <c r="X54" s="42">
        <v>1.0253084328820341</v>
      </c>
      <c r="Y54" s="42">
        <v>2.6676567005030178</v>
      </c>
      <c r="Z54" s="42" t="s">
        <v>456</v>
      </c>
      <c r="AA54" s="42" t="s">
        <v>455</v>
      </c>
      <c r="AB54" s="42" t="s">
        <v>456</v>
      </c>
      <c r="AC54" s="42" t="s">
        <v>455</v>
      </c>
      <c r="AD54" s="42" t="s">
        <v>613</v>
      </c>
      <c r="AE54" s="42" t="s">
        <v>91</v>
      </c>
      <c r="AF54" s="42">
        <v>2.1810416188457468E-15</v>
      </c>
      <c r="AG54" s="42">
        <v>4</v>
      </c>
      <c r="AH54" s="62">
        <v>42880.574386574073</v>
      </c>
      <c r="AJ54" s="63" t="s">
        <v>612</v>
      </c>
      <c r="AK54" s="61">
        <v>162.05703199457187</v>
      </c>
      <c r="AL54" s="61">
        <v>0.58155177873586483</v>
      </c>
      <c r="AM54" s="61">
        <v>0.16886395128419807</v>
      </c>
      <c r="AN54" s="61" t="s">
        <v>455</v>
      </c>
      <c r="AO54" s="61" t="s">
        <v>455</v>
      </c>
      <c r="AP54" s="61">
        <v>0.43704558461584408</v>
      </c>
      <c r="AQ54" s="61">
        <v>-0.97483696747833426</v>
      </c>
      <c r="AR54" s="61">
        <v>8.8679822636052261</v>
      </c>
      <c r="AS54" s="61">
        <v>95830.981955544441</v>
      </c>
      <c r="AT54" s="61" t="s">
        <v>455</v>
      </c>
      <c r="AU54" s="61" t="s">
        <v>455</v>
      </c>
      <c r="AV54" s="42">
        <v>7.2802601683677401E-6</v>
      </c>
      <c r="AW54" s="42">
        <v>7.2802601683677404E-8</v>
      </c>
      <c r="AX54" s="42">
        <v>2.9755819573653701E-7</v>
      </c>
      <c r="AY54" s="42">
        <v>4.4633729360480602E-9</v>
      </c>
      <c r="AZ54" s="42" t="s">
        <v>455</v>
      </c>
      <c r="BA54" s="42" t="s">
        <v>455</v>
      </c>
      <c r="BB54" s="42" t="s">
        <v>455</v>
      </c>
      <c r="BC54" s="42" t="s">
        <v>455</v>
      </c>
      <c r="BD54" s="42" t="s">
        <v>455</v>
      </c>
      <c r="BE54" s="42" t="s">
        <v>455</v>
      </c>
      <c r="BF54" s="42" t="s">
        <v>455</v>
      </c>
      <c r="BG54" s="42" t="s">
        <v>455</v>
      </c>
      <c r="BH54" s="42" t="s">
        <v>455</v>
      </c>
      <c r="BI54" s="42" t="s">
        <v>455</v>
      </c>
      <c r="BJ54" s="42" t="s">
        <v>455</v>
      </c>
      <c r="BK54" s="42" t="s">
        <v>455</v>
      </c>
      <c r="BL54" s="42" t="s">
        <v>455</v>
      </c>
      <c r="BM54" s="42" t="s">
        <v>455</v>
      </c>
      <c r="BN54" s="42" t="s">
        <v>455</v>
      </c>
      <c r="BO54" s="42" t="s">
        <v>455</v>
      </c>
      <c r="BP54" s="42" t="s">
        <v>455</v>
      </c>
      <c r="BQ54" s="42" t="s">
        <v>455</v>
      </c>
      <c r="BR54" s="42" t="s">
        <v>455</v>
      </c>
      <c r="BS54" s="42" t="s">
        <v>455</v>
      </c>
      <c r="BT54" s="42" t="s">
        <v>455</v>
      </c>
      <c r="BU54" s="42" t="s">
        <v>455</v>
      </c>
      <c r="BV54" s="42" t="s">
        <v>455</v>
      </c>
      <c r="BW54" s="42" t="s">
        <v>455</v>
      </c>
      <c r="BX54" s="42" t="s">
        <v>455</v>
      </c>
      <c r="BY54" s="42" t="s">
        <v>455</v>
      </c>
      <c r="BZ54" s="42" t="s">
        <v>455</v>
      </c>
      <c r="CA54" s="42" t="s">
        <v>455</v>
      </c>
      <c r="CB54" s="42" t="s">
        <v>455</v>
      </c>
      <c r="CC54" s="42" t="s">
        <v>455</v>
      </c>
      <c r="CD54" s="42" t="s">
        <v>455</v>
      </c>
      <c r="CE54" s="42" t="s">
        <v>455</v>
      </c>
      <c r="CF54" s="42" t="s">
        <v>455</v>
      </c>
      <c r="CG54" s="42" t="s">
        <v>455</v>
      </c>
      <c r="CH54" s="42" t="s">
        <v>455</v>
      </c>
      <c r="CI54" s="42" t="s">
        <v>455</v>
      </c>
      <c r="CJ54" s="42" t="s">
        <v>455</v>
      </c>
      <c r="CK54" s="42" t="s">
        <v>455</v>
      </c>
      <c r="CL54" s="42" t="s">
        <v>455</v>
      </c>
      <c r="CM54" s="42" t="s">
        <v>455</v>
      </c>
      <c r="CN54" s="42" t="s">
        <v>455</v>
      </c>
      <c r="CO54" s="42" t="s">
        <v>455</v>
      </c>
      <c r="CP54" s="42" t="s">
        <v>455</v>
      </c>
      <c r="CQ54" s="42" t="s">
        <v>455</v>
      </c>
      <c r="CR54" s="42">
        <v>0.69379746228552897</v>
      </c>
      <c r="CS54" s="42">
        <v>6.9379746228552905E-2</v>
      </c>
      <c r="CT54" s="42" t="s">
        <v>455</v>
      </c>
      <c r="CU54" s="42" t="s">
        <v>455</v>
      </c>
      <c r="CV54" s="42" t="s">
        <v>455</v>
      </c>
      <c r="CW54" s="42" t="s">
        <v>455</v>
      </c>
      <c r="CX54" s="42">
        <v>22.686020910717598</v>
      </c>
      <c r="CY54" s="42">
        <v>2.2686020910717599</v>
      </c>
      <c r="CZ54" s="42">
        <v>0.244546086170469</v>
      </c>
      <c r="DA54" s="42">
        <v>2.4454608617046902E-2</v>
      </c>
      <c r="DB54" s="42">
        <v>6.4699771288838104</v>
      </c>
      <c r="DC54" s="42">
        <v>0.64699771288838104</v>
      </c>
      <c r="DD54" s="42">
        <v>3.5261848712849302</v>
      </c>
      <c r="DE54" s="42">
        <v>0.35261848712849303</v>
      </c>
      <c r="DF54" s="42" t="s">
        <v>455</v>
      </c>
      <c r="DG54" s="42" t="s">
        <v>455</v>
      </c>
      <c r="DH54" s="42" t="s">
        <v>455</v>
      </c>
      <c r="DI54" s="42" t="s">
        <v>455</v>
      </c>
      <c r="DJ54" s="42">
        <v>0.99949589823786389</v>
      </c>
      <c r="DK54" s="42">
        <v>0.98802409609545883</v>
      </c>
      <c r="DL54" s="42">
        <v>1.7863675212686263E-2</v>
      </c>
      <c r="DM54" s="42">
        <v>0.98780627128608178</v>
      </c>
      <c r="DN54" s="42">
        <v>4.4648550751310734E-8</v>
      </c>
      <c r="DO54" s="42">
        <v>1.8814318932660899E-7</v>
      </c>
      <c r="DP54" s="42">
        <v>3.3288401447610882E-4</v>
      </c>
      <c r="DQ54" s="42">
        <v>7.5950735915330386E-8</v>
      </c>
      <c r="DR54" s="42">
        <v>1.0617491458854782E-8</v>
      </c>
      <c r="DS54" s="42">
        <v>1.2629564678789238E-2</v>
      </c>
      <c r="DT54" s="42">
        <v>6.8108669602552551E-3</v>
      </c>
      <c r="DU54" s="42">
        <v>3.3181163016256156E-4</v>
      </c>
      <c r="DV54" s="42">
        <v>5.1435384888313535E-8</v>
      </c>
      <c r="DW54" s="42">
        <v>1.0436440820275406E-8</v>
      </c>
      <c r="DX54" s="42">
        <v>2.2601441672857055E-7</v>
      </c>
      <c r="DY54" s="42">
        <v>3.153655850319121E-8</v>
      </c>
      <c r="DZ54" s="42">
        <v>1.0941500640992681E-7</v>
      </c>
      <c r="EA54" s="42">
        <v>5.6212110003779777E-5</v>
      </c>
      <c r="EB54" s="42">
        <v>6.8610070026026642E-9</v>
      </c>
      <c r="EC54" s="42">
        <v>5.2360316598809792E-10</v>
      </c>
      <c r="ED54" s="42">
        <v>5.5192819805520623E-3</v>
      </c>
      <c r="EE54" s="42">
        <v>1.2606197603203121E-3</v>
      </c>
      <c r="EF54" s="42">
        <v>2.1064495183429417E-6</v>
      </c>
      <c r="EG54" s="42">
        <v>8.4859823453243492E-9</v>
      </c>
      <c r="EH54" s="42">
        <v>3.4906877732539894E-9</v>
      </c>
      <c r="EI54" s="42">
        <v>1.9258967024849551E-9</v>
      </c>
      <c r="EJ54" s="42">
        <v>7.6185109254501943E-8</v>
      </c>
      <c r="EK54" s="42">
        <v>2.9755819573653579E-7</v>
      </c>
      <c r="EL54" s="42">
        <v>3.890961244798886E-4</v>
      </c>
      <c r="EM54" s="42">
        <v>8.281174291793305E-8</v>
      </c>
      <c r="EN54" s="42">
        <v>1.114109462484288E-8</v>
      </c>
      <c r="EO54" s="42">
        <v>1.81488466593413E-2</v>
      </c>
      <c r="EP54" s="42">
        <v>8.0714867205755672E-3</v>
      </c>
      <c r="EQ54" s="42">
        <v>3.339180796809045E-4</v>
      </c>
      <c r="ER54" s="42">
        <v>5.9921367233637884E-8</v>
      </c>
      <c r="ES54" s="42">
        <v>1.3927128593529395E-8</v>
      </c>
      <c r="ET54" s="42">
        <v>2.279403134310555E-7</v>
      </c>
      <c r="EU54" s="42">
        <v>1.9901426509016942E-6</v>
      </c>
      <c r="EV54" s="42">
        <v>8.3862622857631419E-6</v>
      </c>
      <c r="EW54" s="42">
        <v>1.485845662934554E-2</v>
      </c>
      <c r="EX54" s="42">
        <v>3.3964025072668375E-6</v>
      </c>
      <c r="EY54" s="42">
        <v>4.766503741108808E-7</v>
      </c>
      <c r="EZ54" s="42">
        <v>0.56353638388710559</v>
      </c>
      <c r="FA54" s="42">
        <v>0.30371346436240365</v>
      </c>
      <c r="FB54" s="42">
        <v>1.4897999341229028E-2</v>
      </c>
      <c r="FC54" s="42">
        <v>2.2936314901470145E-6</v>
      </c>
      <c r="FD54" s="42">
        <v>4.6538680253714092E-7</v>
      </c>
      <c r="FE54" s="42">
        <v>1.0078543877167374E-5</v>
      </c>
      <c r="FF54" s="42">
        <v>1.4056951252334846E-6</v>
      </c>
      <c r="FG54" s="42">
        <v>4.8770457492309985E-6</v>
      </c>
      <c r="FH54" s="42">
        <v>2.5090576964160796E-3</v>
      </c>
      <c r="FI54" s="42">
        <v>3.0681389857753119E-7</v>
      </c>
      <c r="FJ54" s="42">
        <v>2.3506083891946719E-8</v>
      </c>
      <c r="FK54" s="42">
        <v>0.24629108834823532</v>
      </c>
      <c r="FL54" s="42">
        <v>5.6214164347182571E-2</v>
      </c>
      <c r="FM54" s="42">
        <v>9.4577406829382885E-5</v>
      </c>
      <c r="FN54" s="42">
        <v>3.7841101751898905E-7</v>
      </c>
      <c r="FO54" s="42">
        <v>1.5565843273830757E-7</v>
      </c>
      <c r="FP54" s="42">
        <v>8.5880514614239213E-8</v>
      </c>
      <c r="FQ54" s="42">
        <v>3.3958377761351788E-6</v>
      </c>
      <c r="FR54" s="42">
        <v>1.326330803499414E-5</v>
      </c>
      <c r="FS54" s="42">
        <v>1.736751432576162E-2</v>
      </c>
      <c r="FT54" s="42">
        <v>3.7032164058443687E-6</v>
      </c>
      <c r="FU54" s="42">
        <v>5.0015645800282752E-7</v>
      </c>
      <c r="FV54" s="42">
        <v>0.80982747223534091</v>
      </c>
      <c r="FW54" s="42">
        <v>0.35992762870958622</v>
      </c>
      <c r="FX54" s="42">
        <v>1.4992576748058411E-2</v>
      </c>
      <c r="FY54" s="42">
        <v>2.6720425076660035E-6</v>
      </c>
      <c r="FZ54" s="42">
        <v>6.2104523527544849E-7</v>
      </c>
      <c r="GA54" s="42">
        <v>1.0164424391781613E-5</v>
      </c>
      <c r="GB54" s="42">
        <v>7.9657851753806703E-6</v>
      </c>
      <c r="GC54" s="42">
        <v>1.6923225704801447E-4</v>
      </c>
      <c r="GD54" s="42">
        <v>0.59356562542909563</v>
      </c>
      <c r="GE54" s="42">
        <v>2.8461173730394646E-4</v>
      </c>
      <c r="GF54" s="42">
        <v>6.2580857568139873E-5</v>
      </c>
      <c r="GG54" s="42">
        <v>15.786570136383045</v>
      </c>
      <c r="GH54" s="42">
        <v>9.718466403439681</v>
      </c>
      <c r="GI54" s="42">
        <v>0.65565350200781891</v>
      </c>
      <c r="GJ54" s="42">
        <v>3.6795491435423872E-5</v>
      </c>
      <c r="GK54" s="42">
        <v>9.3816394749857169E-7</v>
      </c>
      <c r="GL54" s="42">
        <v>4.4358493595699215E-4</v>
      </c>
      <c r="GM54" s="42" t="s">
        <v>455</v>
      </c>
      <c r="GN54" s="42" t="s">
        <v>455</v>
      </c>
      <c r="GO54" s="42" t="s">
        <v>455</v>
      </c>
      <c r="GP54" s="42" t="s">
        <v>455</v>
      </c>
      <c r="GQ54" s="42" t="s">
        <v>455</v>
      </c>
      <c r="GR54" s="42" t="s">
        <v>455</v>
      </c>
      <c r="GS54" s="42" t="s">
        <v>455</v>
      </c>
      <c r="GT54" s="42" t="s">
        <v>455</v>
      </c>
      <c r="GU54" s="42" t="s">
        <v>455</v>
      </c>
      <c r="GV54" s="42" t="s">
        <v>455</v>
      </c>
      <c r="GW54" s="42" t="s">
        <v>455</v>
      </c>
      <c r="GX54" s="42" t="s">
        <v>455</v>
      </c>
      <c r="GY54" s="42" t="s">
        <v>455</v>
      </c>
      <c r="GZ54" s="42" t="s">
        <v>455</v>
      </c>
      <c r="HA54" s="42" t="s">
        <v>455</v>
      </c>
      <c r="HB54" s="42" t="s">
        <v>455</v>
      </c>
      <c r="HC54" s="42" t="s">
        <v>455</v>
      </c>
      <c r="HD54" s="42" t="s">
        <v>455</v>
      </c>
      <c r="HE54" s="42" t="s">
        <v>455</v>
      </c>
      <c r="HF54" s="42" t="s">
        <v>455</v>
      </c>
      <c r="HG54" s="42" t="s">
        <v>455</v>
      </c>
      <c r="HH54" s="42" t="s">
        <v>455</v>
      </c>
      <c r="HI54" s="42" t="s">
        <v>455</v>
      </c>
      <c r="HJ54" s="42" t="s">
        <v>455</v>
      </c>
      <c r="HK54" s="42" t="s">
        <v>455</v>
      </c>
      <c r="HL54" s="42" t="s">
        <v>455</v>
      </c>
      <c r="HM54" s="42" t="s">
        <v>455</v>
      </c>
      <c r="HN54" s="42" t="s">
        <v>455</v>
      </c>
      <c r="HO54" s="42" t="s">
        <v>455</v>
      </c>
      <c r="HP54" s="42" t="s">
        <v>455</v>
      </c>
      <c r="HQ54" s="42" t="s">
        <v>455</v>
      </c>
      <c r="HR54" s="42" t="s">
        <v>455</v>
      </c>
      <c r="HS54" s="42" t="s">
        <v>455</v>
      </c>
      <c r="HT54" s="42" t="s">
        <v>455</v>
      </c>
      <c r="HU54" s="42" t="s">
        <v>455</v>
      </c>
      <c r="HV54" s="42" t="s">
        <v>455</v>
      </c>
      <c r="HW54" s="42" t="s">
        <v>455</v>
      </c>
      <c r="HX54" s="42" t="s">
        <v>455</v>
      </c>
      <c r="HY54" s="42" t="s">
        <v>455</v>
      </c>
      <c r="HZ54" s="42" t="s">
        <v>455</v>
      </c>
      <c r="IA54" s="42" t="s">
        <v>455</v>
      </c>
      <c r="IB54" s="42" t="s">
        <v>455</v>
      </c>
      <c r="IC54" s="42" t="s">
        <v>455</v>
      </c>
      <c r="ID54" s="42" t="s">
        <v>455</v>
      </c>
      <c r="IE54" s="42" t="s">
        <v>455</v>
      </c>
      <c r="IF54" s="42" t="s">
        <v>455</v>
      </c>
      <c r="IG54" s="42" t="s">
        <v>455</v>
      </c>
      <c r="IH54" s="42" t="s">
        <v>455</v>
      </c>
      <c r="II54" s="42" t="s">
        <v>455</v>
      </c>
      <c r="IJ54" s="42" t="s">
        <v>455</v>
      </c>
      <c r="IK54" s="42" t="s">
        <v>455</v>
      </c>
      <c r="IL54" s="42" t="s">
        <v>455</v>
      </c>
      <c r="IM54" s="42" t="s">
        <v>455</v>
      </c>
      <c r="IN54" s="42" t="s">
        <v>455</v>
      </c>
      <c r="IO54" s="42" t="s">
        <v>455</v>
      </c>
      <c r="IP54" s="42" t="s">
        <v>455</v>
      </c>
      <c r="IQ54" s="42" t="s">
        <v>455</v>
      </c>
      <c r="IR54" s="42" t="s">
        <v>455</v>
      </c>
      <c r="IS54" s="42" t="s">
        <v>455</v>
      </c>
      <c r="IT54" s="42" t="s">
        <v>455</v>
      </c>
      <c r="IU54" s="42" t="s">
        <v>455</v>
      </c>
      <c r="IV54" s="42" t="s">
        <v>455</v>
      </c>
      <c r="IW54" s="42" t="s">
        <v>455</v>
      </c>
      <c r="IX54" s="42" t="s">
        <v>455</v>
      </c>
      <c r="IY54" s="42" t="s">
        <v>455</v>
      </c>
      <c r="IZ54" s="42" t="s">
        <v>455</v>
      </c>
      <c r="JA54" s="42" t="s">
        <v>455</v>
      </c>
      <c r="JB54" s="42" t="s">
        <v>455</v>
      </c>
      <c r="JC54" s="42" t="s">
        <v>455</v>
      </c>
      <c r="JD54" s="42" t="s">
        <v>455</v>
      </c>
      <c r="JE54" s="42" t="s">
        <v>455</v>
      </c>
      <c r="JF54" s="42" t="s">
        <v>455</v>
      </c>
      <c r="JG54" s="42" t="s">
        <v>455</v>
      </c>
      <c r="JH54" s="42" t="s">
        <v>455</v>
      </c>
      <c r="JI54" s="42" t="s">
        <v>455</v>
      </c>
      <c r="JJ54" s="42" t="s">
        <v>455</v>
      </c>
      <c r="JK54" s="42" t="s">
        <v>455</v>
      </c>
      <c r="JL54" s="42" t="s">
        <v>455</v>
      </c>
      <c r="JM54" s="42" t="s">
        <v>455</v>
      </c>
    </row>
  </sheetData>
  <mergeCells count="295">
    <mergeCell ref="JB1:JM1"/>
    <mergeCell ref="A2:A3"/>
    <mergeCell ref="B2:B3"/>
    <mergeCell ref="C2:C3"/>
    <mergeCell ref="D2:D3"/>
    <mergeCell ref="E2:E3"/>
    <mergeCell ref="F2:F3"/>
    <mergeCell ref="FF1:FP1"/>
    <mergeCell ref="FQ1:GA1"/>
    <mergeCell ref="GB1:GL1"/>
    <mergeCell ref="ID1:IO1"/>
    <mergeCell ref="IP1:JA1"/>
    <mergeCell ref="BR1:CM1"/>
    <mergeCell ref="S2:S3"/>
    <mergeCell ref="T2:T3"/>
    <mergeCell ref="U2:U3"/>
    <mergeCell ref="V2:V3"/>
    <mergeCell ref="W2:W3"/>
    <mergeCell ref="A1:E1"/>
    <mergeCell ref="F1:K1"/>
    <mergeCell ref="L1:AJ1"/>
    <mergeCell ref="AK1:AU1"/>
    <mergeCell ref="AV1:BQ1"/>
    <mergeCell ref="G2:G3"/>
    <mergeCell ref="H2:H3"/>
    <mergeCell ref="I2:I3"/>
    <mergeCell ref="J2:J3"/>
    <mergeCell ref="K2:K3"/>
    <mergeCell ref="GM1:GW1"/>
    <mergeCell ref="GX1:HH1"/>
    <mergeCell ref="HI1:HN1"/>
    <mergeCell ref="CN1:DI1"/>
    <mergeCell ref="DJ1:DM1"/>
    <mergeCell ref="DN1:DX1"/>
    <mergeCell ref="X2:X3"/>
    <mergeCell ref="M2:M3"/>
    <mergeCell ref="N2:N3"/>
    <mergeCell ref="O2:O3"/>
    <mergeCell ref="P2:P3"/>
    <mergeCell ref="Q2:Q3"/>
    <mergeCell ref="R2:R3"/>
    <mergeCell ref="L2:L3"/>
    <mergeCell ref="HO1:IC1"/>
    <mergeCell ref="DY1:EI1"/>
    <mergeCell ref="EJ1:ET1"/>
    <mergeCell ref="EU1:FE1"/>
    <mergeCell ref="AT2:AT3"/>
    <mergeCell ref="AU2:AU3"/>
    <mergeCell ref="AV2:AV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BR2:BR3"/>
    <mergeCell ref="BS2:BS3"/>
    <mergeCell ref="BT2:BT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BP2:BP3"/>
    <mergeCell ref="BQ2:BQ3"/>
    <mergeCell ref="CP2:CP3"/>
    <mergeCell ref="CQ2:CQ3"/>
    <mergeCell ref="CR2:CR3"/>
    <mergeCell ref="BU2:BU3"/>
    <mergeCell ref="BV2:BV3"/>
    <mergeCell ref="BW2:BW3"/>
    <mergeCell ref="BX2:BX3"/>
    <mergeCell ref="BY2:BY3"/>
    <mergeCell ref="BZ2:BZ3"/>
    <mergeCell ref="CA2:CA3"/>
    <mergeCell ref="CB2:CB3"/>
    <mergeCell ref="CC2:CC3"/>
    <mergeCell ref="CD2:CD3"/>
    <mergeCell ref="CE2:CE3"/>
    <mergeCell ref="CF2:CF3"/>
    <mergeCell ref="CG2:CG3"/>
    <mergeCell ref="CH2:CH3"/>
    <mergeCell ref="CI2:CI3"/>
    <mergeCell ref="CJ2:CJ3"/>
    <mergeCell ref="CK2:CK3"/>
    <mergeCell ref="CL2:CL3"/>
    <mergeCell ref="CM2:CM3"/>
    <mergeCell ref="CN2:CN3"/>
    <mergeCell ref="CO2:CO3"/>
    <mergeCell ref="DN2:DN3"/>
    <mergeCell ref="DO2:DO3"/>
    <mergeCell ref="DP2:DP3"/>
    <mergeCell ref="CS2:CS3"/>
    <mergeCell ref="CT2:CT3"/>
    <mergeCell ref="CU2:CU3"/>
    <mergeCell ref="CV2:CV3"/>
    <mergeCell ref="CW2:CW3"/>
    <mergeCell ref="CX2:CX3"/>
    <mergeCell ref="CY2:CY3"/>
    <mergeCell ref="CZ2:CZ3"/>
    <mergeCell ref="DA2:DA3"/>
    <mergeCell ref="DB2:DB3"/>
    <mergeCell ref="DC2:DC3"/>
    <mergeCell ref="DD2:DD3"/>
    <mergeCell ref="DE2:DE3"/>
    <mergeCell ref="DF2:DF3"/>
    <mergeCell ref="DG2:DG3"/>
    <mergeCell ref="DH2:DH3"/>
    <mergeCell ref="DI2:DI3"/>
    <mergeCell ref="DJ2:DJ3"/>
    <mergeCell ref="DK2:DK3"/>
    <mergeCell ref="DL2:DL3"/>
    <mergeCell ref="DM2:DM3"/>
    <mergeCell ref="EL2:EL3"/>
    <mergeCell ref="EM2:EM3"/>
    <mergeCell ref="EN2:EN3"/>
    <mergeCell ref="DQ2:DQ3"/>
    <mergeCell ref="DR2:DR3"/>
    <mergeCell ref="DS2:DS3"/>
    <mergeCell ref="DT2:DT3"/>
    <mergeCell ref="DU2:DU3"/>
    <mergeCell ref="DV2:DV3"/>
    <mergeCell ref="DW2:DW3"/>
    <mergeCell ref="DX2:DX3"/>
    <mergeCell ref="DY2:DY3"/>
    <mergeCell ref="DZ2:DZ3"/>
    <mergeCell ref="EA2:EA3"/>
    <mergeCell ref="EB2:EB3"/>
    <mergeCell ref="EC2:EC3"/>
    <mergeCell ref="ED2:ED3"/>
    <mergeCell ref="EE2:EE3"/>
    <mergeCell ref="EF2:EF3"/>
    <mergeCell ref="EG2:EG3"/>
    <mergeCell ref="EH2:EH3"/>
    <mergeCell ref="EI2:EI3"/>
    <mergeCell ref="EJ2:EJ3"/>
    <mergeCell ref="EK2:EK3"/>
    <mergeCell ref="FJ2:FJ3"/>
    <mergeCell ref="FK2:FK3"/>
    <mergeCell ref="FL2:FL3"/>
    <mergeCell ref="EO2:EO3"/>
    <mergeCell ref="EP2:EP3"/>
    <mergeCell ref="EQ2:EQ3"/>
    <mergeCell ref="ER2:ER3"/>
    <mergeCell ref="ES2:ES3"/>
    <mergeCell ref="ET2:ET3"/>
    <mergeCell ref="EU2:EU3"/>
    <mergeCell ref="EV2:EV3"/>
    <mergeCell ref="EW2:EW3"/>
    <mergeCell ref="EX2:EX3"/>
    <mergeCell ref="EY2:EY3"/>
    <mergeCell ref="EZ2:EZ3"/>
    <mergeCell ref="FA2:FA3"/>
    <mergeCell ref="FB2:FB3"/>
    <mergeCell ref="FC2:FC3"/>
    <mergeCell ref="FD2:FD3"/>
    <mergeCell ref="FE2:FE3"/>
    <mergeCell ref="FF2:FF3"/>
    <mergeCell ref="FG2:FG3"/>
    <mergeCell ref="FH2:FH3"/>
    <mergeCell ref="FI2:FI3"/>
    <mergeCell ref="GH2:GH3"/>
    <mergeCell ref="GI2:GI3"/>
    <mergeCell ref="GJ2:GJ3"/>
    <mergeCell ref="FM2:FM3"/>
    <mergeCell ref="FN2:FN3"/>
    <mergeCell ref="FO2:FO3"/>
    <mergeCell ref="FP2:FP3"/>
    <mergeCell ref="FQ2:FQ3"/>
    <mergeCell ref="FR2:FR3"/>
    <mergeCell ref="FS2:FS3"/>
    <mergeCell ref="FT2:FT3"/>
    <mergeCell ref="FU2:FU3"/>
    <mergeCell ref="FV2:FV3"/>
    <mergeCell ref="FW2:FW3"/>
    <mergeCell ref="FX2:FX3"/>
    <mergeCell ref="FY2:FY3"/>
    <mergeCell ref="FZ2:FZ3"/>
    <mergeCell ref="GA2:GA3"/>
    <mergeCell ref="GB2:GB3"/>
    <mergeCell ref="GC2:GC3"/>
    <mergeCell ref="GD2:GD3"/>
    <mergeCell ref="GE2:GE3"/>
    <mergeCell ref="GF2:GF3"/>
    <mergeCell ref="GG2:GG3"/>
    <mergeCell ref="HF2:HF3"/>
    <mergeCell ref="HG2:HG3"/>
    <mergeCell ref="HH2:HH3"/>
    <mergeCell ref="GK2:GK3"/>
    <mergeCell ref="GL2:GL3"/>
    <mergeCell ref="GM2:GM3"/>
    <mergeCell ref="GN2:GN3"/>
    <mergeCell ref="GO2:GO3"/>
    <mergeCell ref="GP2:GP3"/>
    <mergeCell ref="GQ2:GQ3"/>
    <mergeCell ref="GR2:GR3"/>
    <mergeCell ref="GS2:GS3"/>
    <mergeCell ref="GT2:GT3"/>
    <mergeCell ref="GU2:GU3"/>
    <mergeCell ref="GV2:GV3"/>
    <mergeCell ref="GW2:GW3"/>
    <mergeCell ref="GX2:GX3"/>
    <mergeCell ref="GY2:GY3"/>
    <mergeCell ref="GZ2:GZ3"/>
    <mergeCell ref="HA2:HA3"/>
    <mergeCell ref="HB2:HB3"/>
    <mergeCell ref="HC2:HC3"/>
    <mergeCell ref="HD2:HD3"/>
    <mergeCell ref="HE2:HE3"/>
    <mergeCell ref="ID2:ID3"/>
    <mergeCell ref="IE2:IE3"/>
    <mergeCell ref="IF2:IF3"/>
    <mergeCell ref="HI2:HI3"/>
    <mergeCell ref="HJ2:HJ3"/>
    <mergeCell ref="HK2:HK3"/>
    <mergeCell ref="HL2:HL3"/>
    <mergeCell ref="HM2:HM3"/>
    <mergeCell ref="HN2:HN3"/>
    <mergeCell ref="HO2:HO3"/>
    <mergeCell ref="HP2:HP3"/>
    <mergeCell ref="HQ2:HQ3"/>
    <mergeCell ref="HR2:HR3"/>
    <mergeCell ref="HS2:HS3"/>
    <mergeCell ref="HT2:HT3"/>
    <mergeCell ref="HU2:HU3"/>
    <mergeCell ref="HV2:HV3"/>
    <mergeCell ref="HW2:HW3"/>
    <mergeCell ref="HX2:HX3"/>
    <mergeCell ref="HY2:HY3"/>
    <mergeCell ref="HZ2:HZ3"/>
    <mergeCell ref="IA2:IA3"/>
    <mergeCell ref="IB2:IB3"/>
    <mergeCell ref="IC2:IC3"/>
    <mergeCell ref="JB2:JB3"/>
    <mergeCell ref="JC2:JC3"/>
    <mergeCell ref="JD2:JD3"/>
    <mergeCell ref="IG2:IG3"/>
    <mergeCell ref="IH2:IH3"/>
    <mergeCell ref="II2:II3"/>
    <mergeCell ref="IJ2:IJ3"/>
    <mergeCell ref="IK2:IK3"/>
    <mergeCell ref="IL2:IL3"/>
    <mergeCell ref="IM2:IM3"/>
    <mergeCell ref="IN2:IN3"/>
    <mergeCell ref="IO2:IO3"/>
    <mergeCell ref="IP2:IP3"/>
    <mergeCell ref="IQ2:IQ3"/>
    <mergeCell ref="IR2:IR3"/>
    <mergeCell ref="IS2:IS3"/>
    <mergeCell ref="IT2:IT3"/>
    <mergeCell ref="IU2:IU3"/>
    <mergeCell ref="IV2:IV3"/>
    <mergeCell ref="IW2:IW3"/>
    <mergeCell ref="IX2:IX3"/>
    <mergeCell ref="IY2:IY3"/>
    <mergeCell ref="IZ2:IZ3"/>
    <mergeCell ref="JA2:JA3"/>
    <mergeCell ref="JK2:JK3"/>
    <mergeCell ref="JL2:JL3"/>
    <mergeCell ref="JM2:JM3"/>
    <mergeCell ref="JE2:JE3"/>
    <mergeCell ref="JF2:JF3"/>
    <mergeCell ref="JG2:JG3"/>
    <mergeCell ref="JH2:JH3"/>
    <mergeCell ref="JI2:JI3"/>
    <mergeCell ref="JJ2:JJ3"/>
  </mergeCells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TX_Final_ModOut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2018-08-15T23:54:39Z</dcterms:modified>
</cp:coreProperties>
</file>