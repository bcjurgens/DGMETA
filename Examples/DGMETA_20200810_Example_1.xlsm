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59AA483D-096A-4815-9B39-258710F43C62}" xr6:coauthVersionLast="45" xr6:coauthVersionMax="45" xr10:uidLastSave="{00000000-0000-0000-0000-000000000000}"/>
  <bookViews>
    <workbookView xWindow="-108" yWindow="-108" windowWidth="23256" windowHeight="12576" firstSheet="1" activeTab="2" xr2:uid="{70B0DDF8-EEF4-422F-A291-FA7B2B31B8DD}"/>
  </bookViews>
  <sheets>
    <sheet name="SuppInfo" sheetId="11" r:id="rId1"/>
    <sheet name="Database" sheetId="2" r:id="rId2"/>
    <sheet name="Input_Gases" sheetId="3" r:id="rId3"/>
    <sheet name="Input_Tracers" sheetId="4" r:id="rId4"/>
    <sheet name="NeTemp_SolGph" sheetId="14" r:id="rId5"/>
    <sheet name="NeSalinity_SolGph" sheetId="13" r:id="rId6"/>
    <sheet name="NeSano_SolGph"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 i="14" l="1"/>
  <c r="C9" i="14"/>
  <c r="D9" i="14"/>
  <c r="B10" i="14"/>
  <c r="C10" i="14"/>
  <c r="D10" i="14"/>
  <c r="B11" i="14"/>
  <c r="C11" i="14"/>
  <c r="D11" i="14"/>
  <c r="B12" i="14"/>
  <c r="C12" i="14"/>
  <c r="D12" i="14"/>
  <c r="B13" i="14"/>
  <c r="C13" i="14"/>
  <c r="D13" i="14"/>
  <c r="B14" i="14"/>
  <c r="C14" i="14"/>
  <c r="D14" i="14"/>
  <c r="B15" i="14"/>
  <c r="C15" i="14"/>
  <c r="D15" i="14"/>
  <c r="B16" i="14"/>
  <c r="C16" i="14"/>
  <c r="D16" i="14"/>
  <c r="B17" i="14"/>
  <c r="C17" i="14"/>
  <c r="D17" i="14"/>
  <c r="B18" i="14"/>
  <c r="C18" i="14"/>
  <c r="D18" i="14"/>
  <c r="B19" i="14"/>
  <c r="C19" i="14"/>
  <c r="D19" i="14"/>
  <c r="B20" i="14"/>
  <c r="C20" i="14"/>
  <c r="D20" i="14"/>
  <c r="B21" i="14"/>
  <c r="C21" i="14"/>
  <c r="D21" i="14"/>
  <c r="B22" i="14"/>
  <c r="C22" i="14"/>
  <c r="D22" i="14"/>
  <c r="B23" i="14"/>
  <c r="C23" i="14"/>
  <c r="D23" i="14"/>
  <c r="B24" i="14"/>
  <c r="C24" i="14"/>
  <c r="D24" i="14"/>
  <c r="B25" i="14"/>
  <c r="C25" i="14"/>
  <c r="D25" i="14"/>
  <c r="B26" i="14"/>
  <c r="C26" i="14"/>
  <c r="D26" i="14"/>
  <c r="B27" i="14"/>
  <c r="C27" i="14"/>
  <c r="D27" i="14"/>
  <c r="B28" i="14"/>
  <c r="C28" i="14"/>
  <c r="D28" i="14"/>
  <c r="B29" i="14"/>
  <c r="C29" i="14"/>
  <c r="D29" i="14"/>
  <c r="B30" i="14"/>
  <c r="C30" i="14"/>
  <c r="D30" i="14"/>
  <c r="B31" i="14"/>
  <c r="C31" i="14"/>
  <c r="D31" i="14"/>
  <c r="B32" i="14"/>
  <c r="C32" i="14"/>
  <c r="D32" i="14"/>
  <c r="B33" i="14"/>
  <c r="C33" i="14"/>
  <c r="D33" i="14"/>
  <c r="B34" i="14"/>
  <c r="C34" i="14"/>
  <c r="D34" i="14"/>
  <c r="B35" i="14"/>
  <c r="C35" i="14"/>
  <c r="D35" i="14"/>
  <c r="B36" i="14"/>
  <c r="C36" i="14"/>
  <c r="D36" i="14"/>
  <c r="B37" i="14"/>
  <c r="C37" i="14"/>
  <c r="D37" i="14"/>
  <c r="B38" i="14"/>
  <c r="C38" i="14"/>
  <c r="D38" i="14"/>
  <c r="B39" i="14"/>
  <c r="C39" i="14"/>
  <c r="D39" i="14"/>
  <c r="B40" i="14"/>
  <c r="C40" i="14"/>
  <c r="D40" i="14"/>
  <c r="B41" i="14"/>
  <c r="C41" i="14"/>
  <c r="D41" i="14"/>
  <c r="B42" i="14"/>
  <c r="C42" i="14"/>
  <c r="D42" i="14"/>
  <c r="B43" i="14"/>
  <c r="C43" i="14"/>
  <c r="D43" i="14"/>
  <c r="B44" i="14"/>
  <c r="C44" i="14"/>
  <c r="D44" i="14"/>
  <c r="B45" i="14"/>
  <c r="C45" i="14"/>
  <c r="D45" i="14"/>
  <c r="B46" i="14"/>
  <c r="C46" i="14"/>
  <c r="D46" i="14"/>
  <c r="B47" i="14"/>
  <c r="C47" i="14"/>
  <c r="D47" i="14"/>
  <c r="B48" i="14"/>
  <c r="C48" i="14"/>
  <c r="D48" i="14"/>
  <c r="B49" i="14"/>
  <c r="C49" i="14"/>
  <c r="D49" i="14"/>
  <c r="B50" i="14"/>
  <c r="C50" i="14"/>
  <c r="D50" i="14"/>
  <c r="B51" i="14"/>
  <c r="C51" i="14"/>
  <c r="D51" i="14"/>
  <c r="B52" i="14"/>
  <c r="C52" i="14"/>
  <c r="D52" i="14"/>
  <c r="B53" i="14"/>
  <c r="C53" i="14"/>
  <c r="D53" i="14"/>
  <c r="B54" i="14"/>
  <c r="C54" i="14"/>
  <c r="D54" i="14"/>
  <c r="B55" i="14"/>
  <c r="C55" i="14"/>
  <c r="D55" i="14"/>
  <c r="B56" i="14"/>
  <c r="C56" i="14"/>
  <c r="D56" i="14"/>
  <c r="B57" i="14"/>
  <c r="C57" i="14"/>
  <c r="D57" i="14"/>
  <c r="B58" i="14"/>
  <c r="C58" i="14"/>
  <c r="D58" i="14"/>
  <c r="B59" i="14"/>
  <c r="C59" i="14"/>
  <c r="D59" i="14"/>
  <c r="B9" i="13"/>
  <c r="C9" i="13"/>
  <c r="D9" i="13"/>
  <c r="B10" i="13"/>
  <c r="C10" i="13"/>
  <c r="D10" i="13"/>
  <c r="B11" i="13"/>
  <c r="C11" i="13"/>
  <c r="D11" i="13"/>
  <c r="B12" i="13"/>
  <c r="C12" i="13"/>
  <c r="D12" i="13"/>
  <c r="B13" i="13"/>
  <c r="C13" i="13"/>
  <c r="D13" i="13"/>
  <c r="B14" i="13"/>
  <c r="C14" i="13"/>
  <c r="D14" i="13"/>
  <c r="B15" i="13"/>
  <c r="C15" i="13"/>
  <c r="D15" i="13"/>
  <c r="B16" i="13"/>
  <c r="C16" i="13"/>
  <c r="D16" i="13"/>
  <c r="B17" i="13"/>
  <c r="C17" i="13"/>
  <c r="D17" i="13"/>
  <c r="B18" i="13"/>
  <c r="C18" i="13"/>
  <c r="D18" i="13"/>
  <c r="B19" i="13"/>
  <c r="C19" i="13"/>
  <c r="D19" i="13"/>
  <c r="B20" i="13"/>
  <c r="C20" i="13"/>
  <c r="D20" i="13"/>
  <c r="B21" i="13"/>
  <c r="C21" i="13"/>
  <c r="D21" i="13"/>
  <c r="B22" i="13"/>
  <c r="C22" i="13"/>
  <c r="D22" i="13"/>
  <c r="B23" i="13"/>
  <c r="C23" i="13"/>
  <c r="D23" i="13"/>
  <c r="B24" i="13"/>
  <c r="C24" i="13"/>
  <c r="D24" i="13"/>
  <c r="B25" i="13"/>
  <c r="C25" i="13"/>
  <c r="D25" i="13"/>
  <c r="B26" i="13"/>
  <c r="C26" i="13"/>
  <c r="D26" i="13"/>
  <c r="B27" i="13"/>
  <c r="C27" i="13"/>
  <c r="D27" i="13"/>
  <c r="B28" i="13"/>
  <c r="C28" i="13"/>
  <c r="D28" i="13"/>
  <c r="B29" i="13"/>
  <c r="C29" i="13"/>
  <c r="D29" i="13"/>
  <c r="B30" i="13"/>
  <c r="C30" i="13"/>
  <c r="D30" i="13"/>
  <c r="B31" i="13"/>
  <c r="C31" i="13"/>
  <c r="D31" i="13"/>
  <c r="B32" i="13"/>
  <c r="C32" i="13"/>
  <c r="D32" i="13"/>
  <c r="B33" i="13"/>
  <c r="C33" i="13"/>
  <c r="D33" i="13"/>
  <c r="B34" i="13"/>
  <c r="C34" i="13"/>
  <c r="D34" i="13"/>
  <c r="B35" i="13"/>
  <c r="C35" i="13"/>
  <c r="D35" i="13"/>
  <c r="B36" i="13"/>
  <c r="C36" i="13"/>
  <c r="D36" i="13"/>
  <c r="B37" i="13"/>
  <c r="C37" i="13"/>
  <c r="D37" i="13"/>
  <c r="B38" i="13"/>
  <c r="C38" i="13"/>
  <c r="D38" i="13"/>
  <c r="B39" i="13"/>
  <c r="C39" i="13"/>
  <c r="D39" i="13"/>
  <c r="B40" i="13"/>
  <c r="C40" i="13"/>
  <c r="D40" i="13"/>
  <c r="B41" i="13"/>
  <c r="C41" i="13"/>
  <c r="D41" i="13"/>
  <c r="B42" i="13"/>
  <c r="C42" i="13"/>
  <c r="D42" i="13"/>
  <c r="B43" i="13"/>
  <c r="C43" i="13"/>
  <c r="D43" i="13"/>
  <c r="B44" i="13"/>
  <c r="C44" i="13"/>
  <c r="D44" i="13"/>
  <c r="B9" i="12"/>
  <c r="C9" i="12"/>
  <c r="B10" i="12"/>
  <c r="C10" i="12"/>
  <c r="B11" i="12"/>
  <c r="C11" i="12"/>
  <c r="B12" i="12"/>
  <c r="C12" i="12"/>
  <c r="B13" i="12"/>
  <c r="C13" i="12"/>
  <c r="B14" i="12"/>
  <c r="C14" i="12"/>
  <c r="B15" i="12"/>
  <c r="C15" i="12"/>
  <c r="B16" i="12"/>
  <c r="C16" i="12"/>
  <c r="B17" i="12"/>
  <c r="C17" i="12"/>
  <c r="I14" i="14"/>
  <c r="H15" i="14"/>
  <c r="G16" i="14"/>
  <c r="F17" i="14"/>
  <c r="E18" i="14"/>
  <c r="I26" i="14"/>
  <c r="H27" i="14"/>
  <c r="G28" i="14"/>
  <c r="F29" i="14"/>
  <c r="E30" i="14"/>
  <c r="I38" i="14"/>
  <c r="H39" i="14"/>
  <c r="G40" i="14"/>
  <c r="F41" i="14"/>
  <c r="E42" i="14"/>
  <c r="I50" i="14"/>
  <c r="H51" i="14"/>
  <c r="G52" i="14"/>
  <c r="F53" i="14"/>
  <c r="E54" i="14"/>
  <c r="I11" i="13"/>
  <c r="H12" i="13"/>
  <c r="G13" i="13"/>
  <c r="F14" i="13"/>
  <c r="E15" i="13"/>
  <c r="I23" i="13"/>
  <c r="H24" i="13"/>
  <c r="G25" i="13"/>
  <c r="F26" i="13"/>
  <c r="E27" i="13"/>
  <c r="I35" i="13"/>
  <c r="H36" i="13"/>
  <c r="F38" i="13"/>
  <c r="E28" i="13"/>
  <c r="G38" i="13"/>
  <c r="F41" i="13"/>
  <c r="F34" i="14"/>
  <c r="E47" i="14"/>
  <c r="I15" i="14"/>
  <c r="H16" i="14"/>
  <c r="G17" i="14"/>
  <c r="F18" i="14"/>
  <c r="E19" i="14"/>
  <c r="I27" i="14"/>
  <c r="H28" i="14"/>
  <c r="G29" i="14"/>
  <c r="F30" i="14"/>
  <c r="E31" i="14"/>
  <c r="I39" i="14"/>
  <c r="H40" i="14"/>
  <c r="G41" i="14"/>
  <c r="F42" i="14"/>
  <c r="E43" i="14"/>
  <c r="I51" i="14"/>
  <c r="H52" i="14"/>
  <c r="G53" i="14"/>
  <c r="F54" i="14"/>
  <c r="E55" i="14"/>
  <c r="I12" i="13"/>
  <c r="H13" i="13"/>
  <c r="G14" i="13"/>
  <c r="F15" i="13"/>
  <c r="E16" i="13"/>
  <c r="I24" i="13"/>
  <c r="H25" i="13"/>
  <c r="G26" i="13"/>
  <c r="I36" i="13"/>
  <c r="H32" i="14"/>
  <c r="H44" i="14"/>
  <c r="H17" i="13"/>
  <c r="I16" i="14"/>
  <c r="H17" i="14"/>
  <c r="G18" i="14"/>
  <c r="F19" i="14"/>
  <c r="E20" i="14"/>
  <c r="I28" i="14"/>
  <c r="H29" i="14"/>
  <c r="G30" i="14"/>
  <c r="F31" i="14"/>
  <c r="E32" i="14"/>
  <c r="I40" i="14"/>
  <c r="H41" i="14"/>
  <c r="G42" i="14"/>
  <c r="F43" i="14"/>
  <c r="E44" i="14"/>
  <c r="I52" i="14"/>
  <c r="H53" i="14"/>
  <c r="G54" i="14"/>
  <c r="F55" i="14"/>
  <c r="E56" i="14"/>
  <c r="I13" i="13"/>
  <c r="H14" i="13"/>
  <c r="G15" i="13"/>
  <c r="F16" i="13"/>
  <c r="E17" i="13"/>
  <c r="I25" i="13"/>
  <c r="H26" i="13"/>
  <c r="G27" i="13"/>
  <c r="F28" i="13"/>
  <c r="E29" i="13"/>
  <c r="I37" i="13"/>
  <c r="H38" i="13"/>
  <c r="G39" i="13"/>
  <c r="F40" i="13"/>
  <c r="E41" i="13"/>
  <c r="H39" i="13"/>
  <c r="E42" i="13"/>
  <c r="E35" i="14"/>
  <c r="I43" i="14"/>
  <c r="I55" i="14"/>
  <c r="E9" i="14"/>
  <c r="I17" i="14"/>
  <c r="H18" i="14"/>
  <c r="G19" i="14"/>
  <c r="F20" i="14"/>
  <c r="E21" i="14"/>
  <c r="I29" i="14"/>
  <c r="H30" i="14"/>
  <c r="G31" i="14"/>
  <c r="F32" i="14"/>
  <c r="E33" i="14"/>
  <c r="I41" i="14"/>
  <c r="H42" i="14"/>
  <c r="G43" i="14"/>
  <c r="F44" i="14"/>
  <c r="E45" i="14"/>
  <c r="I53" i="14"/>
  <c r="H54" i="14"/>
  <c r="G55" i="14"/>
  <c r="F56" i="14"/>
  <c r="E57" i="14"/>
  <c r="I14" i="13"/>
  <c r="H15" i="13"/>
  <c r="G16" i="13"/>
  <c r="F17" i="13"/>
  <c r="E18" i="13"/>
  <c r="I26" i="13"/>
  <c r="H27" i="13"/>
  <c r="G28" i="13"/>
  <c r="F29" i="13"/>
  <c r="E30" i="13"/>
  <c r="I38" i="13"/>
  <c r="E11" i="14"/>
  <c r="H56" i="14"/>
  <c r="F9" i="14"/>
  <c r="E10" i="14"/>
  <c r="I18" i="14"/>
  <c r="H19" i="14"/>
  <c r="G20" i="14"/>
  <c r="F21" i="14"/>
  <c r="E22" i="14"/>
  <c r="I30" i="14"/>
  <c r="H31" i="14"/>
  <c r="G32" i="14"/>
  <c r="F33" i="14"/>
  <c r="E34" i="14"/>
  <c r="I42" i="14"/>
  <c r="H43" i="14"/>
  <c r="G44" i="14"/>
  <c r="F45" i="14"/>
  <c r="E46" i="14"/>
  <c r="I54" i="14"/>
  <c r="H55" i="14"/>
  <c r="G56" i="14"/>
  <c r="F57" i="14"/>
  <c r="E58" i="14"/>
  <c r="I15" i="13"/>
  <c r="H16" i="13"/>
  <c r="G17" i="13"/>
  <c r="F18" i="13"/>
  <c r="E19" i="13"/>
  <c r="I27" i="13"/>
  <c r="H28" i="13"/>
  <c r="G29" i="13"/>
  <c r="F30" i="13"/>
  <c r="E31" i="13"/>
  <c r="I39" i="13"/>
  <c r="H40" i="13"/>
  <c r="G41" i="13"/>
  <c r="F42" i="13"/>
  <c r="E43" i="13"/>
  <c r="G9" i="14"/>
  <c r="I19" i="14"/>
  <c r="H20" i="14"/>
  <c r="G21" i="14"/>
  <c r="F22" i="14"/>
  <c r="E23" i="14"/>
  <c r="H9" i="14"/>
  <c r="G10" i="14"/>
  <c r="F11" i="14"/>
  <c r="E12" i="14"/>
  <c r="I20" i="14"/>
  <c r="H21" i="14"/>
  <c r="G22" i="14"/>
  <c r="F23" i="14"/>
  <c r="E24" i="14"/>
  <c r="I32" i="14"/>
  <c r="H33" i="14"/>
  <c r="G34" i="14"/>
  <c r="F35" i="14"/>
  <c r="E36" i="14"/>
  <c r="I44" i="14"/>
  <c r="H45" i="14"/>
  <c r="G46" i="14"/>
  <c r="F47" i="14"/>
  <c r="E48" i="14"/>
  <c r="I56" i="14"/>
  <c r="H57" i="14"/>
  <c r="G58" i="14"/>
  <c r="F59" i="14"/>
  <c r="E9" i="13"/>
  <c r="I17" i="13"/>
  <c r="H18" i="13"/>
  <c r="G19" i="13"/>
  <c r="F20" i="13"/>
  <c r="E21" i="13"/>
  <c r="I29" i="13"/>
  <c r="H30" i="13"/>
  <c r="G31" i="13"/>
  <c r="F32" i="13"/>
  <c r="E33" i="13"/>
  <c r="I41" i="13"/>
  <c r="H42" i="13"/>
  <c r="G43" i="13"/>
  <c r="F44" i="13"/>
  <c r="F9" i="12"/>
  <c r="F10" i="12"/>
  <c r="F11" i="12"/>
  <c r="F12" i="12"/>
  <c r="F13" i="12"/>
  <c r="F14" i="12"/>
  <c r="F15" i="12"/>
  <c r="F16" i="12"/>
  <c r="F17" i="12"/>
  <c r="I9" i="14"/>
  <c r="H10" i="14"/>
  <c r="G11" i="14"/>
  <c r="F12" i="14"/>
  <c r="E13" i="14"/>
  <c r="I21" i="14"/>
  <c r="H22" i="14"/>
  <c r="G23" i="14"/>
  <c r="F24" i="14"/>
  <c r="E25" i="14"/>
  <c r="I33" i="14"/>
  <c r="H34" i="14"/>
  <c r="G35" i="14"/>
  <c r="F36" i="14"/>
  <c r="E37" i="14"/>
  <c r="I45" i="14"/>
  <c r="H46" i="14"/>
  <c r="G47" i="14"/>
  <c r="F48" i="14"/>
  <c r="E49" i="14"/>
  <c r="I57" i="14"/>
  <c r="H58" i="14"/>
  <c r="G59" i="14"/>
  <c r="F9" i="13"/>
  <c r="E10" i="13"/>
  <c r="I18" i="13"/>
  <c r="H19" i="13"/>
  <c r="G20" i="13"/>
  <c r="F21" i="13"/>
  <c r="E22" i="13"/>
  <c r="I30" i="13"/>
  <c r="H31" i="13"/>
  <c r="G32" i="13"/>
  <c r="F33" i="13"/>
  <c r="E34" i="13"/>
  <c r="I42" i="13"/>
  <c r="H43" i="13"/>
  <c r="G44" i="13"/>
  <c r="G9" i="12"/>
  <c r="G10" i="12"/>
  <c r="G11" i="12"/>
  <c r="G12" i="12"/>
  <c r="G13" i="12"/>
  <c r="G14" i="12"/>
  <c r="G15" i="12"/>
  <c r="G16" i="12"/>
  <c r="G17" i="12"/>
  <c r="H20" i="13"/>
  <c r="H32" i="13"/>
  <c r="F34" i="13"/>
  <c r="I43" i="13"/>
  <c r="H9" i="12"/>
  <c r="H12" i="12"/>
  <c r="H14" i="12"/>
  <c r="H16" i="12"/>
  <c r="F46" i="14"/>
  <c r="E59" i="14"/>
  <c r="I10" i="14"/>
  <c r="H11" i="14"/>
  <c r="G12" i="14"/>
  <c r="F13" i="14"/>
  <c r="E14" i="14"/>
  <c r="I22" i="14"/>
  <c r="H23" i="14"/>
  <c r="G24" i="14"/>
  <c r="F25" i="14"/>
  <c r="E26" i="14"/>
  <c r="I34" i="14"/>
  <c r="H35" i="14"/>
  <c r="G36" i="14"/>
  <c r="F37" i="14"/>
  <c r="E38" i="14"/>
  <c r="I46" i="14"/>
  <c r="H47" i="14"/>
  <c r="G48" i="14"/>
  <c r="F49" i="14"/>
  <c r="E50" i="14"/>
  <c r="I58" i="14"/>
  <c r="H59" i="14"/>
  <c r="G9" i="13"/>
  <c r="F10" i="13"/>
  <c r="E11" i="13"/>
  <c r="I19" i="13"/>
  <c r="G21" i="13"/>
  <c r="F22" i="13"/>
  <c r="E23" i="13"/>
  <c r="I31" i="13"/>
  <c r="G33" i="13"/>
  <c r="E35" i="13"/>
  <c r="H44" i="13"/>
  <c r="H10" i="12"/>
  <c r="H11" i="12"/>
  <c r="H13" i="12"/>
  <c r="H15" i="12"/>
  <c r="H17" i="12"/>
  <c r="I31" i="14"/>
  <c r="G45" i="14"/>
  <c r="G18" i="13"/>
  <c r="I11" i="14"/>
  <c r="H12" i="14"/>
  <c r="G13" i="14"/>
  <c r="F14" i="14"/>
  <c r="E15" i="14"/>
  <c r="I23" i="14"/>
  <c r="H24" i="14"/>
  <c r="G25" i="14"/>
  <c r="F26" i="14"/>
  <c r="E27" i="14"/>
  <c r="I35" i="14"/>
  <c r="H36" i="14"/>
  <c r="G37" i="14"/>
  <c r="F38" i="14"/>
  <c r="E39" i="14"/>
  <c r="I47" i="14"/>
  <c r="H48" i="14"/>
  <c r="G49" i="14"/>
  <c r="F50" i="14"/>
  <c r="E51" i="14"/>
  <c r="I59" i="14"/>
  <c r="H9" i="13"/>
  <c r="G10" i="13"/>
  <c r="F11" i="13"/>
  <c r="E12" i="13"/>
  <c r="I20" i="13"/>
  <c r="H21" i="13"/>
  <c r="G22" i="13"/>
  <c r="F23" i="13"/>
  <c r="E24" i="13"/>
  <c r="I32" i="13"/>
  <c r="H33" i="13"/>
  <c r="G34" i="13"/>
  <c r="F35" i="13"/>
  <c r="E36" i="13"/>
  <c r="I44" i="13"/>
  <c r="I9" i="12"/>
  <c r="I10" i="12"/>
  <c r="I11" i="12"/>
  <c r="I12" i="12"/>
  <c r="I13" i="12"/>
  <c r="I14" i="12"/>
  <c r="I15" i="12"/>
  <c r="I16" i="12"/>
  <c r="I17" i="12"/>
  <c r="G35" i="13"/>
  <c r="E37" i="13"/>
  <c r="E40" i="13"/>
  <c r="F10" i="14"/>
  <c r="I12" i="14"/>
  <c r="H13" i="14"/>
  <c r="G14" i="14"/>
  <c r="F15" i="14"/>
  <c r="E16" i="14"/>
  <c r="I24" i="14"/>
  <c r="H25" i="14"/>
  <c r="G26" i="14"/>
  <c r="F27" i="14"/>
  <c r="E28" i="14"/>
  <c r="I36" i="14"/>
  <c r="H37" i="14"/>
  <c r="G38" i="14"/>
  <c r="F39" i="14"/>
  <c r="E40" i="14"/>
  <c r="I48" i="14"/>
  <c r="H49" i="14"/>
  <c r="G50" i="14"/>
  <c r="F51" i="14"/>
  <c r="E52" i="14"/>
  <c r="I9" i="13"/>
  <c r="H10" i="13"/>
  <c r="G11" i="13"/>
  <c r="F12" i="13"/>
  <c r="E13" i="13"/>
  <c r="I21" i="13"/>
  <c r="H22" i="13"/>
  <c r="G23" i="13"/>
  <c r="F24" i="13"/>
  <c r="E25" i="13"/>
  <c r="I33" i="13"/>
  <c r="H34" i="13"/>
  <c r="F36" i="13"/>
  <c r="F39" i="13"/>
  <c r="G40" i="13"/>
  <c r="G33" i="14"/>
  <c r="F58" i="14"/>
  <c r="I13" i="14"/>
  <c r="H14" i="14"/>
  <c r="G15" i="14"/>
  <c r="F16" i="14"/>
  <c r="E17" i="14"/>
  <c r="I25" i="14"/>
  <c r="H26" i="14"/>
  <c r="G27" i="14"/>
  <c r="F28" i="14"/>
  <c r="E29" i="14"/>
  <c r="I37" i="14"/>
  <c r="H38" i="14"/>
  <c r="G39" i="14"/>
  <c r="F40" i="14"/>
  <c r="E41" i="14"/>
  <c r="I49" i="14"/>
  <c r="H50" i="14"/>
  <c r="G51" i="14"/>
  <c r="F52" i="14"/>
  <c r="E53" i="14"/>
  <c r="I10" i="13"/>
  <c r="H11" i="13"/>
  <c r="G12" i="13"/>
  <c r="F13" i="13"/>
  <c r="E14" i="13"/>
  <c r="I22" i="13"/>
  <c r="H23" i="13"/>
  <c r="G24" i="13"/>
  <c r="F25" i="13"/>
  <c r="E26" i="13"/>
  <c r="I34" i="13"/>
  <c r="H35" i="13"/>
  <c r="G36" i="13"/>
  <c r="F37" i="13"/>
  <c r="E38" i="13"/>
  <c r="G37" i="13"/>
  <c r="E39" i="13"/>
  <c r="F27" i="13"/>
  <c r="H37" i="13"/>
  <c r="G57" i="14"/>
  <c r="I40" i="13"/>
  <c r="F43" i="13"/>
  <c r="E16" i="12"/>
  <c r="H29" i="13"/>
  <c r="E32" i="13"/>
  <c r="E13" i="12"/>
  <c r="G30" i="13"/>
  <c r="E11" i="12"/>
  <c r="E15" i="12"/>
  <c r="I28" i="13"/>
  <c r="F31" i="13"/>
  <c r="E12" i="12"/>
  <c r="I16" i="13"/>
  <c r="E20" i="13"/>
  <c r="E14" i="12"/>
  <c r="H41" i="13"/>
  <c r="G42" i="13"/>
  <c r="E44" i="13"/>
  <c r="E10" i="12"/>
  <c r="F19" i="13"/>
  <c r="E17" i="12"/>
  <c r="E9" i="12"/>
  <c r="L9" i="12" l="1"/>
  <c r="L17" i="12"/>
  <c r="K19" i="13"/>
  <c r="L10" i="12"/>
  <c r="J44" i="13"/>
  <c r="L42" i="13"/>
  <c r="M41" i="13"/>
  <c r="L14" i="12"/>
  <c r="J20" i="13"/>
  <c r="N16" i="13"/>
  <c r="L12" i="12"/>
  <c r="K31" i="13"/>
  <c r="N28" i="13"/>
  <c r="L15" i="12"/>
  <c r="L11" i="12"/>
  <c r="L30" i="13"/>
  <c r="L13" i="12"/>
  <c r="J32" i="13"/>
  <c r="M29" i="13"/>
  <c r="L16" i="12"/>
  <c r="K43" i="13"/>
  <c r="N40" i="13"/>
  <c r="L57" i="14"/>
  <c r="M37" i="13"/>
  <c r="K27" i="13"/>
  <c r="J39" i="13"/>
  <c r="L37" i="13"/>
  <c r="J38" i="13"/>
  <c r="K37" i="13"/>
  <c r="L36" i="13"/>
  <c r="M35" i="13"/>
  <c r="N34" i="13"/>
  <c r="J26" i="13"/>
  <c r="K25" i="13"/>
  <c r="L24" i="13"/>
  <c r="M23" i="13"/>
  <c r="N22" i="13"/>
  <c r="J14" i="13"/>
  <c r="K13" i="13"/>
  <c r="L12" i="13"/>
  <c r="M11" i="13"/>
  <c r="N10" i="13"/>
  <c r="J53" i="14"/>
  <c r="K52" i="14"/>
  <c r="L51" i="14"/>
  <c r="M50" i="14"/>
  <c r="N49" i="14"/>
  <c r="J41" i="14"/>
  <c r="K40" i="14"/>
  <c r="L39" i="14"/>
  <c r="M38" i="14"/>
  <c r="N37" i="14"/>
  <c r="J29" i="14"/>
  <c r="K28" i="14"/>
  <c r="L27" i="14"/>
  <c r="M26" i="14"/>
  <c r="N25" i="14"/>
  <c r="J17" i="14"/>
  <c r="K16" i="14"/>
  <c r="L15" i="14"/>
  <c r="M14" i="14"/>
  <c r="N13" i="14"/>
  <c r="K58" i="14"/>
  <c r="L33" i="14"/>
  <c r="L40" i="13"/>
  <c r="K39" i="13"/>
  <c r="K36" i="13"/>
  <c r="M34" i="13"/>
  <c r="N33" i="13"/>
  <c r="J25" i="13"/>
  <c r="K24" i="13"/>
  <c r="L23" i="13"/>
  <c r="M22" i="13"/>
  <c r="N21" i="13"/>
  <c r="J13" i="13"/>
  <c r="K12" i="13"/>
  <c r="L11" i="13"/>
  <c r="M10" i="13"/>
  <c r="N9" i="13"/>
  <c r="J52" i="14"/>
  <c r="K51" i="14"/>
  <c r="L50" i="14"/>
  <c r="M49" i="14"/>
  <c r="N48" i="14"/>
  <c r="J40" i="14"/>
  <c r="K39" i="14"/>
  <c r="L38" i="14"/>
  <c r="M37" i="14"/>
  <c r="N36" i="14"/>
  <c r="J28" i="14"/>
  <c r="K27" i="14"/>
  <c r="L26" i="14"/>
  <c r="M25" i="14"/>
  <c r="N24" i="14"/>
  <c r="J16" i="14"/>
  <c r="K15" i="14"/>
  <c r="L14" i="14"/>
  <c r="M13" i="14"/>
  <c r="N12" i="14"/>
  <c r="K10" i="14"/>
  <c r="J40" i="13"/>
  <c r="J37" i="13"/>
  <c r="L35" i="13"/>
  <c r="P17" i="12"/>
  <c r="P16" i="12"/>
  <c r="P15" i="12"/>
  <c r="P14" i="12"/>
  <c r="P13" i="12"/>
  <c r="P12" i="12"/>
  <c r="P11" i="12"/>
  <c r="P10" i="12"/>
  <c r="P9" i="12"/>
  <c r="N44" i="13"/>
  <c r="J36" i="13"/>
  <c r="K35" i="13"/>
  <c r="L34" i="13"/>
  <c r="M33" i="13"/>
  <c r="N32" i="13"/>
  <c r="J24" i="13"/>
  <c r="K23" i="13"/>
  <c r="L22" i="13"/>
  <c r="M21" i="13"/>
  <c r="N20" i="13"/>
  <c r="J12" i="13"/>
  <c r="K11" i="13"/>
  <c r="L10" i="13"/>
  <c r="M9" i="13"/>
  <c r="N59" i="14"/>
  <c r="J51" i="14"/>
  <c r="K50" i="14"/>
  <c r="L49" i="14"/>
  <c r="M48" i="14"/>
  <c r="N47" i="14"/>
  <c r="J39" i="14"/>
  <c r="K38" i="14"/>
  <c r="L37" i="14"/>
  <c r="M36" i="14"/>
  <c r="N35" i="14"/>
  <c r="J27" i="14"/>
  <c r="K26" i="14"/>
  <c r="L25" i="14"/>
  <c r="M24" i="14"/>
  <c r="N23" i="14"/>
  <c r="J15" i="14"/>
  <c r="K14" i="14"/>
  <c r="L13" i="14"/>
  <c r="M12" i="14"/>
  <c r="N11" i="14"/>
  <c r="L18" i="13"/>
  <c r="L45" i="14"/>
  <c r="N31" i="14"/>
  <c r="O17" i="12"/>
  <c r="O15" i="12"/>
  <c r="O13" i="12"/>
  <c r="O11" i="12"/>
  <c r="O10" i="12"/>
  <c r="M44" i="13"/>
  <c r="J35" i="13"/>
  <c r="L33" i="13"/>
  <c r="N31" i="13"/>
  <c r="J23" i="13"/>
  <c r="K22" i="13"/>
  <c r="L21" i="13"/>
  <c r="N19" i="13"/>
  <c r="J11" i="13"/>
  <c r="K10" i="13"/>
  <c r="L9" i="13"/>
  <c r="M59" i="14"/>
  <c r="N58" i="14"/>
  <c r="J50" i="14"/>
  <c r="K49" i="14"/>
  <c r="L48" i="14"/>
  <c r="M47" i="14"/>
  <c r="N46" i="14"/>
  <c r="J38" i="14"/>
  <c r="K37" i="14"/>
  <c r="L36" i="14"/>
  <c r="M35" i="14"/>
  <c r="N34" i="14"/>
  <c r="J26" i="14"/>
  <c r="K25" i="14"/>
  <c r="L24" i="14"/>
  <c r="M23" i="14"/>
  <c r="N22" i="14"/>
  <c r="J14" i="14"/>
  <c r="K13" i="14"/>
  <c r="L12" i="14"/>
  <c r="M11" i="14"/>
  <c r="N10" i="14"/>
  <c r="J59" i="14"/>
  <c r="K46" i="14"/>
  <c r="O16" i="12"/>
  <c r="O14" i="12"/>
  <c r="O12" i="12"/>
  <c r="O9" i="12"/>
  <c r="N43" i="13"/>
  <c r="K34" i="13"/>
  <c r="M32" i="13"/>
  <c r="M20" i="13"/>
  <c r="N17" i="12"/>
  <c r="N16" i="12"/>
  <c r="N15" i="12"/>
  <c r="N14" i="12"/>
  <c r="N13" i="12"/>
  <c r="N12" i="12"/>
  <c r="N11" i="12"/>
  <c r="N10" i="12"/>
  <c r="N9" i="12"/>
  <c r="L44" i="13"/>
  <c r="M43" i="13"/>
  <c r="N42" i="13"/>
  <c r="J34" i="13"/>
  <c r="K33" i="13"/>
  <c r="L32" i="13"/>
  <c r="M31" i="13"/>
  <c r="N30" i="13"/>
  <c r="J22" i="13"/>
  <c r="K21" i="13"/>
  <c r="L20" i="13"/>
  <c r="M19" i="13"/>
  <c r="N18" i="13"/>
  <c r="J10" i="13"/>
  <c r="K9" i="13"/>
  <c r="L59" i="14"/>
  <c r="M58" i="14"/>
  <c r="N57" i="14"/>
  <c r="J49" i="14"/>
  <c r="K48" i="14"/>
  <c r="L47" i="14"/>
  <c r="M46" i="14"/>
  <c r="N45" i="14"/>
  <c r="J37" i="14"/>
  <c r="K36" i="14"/>
  <c r="L35" i="14"/>
  <c r="M34" i="14"/>
  <c r="N33" i="14"/>
  <c r="J25" i="14"/>
  <c r="K24" i="14"/>
  <c r="L23" i="14"/>
  <c r="M22" i="14"/>
  <c r="N21" i="14"/>
  <c r="J13" i="14"/>
  <c r="K12" i="14"/>
  <c r="L11" i="14"/>
  <c r="M10" i="14"/>
  <c r="N9" i="14"/>
  <c r="M17" i="12"/>
  <c r="M16" i="12"/>
  <c r="M15" i="12"/>
  <c r="M14" i="12"/>
  <c r="M13" i="12"/>
  <c r="M12" i="12"/>
  <c r="M11" i="12"/>
  <c r="M10" i="12"/>
  <c r="M9" i="12"/>
  <c r="K44" i="13"/>
  <c r="L43" i="13"/>
  <c r="M42" i="13"/>
  <c r="N41" i="13"/>
  <c r="J33" i="13"/>
  <c r="K32" i="13"/>
  <c r="L31" i="13"/>
  <c r="M30" i="13"/>
  <c r="N29" i="13"/>
  <c r="J21" i="13"/>
  <c r="K20" i="13"/>
  <c r="L19" i="13"/>
  <c r="M18" i="13"/>
  <c r="N17" i="13"/>
  <c r="J9" i="13"/>
  <c r="K59" i="14"/>
  <c r="L58" i="14"/>
  <c r="M57" i="14"/>
  <c r="N56" i="14"/>
  <c r="J48" i="14"/>
  <c r="K47" i="14"/>
  <c r="L46" i="14"/>
  <c r="M45" i="14"/>
  <c r="N44" i="14"/>
  <c r="J36" i="14"/>
  <c r="K35" i="14"/>
  <c r="L34" i="14"/>
  <c r="M33" i="14"/>
  <c r="N32" i="14"/>
  <c r="J24" i="14"/>
  <c r="K23" i="14"/>
  <c r="L22" i="14"/>
  <c r="M21" i="14"/>
  <c r="N20" i="14"/>
  <c r="J12" i="14"/>
  <c r="K11" i="14"/>
  <c r="L10" i="14"/>
  <c r="M9" i="14"/>
  <c r="J23" i="14"/>
  <c r="K22" i="14"/>
  <c r="L21" i="14"/>
  <c r="M20" i="14"/>
  <c r="N19" i="14"/>
  <c r="L9" i="14"/>
  <c r="J43" i="13"/>
  <c r="K42" i="13"/>
  <c r="L41" i="13"/>
  <c r="M40" i="13"/>
  <c r="N39" i="13"/>
  <c r="J31" i="13"/>
  <c r="K30" i="13"/>
  <c r="L29" i="13"/>
  <c r="M28" i="13"/>
  <c r="N27" i="13"/>
  <c r="J19" i="13"/>
  <c r="K18" i="13"/>
  <c r="L17" i="13"/>
  <c r="M16" i="13"/>
  <c r="N15" i="13"/>
  <c r="J58" i="14"/>
  <c r="K57" i="14"/>
  <c r="L56" i="14"/>
  <c r="M55" i="14"/>
  <c r="N54" i="14"/>
  <c r="J46" i="14"/>
  <c r="K45" i="14"/>
  <c r="L44" i="14"/>
  <c r="M43" i="14"/>
  <c r="N42" i="14"/>
  <c r="J34" i="14"/>
  <c r="K33" i="14"/>
  <c r="L32" i="14"/>
  <c r="M31" i="14"/>
  <c r="N30" i="14"/>
  <c r="J22" i="14"/>
  <c r="K21" i="14"/>
  <c r="L20" i="14"/>
  <c r="M19" i="14"/>
  <c r="N18" i="14"/>
  <c r="J10" i="14"/>
  <c r="K9" i="14"/>
  <c r="M56" i="14"/>
  <c r="J11" i="14"/>
  <c r="N38" i="13"/>
  <c r="J30" i="13"/>
  <c r="K29" i="13"/>
  <c r="L28" i="13"/>
  <c r="M27" i="13"/>
  <c r="N26" i="13"/>
  <c r="J18" i="13"/>
  <c r="K17" i="13"/>
  <c r="L16" i="13"/>
  <c r="M15" i="13"/>
  <c r="N14" i="13"/>
  <c r="J57" i="14"/>
  <c r="K56" i="14"/>
  <c r="L55" i="14"/>
  <c r="M54" i="14"/>
  <c r="N53" i="14"/>
  <c r="J45" i="14"/>
  <c r="K44" i="14"/>
  <c r="L43" i="14"/>
  <c r="M42" i="14"/>
  <c r="N41" i="14"/>
  <c r="J33" i="14"/>
  <c r="K32" i="14"/>
  <c r="L31" i="14"/>
  <c r="M30" i="14"/>
  <c r="N29" i="14"/>
  <c r="J21" i="14"/>
  <c r="K20" i="14"/>
  <c r="L19" i="14"/>
  <c r="M18" i="14"/>
  <c r="N17" i="14"/>
  <c r="J9" i="14"/>
  <c r="N55" i="14"/>
  <c r="N43" i="14"/>
  <c r="J35" i="14"/>
  <c r="J42" i="13"/>
  <c r="M39" i="13"/>
  <c r="J41" i="13"/>
  <c r="K40" i="13"/>
  <c r="L39" i="13"/>
  <c r="M38" i="13"/>
  <c r="N37" i="13"/>
  <c r="J29" i="13"/>
  <c r="K28" i="13"/>
  <c r="L27" i="13"/>
  <c r="M26" i="13"/>
  <c r="N25" i="13"/>
  <c r="J17" i="13"/>
  <c r="K16" i="13"/>
  <c r="L15" i="13"/>
  <c r="M14" i="13"/>
  <c r="N13" i="13"/>
  <c r="J56" i="14"/>
  <c r="K55" i="14"/>
  <c r="L54" i="14"/>
  <c r="M53" i="14"/>
  <c r="N52" i="14"/>
  <c r="J44" i="14"/>
  <c r="K43" i="14"/>
  <c r="L42" i="14"/>
  <c r="M41" i="14"/>
  <c r="N40" i="14"/>
  <c r="J32" i="14"/>
  <c r="K31" i="14"/>
  <c r="L30" i="14"/>
  <c r="M29" i="14"/>
  <c r="N28" i="14"/>
  <c r="J20" i="14"/>
  <c r="K19" i="14"/>
  <c r="L18" i="14"/>
  <c r="M17" i="14"/>
  <c r="N16" i="14"/>
  <c r="M17" i="13"/>
  <c r="M44" i="14"/>
  <c r="M32" i="14"/>
  <c r="N36" i="13"/>
  <c r="L26" i="13"/>
  <c r="M25" i="13"/>
  <c r="N24" i="13"/>
  <c r="J16" i="13"/>
  <c r="K15" i="13"/>
  <c r="L14" i="13"/>
  <c r="M13" i="13"/>
  <c r="N12" i="13"/>
  <c r="J55" i="14"/>
  <c r="K54" i="14"/>
  <c r="L53" i="14"/>
  <c r="M52" i="14"/>
  <c r="N51" i="14"/>
  <c r="J43" i="14"/>
  <c r="K42" i="14"/>
  <c r="L41" i="14"/>
  <c r="M40" i="14"/>
  <c r="N39" i="14"/>
  <c r="J31" i="14"/>
  <c r="K30" i="14"/>
  <c r="L29" i="14"/>
  <c r="M28" i="14"/>
  <c r="N27" i="14"/>
  <c r="J19" i="14"/>
  <c r="K18" i="14"/>
  <c r="L17" i="14"/>
  <c r="M16" i="14"/>
  <c r="N15" i="14"/>
  <c r="J47" i="14"/>
  <c r="K34" i="14"/>
  <c r="K41" i="13"/>
  <c r="L38" i="13"/>
  <c r="J28" i="13"/>
  <c r="K38" i="13"/>
  <c r="M36" i="13"/>
  <c r="N35" i="13"/>
  <c r="J27" i="13"/>
  <c r="K26" i="13"/>
  <c r="L25" i="13"/>
  <c r="M24" i="13"/>
  <c r="N23" i="13"/>
  <c r="J15" i="13"/>
  <c r="K14" i="13"/>
  <c r="L13" i="13"/>
  <c r="M12" i="13"/>
  <c r="N11" i="13"/>
  <c r="J54" i="14"/>
  <c r="K53" i="14"/>
  <c r="L52" i="14"/>
  <c r="M51" i="14"/>
  <c r="N50" i="14"/>
  <c r="J42" i="14"/>
  <c r="K41" i="14"/>
  <c r="L40" i="14"/>
  <c r="M39" i="14"/>
  <c r="N38" i="14"/>
  <c r="J30" i="14"/>
  <c r="K29" i="14"/>
  <c r="L28" i="14"/>
  <c r="M27" i="14"/>
  <c r="N26" i="14"/>
  <c r="J18" i="14"/>
  <c r="K17" i="14"/>
  <c r="L16" i="14"/>
  <c r="M15" i="14"/>
  <c r="N14" i="14"/>
  <c r="D64" i="2" l="1"/>
  <c r="C64" i="2"/>
  <c r="C49" i="2"/>
  <c r="C50" i="2"/>
  <c r="C51" i="2"/>
  <c r="C52" i="2"/>
  <c r="C53" i="2"/>
  <c r="C54" i="2"/>
  <c r="C55" i="2"/>
  <c r="C56" i="2"/>
  <c r="C57" i="2"/>
  <c r="C58" i="2"/>
  <c r="C59" i="2"/>
  <c r="C60" i="2"/>
  <c r="C61" i="2"/>
  <c r="C62" i="2"/>
  <c r="C63" i="2"/>
  <c r="C48" i="2"/>
  <c r="C47" i="2"/>
  <c r="B44" i="11"/>
  <c r="B43" i="11"/>
  <c r="B48" i="11"/>
  <c r="B49" i="11"/>
  <c r="B45" i="11"/>
  <c r="Y44" i="2"/>
  <c r="T35" i="2"/>
  <c r="W41" i="2"/>
  <c r="W40" i="2"/>
  <c r="W39" i="2"/>
  <c r="W38" i="2"/>
  <c r="W37" i="2"/>
  <c r="W36" i="2"/>
  <c r="T34" i="2"/>
  <c r="C57" i="11" a="1"/>
  <c r="C55" i="11" a="1"/>
  <c r="C54" i="11" a="1"/>
  <c r="C58" i="11" a="1"/>
  <c r="C56" i="11" a="1"/>
  <c r="C56" i="11" l="1"/>
  <c r="C58" i="11"/>
  <c r="C54" i="11"/>
  <c r="C55" i="11"/>
  <c r="C57" i="11"/>
  <c r="N56" i="11" a="1"/>
  <c r="L56" i="11" a="1"/>
  <c r="M56" i="11" a="1"/>
  <c r="P58" i="11" a="1"/>
  <c r="M54" i="11" a="1"/>
  <c r="L54" i="11" a="1"/>
  <c r="N54" i="11" a="1"/>
  <c r="L55" i="11" a="1"/>
  <c r="M55" i="11" a="1"/>
  <c r="N55" i="11" a="1"/>
  <c r="L57" i="11" a="1"/>
  <c r="M57" i="11" a="1"/>
  <c r="N57" i="11" a="1"/>
  <c r="N57" i="11" l="1"/>
  <c r="M57" i="11"/>
  <c r="L57" i="11"/>
  <c r="N55" i="11"/>
  <c r="M55" i="11"/>
  <c r="L55" i="11"/>
  <c r="N54" i="11"/>
  <c r="L54" i="11"/>
  <c r="M54" i="11"/>
  <c r="P58" i="11"/>
  <c r="M56" i="11"/>
  <c r="L56" i="11"/>
  <c r="N5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<sst xmlns="http://schemas.openxmlformats.org/spreadsheetml/2006/main" count="1037" uniqueCount="358">
  <si>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</si>
  <si>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</si>
  <si>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</si>
  <si>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</si>
  <si>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</si>
  <si>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</si>
  <si>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</si>
  <si>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</si>
  <si>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</si>
  <si>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</si>
  <si>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</si>
  <si>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</si>
  <si>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</si>
  <si>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</si>
  <si>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</si>
  <si>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</si>
  <si>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</si>
  <si>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</si>
  <si>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</si>
  <si>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</si>
  <si>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</si>
  <si>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</si>
  <si>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</si>
  <si>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</si>
  <si>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</si>
  <si>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</si>
  <si>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</si>
  <si>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</si>
  <si>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</si>
  <si>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</si>
  <si>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</si>
  <si>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</si>
  <si>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</si>
  <si>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</si>
  <si>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</si>
  <si>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</si>
  <si>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</si>
  <si>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</si>
  <si>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</si>
  <si>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</si>
  <si>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</si>
  <si>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</si>
  <si>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</si>
  <si>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</si>
  <si>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</si>
  <si>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</si>
  <si>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</si>
  <si>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</si>
  <si>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</si>
  <si>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</si>
  <si>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</si>
  <si>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</si>
  <si>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</si>
  <si>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</si>
  <si>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</si>
  <si>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</si>
  <si>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</si>
  <si>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</si>
  <si>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</si>
  <si>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</si>
  <si>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</si>
  <si>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</si>
  <si>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</si>
  <si>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</si>
  <si>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</si>
  <si>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</si>
  <si>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</si>
  <si>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</si>
  <si>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</si>
  <si>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</si>
  <si>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</si>
  <si>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</si>
  <si>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</si>
  <si>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</si>
  <si>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</si>
  <si>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</si>
  <si>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</si>
  <si>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</si>
  <si>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</si>
  <si>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</si>
  <si>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</si>
  <si>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</si>
  <si>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</si>
  <si>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</si>
  <si>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</si>
  <si>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</si>
  <si>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</si>
  <si>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</si>
  <si>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</si>
  <si>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</si>
  <si>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</si>
  <si>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</si>
  <si>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</si>
  <si>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</si>
  <si>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</si>
  <si>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</si>
  <si>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</si>
  <si>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</si>
  <si>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</si>
  <si>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</si>
  <si>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</si>
  <si>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</si>
  <si>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</si>
  <si>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</si>
  <si>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</si>
  <si>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</si>
  <si>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</si>
  <si>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</si>
  <si>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</si>
  <si>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</si>
  <si>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</si>
  <si>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</si>
  <si>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</si>
  <si>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</si>
  <si>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</si>
  <si>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</si>
  <si>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</si>
  <si>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</si>
  <si>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</si>
  <si>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</si>
  <si>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</si>
  <si>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</si>
  <si>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</si>
  <si>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</si>
  <si>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</si>
  <si>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</si>
  <si>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</si>
  <si>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</si>
  <si>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</si>
  <si>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</si>
  <si>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</si>
  <si>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</si>
  <si>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</si>
  <si>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</si>
  <si>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</si>
  <si>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</si>
  <si>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</si>
  <si>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</si>
  <si>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</si>
  <si>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</si>
  <si>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</si>
  <si>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</si>
  <si>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</si>
  <si>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</si>
  <si>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</si>
  <si>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</si>
  <si>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</si>
  <si>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</si>
  <si>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</si>
  <si>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</si>
  <si>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</si>
  <si>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</si>
  <si>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</si>
  <si>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</si>
  <si>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</si>
  <si>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</si>
  <si>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</si>
  <si>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</si>
  <si>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</si>
  <si>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</si>
  <si>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</si>
  <si>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</si>
  <si>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</si>
  <si>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</si>
  <si>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</si>
  <si>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</si>
  <si>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</si>
  <si>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</si>
  <si>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</si>
  <si>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</si>
  <si>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</si>
  <si>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</si>
  <si>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</si>
  <si>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</si>
  <si>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</si>
  <si>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</si>
  <si>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</si>
  <si>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</si>
  <si>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</si>
  <si>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</si>
  <si>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</si>
  <si>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</si>
  <si>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</si>
  <si>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</si>
  <si>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</si>
  <si>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</si>
  <si>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</si>
  <si>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</si>
  <si>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</si>
  <si>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</si>
  <si>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</si>
  <si>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</si>
  <si>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</si>
  <si>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</si>
  <si>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</si>
  <si>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</si>
  <si>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</si>
  <si>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</si>
  <si>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</si>
  <si>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</si>
  <si>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</si>
  <si>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</si>
  <si>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</si>
  <si>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</si>
  <si>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</si>
  <si>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</si>
  <si>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</si>
  <si>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</si>
  <si>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</si>
  <si>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</si>
  <si>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</si>
  <si>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</si>
  <si>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</si>
  <si>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</si>
  <si>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</si>
  <si>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</si>
  <si>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</si>
  <si>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</si>
  <si>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</si>
  <si>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</si>
  <si>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</si>
  <si>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</si>
  <si>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</si>
  <si>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</si>
  <si>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</si>
  <si>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</si>
  <si>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</si>
  <si>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</si>
  <si>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</si>
  <si>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</si>
  <si>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</si>
  <si>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</si>
  <si>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</si>
  <si>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</si>
  <si>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</si>
  <si>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</si>
  <si>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</si>
  <si>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</si>
  <si>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</si>
  <si>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</si>
  <si>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</si>
  <si>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</si>
  <si>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</si>
  <si>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</si>
  <si>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</si>
  <si>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</si>
  <si>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</si>
  <si>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</si>
  <si>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</si>
  <si>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</si>
  <si>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</si>
  <si>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</si>
  <si>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</si>
  <si>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</si>
  <si>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</si>
  <si>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</si>
  <si>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</si>
  <si>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</si>
  <si>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</si>
  <si>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</si>
  <si>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</si>
  <si>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</si>
  <si>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</si>
  <si>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</si>
  <si>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</si>
  <si>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</si>
  <si>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</si>
  <si>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</si>
  <si>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</si>
  <si>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</si>
  <si>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</si>
  <si>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</si>
  <si>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</si>
  <si>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</si>
  <si>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</si>
  <si>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</si>
  <si>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</si>
  <si>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</si>
  <si>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</si>
  <si>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</si>
  <si>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</si>
  <si>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</si>
  <si>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</si>
  <si>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</si>
  <si>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</si>
  <si>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</si>
  <si>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</si>
  <si>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</si>
  <si>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</si>
  <si>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</si>
  <si>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</si>
  <si>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</si>
  <si>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</si>
  <si>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</si>
  <si>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</si>
  <si>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</si>
  <si>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</si>
  <si>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</si>
  <si>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</si>
  <si>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</si>
  <si>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</si>
  <si>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</si>
  <si>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</si>
  <si>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</si>
  <si>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</si>
  <si>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</si>
  <si>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</si>
  <si>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</si>
  <si>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</si>
  <si>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</si>
  <si>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</si>
  <si>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</si>
  <si>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</si>
  <si>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</si>
  <si>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</si>
  <si>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</si>
  <si>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</si>
  <si>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</si>
  <si>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</si>
  <si>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</si>
  <si>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</si>
  <si>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</si>
  <si>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</si>
  <si>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</si>
  <si>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</si>
  <si>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</si>
  <si>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</si>
  <si>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</si>
  <si>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SANO_meas</t>
  </si>
  <si>
    <t>Model line, point on graph</t>
  </si>
  <si>
    <t>Gas Solubility Equilibrium, Milligrams per Liter</t>
  </si>
  <si>
    <t>Gas Concentration Units</t>
  </si>
  <si>
    <t>Degrees C</t>
  </si>
  <si>
    <t>Temperature of water</t>
  </si>
  <si>
    <t>To View Effects On Model</t>
  </si>
  <si>
    <t>Per Mil</t>
  </si>
  <si>
    <t>Salinity of water</t>
  </si>
  <si>
    <t>Adjust 'Model Constants' Values</t>
  </si>
  <si>
    <t>masl</t>
  </si>
  <si>
    <t>Model Constants</t>
  </si>
  <si>
    <t>Maximum</t>
  </si>
  <si>
    <t>Minimum</t>
  </si>
  <si>
    <t>Air-Water Conditions</t>
  </si>
  <si>
    <t>Solubility concentration of gases in water at equilibrium with the atmosphere as a function of Temperature</t>
  </si>
  <si>
    <t>Gas Solubility Equilibrium, Millimoles per kilogram</t>
  </si>
  <si>
    <t>mmol/kg</t>
  </si>
  <si>
    <t>Solubility concentration of gases in water at equilibrium with the atmosphere as a function of Salinity</t>
  </si>
  <si>
    <t>Sano</t>
  </si>
  <si>
    <t>Seawater</t>
  </si>
  <si>
    <t>SW-#7_1_C</t>
  </si>
  <si>
    <t>SW-#8_5.5_C</t>
  </si>
  <si>
    <t>SW-#1-6_7.5_C</t>
  </si>
  <si>
    <t>SW-#9_10_C</t>
  </si>
  <si>
    <t>SW-#10_14.4_C</t>
  </si>
  <si>
    <t>SW-#11_17_C</t>
  </si>
  <si>
    <t>SW-#12_21.3_C</t>
  </si>
  <si>
    <t>SW-#13_24.6_C</t>
  </si>
  <si>
    <t>SW-#14_29.6_C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</si>
</sst>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E+00"/>
  </numFmts>
  <fonts count="35">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font>
    <font>
      <b/>
      <i/>
      <sz val="10"/>
      <color theme="1"/>
      <name val="Times New Roman"/>
      <family val="2"/>
    </font>
    <font>
      <b/>
      <i/>
      <sz val="10"/>
      <color theme="1"/>
      <name val="Times"/>
    </font>
  </fonts>
  <fills count="6">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indexed="44"/>
        <bgColor indexed="64"/>
      </patternFill>
    </fill>
    <fill>
      <patternFill patternType="solid">
        <fgColor indexed="8"/>
        <bgColor indexed="64"/>
      </patternFill>
    </fill>
  </fills>
  <borders count="19">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
      <left/>
      <right style="thin">
        <color indexed="64"/>
      </right>
      <top/>
      <bottom style="thin">
        <color auto="1"/>
      </bottom>
      <diagonal/>
    </border>
    <border>
      <left style="thin">
        <color rgb="FF000000"/>
      </left>
      <right style="thin">
        <color rgb="FF000000"/>
      </right>
      <top style="thin">
        <color rgb="FF000000"/>
      </top>
      <bottom style="thin">
        <color auto="1"/>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right style="thin">
        <color indexed="64"/>
      </right>
      <top style="thin">
        <color auto="1"/>
      </top>
      <bottom/>
      <diagonal/>
    </border>
    <border>
      <left/>
      <right/>
      <top style="thin">
        <color auto="1"/>
      </top>
      <bottom/>
      <diagonal/>
    </border>
    <border>
      <left style="thin">
        <color rgb="FF000000"/>
      </left>
      <right style="thin">
        <color rgb="FF000000"/>
      </right>
      <top style="thin">
        <color auto="1"/>
      </top>
      <bottom style="thin">
        <color rgb="FF000000"/>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29">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0" fillId="0" borderId="0" xfId="0" applyFont="1"/>
    <xf numFmtId="0" fontId="32" fillId="0" borderId="0" xfId="0" applyFont="1"/>
    <xf numFmtId="0" fontId="33" fillId="0" borderId="0" xfId="0" applyFont="1"/>
    <xf numFmtId="0" fontId="34" fillId="0" borderId="0" xfId="0" applyFont="1"/>
    <xf numFmtId="0" fontId="30" fillId="4" borderId="12" xfId="0" applyFont="1" applyFill="1" applyBorder="1"/>
    <xf numFmtId="0" fontId="30" fillId="4" borderId="11" xfId="0" applyFont="1" applyFill="1" applyBorder="1"/>
    <xf numFmtId="0" fontId="30" fillId="4" borderId="13" xfId="0" applyFont="1" applyFill="1" applyBorder="1" applyAlignment="1">
      <alignment horizontal="left"/>
    </xf>
    <xf numFmtId="0" fontId="30" fillId="5" borderId="14" xfId="0" applyFont="1" applyFill="1" applyBorder="1" applyAlignment="1">
      <alignment horizontal="left"/>
    </xf>
    <xf numFmtId="0" fontId="30" fillId="4" borderId="15" xfId="0" applyFont="1" applyFill="1" applyBorder="1"/>
    <xf numFmtId="0" fontId="30" fillId="4" borderId="0" xfId="0" applyFont="1" applyFill="1"/>
    <xf numFmtId="0" fontId="30" fillId="4" borderId="14" xfId="0" applyFont="1" applyFill="1" applyBorder="1" applyAlignment="1">
      <alignment horizontal="left"/>
    </xf>
    <xf numFmtId="0" fontId="30" fillId="4" borderId="16" xfId="0" applyFont="1" applyFill="1" applyBorder="1"/>
    <xf numFmtId="0" fontId="30" fillId="4" borderId="17" xfId="0" applyFont="1" applyFill="1" applyBorder="1"/>
    <xf numFmtId="0" fontId="30" fillId="4" borderId="18" xfId="0" applyFont="1" applyFill="1" applyBorder="1" applyAlignment="1">
      <alignment horizontal="left"/>
    </xf>
    <xf numFmtId="0" fontId="33" fillId="0" borderId="0" xfId="0" applyFont="1" applyAlignment="1">
      <alignment horizontal="center"/>
    </xf>
    <xf numFmtId="14" fontId="14" fillId="0" borderId="0" xfId="3" applyNumberFormat="1" applyFont="1"/>
    <xf numFmtId="0" fontId="1" fillId="0" borderId="0" xfId="13"/>
    <xf numFmtId="0" fontId="14" fillId="0" borderId="0" xfId="4" applyFont="1"/>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Solubility concentration in water at equilibrium with air</a:t>
            </a:r>
          </a:p>
        </c:rich>
      </c:tx>
      <c:overlay val="0"/>
    </c:title>
    <c:autoTitleDeleted val="0"/>
    <c:plotArea>
      <c:layout/>
      <c:scatterChart>
        <c:scatterStyle val="lineMarker"/>
        <c:varyColors val="0"/>
        <c:ser>
          <c:idx val="0"/>
          <c:order val="0"/>
          <c:tx>
            <c:v>Ne_Weiss</c:v>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NeTemp_SolGph!$E$9:$E$59</c:f>
              <c:numCache>
                <c:formatCode>General</c:formatCode>
                <c:ptCount val="51"/>
                <c:pt idx="0">
                  <c:v>1.0034949979074506E-5</c:v>
                </c:pt>
                <c:pt idx="1">
                  <c:v>9.9135399539601004E-6</c:v>
                </c:pt>
                <c:pt idx="2">
                  <c:v>9.7966485616992518E-6</c:v>
                </c:pt>
                <c:pt idx="3">
                  <c:v>9.6840518982374445E-6</c:v>
                </c:pt>
                <c:pt idx="4">
                  <c:v>9.5755378695410805E-6</c:v>
                </c:pt>
                <c:pt idx="5">
                  <c:v>9.4709054312483206E-6</c:v>
                </c:pt>
                <c:pt idx="6">
                  <c:v>9.369963884103238E-6</c:v>
                </c:pt>
                <c:pt idx="7">
                  <c:v>9.2725322207081011E-6</c:v>
                </c:pt>
                <c:pt idx="8">
                  <c:v>9.1784385195174996E-6</c:v>
                </c:pt>
                <c:pt idx="9">
                  <c:v>9.0875193823575953E-6</c:v>
                </c:pt>
                <c:pt idx="10">
                  <c:v>8.9996194120652384E-6</c:v>
                </c:pt>
                <c:pt idx="11">
                  <c:v>8.9145907271437772E-6</c:v>
                </c:pt>
                <c:pt idx="12">
                  <c:v>8.8322925105880605E-6</c:v>
                </c:pt>
                <c:pt idx="13">
                  <c:v>8.7525905902744393E-6</c:v>
                </c:pt>
                <c:pt idx="14">
                  <c:v>8.6753570485278684E-6</c:v>
                </c:pt>
                <c:pt idx="15">
                  <c:v>8.6004698586792152E-6</c:v>
                </c:pt>
                <c:pt idx="16">
                  <c:v>8.5278125465979819E-6</c:v>
                </c:pt>
                <c:pt idx="17">
                  <c:v>8.4572738753614905E-6</c:v>
                </c:pt>
                <c:pt idx="18">
                  <c:v>8.3887475513578317E-6</c:v>
                </c:pt>
                <c:pt idx="19">
                  <c:v>8.3221319502689783E-6</c:v>
                </c:pt>
                <c:pt idx="20">
                  <c:v>8.2573298614890153E-6</c:v>
                </c:pt>
                <c:pt idx="21">
                  <c:v>8.1942482496654531E-6</c:v>
                </c:pt>
                <c:pt idx="22">
                  <c:v>8.1327980321355735E-6</c:v>
                </c:pt>
                <c:pt idx="23">
                  <c:v>8.0728938711352692E-6</c:v>
                </c:pt>
                <c:pt idx="24">
                  <c:v>8.0144539797472136E-6</c:v>
                </c:pt>
                <c:pt idx="25">
                  <c:v>7.9573999406194865E-6</c:v>
                </c:pt>
                <c:pt idx="26">
                  <c:v>7.9016565365797449E-6</c:v>
                </c:pt>
                <c:pt idx="27">
                  <c:v>7.8471515923123889E-6</c:v>
                </c:pt>
                <c:pt idx="28">
                  <c:v>7.7938158263523626E-6</c:v>
                </c:pt>
                <c:pt idx="29">
                  <c:v>7.7415827126790914E-6</c:v>
                </c:pt>
                <c:pt idx="30">
                  <c:v>7.6903883512708742E-6</c:v>
                </c:pt>
                <c:pt idx="31">
                  <c:v>7.6401713470034547E-6</c:v>
                </c:pt>
                <c:pt idx="32">
                  <c:v>7.5908726963417105E-6</c:v>
                </c:pt>
                <c:pt idx="33">
                  <c:v>7.5424356812930549E-6</c:v>
                </c:pt>
                <c:pt idx="34">
                  <c:v>7.494805770144233E-6</c:v>
                </c:pt>
                <c:pt idx="35">
                  <c:v>7.4479305245253439E-6</c:v>
                </c:pt>
                <c:pt idx="36">
                  <c:v>7.4017595123855089E-6</c:v>
                </c:pt>
                <c:pt idx="37">
                  <c:v>7.3562442264825446E-6</c:v>
                </c:pt>
                <c:pt idx="38">
                  <c:v>7.311338008027695E-6</c:v>
                </c:pt>
                <c:pt idx="39">
                  <c:v>7.2669959751383242E-6</c:v>
                </c:pt>
                <c:pt idx="40">
                  <c:v>7.223174955786269E-6</c:v>
                </c:pt>
                <c:pt idx="41">
                  <c:v>7.1798334249382673E-6</c:v>
                </c:pt>
                <c:pt idx="42">
                  <c:v>7.136931445617215E-6</c:v>
                </c:pt>
                <c:pt idx="43">
                  <c:v>7.0944306136166639E-6</c:v>
                </c:pt>
                <c:pt idx="44">
                  <c:v>7.0522940056305097E-6</c:v>
                </c:pt>
                <c:pt idx="45">
                  <c:v>7.0104861305663012E-6</c:v>
                </c:pt>
                <c:pt idx="46">
                  <c:v>6.9689728838296871E-6</c:v>
                </c:pt>
                <c:pt idx="47">
                  <c:v>6.9277215043764941E-6</c:v>
                </c:pt>
                <c:pt idx="48">
                  <c:v>6.8867005343472819E-6</c:v>
                </c:pt>
                <c:pt idx="49">
                  <c:v>6.8458797811055642E-6</c:v>
                </c:pt>
                <c:pt idx="50">
                  <c:v>6.8052302815091614E-6</c:v>
                </c:pt>
              </c:numCache>
            </c:numRef>
          </c:yVal>
          <c:smooth val="0"/>
          <c:extLst>
            <c:ext xmlns:c16="http://schemas.microsoft.com/office/drawing/2014/chart" uri="{C3380CC4-5D6E-409C-BE32-E72D297353CC}">
              <c16:uniqueId val="{00000000-3BBB-4CB5-AEE4-388E4267AFA3}"/>
            </c:ext>
          </c:extLst>
        </c:ser>
        <c:ser>
          <c:idx val="1"/>
          <c:order val="1"/>
          <c:tx>
            <c:v>Ne_WeissB</c:v>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NeTemp_SolGph!$F$9:$F$59</c:f>
              <c:numCache>
                <c:formatCode>General</c:formatCode>
                <c:ptCount val="51"/>
                <c:pt idx="0">
                  <c:v>1.003510686301099E-5</c:v>
                </c:pt>
                <c:pt idx="1">
                  <c:v>9.9147988789810699E-6</c:v>
                </c:pt>
                <c:pt idx="2">
                  <c:v>9.7986801423529146E-6</c:v>
                </c:pt>
                <c:pt idx="3">
                  <c:v>9.6865764184144748E-6</c:v>
                </c:pt>
                <c:pt idx="4">
                  <c:v>9.578320943302476E-6</c:v>
                </c:pt>
                <c:pt idx="5">
                  <c:v>9.473753958720127E-6</c:v>
                </c:pt>
                <c:pt idx="6">
                  <c:v>9.3727222734436596E-6</c:v>
                </c:pt>
                <c:pt idx="7">
                  <c:v>9.2750788496710214E-6</c:v>
                </c:pt>
                <c:pt idx="8">
                  <c:v>9.1806824124100497E-6</c:v>
                </c:pt>
                <c:pt idx="9">
                  <c:v>9.0893970802364409E-6</c:v>
                </c:pt>
                <c:pt idx="10">
                  <c:v>9.0010920158723207E-6</c:v>
                </c:pt>
                <c:pt idx="11">
                  <c:v>8.915641095149051E-6</c:v>
                </c:pt>
                <c:pt idx="12">
                  <c:v>8.8329225930198196E-6</c:v>
                </c:pt>
                <c:pt idx="13">
                  <c:v>8.7528188853821568E-6</c:v>
                </c:pt>
                <c:pt idx="14">
                  <c:v>8.6752161655572956E-6</c:v>
                </c:pt>
                <c:pt idx="15">
                  <c:v>8.6000041743536006E-6</c:v>
                </c:pt>
                <c:pt idx="16">
                  <c:v>8.5270759427140278E-6</c:v>
                </c:pt>
                <c:pt idx="17">
                  <c:v>8.4563275460166921E-6</c:v>
                </c:pt>
                <c:pt idx="18">
                  <c:v>8.3876578691588523E-6</c:v>
                </c:pt>
                <c:pt idx="19">
                  <c:v>8.3209683816136737E-6</c:v>
                </c:pt>
                <c:pt idx="20">
                  <c:v>8.2561629217006465E-6</c:v>
                </c:pt>
                <c:pt idx="21">
                  <c:v>8.1931474893621279E-6</c:v>
                </c:pt>
                <c:pt idx="22">
                  <c:v>8.1318300467813868E-6</c:v>
                </c:pt>
                <c:pt idx="23">
                  <c:v>8.0721203262212412E-6</c:v>
                </c:pt>
                <c:pt idx="24">
                  <c:v>8.0139296445011615E-6</c:v>
                </c:pt>
                <c:pt idx="25">
                  <c:v>7.9571707235653865E-6</c:v>
                </c:pt>
                <c:pt idx="26">
                  <c:v>7.9017575166302162E-6</c:v>
                </c:pt>
                <c:pt idx="27">
                  <c:v>7.8476050394269082E-6</c:v>
                </c:pt>
                <c:pt idx="28">
                  <c:v>7.7946292060882449E-6</c:v>
                </c:pt>
                <c:pt idx="29">
                  <c:v>7.7427466692505932E-6</c:v>
                </c:pt>
                <c:pt idx="30">
                  <c:v>7.6918746639709302E-6</c:v>
                </c:pt>
                <c:pt idx="31">
                  <c:v>7.6419308550789005E-6</c:v>
                </c:pt>
                <c:pt idx="32">
                  <c:v>7.5928331876079348E-6</c:v>
                </c:pt>
                <c:pt idx="33">
                  <c:v>7.5444997399673357E-6</c:v>
                </c:pt>
                <c:pt idx="34">
                  <c:v>7.4968485795381938E-6</c:v>
                </c:pt>
                <c:pt idx="35">
                  <c:v>7.4497976203919938E-6</c:v>
                </c:pt>
                <c:pt idx="36">
                  <c:v>7.4032644828489375E-6</c:v>
                </c:pt>
                <c:pt idx="37">
                  <c:v>7.3571663546072059E-6</c:v>
                </c:pt>
                <c:pt idx="38">
                  <c:v>7.3114198531906492E-6</c:v>
                </c:pt>
                <c:pt idx="39">
                  <c:v>7.2659408894751446E-6</c:v>
                </c:pt>
                <c:pt idx="40">
                  <c:v>7.2206445320685031E-6</c:v>
                </c:pt>
                <c:pt idx="41">
                  <c:v>7.175444872330293E-6</c:v>
                </c:pt>
                <c:pt idx="42">
                  <c:v>7.1302548898316232E-6</c:v>
                </c:pt>
                <c:pt idx="43">
                  <c:v>7.0849863180651831E-6</c:v>
                </c:pt>
                <c:pt idx="44">
                  <c:v>7.0395495102287458E-6</c:v>
                </c:pt>
                <c:pt idx="45">
                  <c:v>6.9938533049153776E-6</c:v>
                </c:pt>
                <c:pt idx="46">
                  <c:v>6.9478048915550868E-6</c:v>
                </c:pt>
                <c:pt idx="47">
                  <c:v>6.9013096754628602E-6</c:v>
                </c:pt>
                <c:pt idx="48">
                  <c:v>6.8542711423592744E-6</c:v>
                </c:pt>
                <c:pt idx="49">
                  <c:v>6.8065907222397783E-6</c:v>
                </c:pt>
                <c:pt idx="50">
                  <c:v>6.7581676524790157E-6</c:v>
                </c:pt>
              </c:numCache>
            </c:numRef>
          </c:yVal>
          <c:smooth val="0"/>
          <c:extLst>
            <c:ext xmlns:c16="http://schemas.microsoft.com/office/drawing/2014/chart" uri="{C3380CC4-5D6E-409C-BE32-E72D297353CC}">
              <c16:uniqueId val="{00000001-3BBB-4CB5-AEE4-388E4267AFA3}"/>
            </c:ext>
          </c:extLst>
        </c:ser>
        <c:ser>
          <c:idx val="2"/>
          <c:order val="2"/>
          <c:tx>
            <c:v>Ne_Clvr</c:v>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NeTemp_SolGph!$G$9:$G$59</c:f>
              <c:numCache>
                <c:formatCode>General</c:formatCode>
                <c:ptCount val="51"/>
                <c:pt idx="0">
                  <c:v>1.0163826136527656E-5</c:v>
                </c:pt>
                <c:pt idx="1">
                  <c:v>1.0033991322218783E-5</c:v>
                </c:pt>
                <c:pt idx="2">
                  <c:v>9.9088930806747011E-6</c:v>
                </c:pt>
                <c:pt idx="3">
                  <c:v>9.7883329790328236E-6</c:v>
                </c:pt>
                <c:pt idx="4">
                  <c:v>9.6721213695397726E-6</c:v>
                </c:pt>
                <c:pt idx="5">
                  <c:v>9.5600768464791481E-6</c:v>
                </c:pt>
                <c:pt idx="6">
                  <c:v>9.4520257347816495E-6</c:v>
                </c:pt>
                <c:pt idx="7">
                  <c:v>9.3478016080281456E-6</c:v>
                </c:pt>
                <c:pt idx="8">
                  <c:v>9.2472448337248489E-6</c:v>
                </c:pt>
                <c:pt idx="9">
                  <c:v>9.1502021438853154E-6</c:v>
                </c:pt>
                <c:pt idx="10">
                  <c:v>9.056526229095075E-6</c:v>
                </c:pt>
                <c:pt idx="11">
                  <c:v>8.9660753543674469E-6</c:v>
                </c:pt>
                <c:pt idx="12">
                  <c:v>8.8787129952179475E-6</c:v>
                </c:pt>
                <c:pt idx="13">
                  <c:v>8.7943074924960236E-6</c:v>
                </c:pt>
                <c:pt idx="14">
                  <c:v>8.7127317246147315E-6</c:v>
                </c:pt>
                <c:pt idx="15">
                  <c:v>8.6338627959130823E-6</c:v>
                </c:pt>
                <c:pt idx="16">
                  <c:v>8.55758173997087E-6</c:v>
                </c:pt>
                <c:pt idx="17">
                  <c:v>8.4837732367774567E-6</c:v>
                </c:pt>
                <c:pt idx="18">
                  <c:v>8.4123253427270665E-6</c:v>
                </c:pt>
                <c:pt idx="19">
                  <c:v>8.3431292324829282E-6</c:v>
                </c:pt>
                <c:pt idx="20">
                  <c:v>8.2760789518126102E-6</c:v>
                </c:pt>
                <c:pt idx="21">
                  <c:v>8.2110711805569251E-6</c:v>
                </c:pt>
                <c:pt idx="22">
                  <c:v>8.1480050049456484E-6</c:v>
                </c:pt>
                <c:pt idx="23">
                  <c:v>8.0867816985230959E-6</c:v>
                </c:pt>
                <c:pt idx="24">
                  <c:v>8.0273045109927589E-6</c:v>
                </c:pt>
                <c:pt idx="25">
                  <c:v>7.9694784643292861E-6</c:v>
                </c:pt>
                <c:pt idx="26">
                  <c:v>7.9132101555481493E-6</c:v>
                </c:pt>
                <c:pt idx="27">
                  <c:v>7.8584075655548949E-6</c:v>
                </c:pt>
                <c:pt idx="28">
                  <c:v>7.8049798735326541E-6</c:v>
                </c:pt>
                <c:pt idx="29">
                  <c:v>7.7528372763529246E-6</c:v>
                </c:pt>
                <c:pt idx="30">
                  <c:v>7.7018908125264691E-6</c:v>
                </c:pt>
                <c:pt idx="31">
                  <c:v>7.6520521902331792E-6</c:v>
                </c:pt>
                <c:pt idx="32">
                  <c:v>7.6032336189970985E-6</c:v>
                </c:pt>
                <c:pt idx="33">
                  <c:v>7.5553476445914551E-6</c:v>
                </c:pt>
                <c:pt idx="34">
                  <c:v>7.5083069867814907E-6</c:v>
                </c:pt>
                <c:pt idx="35">
                  <c:v>7.4620243795295619E-6</c:v>
                </c:pt>
                <c:pt idx="36">
                  <c:v>7.4164124133056254E-6</c:v>
                </c:pt>
                <c:pt idx="37">
                  <c:v>7.371383379160618E-6</c:v>
                </c:pt>
                <c:pt idx="38">
                  <c:v>7.3268491142360977E-6</c:v>
                </c:pt>
                <c:pt idx="39">
                  <c:v>7.282720848395666E-6</c:v>
                </c:pt>
                <c:pt idx="40">
                  <c:v>7.2389090516771149E-6</c:v>
                </c:pt>
                <c:pt idx="41">
                  <c:v>7.1953232822740507E-6</c:v>
                </c:pt>
                <c:pt idx="42">
                  <c:v>7.1518720347677651E-6</c:v>
                </c:pt>
                <c:pt idx="43">
                  <c:v>7.1084625883375884E-6</c:v>
                </c:pt>
                <c:pt idx="44">
                  <c:v>7.0650008546880339E-6</c:v>
                </c:pt>
                <c:pt idx="45">
                  <c:v>7.0213912254380559E-6</c:v>
                </c:pt>
                <c:pt idx="46">
                  <c:v>6.9775364187249182E-6</c:v>
                </c:pt>
                <c:pt idx="47">
                  <c:v>6.9333373247813596E-6</c:v>
                </c:pt>
                <c:pt idx="48">
                  <c:v>6.888692850251157E-6</c:v>
                </c:pt>
                <c:pt idx="49">
                  <c:v>6.8434997610123625E-6</c:v>
                </c:pt>
                <c:pt idx="50">
                  <c:v>6.7976525232822458E-6</c:v>
                </c:pt>
              </c:numCache>
            </c:numRef>
          </c:yVal>
          <c:smooth val="0"/>
          <c:extLst>
            <c:ext xmlns:c16="http://schemas.microsoft.com/office/drawing/2014/chart" uri="{C3380CC4-5D6E-409C-BE32-E72D297353CC}">
              <c16:uniqueId val="{00000002-3BBB-4CB5-AEE4-388E4267AFA3}"/>
            </c:ext>
          </c:extLst>
        </c:ser>
        <c:ser>
          <c:idx val="3"/>
          <c:order val="3"/>
          <c:tx>
            <c:v>Ne_H&amp;E</c:v>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NeTemp_SolGph!$H$9:$H$59</c:f>
              <c:numCache>
                <c:formatCode>General</c:formatCode>
                <c:ptCount val="51"/>
                <c:pt idx="0">
                  <c:v>1.0083748858308224E-5</c:v>
                </c:pt>
                <c:pt idx="1">
                  <c:v>9.9678353324974086E-6</c:v>
                </c:pt>
                <c:pt idx="2">
                  <c:v>9.8553459230882085E-6</c:v>
                </c:pt>
                <c:pt idx="3">
                  <c:v>9.7461901170338555E-6</c:v>
                </c:pt>
                <c:pt idx="4">
                  <c:v>9.6402808720049542E-6</c:v>
                </c:pt>
                <c:pt idx="5">
                  <c:v>9.5375344862212532E-6</c:v>
                </c:pt>
                <c:pt idx="6">
                  <c:v>9.4378704743629648E-6</c:v>
                </c:pt>
                <c:pt idx="7">
                  <c:v>9.3412114492760514E-6</c:v>
                </c:pt>
                <c:pt idx="8">
                  <c:v>9.2474830092014893E-6</c:v>
                </c:pt>
                <c:pt idx="9">
                  <c:v>9.1566136302731692E-6</c:v>
                </c:pt>
                <c:pt idx="10">
                  <c:v>9.0685345640432471E-6</c:v>
                </c:pt>
                <c:pt idx="11">
                  <c:v>8.9831797398067753E-6</c:v>
                </c:pt>
                <c:pt idx="12">
                  <c:v>8.9004856715099511E-6</c:v>
                </c:pt>
                <c:pt idx="13">
                  <c:v>8.8203913690381773E-6</c:v>
                </c:pt>
                <c:pt idx="14">
                  <c:v>8.7428382536912137E-6</c:v>
                </c:pt>
                <c:pt idx="15">
                  <c:v>8.6677700776633107E-6</c:v>
                </c:pt>
                <c:pt idx="16">
                  <c:v>8.5951328473562709E-6</c:v>
                </c:pt>
                <c:pt idx="17">
                  <c:v>8.5248747503627719E-6</c:v>
                </c:pt>
                <c:pt idx="18">
                  <c:v>8.4569460859665049E-6</c:v>
                </c:pt>
                <c:pt idx="19">
                  <c:v>8.3912991990139563E-6</c:v>
                </c:pt>
                <c:pt idx="20">
                  <c:v>8.3278884170211124E-6</c:v>
                </c:pt>
                <c:pt idx="21">
                  <c:v>8.2666699903858029E-6</c:v>
                </c:pt>
                <c:pt idx="22">
                  <c:v>8.2076020355839994E-6</c:v>
                </c:pt>
                <c:pt idx="23">
                  <c:v>8.1506444812352213E-6</c:v>
                </c:pt>
                <c:pt idx="24">
                  <c:v>8.095759016928947E-6</c:v>
                </c:pt>
                <c:pt idx="25">
                  <c:v>8.0429090447103564E-6</c:v>
                </c:pt>
                <c:pt idx="26">
                  <c:v>7.9920596331297033E-6</c:v>
                </c:pt>
                <c:pt idx="27">
                  <c:v>7.9431774737655216E-6</c:v>
                </c:pt>
                <c:pt idx="28">
                  <c:v>7.8962308401374175E-6</c:v>
                </c:pt>
                <c:pt idx="29">
                  <c:v>7.8511895489295764E-6</c:v>
                </c:pt>
                <c:pt idx="30">
                  <c:v>7.8080249234511259E-6</c:v>
                </c:pt>
                <c:pt idx="31">
                  <c:v>7.7667097592646191E-6</c:v>
                </c:pt>
                <c:pt idx="32">
                  <c:v>7.7272182919184419E-6</c:v>
                </c:pt>
                <c:pt idx="33">
                  <c:v>7.6895261667237338E-6</c:v>
                </c:pt>
                <c:pt idx="34">
                  <c:v>7.6536104105206179E-6</c:v>
                </c:pt>
                <c:pt idx="35">
                  <c:v>7.6194494053830069E-6</c:v>
                </c:pt>
                <c:pt idx="36">
                  <c:v>7.5870228642153203E-6</c:v>
                </c:pt>
                <c:pt idx="37">
                  <c:v>7.5563118081984543E-6</c:v>
                </c:pt>
                <c:pt idx="38">
                  <c:v>7.5272985460463771E-6</c:v>
                </c:pt>
                <c:pt idx="39">
                  <c:v>7.4999666550384477E-6</c:v>
                </c:pt>
                <c:pt idx="40">
                  <c:v>7.4743009637964498E-6</c:v>
                </c:pt>
                <c:pt idx="41">
                  <c:v>7.4502875367788427E-6</c:v>
                </c:pt>
                <c:pt idx="42">
                  <c:v>7.427913660468602E-6</c:v>
                </c:pt>
                <c:pt idx="43">
                  <c:v>7.4071678312343315E-6</c:v>
                </c:pt>
                <c:pt idx="44">
                  <c:v>7.388039744848143E-6</c:v>
                </c:pt>
                <c:pt idx="45">
                  <c:v>7.3705202876470802E-6</c:v>
                </c:pt>
                <c:pt idx="46">
                  <c:v>7.3546015293285656E-6</c:v>
                </c:pt>
                <c:pt idx="47">
                  <c:v>7.340276717373705E-6</c:v>
                </c:pt>
                <c:pt idx="48">
                  <c:v>7.3275402730958363E-6</c:v>
                </c:pt>
                <c:pt idx="49">
                  <c:v>7.3163877893152788E-6</c:v>
                </c:pt>
                <c:pt idx="50">
                  <c:v>7.3068160296646757E-6</c:v>
                </c:pt>
              </c:numCache>
            </c:numRef>
          </c:yVal>
          <c:smooth val="0"/>
          <c:extLst>
            <c:ext xmlns:c16="http://schemas.microsoft.com/office/drawing/2014/chart" uri="{C3380CC4-5D6E-409C-BE32-E72D297353CC}">
              <c16:uniqueId val="{00000003-3BBB-4CB5-AEE4-388E4267AFA3}"/>
            </c:ext>
          </c:extLst>
        </c:ser>
        <c:ser>
          <c:idx val="4"/>
          <c:order val="4"/>
          <c:tx>
            <c:v>Ne_Jenk</c:v>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NeTemp_SolGph!$I$9:$I$59</c:f>
              <c:numCache>
                <c:formatCode>General</c:formatCode>
                <c:ptCount val="51"/>
                <c:pt idx="0">
                  <c:v>1.0191257392397062E-5</c:v>
                </c:pt>
                <c:pt idx="1">
                  <c:v>1.0061459099080442E-5</c:v>
                </c:pt>
                <c:pt idx="2">
                  <c:v>9.9373167777920197E-6</c:v>
                </c:pt>
                <c:pt idx="3">
                  <c:v>9.8185112517818677E-6</c:v>
                </c:pt>
                <c:pt idx="4">
                  <c:v>9.7047418307979575E-6</c:v>
                </c:pt>
                <c:pt idx="5">
                  <c:v>9.5957249704070155E-6</c:v>
                </c:pt>
                <c:pt idx="6">
                  <c:v>9.4911930416784178E-6</c:v>
                </c:pt>
                <c:pt idx="7">
                  <c:v>9.3908932014261554E-6</c:v>
                </c:pt>
                <c:pt idx="8">
                  <c:v>9.2945863541567546E-6</c:v>
                </c:pt>
                <c:pt idx="9">
                  <c:v>9.2020461977355083E-6</c:v>
                </c:pt>
                <c:pt idx="10">
                  <c:v>9.1130583455344101E-6</c:v>
                </c:pt>
                <c:pt idx="11">
                  <c:v>9.0274195185289467E-6</c:v>
                </c:pt>
                <c:pt idx="12">
                  <c:v>8.9449368014136923E-6</c:v>
                </c:pt>
                <c:pt idx="13">
                  <c:v>8.865426957366208E-6</c:v>
                </c:pt>
                <c:pt idx="14">
                  <c:v>8.7887157965802671E-6</c:v>
                </c:pt>
                <c:pt idx="15">
                  <c:v>8.7146375941445514E-6</c:v>
                </c:pt>
                <c:pt idx="16">
                  <c:v>8.6430345532280259E-6</c:v>
                </c:pt>
                <c:pt idx="17">
                  <c:v>8.5737563099172111E-6</c:v>
                </c:pt>
                <c:pt idx="18">
                  <c:v>8.5066594763532375E-6</c:v>
                </c:pt>
                <c:pt idx="19">
                  <c:v>8.4416072191334693E-6</c:v>
                </c:pt>
                <c:pt idx="20">
                  <c:v>8.3784688701802607E-6</c:v>
                </c:pt>
                <c:pt idx="21">
                  <c:v>8.3171195675535342E-6</c:v>
                </c:pt>
                <c:pt idx="22">
                  <c:v>8.2574399238666587E-6</c:v>
                </c:pt>
                <c:pt idx="23">
                  <c:v>8.1993157201799656E-6</c:v>
                </c:pt>
                <c:pt idx="24">
                  <c:v>8.1426376234281332E-6</c:v>
                </c:pt>
                <c:pt idx="25">
                  <c:v>8.0873009255730232E-6</c:v>
                </c:pt>
                <c:pt idx="26">
                  <c:v>8.0332053028559746E-6</c:v>
                </c:pt>
                <c:pt idx="27">
                  <c:v>7.980254593614433E-6</c:v>
                </c:pt>
                <c:pt idx="28">
                  <c:v>7.9283565932902652E-6</c:v>
                </c:pt>
                <c:pt idx="29">
                  <c:v>7.8774228653230334E-6</c:v>
                </c:pt>
                <c:pt idx="30">
                  <c:v>7.8273685667619132E-6</c:v>
                </c:pt>
                <c:pt idx="31">
                  <c:v>7.7781122874817139E-6</c:v>
                </c:pt>
                <c:pt idx="32">
                  <c:v>7.7295759020058561E-6</c:v>
                </c:pt>
                <c:pt idx="33">
                  <c:v>7.681684432980975E-6</c:v>
                </c:pt>
                <c:pt idx="34">
                  <c:v>7.6343659254427027E-6</c:v>
                </c:pt>
                <c:pt idx="35">
                  <c:v>7.5875513310554499E-6</c:v>
                </c:pt>
                <c:pt idx="36">
                  <c:v>7.5411744015807585E-6</c:v>
                </c:pt>
                <c:pt idx="37">
                  <c:v>7.4951715908641527E-6</c:v>
                </c:pt>
                <c:pt idx="38">
                  <c:v>7.4494819646967276E-6</c:v>
                </c:pt>
                <c:pt idx="39">
                  <c:v>7.4040471179312377E-6</c:v>
                </c:pt>
                <c:pt idx="40">
                  <c:v>7.3588110982925101E-6</c:v>
                </c:pt>
                <c:pt idx="41">
                  <c:v>7.3137203363383143E-6</c:v>
                </c:pt>
                <c:pt idx="42">
                  <c:v>7.2687235810825453E-6</c:v>
                </c:pt>
                <c:pt idx="43">
                  <c:v>7.2237718407991456E-6</c:v>
                </c:pt>
                <c:pt idx="44">
                  <c:v>7.1788183285769338E-6</c:v>
                </c:pt>
                <c:pt idx="45">
                  <c:v>7.1338184122058592E-6</c:v>
                </c:pt>
                <c:pt idx="46">
                  <c:v>7.088729568008495E-6</c:v>
                </c:pt>
                <c:pt idx="47">
                  <c:v>7.0435113382464627E-6</c:v>
                </c:pt>
                <c:pt idx="48">
                  <c:v>6.9981252917618743E-6</c:v>
                </c:pt>
                <c:pt idx="49">
                  <c:v>6.9525349875265927E-6</c:v>
                </c:pt>
                <c:pt idx="50">
                  <c:v>6.9067059407854158E-6</c:v>
                </c:pt>
              </c:numCache>
            </c:numRef>
          </c:yVal>
          <c:smooth val="0"/>
          <c:extLst>
            <c:ext xmlns:c16="http://schemas.microsoft.com/office/drawing/2014/chart" uri="{C3380CC4-5D6E-409C-BE32-E72D297353CC}">
              <c16:uniqueId val="{00000004-3BBB-4CB5-AEE4-388E4267AFA3}"/>
            </c:ext>
          </c:extLst>
        </c:ser>
        <c:dLbls>
          <c:showLegendKey val="0"/>
          <c:showVal val="0"/>
          <c:showCatName val="0"/>
          <c:showSerName val="0"/>
          <c:showPercent val="0"/>
          <c:showBubbleSize val="0"/>
        </c:dLbls>
        <c:axId val="2035593296"/>
        <c:axId val="2106378976"/>
      </c:scatterChart>
      <c:valAx>
        <c:axId val="2035593296"/>
        <c:scaling>
          <c:orientation val="minMax"/>
          <c:max val="50"/>
          <c:min val="0"/>
        </c:scaling>
        <c:delete val="0"/>
        <c:axPos val="b"/>
        <c:majorGridlines>
          <c:spPr>
            <a:ln>
              <a:prstDash val="sysDot"/>
            </a:ln>
          </c:spPr>
        </c:majorGridlines>
        <c:title>
          <c:tx>
            <c:rich>
              <a:bodyPr/>
              <a:lstStyle/>
              <a:p>
                <a:pPr>
                  <a:defRPr sz="1200"/>
                </a:pPr>
                <a:r>
                  <a:rPr lang="en-US" sz="1200"/>
                  <a:t>TEMPERATURE, CELSIUS</a:t>
                </a:r>
              </a:p>
            </c:rich>
          </c:tx>
          <c:overlay val="0"/>
        </c:title>
        <c:numFmt formatCode="General" sourceLinked="1"/>
        <c:majorTickMark val="none"/>
        <c:minorTickMark val="none"/>
        <c:tickLblPos val="low"/>
        <c:spPr>
          <a:ln>
            <a:solidFill>
              <a:schemeClr val="tx1"/>
            </a:solidFill>
          </a:ln>
        </c:spPr>
        <c:crossAx val="2106378976"/>
        <c:crosses val="autoZero"/>
        <c:crossBetween val="midCat"/>
      </c:valAx>
      <c:valAx>
        <c:axId val="2106378976"/>
        <c:scaling>
          <c:orientation val="minMax"/>
          <c:min val="6.0000000000000018E-6"/>
        </c:scaling>
        <c:delete val="0"/>
        <c:axPos val="l"/>
        <c:majorGridlines>
          <c:spPr>
            <a:ln>
              <a:prstDash val="sysDot"/>
            </a:ln>
          </c:spPr>
        </c:majorGridlines>
        <c:title>
          <c:tx>
            <c:rich>
              <a:bodyPr/>
              <a:lstStyle/>
              <a:p>
                <a:pPr>
                  <a:defRPr sz="1200"/>
                </a:pPr>
                <a:r>
                  <a:rPr lang="en-US" sz="1200"/>
                  <a:t>MILLIMOLES PER KILOGRAM</a:t>
                </a:r>
              </a:p>
            </c:rich>
          </c:tx>
          <c:overlay val="0"/>
        </c:title>
        <c:numFmt formatCode="0.0E+00" sourceLinked="0"/>
        <c:majorTickMark val="none"/>
        <c:minorTickMark val="none"/>
        <c:tickLblPos val="nextTo"/>
        <c:spPr>
          <a:ln>
            <a:solidFill>
              <a:schemeClr val="tx1"/>
            </a:solidFill>
          </a:ln>
        </c:spPr>
        <c:crossAx val="2035593296"/>
        <c:crosses val="autoZero"/>
        <c:crossBetween val="midCat"/>
      </c:valAx>
    </c:plotArea>
    <c:legend>
      <c:legendPos val="b"/>
      <c:overlay val="0"/>
      <c:spPr>
        <a:ln>
          <a:solidFill>
            <a:sysClr val="windowText" lastClr="000000">
              <a:lumMod val="100000"/>
            </a:sysClr>
          </a:solidFill>
        </a:ln>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Solubility concentration in water at equilibrium with air</a:t>
            </a:r>
          </a:p>
        </c:rich>
      </c:tx>
      <c:overlay val="0"/>
    </c:title>
    <c:autoTitleDeleted val="0"/>
    <c:plotArea>
      <c:layout/>
      <c:scatterChart>
        <c:scatterStyle val="lineMarker"/>
        <c:varyColors val="0"/>
        <c:ser>
          <c:idx val="0"/>
          <c:order val="0"/>
          <c:tx>
            <c:strRef>
              <c:f>NeTemp_SolGph!$J$8</c:f>
              <c:strCache>
                <c:ptCount val="1"/>
                <c:pt idx="0">
                  <c:v>Ne_Weiss</c:v>
                </c:pt>
              </c:strCache>
            </c:strRef>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NeTemp_SolGph!$J$9:$J$59</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yVal>
          <c:smooth val="0"/>
          <c:extLst>
            <c:ext xmlns:c16="http://schemas.microsoft.com/office/drawing/2014/chart" uri="{C3380CC4-5D6E-409C-BE32-E72D297353CC}">
              <c16:uniqueId val="{00000000-27E0-4B8B-A583-595704272A0C}"/>
            </c:ext>
          </c:extLst>
        </c:ser>
        <c:ser>
          <c:idx val="1"/>
          <c:order val="1"/>
          <c:tx>
            <c:strRef>
              <c:f>NeTemp_SolGph!$K$8</c:f>
              <c:strCache>
                <c:ptCount val="1"/>
                <c:pt idx="0">
                  <c:v>Ne_WeissB</c:v>
                </c:pt>
              </c:strCache>
            </c:strRef>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NeTemp_SolGph!$K$9:$K$59</c:f>
              <c:numCache>
                <c:formatCode>General</c:formatCode>
                <c:ptCount val="51"/>
                <c:pt idx="0">
                  <c:v>1.5633753711876742E-3</c:v>
                </c:pt>
                <c:pt idx="1">
                  <c:v>1.2699046221794212E-2</c:v>
                </c:pt>
                <c:pt idx="2">
                  <c:v>2.0737506718425138E-2</c:v>
                </c:pt>
                <c:pt idx="3">
                  <c:v>2.6068841881049513E-2</c:v>
                </c:pt>
                <c:pt idx="4">
                  <c:v>2.906441183056873E-2</c:v>
                </c:pt>
                <c:pt idx="5">
                  <c:v>3.007661191936279E-2</c:v>
                </c:pt>
                <c:pt idx="6">
                  <c:v>2.943863364405723E-2</c:v>
                </c:pt>
                <c:pt idx="7">
                  <c:v>2.7464223389086745E-2</c:v>
                </c:pt>
                <c:pt idx="8">
                  <c:v>2.4447436105592139E-2</c:v>
                </c:pt>
                <c:pt idx="9">
                  <c:v>2.0662381006757075E-2</c:v>
                </c:pt>
                <c:pt idx="10">
                  <c:v>1.6362956472449668E-2</c:v>
                </c:pt>
                <c:pt idx="11">
                  <c:v>1.1782571263486514E-2</c:v>
                </c:pt>
                <c:pt idx="12">
                  <c:v>7.1338492356738279E-3</c:v>
                </c:pt>
                <c:pt idx="13">
                  <c:v>2.6083147082319033E-3</c:v>
                </c:pt>
                <c:pt idx="14">
                  <c:v>-1.6239443493185695E-3</c:v>
                </c:pt>
                <c:pt idx="15">
                  <c:v>-5.4146381914776665E-3</c:v>
                </c:pt>
                <c:pt idx="16">
                  <c:v>-8.6376650510201596E-3</c:v>
                </c:pt>
                <c:pt idx="17">
                  <c:v>-1.1189531742082317E-2</c:v>
                </c:pt>
                <c:pt idx="18">
                  <c:v>-1.2989807981562374E-2</c:v>
                </c:pt>
                <c:pt idx="19">
                  <c:v>-1.3981617478042529E-2</c:v>
                </c:pt>
                <c:pt idx="20">
                  <c:v>-1.4132168726978873E-2</c:v>
                </c:pt>
                <c:pt idx="21">
                  <c:v>-1.3433328717738896E-2</c:v>
                </c:pt>
                <c:pt idx="22">
                  <c:v>-1.1902242627467835E-2</c:v>
                </c:pt>
                <c:pt idx="23">
                  <c:v>-9.5820027659944389E-3</c:v>
                </c:pt>
                <c:pt idx="24">
                  <c:v>-6.5423701649193729E-3</c:v>
                </c:pt>
                <c:pt idx="25">
                  <c:v>-2.8805521377647911E-3</c:v>
                </c:pt>
                <c:pt idx="26">
                  <c:v>1.2779605137706639E-3</c:v>
                </c:pt>
                <c:pt idx="27">
                  <c:v>5.7784931154324847E-3</c:v>
                </c:pt>
                <c:pt idx="28">
                  <c:v>1.0436219613146652E-2</c:v>
                </c:pt>
                <c:pt idx="29">
                  <c:v>1.5035124143225777E-2</c:v>
                </c:pt>
                <c:pt idx="30">
                  <c:v>1.93268874361903E-2</c:v>
                </c:pt>
                <c:pt idx="31">
                  <c:v>2.3029693910411504E-2</c:v>
                </c:pt>
                <c:pt idx="32">
                  <c:v>2.5826954879233584E-2</c:v>
                </c:pt>
                <c:pt idx="33">
                  <c:v>2.7365943330483162E-2</c:v>
                </c:pt>
                <c:pt idx="34">
                  <c:v>2.7256335342250554E-2</c:v>
                </c:pt>
                <c:pt idx="35">
                  <c:v>2.5068653104399125E-2</c:v>
                </c:pt>
                <c:pt idx="36">
                  <c:v>2.0332604172160686E-2</c:v>
                </c:pt>
                <c:pt idx="37">
                  <c:v>1.253531144794837E-2</c:v>
                </c:pt>
                <c:pt idx="38">
                  <c:v>1.1194279742552321E-3</c:v>
                </c:pt>
                <c:pt idx="39">
                  <c:v>-1.4518869513473127E-2</c:v>
                </c:pt>
                <c:pt idx="40">
                  <c:v>-3.503201477542553E-2</c:v>
                </c:pt>
                <c:pt idx="41">
                  <c:v>-6.1123320671078549E-2</c:v>
                </c:pt>
                <c:pt idx="42">
                  <c:v>-9.3549389348441078E-2</c:v>
                </c:pt>
                <c:pt idx="43">
                  <c:v>-0.13312267137201922</c:v>
                </c:pt>
                <c:pt idx="44">
                  <c:v>-0.18071418167746178</c:v>
                </c:pt>
                <c:pt idx="45">
                  <c:v>-0.23725638052977638</c:v>
                </c:pt>
                <c:pt idx="46">
                  <c:v>-0.30374622813810925</c:v>
                </c:pt>
                <c:pt idx="47">
                  <c:v>-0.38124842196598924</c:v>
                </c:pt>
                <c:pt idx="48">
                  <c:v>-0.47089882631408969</c:v>
                </c:pt>
                <c:pt idx="49">
                  <c:v>-0.5739081041741726</c:v>
                </c:pt>
                <c:pt idx="50">
                  <c:v>-0.69156556183002316</c:v>
                </c:pt>
              </c:numCache>
            </c:numRef>
          </c:yVal>
          <c:smooth val="0"/>
          <c:extLst>
            <c:ext xmlns:c16="http://schemas.microsoft.com/office/drawing/2014/chart" uri="{C3380CC4-5D6E-409C-BE32-E72D297353CC}">
              <c16:uniqueId val="{00000001-27E0-4B8B-A583-595704272A0C}"/>
            </c:ext>
          </c:extLst>
        </c:ser>
        <c:ser>
          <c:idx val="2"/>
          <c:order val="2"/>
          <c:tx>
            <c:strRef>
              <c:f>NeTemp_SolGph!$L$8</c:f>
              <c:strCache>
                <c:ptCount val="1"/>
                <c:pt idx="0">
                  <c:v>Ne_Clvr</c:v>
                </c:pt>
              </c:strCache>
            </c:strRef>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NeTemp_SolGph!$L$9:$L$59</c:f>
              <c:numCache>
                <c:formatCode>General</c:formatCode>
                <c:ptCount val="51"/>
                <c:pt idx="0">
                  <c:v>1.2842730429338456</c:v>
                </c:pt>
                <c:pt idx="1">
                  <c:v>1.215018740208605</c:v>
                </c:pt>
                <c:pt idx="2">
                  <c:v>1.145744060007194</c:v>
                </c:pt>
                <c:pt idx="3">
                  <c:v>1.0768331468190391</c:v>
                </c:pt>
                <c:pt idx="4">
                  <c:v>1.0086483006444522</c:v>
                </c:pt>
                <c:pt idx="5">
                  <c:v>0.94152999286230099</c:v>
                </c:pt>
                <c:pt idx="6">
                  <c:v>0.87579687278875018</c:v>
                </c:pt>
                <c:pt idx="7">
                  <c:v>0.81174576187449043</c:v>
                </c:pt>
                <c:pt idx="8">
                  <c:v>0.74965163258473744</c:v>
                </c:pt>
                <c:pt idx="9">
                  <c:v>0.68976756901791736</c:v>
                </c:pt>
                <c:pt idx="10">
                  <c:v>0.6323247064597548</c:v>
                </c:pt>
                <c:pt idx="11">
                  <c:v>0.57753214701046995</c:v>
                </c:pt>
                <c:pt idx="12">
                  <c:v>0.52557684852758924</c:v>
                </c:pt>
                <c:pt idx="13">
                  <c:v>0.47662348411381905</c:v>
                </c:pt>
                <c:pt idx="14">
                  <c:v>0.43081426940468426</c:v>
                </c:pt>
                <c:pt idx="15">
                  <c:v>0.38826875487701945</c:v>
                </c:pt>
                <c:pt idx="16">
                  <c:v>0.34908358046359733</c:v>
                </c:pt>
                <c:pt idx="17">
                  <c:v>0.31333218962160614</c:v>
                </c:pt>
                <c:pt idx="18">
                  <c:v>0.28106450009237072</c:v>
                </c:pt>
                <c:pt idx="19">
                  <c:v>0.25230652841633039</c:v>
                </c:pt>
                <c:pt idx="20">
                  <c:v>0.22705996536529194</c:v>
                </c:pt>
                <c:pt idx="21">
                  <c:v>0.20530169917855351</c:v>
                </c:pt>
                <c:pt idx="22">
                  <c:v>0.1869832836126854</c:v>
                </c:pt>
                <c:pt idx="23">
                  <c:v>0.17203034759917776</c:v>
                </c:pt>
                <c:pt idx="24">
                  <c:v>0.16034194316941566</c:v>
                </c:pt>
                <c:pt idx="25">
                  <c:v>0.151789828335049</c:v>
                </c:pt>
                <c:pt idx="26">
                  <c:v>0.14621768125352405</c:v>
                </c:pt>
                <c:pt idx="27">
                  <c:v>0.14344024210687034</c:v>
                </c:pt>
                <c:pt idx="28">
                  <c:v>0.14324237868880296</c:v>
                </c:pt>
                <c:pt idx="29">
                  <c:v>0.14537807179145096</c:v>
                </c:pt>
                <c:pt idx="30">
                  <c:v>0.14956931601112253</c:v>
                </c:pt>
                <c:pt idx="31">
                  <c:v>0.15550493163198931</c:v>
                </c:pt>
                <c:pt idx="32">
                  <c:v>0.16283928277897558</c:v>
                </c:pt>
                <c:pt idx="33">
                  <c:v>0.17119089699929119</c:v>
                </c:pt>
                <c:pt idx="34">
                  <c:v>0.18014098098499387</c:v>
                </c:pt>
                <c:pt idx="35">
                  <c:v>0.18923182698614474</c:v>
                </c:pt>
                <c:pt idx="36">
                  <c:v>0.19796510404853773</c:v>
                </c:pt>
                <c:pt idx="37">
                  <c:v>0.20580002800304406</c:v>
                </c:pt>
                <c:pt idx="38">
                  <c:v>0.2121514036332583</c:v>
                </c:pt>
                <c:pt idx="39">
                  <c:v>0.21638753222293416</c:v>
                </c:pt>
                <c:pt idx="40">
                  <c:v>0.21782797713132857</c:v>
                </c:pt>
                <c:pt idx="41">
                  <c:v>0.2157411797602613</c:v>
                </c:pt>
                <c:pt idx="42">
                  <c:v>0.20934191766302002</c:v>
                </c:pt>
                <c:pt idx="43">
                  <c:v>0.19778859622634537</c:v>
                </c:pt>
                <c:pt idx="44">
                  <c:v>0.18018036467820431</c:v>
                </c:pt>
                <c:pt idx="45">
                  <c:v>0.15555404673304427</c:v>
                </c:pt>
                <c:pt idx="46">
                  <c:v>0.12288087553190699</c:v>
                </c:pt>
                <c:pt idx="47">
                  <c:v>8.1063021966424648E-2</c:v>
                </c:pt>
                <c:pt idx="48">
                  <c:v>2.8929904733601849E-2</c:v>
                </c:pt>
                <c:pt idx="49">
                  <c:v>-3.4765730180808745E-2</c:v>
                </c:pt>
                <c:pt idx="50">
                  <c:v>-0.11135197360632346</c:v>
                </c:pt>
              </c:numCache>
            </c:numRef>
          </c:yVal>
          <c:smooth val="0"/>
          <c:extLst>
            <c:ext xmlns:c16="http://schemas.microsoft.com/office/drawing/2014/chart" uri="{C3380CC4-5D6E-409C-BE32-E72D297353CC}">
              <c16:uniqueId val="{00000002-27E0-4B8B-A583-595704272A0C}"/>
            </c:ext>
          </c:extLst>
        </c:ser>
        <c:ser>
          <c:idx val="3"/>
          <c:order val="3"/>
          <c:tx>
            <c:strRef>
              <c:f>NeTemp_SolGph!$M$8</c:f>
              <c:strCache>
                <c:ptCount val="1"/>
                <c:pt idx="0">
                  <c:v>Ne_H&amp;E</c:v>
                </c:pt>
              </c:strCache>
            </c:strRef>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NeTemp_SolGph!$M$9:$M$59</c:f>
              <c:numCache>
                <c:formatCode>General</c:formatCode>
                <c:ptCount val="51"/>
                <c:pt idx="0">
                  <c:v>0.48628921255687485</c:v>
                </c:pt>
                <c:pt idx="1">
                  <c:v>0.54768910792172809</c:v>
                </c:pt>
                <c:pt idx="2">
                  <c:v>0.59915756923687702</c:v>
                </c:pt>
                <c:pt idx="3">
                  <c:v>0.64165516097368869</c:v>
                </c:pt>
                <c:pt idx="4">
                  <c:v>0.67612914643484756</c:v>
                </c:pt>
                <c:pt idx="5">
                  <c:v>0.7035130427244749</c:v>
                </c:pt>
                <c:pt idx="6">
                  <c:v>0.72472627535880663</c:v>
                </c:pt>
                <c:pt idx="7">
                  <c:v>0.7406739273935421</c:v>
                </c:pt>
                <c:pt idx="8">
                  <c:v>0.75224657807719675</c:v>
                </c:pt>
                <c:pt idx="9">
                  <c:v>0.76032022610826733</c:v>
                </c:pt>
                <c:pt idx="10">
                  <c:v>0.76575629282298729</c:v>
                </c:pt>
                <c:pt idx="11">
                  <c:v>0.76940170067654856</c:v>
                </c:pt>
                <c:pt idx="12">
                  <c:v>0.77208902264209767</c:v>
                </c:pt>
                <c:pt idx="13">
                  <c:v>0.77463669829451054</c:v>
                </c:pt>
                <c:pt idx="14">
                  <c:v>0.7778493125513064</c:v>
                </c:pt>
                <c:pt idx="15">
                  <c:v>0.78251793320546426</c:v>
                </c:pt>
                <c:pt idx="16">
                  <c:v>0.78942050368057459</c:v>
                </c:pt>
                <c:pt idx="17">
                  <c:v>0.7993222875071192</c:v>
                </c:pt>
                <c:pt idx="18">
                  <c:v>0.81297636138346285</c:v>
                </c:pt>
                <c:pt idx="19">
                  <c:v>0.83112415374214932</c:v>
                </c:pt>
                <c:pt idx="20">
                  <c:v>0.85449602614486742</c:v>
                </c:pt>
                <c:pt idx="21">
                  <c:v>0.88381189480446398</c:v>
                </c:pt>
                <c:pt idx="22">
                  <c:v>0.91978188998237453</c:v>
                </c:pt>
                <c:pt idx="23">
                  <c:v>0.96310705109044437</c:v>
                </c:pt>
                <c:pt idx="24">
                  <c:v>1.0144800554996491</c:v>
                </c:pt>
                <c:pt idx="25">
                  <c:v>1.0745859794526433</c:v>
                </c:pt>
                <c:pt idx="26">
                  <c:v>1.1441030894148387</c:v>
                </c:pt>
                <c:pt idx="27">
                  <c:v>1.2237036627049023</c:v>
                </c:pt>
                <c:pt idx="28">
                  <c:v>1.3140548361275155</c:v>
                </c:pt>
                <c:pt idx="29">
                  <c:v>1.4158194818608856</c:v>
                </c:pt>
                <c:pt idx="30">
                  <c:v>1.5296571097194538</c:v>
                </c:pt>
                <c:pt idx="31">
                  <c:v>1.6562247954137035</c:v>
                </c:pt>
                <c:pt idx="32">
                  <c:v>1.7961781343328387</c:v>
                </c:pt>
                <c:pt idx="33">
                  <c:v>1.9501722208317478</c:v>
                </c:pt>
                <c:pt idx="34">
                  <c:v>2.1188626529721111</c:v>
                </c:pt>
                <c:pt idx="35">
                  <c:v>2.3029065630092451</c:v>
                </c:pt>
                <c:pt idx="36">
                  <c:v>2.5029636739724732</c:v>
                </c:pt>
                <c:pt idx="37">
                  <c:v>2.7196973830159781</c:v>
                </c:pt>
                <c:pt idx="38">
                  <c:v>2.9537758722351772</c:v>
                </c:pt>
                <c:pt idx="39">
                  <c:v>3.2058732479989986</c:v>
                </c:pt>
                <c:pt idx="40">
                  <c:v>3.4766707098657679</c:v>
                </c:pt>
                <c:pt idx="41">
                  <c:v>3.7668577505041609</c:v>
                </c:pt>
                <c:pt idx="42">
                  <c:v>4.0771333880484306</c:v>
                </c:pt>
                <c:pt idx="43">
                  <c:v>4.4082074327066758</c:v>
                </c:pt>
                <c:pt idx="44">
                  <c:v>4.7608017894542662</c:v>
                </c:pt>
                <c:pt idx="45">
                  <c:v>5.1356517989672685</c:v>
                </c:pt>
                <c:pt idx="46">
                  <c:v>5.5335076190877999</c:v>
                </c:pt>
                <c:pt idx="47">
                  <c:v>5.9551356493846459</c:v>
                </c:pt>
                <c:pt idx="48">
                  <c:v>6.401320001499629</c:v>
                </c:pt>
                <c:pt idx="49">
                  <c:v>6.8728640182713034</c:v>
                </c:pt>
                <c:pt idx="50">
                  <c:v>7.3705918448990424</c:v>
                </c:pt>
              </c:numCache>
            </c:numRef>
          </c:yVal>
          <c:smooth val="0"/>
          <c:extLst>
            <c:ext xmlns:c16="http://schemas.microsoft.com/office/drawing/2014/chart" uri="{C3380CC4-5D6E-409C-BE32-E72D297353CC}">
              <c16:uniqueId val="{00000003-27E0-4B8B-A583-595704272A0C}"/>
            </c:ext>
          </c:extLst>
        </c:ser>
        <c:ser>
          <c:idx val="4"/>
          <c:order val="4"/>
          <c:tx>
            <c:strRef>
              <c:f>NeTemp_SolGph!$N$8</c:f>
              <c:strCache>
                <c:ptCount val="1"/>
                <c:pt idx="0">
                  <c:v>Ne_Jenk</c:v>
                </c:pt>
              </c:strCache>
            </c:strRef>
          </c:tx>
          <c:marker>
            <c:symbol val="none"/>
          </c:marker>
          <c:xVal>
            <c:numRef>
              <c:f>NeTemp_SolGph!$D$9:$D$59</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xVal>
          <c:yVal>
            <c:numRef>
              <c:f>NeTemp_SolGph!$N$9:$N$59</c:f>
              <c:numCache>
                <c:formatCode>General</c:formatCode>
                <c:ptCount val="51"/>
                <c:pt idx="0">
                  <c:v>1.5576302188700217</c:v>
                </c:pt>
                <c:pt idx="1">
                  <c:v>1.4920920862507161</c:v>
                </c:pt>
                <c:pt idx="2">
                  <c:v>1.4358810077430066</c:v>
                </c:pt>
                <c:pt idx="3">
                  <c:v>1.3884617199221703</c:v>
                </c:pt>
                <c:pt idx="4">
                  <c:v>1.3493128325236234</c:v>
                </c:pt>
                <c:pt idx="5">
                  <c:v>1.3179261482948095</c:v>
                </c:pt>
                <c:pt idx="6">
                  <c:v>1.2938060282265664</c:v>
                </c:pt>
                <c:pt idx="7">
                  <c:v>1.2764687994690582</c:v>
                </c:pt>
                <c:pt idx="8">
                  <c:v>1.2654422034017265</c:v>
                </c:pt>
                <c:pt idx="9">
                  <c:v>1.2602648815281097</c:v>
                </c:pt>
                <c:pt idx="10">
                  <c:v>1.2604858969601653</c:v>
                </c:pt>
                <c:pt idx="11">
                  <c:v>1.2656642894622232</c:v>
                </c:pt>
                <c:pt idx="12">
                  <c:v>1.275368662106638</c:v>
                </c:pt>
                <c:pt idx="13">
                  <c:v>1.2891767977488675</c:v>
                </c:pt>
                <c:pt idx="14">
                  <c:v>1.3066753036018801</c:v>
                </c:pt>
                <c:pt idx="15">
                  <c:v>1.3274592823568028</c:v>
                </c:pt>
                <c:pt idx="16">
                  <c:v>1.351132028294991</c:v>
                </c:pt>
                <c:pt idx="17">
                  <c:v>1.3773047470422826</c:v>
                </c:pt>
                <c:pt idx="18">
                  <c:v>1.4055962975822318</c:v>
                </c:pt>
                <c:pt idx="19">
                  <c:v>1.4356329553345948</c:v>
                </c:pt>
                <c:pt idx="20">
                  <c:v>1.4670481950372374</c:v>
                </c:pt>
                <c:pt idx="21">
                  <c:v>1.499482492406764</c:v>
                </c:pt>
                <c:pt idx="22">
                  <c:v>1.5325831434468289</c:v>
                </c:pt>
                <c:pt idx="23">
                  <c:v>1.5660041004220213</c:v>
                </c:pt>
                <c:pt idx="24">
                  <c:v>1.5994058235887787</c:v>
                </c:pt>
                <c:pt idx="25">
                  <c:v>1.6324551476977027</c:v>
                </c:pt>
                <c:pt idx="26">
                  <c:v>1.6648251625116954</c:v>
                </c:pt>
                <c:pt idx="27">
                  <c:v>1.6961951064185001</c:v>
                </c:pt>
                <c:pt idx="28">
                  <c:v>1.7262502724659585</c:v>
                </c:pt>
                <c:pt idx="29">
                  <c:v>1.7546819259770259</c:v>
                </c:pt>
                <c:pt idx="30">
                  <c:v>1.7811872331311116</c:v>
                </c:pt>
                <c:pt idx="31">
                  <c:v>1.8054691997498318</c:v>
                </c:pt>
                <c:pt idx="32">
                  <c:v>1.8272366197234626</c:v>
                </c:pt>
                <c:pt idx="33">
                  <c:v>1.8462040323829148</c:v>
                </c:pt>
                <c:pt idx="34">
                  <c:v>1.8620916882784542</c:v>
                </c:pt>
                <c:pt idx="35">
                  <c:v>1.8746255227589419</c:v>
                </c:pt>
                <c:pt idx="36">
                  <c:v>1.8835371368383953</c:v>
                </c:pt>
                <c:pt idx="37">
                  <c:v>1.8885637847839296</c:v>
                </c:pt>
                <c:pt idx="38">
                  <c:v>1.8894483679642964</c:v>
                </c:pt>
                <c:pt idx="39">
                  <c:v>1.8859394344209017</c:v>
                </c:pt>
                <c:pt idx="40">
                  <c:v>1.8777911837451355</c:v>
                </c:pt>
                <c:pt idx="41">
                  <c:v>1.8647634767543122</c:v>
                </c:pt>
                <c:pt idx="42">
                  <c:v>1.8466218495942517</c:v>
                </c:pt>
                <c:pt idx="43">
                  <c:v>1.8231375317736029</c:v>
                </c:pt>
                <c:pt idx="44">
                  <c:v>1.7940874677857706</c:v>
                </c:pt>
                <c:pt idx="45">
                  <c:v>1.7592543418896303</c:v>
                </c:pt>
                <c:pt idx="46">
                  <c:v>1.7184266056865116</c:v>
                </c:pt>
                <c:pt idx="47">
                  <c:v>1.6713985081071736</c:v>
                </c:pt>
                <c:pt idx="48">
                  <c:v>1.6179701274777902</c:v>
                </c:pt>
                <c:pt idx="49">
                  <c:v>1.5579474053195295</c:v>
                </c:pt>
                <c:pt idx="50">
                  <c:v>1.4911421815067609</c:v>
                </c:pt>
              </c:numCache>
            </c:numRef>
          </c:yVal>
          <c:smooth val="0"/>
          <c:extLst>
            <c:ext xmlns:c16="http://schemas.microsoft.com/office/drawing/2014/chart" uri="{C3380CC4-5D6E-409C-BE32-E72D297353CC}">
              <c16:uniqueId val="{00000004-27E0-4B8B-A583-595704272A0C}"/>
            </c:ext>
          </c:extLst>
        </c:ser>
        <c:dLbls>
          <c:showLegendKey val="0"/>
          <c:showVal val="0"/>
          <c:showCatName val="0"/>
          <c:showSerName val="0"/>
          <c:showPercent val="0"/>
          <c:showBubbleSize val="0"/>
        </c:dLbls>
        <c:axId val="2035593296"/>
        <c:axId val="2106378976"/>
      </c:scatterChart>
      <c:valAx>
        <c:axId val="2035593296"/>
        <c:scaling>
          <c:orientation val="minMax"/>
          <c:max val="50"/>
          <c:min val="0"/>
        </c:scaling>
        <c:delete val="0"/>
        <c:axPos val="b"/>
        <c:majorGridlines>
          <c:spPr>
            <a:ln>
              <a:prstDash val="sysDot"/>
            </a:ln>
          </c:spPr>
        </c:majorGridlines>
        <c:title>
          <c:tx>
            <c:rich>
              <a:bodyPr/>
              <a:lstStyle/>
              <a:p>
                <a:pPr>
                  <a:defRPr sz="1200"/>
                </a:pPr>
                <a:r>
                  <a:rPr lang="en-US" sz="1200"/>
                  <a:t>TEMPERATURE, CELSIUS</a:t>
                </a:r>
              </a:p>
            </c:rich>
          </c:tx>
          <c:overlay val="0"/>
        </c:title>
        <c:numFmt formatCode="General" sourceLinked="1"/>
        <c:majorTickMark val="none"/>
        <c:minorTickMark val="none"/>
        <c:tickLblPos val="low"/>
        <c:spPr>
          <a:ln>
            <a:solidFill>
              <a:schemeClr val="tx1"/>
            </a:solidFill>
          </a:ln>
        </c:spPr>
        <c:crossAx val="2106378976"/>
        <c:crosses val="autoZero"/>
        <c:crossBetween val="midCat"/>
      </c:valAx>
      <c:valAx>
        <c:axId val="2106378976"/>
        <c:scaling>
          <c:orientation val="minMax"/>
        </c:scaling>
        <c:delete val="0"/>
        <c:axPos val="l"/>
        <c:majorGridlines>
          <c:spPr>
            <a:ln>
              <a:prstDash val="sysDot"/>
            </a:ln>
          </c:spPr>
        </c:majorGridlines>
        <c:title>
          <c:tx>
            <c:rich>
              <a:bodyPr/>
              <a:lstStyle/>
              <a:p>
                <a:pPr>
                  <a:defRPr sz="1200"/>
                </a:pPr>
                <a:r>
                  <a:rPr lang="en-US" sz="1200" b="1" i="0" baseline="0">
                    <a:effectLst/>
                  </a:rPr>
                  <a:t>PERCENT DEVIATION FROM WEISS (1971)</a:t>
                </a:r>
                <a:endParaRPr lang="en-US" sz="1000">
                  <a:effectLst/>
                </a:endParaRPr>
              </a:p>
            </c:rich>
          </c:tx>
          <c:overlay val="0"/>
        </c:title>
        <c:numFmt formatCode="General" sourceLinked="0"/>
        <c:majorTickMark val="none"/>
        <c:minorTickMark val="none"/>
        <c:tickLblPos val="nextTo"/>
        <c:spPr>
          <a:ln>
            <a:solidFill>
              <a:schemeClr val="tx1"/>
            </a:solidFill>
          </a:ln>
        </c:spPr>
        <c:crossAx val="2035593296"/>
        <c:crosses val="autoZero"/>
        <c:crossBetween val="midCat"/>
      </c:valAx>
    </c:plotArea>
    <c:legend>
      <c:legendPos val="b"/>
      <c:overlay val="0"/>
      <c:spPr>
        <a:ln>
          <a:solidFill>
            <a:sysClr val="windowText" lastClr="000000">
              <a:lumMod val="100000"/>
            </a:sysClr>
          </a:solidFill>
        </a:ln>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Solubility concentration in water at equilibrium with air</a:t>
            </a:r>
          </a:p>
        </c:rich>
      </c:tx>
      <c:overlay val="0"/>
    </c:title>
    <c:autoTitleDeleted val="0"/>
    <c:plotArea>
      <c:layout/>
      <c:scatterChart>
        <c:scatterStyle val="lineMarker"/>
        <c:varyColors val="0"/>
        <c:ser>
          <c:idx val="0"/>
          <c:order val="0"/>
          <c:tx>
            <c:v>Ne_Weiss</c:v>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NeSalinity_SolGph!$E$9:$E$44</c:f>
              <c:numCache>
                <c:formatCode>General</c:formatCode>
                <c:ptCount val="36"/>
                <c:pt idx="0">
                  <c:v>8.6004698586792152E-6</c:v>
                </c:pt>
                <c:pt idx="1">
                  <c:v>8.5501804506984726E-6</c:v>
                </c:pt>
                <c:pt idx="2">
                  <c:v>8.5001850992747273E-6</c:v>
                </c:pt>
                <c:pt idx="3">
                  <c:v>8.4504820849751234E-6</c:v>
                </c:pt>
                <c:pt idx="4">
                  <c:v>8.4010696984208846E-6</c:v>
                </c:pt>
                <c:pt idx="5">
                  <c:v>8.3519462402284029E-6</c:v>
                </c:pt>
                <c:pt idx="6">
                  <c:v>8.3031100209509085E-6</c:v>
                </c:pt>
                <c:pt idx="7">
                  <c:v>8.2545593610202534E-6</c:v>
                </c:pt>
                <c:pt idx="8">
                  <c:v>8.2062925906892656E-6</c:v>
                </c:pt>
                <c:pt idx="9">
                  <c:v>8.1583080499741965E-6</c:v>
                </c:pt>
                <c:pt idx="10">
                  <c:v>8.1106040885977667E-6</c:v>
                </c:pt>
                <c:pt idx="11">
                  <c:v>8.0631790659322706E-6</c:v>
                </c:pt>
                <c:pt idx="12">
                  <c:v>8.016031350943291E-6</c:v>
                </c:pt>
                <c:pt idx="13">
                  <c:v>7.9691593221334715E-6</c:v>
                </c:pt>
                <c:pt idx="14">
                  <c:v>7.9225613674868715E-6</c:v>
                </c:pt>
                <c:pt idx="15">
                  <c:v>7.8762358844134175E-6</c:v>
                </c:pt>
                <c:pt idx="16">
                  <c:v>7.8301812796938872E-6</c:v>
                </c:pt>
                <c:pt idx="17">
                  <c:v>7.7843959694250179E-6</c:v>
                </c:pt>
                <c:pt idx="18">
                  <c:v>7.7388783789651337E-6</c:v>
                </c:pt>
                <c:pt idx="19">
                  <c:v>7.6936269428798868E-6</c:v>
                </c:pt>
                <c:pt idx="20">
                  <c:v>7.6486401048885246E-6</c:v>
                </c:pt>
                <c:pt idx="21">
                  <c:v>7.6039163178102615E-6</c:v>
                </c:pt>
                <c:pt idx="22">
                  <c:v>7.5594540435111561E-6</c:v>
                </c:pt>
                <c:pt idx="23">
                  <c:v>7.5152517528511827E-6</c:v>
                </c:pt>
                <c:pt idx="24">
                  <c:v>7.4713079256315891E-6</c:v>
                </c:pt>
                <c:pt idx="25">
                  <c:v>7.4276210505427192E-6</c:v>
                </c:pt>
                <c:pt idx="26">
                  <c:v>7.3841896251119163E-6</c:v>
                </c:pt>
                <c:pt idx="27">
                  <c:v>7.3410121556519721E-6</c:v>
                </c:pt>
                <c:pt idx="28">
                  <c:v>7.2980871572096359E-6</c:v>
                </c:pt>
                <c:pt idx="29">
                  <c:v>7.2554131535146587E-6</c:v>
                </c:pt>
                <c:pt idx="30">
                  <c:v>7.212988676928915E-6</c:v>
                </c:pt>
                <c:pt idx="31">
                  <c:v>7.1708122683960278E-6</c:v>
                </c:pt>
                <c:pt idx="32">
                  <c:v>7.1288824773910915E-6</c:v>
                </c:pt>
                <c:pt idx="33">
                  <c:v>7.0871978618708848E-6</c:v>
                </c:pt>
                <c:pt idx="34">
                  <c:v>7.0457569882241738E-6</c:v>
                </c:pt>
                <c:pt idx="35">
                  <c:v>7.0045584312225142E-6</c:v>
                </c:pt>
              </c:numCache>
            </c:numRef>
          </c:yVal>
          <c:smooth val="0"/>
          <c:extLst>
            <c:ext xmlns:c16="http://schemas.microsoft.com/office/drawing/2014/chart" uri="{C3380CC4-5D6E-409C-BE32-E72D297353CC}">
              <c16:uniqueId val="{00000000-6AC0-4239-A5CD-BD1F4FB92539}"/>
            </c:ext>
          </c:extLst>
        </c:ser>
        <c:ser>
          <c:idx val="1"/>
          <c:order val="1"/>
          <c:tx>
            <c:v>Ne_WeissB</c:v>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NeSalinity_SolGph!$F$9:$F$44</c:f>
              <c:numCache>
                <c:formatCode>General</c:formatCode>
                <c:ptCount val="36"/>
                <c:pt idx="0">
                  <c:v>8.6000041743536006E-6</c:v>
                </c:pt>
                <c:pt idx="1">
                  <c:v>8.5495771760688922E-6</c:v>
                </c:pt>
                <c:pt idx="2">
                  <c:v>8.49947480757267E-6</c:v>
                </c:pt>
                <c:pt idx="3">
                  <c:v>8.449683631903875E-6</c:v>
                </c:pt>
                <c:pt idx="4">
                  <c:v>8.4001976368850537E-6</c:v>
                </c:pt>
                <c:pt idx="5">
                  <c:v>8.3510125840063113E-6</c:v>
                </c:pt>
                <c:pt idx="6">
                  <c:v>8.3021250403217276E-6</c:v>
                </c:pt>
                <c:pt idx="7">
                  <c:v>8.2535320269518945E-6</c:v>
                </c:pt>
                <c:pt idx="8">
                  <c:v>8.2052308543662326E-6</c:v>
                </c:pt>
                <c:pt idx="9">
                  <c:v>8.1572190330127185E-6</c:v>
                </c:pt>
                <c:pt idx="10">
                  <c:v>8.1094942198676687E-6</c:v>
                </c:pt>
                <c:pt idx="11">
                  <c:v>8.0620541841456415E-6</c:v>
                </c:pt>
                <c:pt idx="12">
                  <c:v>8.0148967840992285E-6</c:v>
                </c:pt>
                <c:pt idx="13">
                  <c:v>7.9680199506508579E-6</c:v>
                </c:pt>
                <c:pt idx="14">
                  <c:v>7.9214216754464482E-6</c:v>
                </c:pt>
                <c:pt idx="15">
                  <c:v>7.8751000018883212E-6</c:v>
                </c:pt>
                <c:pt idx="16">
                  <c:v>7.8290530182432998E-6</c:v>
                </c:pt>
                <c:pt idx="17">
                  <c:v>7.7832788522375602E-6</c:v>
                </c:pt>
                <c:pt idx="18">
                  <c:v>7.7377756667425119E-6</c:v>
                </c:pt>
                <c:pt idx="19">
                  <c:v>7.6925416562783562E-6</c:v>
                </c:pt>
                <c:pt idx="20">
                  <c:v>7.6475750441414917E-6</c:v>
                </c:pt>
                <c:pt idx="21">
                  <c:v>7.6028740800158434E-6</c:v>
                </c:pt>
                <c:pt idx="22">
                  <c:v>7.5584370379648501E-6</c:v>
                </c:pt>
                <c:pt idx="23">
                  <c:v>7.5142622147268074E-6</c:v>
                </c:pt>
                <c:pt idx="24">
                  <c:v>7.4703479282547372E-6</c:v>
                </c:pt>
                <c:pt idx="25">
                  <c:v>7.4266925164554462E-6</c:v>
                </c:pt>
                <c:pt idx="26">
                  <c:v>7.3832943360924713E-6</c:v>
                </c:pt>
                <c:pt idx="27">
                  <c:v>7.3401517618248918E-6</c:v>
                </c:pt>
                <c:pt idx="28">
                  <c:v>7.2972631853598071E-6</c:v>
                </c:pt>
                <c:pt idx="29">
                  <c:v>7.2546270147006114E-6</c:v>
                </c:pt>
                <c:pt idx="30">
                  <c:v>7.2122416734764611E-6</c:v>
                </c:pt>
                <c:pt idx="31">
                  <c:v>7.1701056003411164E-6</c:v>
                </c:pt>
                <c:pt idx="32">
                  <c:v>7.1282172484312707E-6</c:v>
                </c:pt>
                <c:pt idx="33">
                  <c:v>7.086575084876369E-6</c:v>
                </c:pt>
                <c:pt idx="34">
                  <c:v>7.0451775903529613E-6</c:v>
                </c:pt>
                <c:pt idx="35">
                  <c:v>7.0040232586780173E-6</c:v>
                </c:pt>
              </c:numCache>
            </c:numRef>
          </c:yVal>
          <c:smooth val="0"/>
          <c:extLst>
            <c:ext xmlns:c16="http://schemas.microsoft.com/office/drawing/2014/chart" uri="{C3380CC4-5D6E-409C-BE32-E72D297353CC}">
              <c16:uniqueId val="{00000001-6AC0-4239-A5CD-BD1F4FB92539}"/>
            </c:ext>
          </c:extLst>
        </c:ser>
        <c:ser>
          <c:idx val="2"/>
          <c:order val="2"/>
          <c:tx>
            <c:v>Ne_Clvr</c:v>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NeSalinity_SolGph!$G$9:$G$44</c:f>
              <c:numCache>
                <c:formatCode>General</c:formatCode>
                <c:ptCount val="36"/>
                <c:pt idx="0">
                  <c:v>8.6338627959130823E-6</c:v>
                </c:pt>
                <c:pt idx="1">
                  <c:v>8.5852395135028302E-6</c:v>
                </c:pt>
                <c:pt idx="2">
                  <c:v>8.5368548587892313E-6</c:v>
                </c:pt>
                <c:pt idx="3">
                  <c:v>8.488696824709568E-6</c:v>
                </c:pt>
                <c:pt idx="4">
                  <c:v>8.4407607594449136E-6</c:v>
                </c:pt>
                <c:pt idx="5">
                  <c:v>8.3930437383563281E-6</c:v>
                </c:pt>
                <c:pt idx="6">
                  <c:v>8.345543607562082E-6</c:v>
                </c:pt>
                <c:pt idx="7">
                  <c:v>8.2982586388957423E-6</c:v>
                </c:pt>
                <c:pt idx="8">
                  <c:v>8.2511873692295283E-6</c:v>
                </c:pt>
                <c:pt idx="9">
                  <c:v>8.2043285138539608E-6</c:v>
                </c:pt>
                <c:pt idx="10">
                  <c:v>8.1576809150140008E-6</c:v>
                </c:pt>
                <c:pt idx="11">
                  <c:v>8.11124350911966E-6</c:v>
                </c:pt>
                <c:pt idx="12">
                  <c:v>8.065015304719853E-6</c:v>
                </c:pt>
                <c:pt idx="13">
                  <c:v>8.0189953670791481E-6</c:v>
                </c:pt>
                <c:pt idx="14">
                  <c:v>7.9731828070097114E-6</c:v>
                </c:pt>
                <c:pt idx="15">
                  <c:v>7.9275767725578544E-6</c:v>
                </c:pt>
                <c:pt idx="16">
                  <c:v>7.8821764426702483E-6</c:v>
                </c:pt>
                <c:pt idx="17">
                  <c:v>7.8369810222721175E-6</c:v>
                </c:pt>
                <c:pt idx="18">
                  <c:v>7.7919897383769677E-6</c:v>
                </c:pt>
                <c:pt idx="19">
                  <c:v>7.7472018369658509E-6</c:v>
                </c:pt>
                <c:pt idx="20">
                  <c:v>7.7026165804509571E-6</c:v>
                </c:pt>
                <c:pt idx="21">
                  <c:v>7.658233245590448E-6</c:v>
                </c:pt>
                <c:pt idx="22">
                  <c:v>7.6140511217564069E-6</c:v>
                </c:pt>
                <c:pt idx="23">
                  <c:v>7.5700695094829121E-6</c:v>
                </c:pt>
                <c:pt idx="24">
                  <c:v>7.5262877192386721E-6</c:v>
                </c:pt>
                <c:pt idx="25">
                  <c:v>7.4827050703818555E-6</c:v>
                </c:pt>
                <c:pt idx="26">
                  <c:v>7.4393208902637638E-6</c:v>
                </c:pt>
                <c:pt idx="27">
                  <c:v>7.396134513455522E-6</c:v>
                </c:pt>
                <c:pt idx="28">
                  <c:v>7.3531452810769371E-6</c:v>
                </c:pt>
                <c:pt idx="29">
                  <c:v>7.3103525402110829E-6</c:v>
                </c:pt>
                <c:pt idx="30">
                  <c:v>7.2677556433911219E-6</c:v>
                </c:pt>
                <c:pt idx="31">
                  <c:v>7.225353948148488E-6</c:v>
                </c:pt>
                <c:pt idx="32">
                  <c:v>7.1831468166133157E-6</c:v>
                </c:pt>
                <c:pt idx="33">
                  <c:v>7.1411336151599306E-6</c:v>
                </c:pt>
                <c:pt idx="34">
                  <c:v>7.099313714091009E-6</c:v>
                </c:pt>
                <c:pt idx="35">
                  <c:v>7.0576864873553667E-6</c:v>
                </c:pt>
              </c:numCache>
            </c:numRef>
          </c:yVal>
          <c:smooth val="0"/>
          <c:extLst>
            <c:ext xmlns:c16="http://schemas.microsoft.com/office/drawing/2014/chart" uri="{C3380CC4-5D6E-409C-BE32-E72D297353CC}">
              <c16:uniqueId val="{00000002-6AC0-4239-A5CD-BD1F4FB92539}"/>
            </c:ext>
          </c:extLst>
        </c:ser>
        <c:ser>
          <c:idx val="3"/>
          <c:order val="3"/>
          <c:tx>
            <c:v>Ne_H&amp;E</c:v>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NeSalinity_SolGph!$H$9:$H$44</c:f>
              <c:numCache>
                <c:formatCode>General</c:formatCode>
                <c:ptCount val="36"/>
                <c:pt idx="0">
                  <c:v>8.6677700776633107E-6</c:v>
                </c:pt>
                <c:pt idx="1">
                  <c:v>8.6171477481859771E-6</c:v>
                </c:pt>
                <c:pt idx="2">
                  <c:v>8.5668210680185293E-6</c:v>
                </c:pt>
                <c:pt idx="3">
                  <c:v>8.5167883104819445E-6</c:v>
                </c:pt>
                <c:pt idx="4">
                  <c:v>8.4670477589815132E-6</c:v>
                </c:pt>
                <c:pt idx="5">
                  <c:v>8.4175977069479421E-6</c:v>
                </c:pt>
                <c:pt idx="6">
                  <c:v>8.3684364577788085E-6</c:v>
                </c:pt>
                <c:pt idx="7">
                  <c:v>8.3195623247803469E-6</c:v>
                </c:pt>
                <c:pt idx="8">
                  <c:v>8.2709736311095771E-6</c:v>
                </c:pt>
                <c:pt idx="9">
                  <c:v>8.2226687097167796E-6</c:v>
                </c:pt>
                <c:pt idx="10">
                  <c:v>8.1746459032882942E-6</c:v>
                </c:pt>
                <c:pt idx="11">
                  <c:v>8.1269035641896607E-6</c:v>
                </c:pt>
                <c:pt idx="12">
                  <c:v>8.0794400544090872E-6</c:v>
                </c:pt>
                <c:pt idx="13">
                  <c:v>8.0322537455012584E-6</c:v>
                </c:pt>
                <c:pt idx="14">
                  <c:v>7.9853430185314535E-6</c:v>
                </c:pt>
                <c:pt idx="15">
                  <c:v>7.9387062640200109E-6</c:v>
                </c:pt>
                <c:pt idx="16">
                  <c:v>7.8923418818870989E-6</c:v>
                </c:pt>
                <c:pt idx="17">
                  <c:v>7.8462482813978307E-6</c:v>
                </c:pt>
                <c:pt idx="18">
                  <c:v>7.8004238811076736E-6</c:v>
                </c:pt>
                <c:pt idx="19">
                  <c:v>7.7548671088082013E-6</c:v>
                </c:pt>
                <c:pt idx="20">
                  <c:v>7.7095764014731434E-6</c:v>
                </c:pt>
                <c:pt idx="21">
                  <c:v>7.6645502052047642E-6</c:v>
                </c:pt>
                <c:pt idx="22">
                  <c:v>7.6197869751805512E-6</c:v>
                </c:pt>
                <c:pt idx="23">
                  <c:v>7.5752851756002052E-6</c:v>
                </c:pt>
                <c:pt idx="24">
                  <c:v>7.5310432796329585E-6</c:v>
                </c:pt>
                <c:pt idx="25">
                  <c:v>7.4870597693651821E-6</c:v>
                </c:pt>
                <c:pt idx="26">
                  <c:v>7.4433331357483078E-6</c:v>
                </c:pt>
                <c:pt idx="27">
                  <c:v>7.3998618785470563E-6</c:v>
                </c:pt>
                <c:pt idx="28">
                  <c:v>7.3566445062879686E-6</c:v>
                </c:pt>
                <c:pt idx="29">
                  <c:v>7.3136795362082213E-6</c:v>
                </c:pt>
                <c:pt idx="30">
                  <c:v>7.270965494204771E-6</c:v>
                </c:pt>
                <c:pt idx="31">
                  <c:v>7.2285009147837647E-6</c:v>
                </c:pt>
                <c:pt idx="32">
                  <c:v>7.1862843410102652E-6</c:v>
                </c:pt>
                <c:pt idx="33">
                  <c:v>7.1443143244582688E-6</c:v>
                </c:pt>
                <c:pt idx="34">
                  <c:v>7.1025894251610028E-6</c:v>
                </c:pt>
                <c:pt idx="35">
                  <c:v>7.0611082115615238E-6</c:v>
                </c:pt>
              </c:numCache>
            </c:numRef>
          </c:yVal>
          <c:smooth val="0"/>
          <c:extLst>
            <c:ext xmlns:c16="http://schemas.microsoft.com/office/drawing/2014/chart" uri="{C3380CC4-5D6E-409C-BE32-E72D297353CC}">
              <c16:uniqueId val="{00000003-6AC0-4239-A5CD-BD1F4FB92539}"/>
            </c:ext>
          </c:extLst>
        </c:ser>
        <c:ser>
          <c:idx val="4"/>
          <c:order val="4"/>
          <c:tx>
            <c:v>Ne_Jenk</c:v>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NeSalinity_SolGph!$I$9:$I$44</c:f>
              <c:numCache>
                <c:formatCode>General</c:formatCode>
                <c:ptCount val="36"/>
                <c:pt idx="0">
                  <c:v>8.7146375941445514E-6</c:v>
                </c:pt>
                <c:pt idx="1">
                  <c:v>8.660117686439834E-6</c:v>
                </c:pt>
                <c:pt idx="2">
                  <c:v>8.6061595780737507E-6</c:v>
                </c:pt>
                <c:pt idx="3">
                  <c:v>8.552757009580098E-6</c:v>
                </c:pt>
                <c:pt idx="4">
                  <c:v>8.4999038030243878E-6</c:v>
                </c:pt>
                <c:pt idx="5">
                  <c:v>8.4475938608660755E-6</c:v>
                </c:pt>
                <c:pt idx="6">
                  <c:v>8.3958211648381538E-6</c:v>
                </c:pt>
                <c:pt idx="7">
                  <c:v>8.3445797748437806E-6</c:v>
                </c:pt>
                <c:pt idx="8">
                  <c:v>8.2938638278697119E-6</c:v>
                </c:pt>
                <c:pt idx="9">
                  <c:v>8.2436675369161029E-6</c:v>
                </c:pt>
                <c:pt idx="10">
                  <c:v>8.1939851899427394E-6</c:v>
                </c:pt>
                <c:pt idx="11">
                  <c:v>8.1448111488311279E-6</c:v>
                </c:pt>
                <c:pt idx="12">
                  <c:v>8.0961398483623099E-6</c:v>
                </c:pt>
                <c:pt idx="13">
                  <c:v>8.0479657952101628E-6</c:v>
                </c:pt>
                <c:pt idx="14">
                  <c:v>8.0002835669499603E-6</c:v>
                </c:pt>
                <c:pt idx="15">
                  <c:v>7.9530878110817362E-6</c:v>
                </c:pt>
                <c:pt idx="16">
                  <c:v>7.9063732440687225E-6</c:v>
                </c:pt>
                <c:pt idx="17">
                  <c:v>7.8601346503898906E-6</c:v>
                </c:pt>
                <c:pt idx="18">
                  <c:v>7.814366881607075E-6</c:v>
                </c:pt>
                <c:pt idx="19">
                  <c:v>7.7690648554459882E-6</c:v>
                </c:pt>
                <c:pt idx="20">
                  <c:v>7.7242235548911458E-6</c:v>
                </c:pt>
                <c:pt idx="21">
                  <c:v>7.6798380272942132E-6</c:v>
                </c:pt>
                <c:pt idx="22">
                  <c:v>7.635903383496087E-6</c:v>
                </c:pt>
                <c:pt idx="23">
                  <c:v>7.5924147969617257E-6</c:v>
                </c:pt>
                <c:pt idx="24">
                  <c:v>7.5493675029282881E-6</c:v>
                </c:pt>
                <c:pt idx="25">
                  <c:v>7.5067567975658652E-6</c:v>
                </c:pt>
                <c:pt idx="26">
                  <c:v>7.4645780371508179E-6</c:v>
                </c:pt>
                <c:pt idx="27">
                  <c:v>7.4228266372514979E-6</c:v>
                </c:pt>
                <c:pt idx="28">
                  <c:v>7.381498071926E-6</c:v>
                </c:pt>
                <c:pt idx="29">
                  <c:v>7.3405878729321942E-6</c:v>
                </c:pt>
                <c:pt idx="30">
                  <c:v>7.30009162894916E-6</c:v>
                </c:pt>
                <c:pt idx="31">
                  <c:v>7.2600049848105261E-6</c:v>
                </c:pt>
                <c:pt idx="32">
                  <c:v>7.2203236407490976E-6</c:v>
                </c:pt>
                <c:pt idx="33">
                  <c:v>7.1810433516527699E-6</c:v>
                </c:pt>
                <c:pt idx="34">
                  <c:v>7.1421599263313827E-6</c:v>
                </c:pt>
                <c:pt idx="35">
                  <c:v>7.1036692267947619E-6</c:v>
                </c:pt>
              </c:numCache>
            </c:numRef>
          </c:yVal>
          <c:smooth val="0"/>
          <c:extLst>
            <c:ext xmlns:c16="http://schemas.microsoft.com/office/drawing/2014/chart" uri="{C3380CC4-5D6E-409C-BE32-E72D297353CC}">
              <c16:uniqueId val="{00000004-6AC0-4239-A5CD-BD1F4FB92539}"/>
            </c:ext>
          </c:extLst>
        </c:ser>
        <c:dLbls>
          <c:showLegendKey val="0"/>
          <c:showVal val="0"/>
          <c:showCatName val="0"/>
          <c:showSerName val="0"/>
          <c:showPercent val="0"/>
          <c:showBubbleSize val="0"/>
        </c:dLbls>
        <c:axId val="2035654496"/>
        <c:axId val="2106208416"/>
      </c:scatterChart>
      <c:valAx>
        <c:axId val="2035654496"/>
        <c:scaling>
          <c:orientation val="minMax"/>
          <c:max val="35"/>
          <c:min val="0"/>
        </c:scaling>
        <c:delete val="0"/>
        <c:axPos val="b"/>
        <c:majorGridlines>
          <c:spPr>
            <a:ln>
              <a:prstDash val="sysDot"/>
            </a:ln>
          </c:spPr>
        </c:majorGridlines>
        <c:title>
          <c:tx>
            <c:rich>
              <a:bodyPr/>
              <a:lstStyle/>
              <a:p>
                <a:pPr>
                  <a:defRPr sz="1200"/>
                </a:pPr>
                <a:r>
                  <a:rPr lang="en-US" sz="1200"/>
                  <a:t>SALINITY, PER MIL</a:t>
                </a:r>
              </a:p>
            </c:rich>
          </c:tx>
          <c:overlay val="0"/>
        </c:title>
        <c:numFmt formatCode="General" sourceLinked="1"/>
        <c:majorTickMark val="none"/>
        <c:minorTickMark val="none"/>
        <c:tickLblPos val="low"/>
        <c:spPr>
          <a:ln>
            <a:solidFill>
              <a:schemeClr val="tx1"/>
            </a:solidFill>
          </a:ln>
        </c:spPr>
        <c:crossAx val="2106208416"/>
        <c:crosses val="autoZero"/>
        <c:crossBetween val="midCat"/>
      </c:valAx>
      <c:valAx>
        <c:axId val="2106208416"/>
        <c:scaling>
          <c:orientation val="minMax"/>
          <c:min val="6.5000000000000021E-6"/>
        </c:scaling>
        <c:delete val="0"/>
        <c:axPos val="l"/>
        <c:majorGridlines>
          <c:spPr>
            <a:ln>
              <a:prstDash val="sysDot"/>
            </a:ln>
          </c:spPr>
        </c:majorGridlines>
        <c:title>
          <c:tx>
            <c:rich>
              <a:bodyPr/>
              <a:lstStyle/>
              <a:p>
                <a:pPr>
                  <a:defRPr sz="1200"/>
                </a:pPr>
                <a:r>
                  <a:rPr lang="en-US" sz="1200"/>
                  <a:t>MILLIMOLES PER KILOGRAM</a:t>
                </a:r>
              </a:p>
            </c:rich>
          </c:tx>
          <c:overlay val="0"/>
        </c:title>
        <c:numFmt formatCode="0.0E+00" sourceLinked="0"/>
        <c:majorTickMark val="none"/>
        <c:minorTickMark val="none"/>
        <c:tickLblPos val="nextTo"/>
        <c:spPr>
          <a:ln>
            <a:solidFill>
              <a:schemeClr val="tx1"/>
            </a:solidFill>
          </a:ln>
        </c:spPr>
        <c:crossAx val="2035654496"/>
        <c:crosses val="autoZero"/>
        <c:crossBetween val="midCat"/>
      </c:valAx>
    </c:plotArea>
    <c:legend>
      <c:legendPos val="b"/>
      <c:overlay val="0"/>
      <c:spPr>
        <a:ln>
          <a:solidFill>
            <a:sysClr val="windowText" lastClr="000000">
              <a:lumMod val="100000"/>
            </a:sysClr>
          </a:solidFill>
        </a:ln>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Solubility concentration in water at equilibrium with air</a:t>
            </a:r>
          </a:p>
        </c:rich>
      </c:tx>
      <c:overlay val="0"/>
    </c:title>
    <c:autoTitleDeleted val="0"/>
    <c:plotArea>
      <c:layout/>
      <c:scatterChart>
        <c:scatterStyle val="lineMarker"/>
        <c:varyColors val="0"/>
        <c:ser>
          <c:idx val="0"/>
          <c:order val="0"/>
          <c:tx>
            <c:strRef>
              <c:f>NeSalinity_SolGph!$J$8</c:f>
              <c:strCache>
                <c:ptCount val="1"/>
                <c:pt idx="0">
                  <c:v>Ne_Weiss</c:v>
                </c:pt>
              </c:strCache>
            </c:strRef>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NeSalinity_SolGph!$J$9:$J$44</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yVal>
          <c:smooth val="0"/>
          <c:extLst>
            <c:ext xmlns:c16="http://schemas.microsoft.com/office/drawing/2014/chart" uri="{C3380CC4-5D6E-409C-BE32-E72D297353CC}">
              <c16:uniqueId val="{00000000-FB0E-4C77-A39C-F688B29BAD58}"/>
            </c:ext>
          </c:extLst>
        </c:ser>
        <c:ser>
          <c:idx val="1"/>
          <c:order val="1"/>
          <c:tx>
            <c:strRef>
              <c:f>NeSalinity_SolGph!$K$8</c:f>
              <c:strCache>
                <c:ptCount val="1"/>
                <c:pt idx="0">
                  <c:v>Ne_WeissB</c:v>
                </c:pt>
              </c:strCache>
            </c:strRef>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NeSalinity_SolGph!$K$9:$K$44</c:f>
              <c:numCache>
                <c:formatCode>General</c:formatCode>
                <c:ptCount val="36"/>
                <c:pt idx="0">
                  <c:v>-5.4146381914776665E-3</c:v>
                </c:pt>
                <c:pt idx="1">
                  <c:v>-7.0556947079532181E-3</c:v>
                </c:pt>
                <c:pt idx="2">
                  <c:v>-8.3561909977459443E-3</c:v>
                </c:pt>
                <c:pt idx="3">
                  <c:v>-9.4486097150373247E-3</c:v>
                </c:pt>
                <c:pt idx="4">
                  <c:v>-1.0380363062514386E-2</c:v>
                </c:pt>
                <c:pt idx="5">
                  <c:v>-1.1178906032638117E-2</c:v>
                </c:pt>
                <c:pt idx="6">
                  <c:v>-1.1862791492532233E-2</c:v>
                </c:pt>
                <c:pt idx="7">
                  <c:v>-1.2445656072329513E-2</c:v>
                </c:pt>
                <c:pt idx="8">
                  <c:v>-1.2938075401278852E-2</c:v>
                </c:pt>
                <c:pt idx="9">
                  <c:v>-1.3348563878773752E-2</c:v>
                </c:pt>
                <c:pt idx="10">
                  <c:v>-1.3684168503038186E-2</c:v>
                </c:pt>
                <c:pt idx="11">
                  <c:v>-1.3950847146405099E-2</c:v>
                </c:pt>
                <c:pt idx="12">
                  <c:v>-1.4153722638934061E-2</c:v>
                </c:pt>
                <c:pt idx="13">
                  <c:v>-1.4297260684061473E-2</c:v>
                </c:pt>
                <c:pt idx="14">
                  <c:v>-1.4385398705781918E-2</c:v>
                </c:pt>
                <c:pt idx="15">
                  <c:v>-1.4421641781248816E-2</c:v>
                </c:pt>
                <c:pt idx="16">
                  <c:v>-1.440913575670812E-2</c:v>
                </c:pt>
                <c:pt idx="17">
                  <c:v>-1.4350724087590911E-2</c:v>
                </c:pt>
                <c:pt idx="18">
                  <c:v>-1.4248992794861361E-2</c:v>
                </c:pt>
                <c:pt idx="19">
                  <c:v>-1.4106306552010136E-2</c:v>
                </c:pt>
                <c:pt idx="20">
                  <c:v>-1.3924838042152398E-2</c:v>
                </c:pt>
                <c:pt idx="21">
                  <c:v>-1.3706592114604366E-2</c:v>
                </c:pt>
                <c:pt idx="22">
                  <c:v>-1.345342587509973E-2</c:v>
                </c:pt>
                <c:pt idx="23">
                  <c:v>-1.3167065547737177E-2</c:v>
                </c:pt>
                <c:pt idx="24">
                  <c:v>-1.2849120748435831E-2</c:v>
                </c:pt>
                <c:pt idx="25">
                  <c:v>-1.2501096662775492E-2</c:v>
                </c:pt>
                <c:pt idx="26">
                  <c:v>-1.2124404503376601E-2</c:v>
                </c:pt>
                <c:pt idx="27">
                  <c:v>-1.1720370554323064E-2</c:v>
                </c:pt>
                <c:pt idx="28">
                  <c:v>-1.1290244033532728E-2</c:v>
                </c:pt>
                <c:pt idx="29">
                  <c:v>-1.0835203969969771E-2</c:v>
                </c:pt>
                <c:pt idx="30">
                  <c:v>-1.0356365244869747E-2</c:v>
                </c:pt>
                <c:pt idx="31">
                  <c:v>-9.8547839276987292E-3</c:v>
                </c:pt>
                <c:pt idx="32">
                  <c:v>-9.331462005869014E-3</c:v>
                </c:pt>
                <c:pt idx="33">
                  <c:v>-8.7873515972568157E-3</c:v>
                </c:pt>
                <c:pt idx="34">
                  <c:v>-8.2233587133487933E-3</c:v>
                </c:pt>
                <c:pt idx="35">
                  <c:v>-7.6403466364324147E-3</c:v>
                </c:pt>
              </c:numCache>
            </c:numRef>
          </c:yVal>
          <c:smooth val="0"/>
          <c:extLst>
            <c:ext xmlns:c16="http://schemas.microsoft.com/office/drawing/2014/chart" uri="{C3380CC4-5D6E-409C-BE32-E72D297353CC}">
              <c16:uniqueId val="{00000001-FB0E-4C77-A39C-F688B29BAD58}"/>
            </c:ext>
          </c:extLst>
        </c:ser>
        <c:ser>
          <c:idx val="2"/>
          <c:order val="2"/>
          <c:tx>
            <c:strRef>
              <c:f>NeSalinity_SolGph!$L$8</c:f>
              <c:strCache>
                <c:ptCount val="1"/>
                <c:pt idx="0">
                  <c:v>Ne_Clvr</c:v>
                </c:pt>
              </c:strCache>
            </c:strRef>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NeSalinity_SolGph!$L$9:$L$44</c:f>
              <c:numCache>
                <c:formatCode>General</c:formatCode>
                <c:ptCount val="36"/>
                <c:pt idx="0">
                  <c:v>0.38826875487701945</c:v>
                </c:pt>
                <c:pt idx="1">
                  <c:v>0.41003886416799018</c:v>
                </c:pt>
                <c:pt idx="2">
                  <c:v>0.43139954114214329</c:v>
                </c:pt>
                <c:pt idx="3">
                  <c:v>0.45221964084617183</c:v>
                </c:pt>
                <c:pt idx="4">
                  <c:v>0.47245246675538843</c:v>
                </c:pt>
                <c:pt idx="5">
                  <c:v>0.4920709131240924</c:v>
                </c:pt>
                <c:pt idx="6">
                  <c:v>0.51105653790088945</c:v>
                </c:pt>
                <c:pt idx="7">
                  <c:v>0.52939564626363966</c:v>
                </c:pt>
                <c:pt idx="8">
                  <c:v>0.54707747797342288</c:v>
                </c:pt>
                <c:pt idx="9">
                  <c:v>0.56409323597323391</c:v>
                </c:pt>
                <c:pt idx="10">
                  <c:v>0.58043551259537696</c:v>
                </c:pt>
                <c:pt idx="11">
                  <c:v>0.59609792607070378</c:v>
                </c:pt>
                <c:pt idx="12">
                  <c:v>0.6110748777298346</c:v>
                </c:pt>
                <c:pt idx="13">
                  <c:v>0.6253613829411383</c:v>
                </c:pt>
                <c:pt idx="14">
                  <c:v>0.63895294936538471</c:v>
                </c:pt>
                <c:pt idx="15">
                  <c:v>0.65184548682749921</c:v>
                </c:pt>
                <c:pt idx="16">
                  <c:v>0.66403523902059292</c:v>
                </c:pt>
                <c:pt idx="17">
                  <c:v>0.67551873072283708</c:v>
                </c:pt>
                <c:pt idx="18">
                  <c:v>0.68629272629732396</c:v>
                </c:pt>
                <c:pt idx="19">
                  <c:v>0.69635419658013564</c:v>
                </c:pt>
                <c:pt idx="20">
                  <c:v>0.70570029210727581</c:v>
                </c:pt>
                <c:pt idx="21">
                  <c:v>0.71432832122261514</c:v>
                </c:pt>
                <c:pt idx="22">
                  <c:v>0.72223573198537505</c:v>
                </c:pt>
                <c:pt idx="23">
                  <c:v>0.72942009708367084</c:v>
                </c:pt>
                <c:pt idx="24">
                  <c:v>0.73587910114727817</c:v>
                </c:pt>
                <c:pt idx="25">
                  <c:v>0.74161052999750809</c:v>
                </c:pt>
                <c:pt idx="26">
                  <c:v>0.74661226147766946</c:v>
                </c:pt>
                <c:pt idx="27">
                  <c:v>0.75088225757956584</c:v>
                </c:pt>
                <c:pt idx="28">
                  <c:v>0.75441855764781152</c:v>
                </c:pt>
                <c:pt idx="29">
                  <c:v>0.75721927247947973</c:v>
                </c:pt>
                <c:pt idx="30">
                  <c:v>0.75928257918082787</c:v>
                </c:pt>
                <c:pt idx="31">
                  <c:v>0.76060671665945201</c:v>
                </c:pt>
                <c:pt idx="32">
                  <c:v>0.76118998166011154</c:v>
                </c:pt>
                <c:pt idx="33">
                  <c:v>0.76103072526336613</c:v>
                </c:pt>
                <c:pt idx="34">
                  <c:v>0.76012734978436547</c:v>
                </c:pt>
                <c:pt idx="35">
                  <c:v>0.75847830601336064</c:v>
                </c:pt>
              </c:numCache>
            </c:numRef>
          </c:yVal>
          <c:smooth val="0"/>
          <c:extLst>
            <c:ext xmlns:c16="http://schemas.microsoft.com/office/drawing/2014/chart" uri="{C3380CC4-5D6E-409C-BE32-E72D297353CC}">
              <c16:uniqueId val="{00000002-FB0E-4C77-A39C-F688B29BAD58}"/>
            </c:ext>
          </c:extLst>
        </c:ser>
        <c:ser>
          <c:idx val="3"/>
          <c:order val="3"/>
          <c:tx>
            <c:strRef>
              <c:f>NeSalinity_SolGph!$M$8</c:f>
              <c:strCache>
                <c:ptCount val="1"/>
                <c:pt idx="0">
                  <c:v>Ne_H&amp;E</c:v>
                </c:pt>
              </c:strCache>
            </c:strRef>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NeSalinity_SolGph!$M$9:$M$44</c:f>
              <c:numCache>
                <c:formatCode>General</c:formatCode>
                <c:ptCount val="36"/>
                <c:pt idx="0">
                  <c:v>0.78251793320546426</c:v>
                </c:pt>
                <c:pt idx="1">
                  <c:v>0.78322671519796883</c:v>
                </c:pt>
                <c:pt idx="2">
                  <c:v>0.78393550217497854</c:v>
                </c:pt>
                <c:pt idx="3">
                  <c:v>0.78464429413693304</c:v>
                </c:pt>
                <c:pt idx="4">
                  <c:v>0.78535309108351048</c:v>
                </c:pt>
                <c:pt idx="5">
                  <c:v>0.78606189301505658</c:v>
                </c:pt>
                <c:pt idx="6">
                  <c:v>0.78677069993128312</c:v>
                </c:pt>
                <c:pt idx="7">
                  <c:v>0.7874795118325888</c:v>
                </c:pt>
                <c:pt idx="8">
                  <c:v>0.78818832871859423</c:v>
                </c:pt>
                <c:pt idx="9">
                  <c:v>0.78889715058977994</c:v>
                </c:pt>
                <c:pt idx="10">
                  <c:v>0.78960597744575189</c:v>
                </c:pt>
                <c:pt idx="11">
                  <c:v>0.79031480928697695</c:v>
                </c:pt>
                <c:pt idx="12">
                  <c:v>0.79102364611304177</c:v>
                </c:pt>
                <c:pt idx="13">
                  <c:v>0.79173248792440354</c:v>
                </c:pt>
                <c:pt idx="14">
                  <c:v>0.79244133472073131</c:v>
                </c:pt>
                <c:pt idx="15">
                  <c:v>0.79315018650239244</c:v>
                </c:pt>
                <c:pt idx="16">
                  <c:v>0.79385904326906898</c:v>
                </c:pt>
                <c:pt idx="17">
                  <c:v>0.79456790502117036</c:v>
                </c:pt>
                <c:pt idx="18">
                  <c:v>0.79527677175836275</c:v>
                </c:pt>
                <c:pt idx="19">
                  <c:v>0.79598564348105771</c:v>
                </c:pt>
                <c:pt idx="20">
                  <c:v>0.79669452018891851</c:v>
                </c:pt>
                <c:pt idx="21">
                  <c:v>0.79740340188230507</c:v>
                </c:pt>
                <c:pt idx="22">
                  <c:v>0.79811228856114769</c:v>
                </c:pt>
                <c:pt idx="23">
                  <c:v>0.79882118022522219</c:v>
                </c:pt>
                <c:pt idx="24">
                  <c:v>0.799530076874989</c:v>
                </c:pt>
                <c:pt idx="25">
                  <c:v>0.80023897851008252</c:v>
                </c:pt>
                <c:pt idx="26">
                  <c:v>0.80094788513093207</c:v>
                </c:pt>
                <c:pt idx="27">
                  <c:v>0.80165679673714718</c:v>
                </c:pt>
                <c:pt idx="28">
                  <c:v>0.80236571332921169</c:v>
                </c:pt>
                <c:pt idx="29">
                  <c:v>0.80307463490672859</c:v>
                </c:pt>
                <c:pt idx="30">
                  <c:v>0.80378356147012331</c:v>
                </c:pt>
                <c:pt idx="31">
                  <c:v>0.80449249301907577</c:v>
                </c:pt>
                <c:pt idx="32">
                  <c:v>0.80520142955394314</c:v>
                </c:pt>
                <c:pt idx="33">
                  <c:v>0.8059103710744473</c:v>
                </c:pt>
                <c:pt idx="34">
                  <c:v>0.80661931758099337</c:v>
                </c:pt>
                <c:pt idx="35">
                  <c:v>0.80732826907320043</c:v>
                </c:pt>
              </c:numCache>
            </c:numRef>
          </c:yVal>
          <c:smooth val="0"/>
          <c:extLst>
            <c:ext xmlns:c16="http://schemas.microsoft.com/office/drawing/2014/chart" uri="{C3380CC4-5D6E-409C-BE32-E72D297353CC}">
              <c16:uniqueId val="{00000003-FB0E-4C77-A39C-F688B29BAD58}"/>
            </c:ext>
          </c:extLst>
        </c:ser>
        <c:ser>
          <c:idx val="4"/>
          <c:order val="4"/>
          <c:tx>
            <c:strRef>
              <c:f>NeSalinity_SolGph!$N$8</c:f>
              <c:strCache>
                <c:ptCount val="1"/>
                <c:pt idx="0">
                  <c:v>Ne_Jenk</c:v>
                </c:pt>
              </c:strCache>
            </c:strRef>
          </c:tx>
          <c:marker>
            <c:symbol val="none"/>
          </c:marker>
          <c:xVal>
            <c:numRef>
              <c:f>NeSalinity_SolGph!$C$9:$C$44</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numCache>
            </c:numRef>
          </c:xVal>
          <c:yVal>
            <c:numRef>
              <c:f>NeSalinity_SolGph!$N$9:$N$44</c:f>
              <c:numCache>
                <c:formatCode>General</c:formatCode>
                <c:ptCount val="36"/>
                <c:pt idx="0">
                  <c:v>1.3274592823568028</c:v>
                </c:pt>
                <c:pt idx="1">
                  <c:v>1.285788485696586</c:v>
                </c:pt>
                <c:pt idx="2">
                  <c:v>1.2467314248023331</c:v>
                </c:pt>
                <c:pt idx="3">
                  <c:v>1.2102850887858627</c:v>
                </c:pt>
                <c:pt idx="4">
                  <c:v>1.1764466687150643</c:v>
                </c:pt>
                <c:pt idx="5">
                  <c:v>1.145213557254134</c:v>
                </c:pt>
                <c:pt idx="6">
                  <c:v>1.1165833483274448</c:v>
                </c:pt>
                <c:pt idx="7">
                  <c:v>1.0905538368119598</c:v>
                </c:pt>
                <c:pt idx="8">
                  <c:v>1.0671230182531311</c:v>
                </c:pt>
                <c:pt idx="9">
                  <c:v>1.0462890886079792</c:v>
                </c:pt>
                <c:pt idx="10">
                  <c:v>1.0280504440130838</c:v>
                </c:pt>
                <c:pt idx="11">
                  <c:v>1.0124056805802679</c:v>
                </c:pt>
                <c:pt idx="12">
                  <c:v>0.99935359421457381</c:v>
                </c:pt>
                <c:pt idx="13">
                  <c:v>0.98889318046151853</c:v>
                </c:pt>
                <c:pt idx="14">
                  <c:v>0.98102363437726525</c:v>
                </c:pt>
                <c:pt idx="15">
                  <c:v>0.97574435042510443</c:v>
                </c:pt>
                <c:pt idx="16">
                  <c:v>0.97305492239911306</c:v>
                </c:pt>
                <c:pt idx="17">
                  <c:v>0.97295514337083522</c:v>
                </c:pt>
                <c:pt idx="18">
                  <c:v>0.97544500566289805</c:v>
                </c:pt>
                <c:pt idx="19">
                  <c:v>0.980524700848874</c:v>
                </c:pt>
                <c:pt idx="20">
                  <c:v>0.98819461977709044</c:v>
                </c:pt>
                <c:pt idx="21">
                  <c:v>0.99845535262038843</c:v>
                </c:pt>
                <c:pt idx="22">
                  <c:v>1.0113076889534518</c:v>
                </c:pt>
                <c:pt idx="23">
                  <c:v>1.0267526178516688</c:v>
                </c:pt>
                <c:pt idx="24">
                  <c:v>1.0447913280203918</c:v>
                </c:pt>
                <c:pt idx="25">
                  <c:v>1.0654252079454665</c:v>
                </c:pt>
                <c:pt idx="26">
                  <c:v>1.088655846073066</c:v>
                </c:pt>
                <c:pt idx="27">
                  <c:v>1.1144850310121803</c:v>
                </c:pt>
                <c:pt idx="28">
                  <c:v>1.1429147517642901</c:v>
                </c:pt>
                <c:pt idx="29">
                  <c:v>1.173947197979694</c:v>
                </c:pt>
                <c:pt idx="30">
                  <c:v>1.2075847602374301</c:v>
                </c:pt>
                <c:pt idx="31">
                  <c:v>1.2438300303523215</c:v>
                </c:pt>
                <c:pt idx="32">
                  <c:v>1.2826858017088565</c:v>
                </c:pt>
                <c:pt idx="33">
                  <c:v>1.3241550696188928</c:v>
                </c:pt>
                <c:pt idx="34">
                  <c:v>1.3682410317064659</c:v>
                </c:pt>
                <c:pt idx="35">
                  <c:v>1.4149470883198818</c:v>
                </c:pt>
              </c:numCache>
            </c:numRef>
          </c:yVal>
          <c:smooth val="0"/>
          <c:extLst>
            <c:ext xmlns:c16="http://schemas.microsoft.com/office/drawing/2014/chart" uri="{C3380CC4-5D6E-409C-BE32-E72D297353CC}">
              <c16:uniqueId val="{00000004-FB0E-4C77-A39C-F688B29BAD58}"/>
            </c:ext>
          </c:extLst>
        </c:ser>
        <c:dLbls>
          <c:showLegendKey val="0"/>
          <c:showVal val="0"/>
          <c:showCatName val="0"/>
          <c:showSerName val="0"/>
          <c:showPercent val="0"/>
          <c:showBubbleSize val="0"/>
        </c:dLbls>
        <c:axId val="2035654496"/>
        <c:axId val="2106208416"/>
      </c:scatterChart>
      <c:valAx>
        <c:axId val="2035654496"/>
        <c:scaling>
          <c:orientation val="minMax"/>
          <c:max val="35"/>
          <c:min val="0"/>
        </c:scaling>
        <c:delete val="0"/>
        <c:axPos val="b"/>
        <c:majorGridlines>
          <c:spPr>
            <a:ln>
              <a:prstDash val="sysDot"/>
            </a:ln>
          </c:spPr>
        </c:majorGridlines>
        <c:title>
          <c:tx>
            <c:rich>
              <a:bodyPr/>
              <a:lstStyle/>
              <a:p>
                <a:pPr>
                  <a:defRPr sz="1200"/>
                </a:pPr>
                <a:r>
                  <a:rPr lang="en-US" sz="1200"/>
                  <a:t>SALINITY, PER MIL</a:t>
                </a:r>
              </a:p>
            </c:rich>
          </c:tx>
          <c:overlay val="0"/>
        </c:title>
        <c:numFmt formatCode="General" sourceLinked="1"/>
        <c:majorTickMark val="none"/>
        <c:minorTickMark val="none"/>
        <c:tickLblPos val="low"/>
        <c:spPr>
          <a:ln>
            <a:solidFill>
              <a:schemeClr val="tx1"/>
            </a:solidFill>
          </a:ln>
        </c:spPr>
        <c:crossAx val="2106208416"/>
        <c:crosses val="autoZero"/>
        <c:crossBetween val="midCat"/>
      </c:valAx>
      <c:valAx>
        <c:axId val="2106208416"/>
        <c:scaling>
          <c:orientation val="minMax"/>
        </c:scaling>
        <c:delete val="0"/>
        <c:axPos val="l"/>
        <c:majorGridlines>
          <c:spPr>
            <a:ln>
              <a:prstDash val="sysDot"/>
            </a:ln>
          </c:spPr>
        </c:majorGridlines>
        <c:title>
          <c:tx>
            <c:rich>
              <a:bodyPr/>
              <a:lstStyle/>
              <a:p>
                <a:pPr>
                  <a:defRPr sz="1200"/>
                </a:pPr>
                <a:r>
                  <a:rPr lang="en-US" sz="1200"/>
                  <a:t>PERCENT DEVIATION FROM WEISS (1971)</a:t>
                </a:r>
              </a:p>
            </c:rich>
          </c:tx>
          <c:overlay val="0"/>
        </c:title>
        <c:numFmt formatCode="General" sourceLinked="1"/>
        <c:majorTickMark val="none"/>
        <c:minorTickMark val="none"/>
        <c:tickLblPos val="nextTo"/>
        <c:spPr>
          <a:ln>
            <a:solidFill>
              <a:schemeClr val="tx1"/>
            </a:solidFill>
          </a:ln>
        </c:spPr>
        <c:crossAx val="2035654496"/>
        <c:crosses val="autoZero"/>
        <c:crossBetween val="midCat"/>
      </c:valAx>
    </c:plotArea>
    <c:legend>
      <c:legendPos val="b"/>
      <c:overlay val="0"/>
      <c:spPr>
        <a:ln>
          <a:solidFill>
            <a:sysClr val="windowText" lastClr="000000">
              <a:lumMod val="100000"/>
            </a:sysClr>
          </a:solidFill>
        </a:ln>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Solubility concentration in water at equilibrium with air</a:t>
            </a:r>
          </a:p>
        </c:rich>
      </c:tx>
      <c:overlay val="0"/>
    </c:title>
    <c:autoTitleDeleted val="0"/>
    <c:plotArea>
      <c:layout/>
      <c:scatterChart>
        <c:scatterStyle val="lineMarker"/>
        <c:varyColors val="0"/>
        <c:ser>
          <c:idx val="0"/>
          <c:order val="0"/>
          <c:tx>
            <c:v>Sano &amp; Takahata</c:v>
          </c:tx>
          <c:spPr>
            <a:ln w="19050">
              <a:noFill/>
            </a:ln>
          </c:spPr>
          <c:marker>
            <c:spPr>
              <a:solidFill>
                <a:srgbClr val="FF0000"/>
              </a:solidFill>
              <a:ln>
                <a:solidFill>
                  <a:srgbClr val="FF0000"/>
                </a:solidFill>
              </a:ln>
            </c:spPr>
          </c:marker>
          <c:xVal>
            <c:numRef>
              <c:f>NeSano_SolGph!$D$9:$D$17</c:f>
              <c:numCache>
                <c:formatCode>General</c:formatCode>
                <c:ptCount val="9"/>
                <c:pt idx="0">
                  <c:v>1</c:v>
                </c:pt>
                <c:pt idx="1">
                  <c:v>5.5</c:v>
                </c:pt>
                <c:pt idx="2">
                  <c:v>7.5</c:v>
                </c:pt>
                <c:pt idx="3">
                  <c:v>10</c:v>
                </c:pt>
                <c:pt idx="4">
                  <c:v>14.4</c:v>
                </c:pt>
                <c:pt idx="5">
                  <c:v>17</c:v>
                </c:pt>
                <c:pt idx="6">
                  <c:v>21.3</c:v>
                </c:pt>
                <c:pt idx="7">
                  <c:v>24.6</c:v>
                </c:pt>
                <c:pt idx="8">
                  <c:v>29.6</c:v>
                </c:pt>
              </c:numCache>
            </c:numRef>
          </c:xVal>
          <c:yVal>
            <c:numRef>
              <c:f>NeSano_SolGph!$K$9:$K$17</c:f>
              <c:numCache>
                <c:formatCode>General</c:formatCode>
                <c:ptCount val="9"/>
                <c:pt idx="0">
                  <c:v>0</c:v>
                </c:pt>
                <c:pt idx="1">
                  <c:v>0</c:v>
                </c:pt>
                <c:pt idx="2">
                  <c:v>0</c:v>
                </c:pt>
                <c:pt idx="3">
                  <c:v>0</c:v>
                </c:pt>
                <c:pt idx="4">
                  <c:v>0</c:v>
                </c:pt>
                <c:pt idx="5">
                  <c:v>0</c:v>
                </c:pt>
                <c:pt idx="6">
                  <c:v>0</c:v>
                </c:pt>
                <c:pt idx="7">
                  <c:v>0</c:v>
                </c:pt>
                <c:pt idx="8">
                  <c:v>0</c:v>
                </c:pt>
              </c:numCache>
            </c:numRef>
          </c:yVal>
          <c:smooth val="0"/>
          <c:extLst>
            <c:ext xmlns:c16="http://schemas.microsoft.com/office/drawing/2014/chart" uri="{C3380CC4-5D6E-409C-BE32-E72D297353CC}">
              <c16:uniqueId val="{00000000-DA33-48BC-887D-11D99ABB743E}"/>
            </c:ext>
          </c:extLst>
        </c:ser>
        <c:ser>
          <c:idx val="1"/>
          <c:order val="1"/>
          <c:tx>
            <c:strRef>
              <c:f>NeSano_SolGph!$L$8</c:f>
              <c:strCache>
                <c:ptCount val="1"/>
                <c:pt idx="0">
                  <c:v>Ne_Weiss</c:v>
                </c:pt>
              </c:strCache>
            </c:strRef>
          </c:tx>
          <c:spPr>
            <a:ln w="19050">
              <a:noFill/>
            </a:ln>
          </c:spPr>
          <c:marker>
            <c:symbol val="square"/>
            <c:size val="6"/>
            <c:spPr>
              <a:solidFill>
                <a:schemeClr val="accent6"/>
              </a:solidFill>
              <a:ln>
                <a:solidFill>
                  <a:schemeClr val="tx1"/>
                </a:solidFill>
              </a:ln>
            </c:spPr>
          </c:marker>
          <c:xVal>
            <c:numRef>
              <c:f>NeSano_SolGph!$D$9:$D$17</c:f>
              <c:numCache>
                <c:formatCode>General</c:formatCode>
                <c:ptCount val="9"/>
                <c:pt idx="0">
                  <c:v>1</c:v>
                </c:pt>
                <c:pt idx="1">
                  <c:v>5.5</c:v>
                </c:pt>
                <c:pt idx="2">
                  <c:v>7.5</c:v>
                </c:pt>
                <c:pt idx="3">
                  <c:v>10</c:v>
                </c:pt>
                <c:pt idx="4">
                  <c:v>14.4</c:v>
                </c:pt>
                <c:pt idx="5">
                  <c:v>17</c:v>
                </c:pt>
                <c:pt idx="6">
                  <c:v>21.3</c:v>
                </c:pt>
                <c:pt idx="7">
                  <c:v>24.6</c:v>
                </c:pt>
                <c:pt idx="8">
                  <c:v>29.6</c:v>
                </c:pt>
              </c:numCache>
            </c:numRef>
          </c:xVal>
          <c:yVal>
            <c:numRef>
              <c:f>NeSano_SolGph!$L$9:$L$17</c:f>
              <c:numCache>
                <c:formatCode>General</c:formatCode>
                <c:ptCount val="9"/>
                <c:pt idx="0">
                  <c:v>-1.3362483092622901</c:v>
                </c:pt>
                <c:pt idx="1">
                  <c:v>-1.5132251909041261</c:v>
                </c:pt>
                <c:pt idx="2">
                  <c:v>-0.95249303334850666</c:v>
                </c:pt>
                <c:pt idx="3">
                  <c:v>-0.2876458735482369</c:v>
                </c:pt>
                <c:pt idx="4">
                  <c:v>-0.17840428678164175</c:v>
                </c:pt>
                <c:pt idx="5">
                  <c:v>-2.8567806310743609</c:v>
                </c:pt>
                <c:pt idx="6">
                  <c:v>-1.6984947266086876</c:v>
                </c:pt>
                <c:pt idx="7">
                  <c:v>-4.6112765920754883</c:v>
                </c:pt>
                <c:pt idx="8">
                  <c:v>-1.9333607926351477</c:v>
                </c:pt>
              </c:numCache>
            </c:numRef>
          </c:yVal>
          <c:smooth val="0"/>
          <c:extLst>
            <c:ext xmlns:c16="http://schemas.microsoft.com/office/drawing/2014/chart" uri="{C3380CC4-5D6E-409C-BE32-E72D297353CC}">
              <c16:uniqueId val="{00000001-DA33-48BC-887D-11D99ABB743E}"/>
            </c:ext>
          </c:extLst>
        </c:ser>
        <c:ser>
          <c:idx val="2"/>
          <c:order val="2"/>
          <c:tx>
            <c:strRef>
              <c:f>NeSano_SolGph!$N$8</c:f>
              <c:strCache>
                <c:ptCount val="1"/>
                <c:pt idx="0">
                  <c:v>Ne_Clvr</c:v>
                </c:pt>
              </c:strCache>
            </c:strRef>
          </c:tx>
          <c:spPr>
            <a:ln w="19050">
              <a:noFill/>
            </a:ln>
          </c:spPr>
          <c:marker>
            <c:symbol val="triangle"/>
            <c:size val="6"/>
            <c:spPr>
              <a:solidFill>
                <a:srgbClr val="FFC000"/>
              </a:solidFill>
              <a:ln>
                <a:solidFill>
                  <a:schemeClr val="tx1"/>
                </a:solidFill>
              </a:ln>
            </c:spPr>
          </c:marker>
          <c:xVal>
            <c:numRef>
              <c:f>NeSano_SolGph!$D$9:$D$17</c:f>
              <c:numCache>
                <c:formatCode>General</c:formatCode>
                <c:ptCount val="9"/>
                <c:pt idx="0">
                  <c:v>1</c:v>
                </c:pt>
                <c:pt idx="1">
                  <c:v>5.5</c:v>
                </c:pt>
                <c:pt idx="2">
                  <c:v>7.5</c:v>
                </c:pt>
                <c:pt idx="3">
                  <c:v>10</c:v>
                </c:pt>
                <c:pt idx="4">
                  <c:v>14.4</c:v>
                </c:pt>
                <c:pt idx="5">
                  <c:v>17</c:v>
                </c:pt>
                <c:pt idx="6">
                  <c:v>21.3</c:v>
                </c:pt>
                <c:pt idx="7">
                  <c:v>24.6</c:v>
                </c:pt>
                <c:pt idx="8">
                  <c:v>29.6</c:v>
                </c:pt>
              </c:numCache>
            </c:numRef>
          </c:xVal>
          <c:yVal>
            <c:numRef>
              <c:f>NeSano_SolGph!$N$9:$N$17</c:f>
              <c:numCache>
                <c:formatCode>General</c:formatCode>
                <c:ptCount val="9"/>
                <c:pt idx="0">
                  <c:v>0.35479882954893044</c:v>
                </c:pt>
                <c:pt idx="1">
                  <c:v>-0.23360202043778014</c:v>
                </c:pt>
                <c:pt idx="2">
                  <c:v>0.1789843442281176</c:v>
                </c:pt>
                <c:pt idx="3">
                  <c:v>0.68558394579343984</c:v>
                </c:pt>
                <c:pt idx="4">
                  <c:v>0.59709056102764146</c:v>
                </c:pt>
                <c:pt idx="5">
                  <c:v>-2.1556094699540851</c:v>
                </c:pt>
                <c:pt idx="6">
                  <c:v>-0.97012591093635325</c:v>
                </c:pt>
                <c:pt idx="7">
                  <c:v>-3.7990723947928524</c:v>
                </c:pt>
                <c:pt idx="8">
                  <c:v>-0.7818371758219228</c:v>
                </c:pt>
              </c:numCache>
            </c:numRef>
          </c:yVal>
          <c:smooth val="0"/>
          <c:extLst>
            <c:ext xmlns:c16="http://schemas.microsoft.com/office/drawing/2014/chart" uri="{C3380CC4-5D6E-409C-BE32-E72D297353CC}">
              <c16:uniqueId val="{00000002-DA33-48BC-887D-11D99ABB743E}"/>
            </c:ext>
          </c:extLst>
        </c:ser>
        <c:ser>
          <c:idx val="3"/>
          <c:order val="3"/>
          <c:tx>
            <c:strRef>
              <c:f>NeSano_SolGph!$O$8</c:f>
              <c:strCache>
                <c:ptCount val="1"/>
                <c:pt idx="0">
                  <c:v>Ne_H&amp;E</c:v>
                </c:pt>
              </c:strCache>
            </c:strRef>
          </c:tx>
          <c:spPr>
            <a:ln w="19050">
              <a:noFill/>
            </a:ln>
          </c:spPr>
          <c:marker>
            <c:symbol val="x"/>
            <c:size val="6"/>
            <c:spPr>
              <a:ln>
                <a:solidFill>
                  <a:schemeClr val="tx1"/>
                </a:solidFill>
              </a:ln>
            </c:spPr>
          </c:marker>
          <c:xVal>
            <c:numRef>
              <c:f>NeSano_SolGph!$D$9:$D$17</c:f>
              <c:numCache>
                <c:formatCode>General</c:formatCode>
                <c:ptCount val="9"/>
                <c:pt idx="0">
                  <c:v>1</c:v>
                </c:pt>
                <c:pt idx="1">
                  <c:v>5.5</c:v>
                </c:pt>
                <c:pt idx="2">
                  <c:v>7.5</c:v>
                </c:pt>
                <c:pt idx="3">
                  <c:v>10</c:v>
                </c:pt>
                <c:pt idx="4">
                  <c:v>14.4</c:v>
                </c:pt>
                <c:pt idx="5">
                  <c:v>17</c:v>
                </c:pt>
                <c:pt idx="6">
                  <c:v>21.3</c:v>
                </c:pt>
                <c:pt idx="7">
                  <c:v>24.6</c:v>
                </c:pt>
                <c:pt idx="8">
                  <c:v>29.6</c:v>
                </c:pt>
              </c:numCache>
            </c:numRef>
          </c:xVal>
          <c:yVal>
            <c:numRef>
              <c:f>NeSano_SolGph!$O$9:$O$17</c:f>
              <c:numCache>
                <c:formatCode>General</c:formatCode>
                <c:ptCount val="9"/>
                <c:pt idx="0">
                  <c:v>0.70561241000388697</c:v>
                </c:pt>
                <c:pt idx="1">
                  <c:v>2.6182870387113383E-2</c:v>
                </c:pt>
                <c:pt idx="2">
                  <c:v>0.38889704007591752</c:v>
                </c:pt>
                <c:pt idx="3">
                  <c:v>0.83176289786472035</c:v>
                </c:pt>
                <c:pt idx="4">
                  <c:v>0.65196107296384409</c:v>
                </c:pt>
                <c:pt idx="5">
                  <c:v>-2.125230350030415</c:v>
                </c:pt>
                <c:pt idx="6">
                  <c:v>-0.89563417615749397</c:v>
                </c:pt>
                <c:pt idx="7">
                  <c:v>-3.5995231427395136</c:v>
                </c:pt>
                <c:pt idx="8">
                  <c:v>-0.15261891021038068</c:v>
                </c:pt>
              </c:numCache>
            </c:numRef>
          </c:yVal>
          <c:smooth val="0"/>
          <c:extLst>
            <c:ext xmlns:c16="http://schemas.microsoft.com/office/drawing/2014/chart" uri="{C3380CC4-5D6E-409C-BE32-E72D297353CC}">
              <c16:uniqueId val="{00000003-DA33-48BC-887D-11D99ABB743E}"/>
            </c:ext>
          </c:extLst>
        </c:ser>
        <c:ser>
          <c:idx val="4"/>
          <c:order val="4"/>
          <c:tx>
            <c:strRef>
              <c:f>NeSano_SolGph!$P$8</c:f>
              <c:strCache>
                <c:ptCount val="1"/>
                <c:pt idx="0">
                  <c:v>Ne_Jenk</c:v>
                </c:pt>
              </c:strCache>
            </c:strRef>
          </c:tx>
          <c:spPr>
            <a:ln w="19050">
              <a:noFill/>
            </a:ln>
          </c:spPr>
          <c:marker>
            <c:symbol val="star"/>
            <c:size val="6"/>
            <c:spPr>
              <a:solidFill>
                <a:sysClr val="window" lastClr="FFFFFF"/>
              </a:solidFill>
              <a:ln>
                <a:solidFill>
                  <a:srgbClr val="0000FF"/>
                </a:solidFill>
              </a:ln>
            </c:spPr>
          </c:marker>
          <c:xVal>
            <c:numRef>
              <c:f>NeSano_SolGph!$D$9:$D$17</c:f>
              <c:numCache>
                <c:formatCode>General</c:formatCode>
                <c:ptCount val="9"/>
                <c:pt idx="0">
                  <c:v>1</c:v>
                </c:pt>
                <c:pt idx="1">
                  <c:v>5.5</c:v>
                </c:pt>
                <c:pt idx="2">
                  <c:v>7.5</c:v>
                </c:pt>
                <c:pt idx="3">
                  <c:v>10</c:v>
                </c:pt>
                <c:pt idx="4">
                  <c:v>14.4</c:v>
                </c:pt>
                <c:pt idx="5">
                  <c:v>17</c:v>
                </c:pt>
                <c:pt idx="6">
                  <c:v>21.3</c:v>
                </c:pt>
                <c:pt idx="7">
                  <c:v>24.6</c:v>
                </c:pt>
                <c:pt idx="8">
                  <c:v>29.6</c:v>
                </c:pt>
              </c:numCache>
            </c:numRef>
          </c:xVal>
          <c:yVal>
            <c:numRef>
              <c:f>NeSano_SolGph!$P$9:$P$17</c:f>
              <c:numCache>
                <c:formatCode>General</c:formatCode>
                <c:ptCount val="9"/>
                <c:pt idx="0">
                  <c:v>0.81460823243704616</c:v>
                </c:pt>
                <c:pt idx="1">
                  <c:v>0.13516957455939838</c:v>
                </c:pt>
                <c:pt idx="2">
                  <c:v>0.56502561556644515</c:v>
                </c:pt>
                <c:pt idx="3">
                  <c:v>1.1270447422069114</c:v>
                </c:pt>
                <c:pt idx="4">
                  <c:v>1.1897426710918093</c:v>
                </c:pt>
                <c:pt idx="5">
                  <c:v>-1.4766835238894838</c:v>
                </c:pt>
                <c:pt idx="6">
                  <c:v>-0.11580029649164508</c:v>
                </c:pt>
                <c:pt idx="7">
                  <c:v>-2.8653660040144557</c:v>
                </c:pt>
                <c:pt idx="8">
                  <c:v>0.28260235129971789</c:v>
                </c:pt>
              </c:numCache>
            </c:numRef>
          </c:yVal>
          <c:smooth val="0"/>
          <c:extLst>
            <c:ext xmlns:c16="http://schemas.microsoft.com/office/drawing/2014/chart" uri="{C3380CC4-5D6E-409C-BE32-E72D297353CC}">
              <c16:uniqueId val="{00000004-DA33-48BC-887D-11D99ABB743E}"/>
            </c:ext>
          </c:extLst>
        </c:ser>
        <c:dLbls>
          <c:showLegendKey val="0"/>
          <c:showVal val="0"/>
          <c:showCatName val="0"/>
          <c:showSerName val="0"/>
          <c:showPercent val="0"/>
          <c:showBubbleSize val="0"/>
        </c:dLbls>
        <c:axId val="1698724336"/>
        <c:axId val="1979702608"/>
      </c:scatterChart>
      <c:valAx>
        <c:axId val="1698724336"/>
        <c:scaling>
          <c:orientation val="minMax"/>
          <c:max val="35"/>
          <c:min val="0"/>
        </c:scaling>
        <c:delete val="0"/>
        <c:axPos val="b"/>
        <c:majorGridlines>
          <c:spPr>
            <a:ln>
              <a:prstDash val="sysDot"/>
            </a:ln>
          </c:spPr>
        </c:majorGridlines>
        <c:title>
          <c:tx>
            <c:rich>
              <a:bodyPr/>
              <a:lstStyle/>
              <a:p>
                <a:pPr>
                  <a:defRPr sz="1200"/>
                </a:pPr>
                <a:r>
                  <a:rPr lang="en-US" sz="1200"/>
                  <a:t>TEMPERATURE, CELSIUS</a:t>
                </a:r>
              </a:p>
            </c:rich>
          </c:tx>
          <c:overlay val="0"/>
        </c:title>
        <c:numFmt formatCode="General" sourceLinked="1"/>
        <c:majorTickMark val="none"/>
        <c:minorTickMark val="none"/>
        <c:tickLblPos val="low"/>
        <c:spPr>
          <a:ln>
            <a:solidFill>
              <a:schemeClr val="tx1"/>
            </a:solidFill>
          </a:ln>
        </c:spPr>
        <c:crossAx val="1979702608"/>
        <c:crosses val="autoZero"/>
        <c:crossBetween val="midCat"/>
      </c:valAx>
      <c:valAx>
        <c:axId val="1979702608"/>
        <c:scaling>
          <c:orientation val="minMax"/>
        </c:scaling>
        <c:delete val="0"/>
        <c:axPos val="l"/>
        <c:majorGridlines>
          <c:spPr>
            <a:ln>
              <a:prstDash val="sysDot"/>
            </a:ln>
          </c:spPr>
        </c:majorGridlines>
        <c:title>
          <c:tx>
            <c:rich>
              <a:bodyPr/>
              <a:lstStyle/>
              <a:p>
                <a:pPr>
                  <a:defRPr sz="1200"/>
                </a:pPr>
                <a:r>
                  <a:rPr lang="en-US" sz="1200"/>
                  <a:t>PERCENT DEVIATION FROM </a:t>
                </a:r>
              </a:p>
              <a:p>
                <a:pPr>
                  <a:defRPr sz="1200"/>
                </a:pPr>
                <a:r>
                  <a:rPr lang="en-US" sz="1200"/>
                  <a:t>SANO AND TAKAHATA (2005)</a:t>
                </a:r>
              </a:p>
            </c:rich>
          </c:tx>
          <c:layout>
            <c:manualLayout>
              <c:xMode val="edge"/>
              <c:yMode val="edge"/>
              <c:x val="3.0555555555555555E-2"/>
              <c:y val="0.246501409546029"/>
            </c:manualLayout>
          </c:layout>
          <c:overlay val="0"/>
        </c:title>
        <c:numFmt formatCode="General" sourceLinked="1"/>
        <c:majorTickMark val="none"/>
        <c:minorTickMark val="none"/>
        <c:tickLblPos val="nextTo"/>
        <c:spPr>
          <a:ln>
            <a:solidFill>
              <a:schemeClr val="tx1"/>
            </a:solidFill>
          </a:ln>
        </c:spPr>
        <c:crossAx val="1698724336"/>
        <c:crosses val="autoZero"/>
        <c:crossBetween val="midCat"/>
      </c:valAx>
    </c:plotArea>
    <c:legend>
      <c:legendPos val="b"/>
      <c:overlay val="0"/>
      <c:spPr>
        <a:ln>
          <a:solidFill>
            <a:sysClr val="windowText" lastClr="000000">
              <a:lumMod val="100000"/>
            </a:sysClr>
          </a:solidFill>
        </a:ln>
      </c:sp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14</xdr:col>
      <xdr:colOff>0</xdr:colOff>
      <xdr:row>0</xdr:row>
      <xdr:rowOff>127000</xdr:rowOff>
    </xdr:from>
    <xdr:to>
      <xdr:col>21</xdr:col>
      <xdr:colOff>304800</xdr:colOff>
      <xdr:row>25</xdr:row>
      <xdr:rowOff>43180</xdr:rowOff>
    </xdr:to>
    <xdr:graphicFrame macro="">
      <xdr:nvGraphicFramePr>
        <xdr:cNvPr id="2" name="Chart 1">
          <a:extLst>
            <a:ext uri="{FF2B5EF4-FFF2-40B4-BE49-F238E27FC236}">
              <a16:creationId xmlns:a16="http://schemas.microsoft.com/office/drawing/2014/main" id="{3EF73331-239A-4209-938A-BDC187E71A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26</xdr:row>
      <xdr:rowOff>0</xdr:rowOff>
    </xdr:from>
    <xdr:to>
      <xdr:col>21</xdr:col>
      <xdr:colOff>304800</xdr:colOff>
      <xdr:row>50</xdr:row>
      <xdr:rowOff>91440</xdr:rowOff>
    </xdr:to>
    <xdr:graphicFrame macro="">
      <xdr:nvGraphicFramePr>
        <xdr:cNvPr id="3" name="Chart 2">
          <a:extLst>
            <a:ext uri="{FF2B5EF4-FFF2-40B4-BE49-F238E27FC236}">
              <a16:creationId xmlns:a16="http://schemas.microsoft.com/office/drawing/2014/main" id="{3FF8308C-B525-4E6E-BC04-96AE84A72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0</xdr:row>
      <xdr:rowOff>127000</xdr:rowOff>
    </xdr:from>
    <xdr:to>
      <xdr:col>21</xdr:col>
      <xdr:colOff>304800</xdr:colOff>
      <xdr:row>25</xdr:row>
      <xdr:rowOff>43180</xdr:rowOff>
    </xdr:to>
    <xdr:graphicFrame macro="">
      <xdr:nvGraphicFramePr>
        <xdr:cNvPr id="2" name="Chart 1">
          <a:extLst>
            <a:ext uri="{FF2B5EF4-FFF2-40B4-BE49-F238E27FC236}">
              <a16:creationId xmlns:a16="http://schemas.microsoft.com/office/drawing/2014/main" id="{0DE468AF-B10C-4824-9E18-1AE81FEF8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83820</xdr:colOff>
      <xdr:row>17</xdr:row>
      <xdr:rowOff>99060</xdr:rowOff>
    </xdr:from>
    <xdr:to>
      <xdr:col>13</xdr:col>
      <xdr:colOff>464820</xdr:colOff>
      <xdr:row>42</xdr:row>
      <xdr:rowOff>22860</xdr:rowOff>
    </xdr:to>
    <xdr:graphicFrame macro="">
      <xdr:nvGraphicFramePr>
        <xdr:cNvPr id="3" name="Chart 2">
          <a:extLst>
            <a:ext uri="{FF2B5EF4-FFF2-40B4-BE49-F238E27FC236}">
              <a16:creationId xmlns:a16="http://schemas.microsoft.com/office/drawing/2014/main" id="{79CC43AB-2385-44E3-BF7B-5C5F0E18D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17</xdr:row>
      <xdr:rowOff>88900</xdr:rowOff>
    </xdr:from>
    <xdr:to>
      <xdr:col>5</xdr:col>
      <xdr:colOff>30480</xdr:colOff>
      <xdr:row>42</xdr:row>
      <xdr:rowOff>12700</xdr:rowOff>
    </xdr:to>
    <xdr:graphicFrame macro="">
      <xdr:nvGraphicFramePr>
        <xdr:cNvPr id="2" name="Chart 1">
          <a:extLst>
            <a:ext uri="{FF2B5EF4-FFF2-40B4-BE49-F238E27FC236}">
              <a16:creationId xmlns:a16="http://schemas.microsoft.com/office/drawing/2014/main" id="{C7EE41FA-BB21-4483-9C4F-85E39A88AE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96" t="s">
        <v>8</v>
      </c>
      <c r="C1" s="96"/>
      <c r="D1" s="96"/>
      <c r="E1" s="96"/>
      <c r="F1" s="96"/>
      <c r="G1" s="96"/>
      <c r="H1" s="96"/>
      <c r="I1" s="9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98" t="s">
        <v>8</v>
      </c>
      <c r="D6" s="98"/>
      <c r="E6" s="98"/>
      <c r="F6" s="98"/>
      <c r="G6" s="98"/>
      <c r="H6" s="9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97" t="s">
        <v>8</v>
      </c>
      <c r="C12" s="97"/>
      <c r="D12" s="97"/>
      <c r="E12" s="97"/>
      <c r="F12" s="97"/>
      <c r="G12" s="97"/>
      <c r="H12" s="97"/>
      <c r="I12" s="97"/>
      <c r="J12" s="97"/>
      <c r="K12" s="97"/>
      <c r="L12" s="9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96" t="s">
        <v>27</v>
      </c>
      <c r="D23" s="96"/>
      <c r="E23" s="96"/>
      <c r="F23" s="96"/>
      <c r="G23" s="96"/>
      <c r="H23" s="96"/>
      <c r="I23" s="96"/>
      <c r="J23" s="96"/>
      <c r="K23" s="96"/>
      <c r="L23" s="96"/>
      <c r="M23" s="96"/>
    </row>
    <row r="24" spans="1:30" s="2" customFormat="1" ht="16.8">
      <c r="A24" s="2" t="s">
        <v>28</v>
      </c>
      <c r="B24" s="6">
        <v>1</v>
      </c>
      <c r="C24" s="95" t="s">
        <v>29</v>
      </c>
      <c r="D24" s="95"/>
      <c r="E24" s="95"/>
      <c r="F24" s="95"/>
      <c r="G24" s="95"/>
      <c r="H24" s="95"/>
      <c r="I24" s="95"/>
      <c r="J24" s="95"/>
      <c r="K24" s="95"/>
      <c r="L24" s="95"/>
      <c r="M24" s="95"/>
    </row>
    <row r="25" spans="1:30" s="2" customFormat="1" ht="16.8">
      <c r="A25" s="2" t="s">
        <v>30</v>
      </c>
      <c r="B25" s="6">
        <v>2</v>
      </c>
      <c r="C25" s="95" t="s">
        <v>31</v>
      </c>
      <c r="D25" s="95"/>
      <c r="E25" s="95"/>
      <c r="F25" s="95"/>
      <c r="G25" s="95"/>
      <c r="H25" s="95"/>
      <c r="I25" s="95"/>
      <c r="J25" s="95"/>
      <c r="K25" s="95"/>
      <c r="L25" s="95"/>
      <c r="M25" s="95"/>
    </row>
    <row r="26" spans="1:30" s="2" customFormat="1" ht="15.6">
      <c r="A26" s="2" t="s">
        <v>32</v>
      </c>
      <c r="B26" s="6">
        <v>3</v>
      </c>
      <c r="C26" s="95" t="s">
        <v>33</v>
      </c>
      <c r="D26" s="95"/>
      <c r="E26" s="95"/>
      <c r="F26" s="95"/>
      <c r="G26" s="95"/>
      <c r="H26" s="95"/>
      <c r="I26" s="95"/>
      <c r="J26" s="95"/>
      <c r="K26" s="95"/>
      <c r="L26" s="95"/>
      <c r="M26" s="95"/>
    </row>
    <row r="27" spans="1:30" s="2" customFormat="1" ht="16.8">
      <c r="A27" s="2" t="s">
        <v>34</v>
      </c>
      <c r="B27" s="6">
        <v>4</v>
      </c>
      <c r="C27" s="95" t="s">
        <v>35</v>
      </c>
      <c r="D27" s="95"/>
      <c r="E27" s="95"/>
      <c r="F27" s="95"/>
      <c r="G27" s="95"/>
      <c r="H27" s="95"/>
      <c r="I27" s="95"/>
      <c r="J27" s="95"/>
      <c r="K27" s="95"/>
      <c r="L27" s="95"/>
      <c r="M27" s="95"/>
    </row>
    <row r="28" spans="1:30" s="2" customFormat="1" ht="16.8">
      <c r="A28" s="2" t="s">
        <v>36</v>
      </c>
      <c r="B28" s="6">
        <v>5</v>
      </c>
      <c r="C28" s="95" t="s">
        <v>37</v>
      </c>
      <c r="D28" s="95"/>
      <c r="E28" s="95"/>
      <c r="F28" s="95"/>
      <c r="G28" s="95"/>
      <c r="H28" s="95"/>
      <c r="I28" s="95"/>
      <c r="J28" s="95"/>
      <c r="K28" s="95"/>
      <c r="L28" s="95"/>
      <c r="M28" s="95"/>
    </row>
    <row r="29" spans="1:30" s="2" customFormat="1" ht="16.8">
      <c r="A29" s="2" t="s">
        <v>194</v>
      </c>
      <c r="B29" s="6">
        <v>6</v>
      </c>
      <c r="C29" s="95" t="s">
        <v>195</v>
      </c>
      <c r="D29" s="95"/>
      <c r="E29" s="95"/>
      <c r="F29" s="95"/>
      <c r="G29" s="95"/>
      <c r="H29" s="95"/>
      <c r="I29" s="95"/>
      <c r="J29" s="95"/>
      <c r="K29" s="95"/>
      <c r="L29" s="95"/>
      <c r="M29" s="9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94" t="s">
        <v>280</v>
      </c>
      <c r="L51" s="94"/>
      <c r="M51" s="94"/>
      <c r="N51" s="94" t="s">
        <v>276</v>
      </c>
      <c r="O51" s="9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99" t="s">
        <v>221</v>
      </c>
      <c r="F1" s="99"/>
      <c r="G1" s="99"/>
      <c r="H1" s="99"/>
      <c r="I1" s="99"/>
      <c r="J1" s="99"/>
      <c r="K1" s="99"/>
      <c r="L1" s="99"/>
      <c r="M1" s="99"/>
      <c r="N1" s="99"/>
      <c r="O1" s="99"/>
      <c r="Y1" s="99" t="s">
        <v>189</v>
      </c>
      <c r="Z1" s="99"/>
      <c r="AA1" s="99"/>
      <c r="AB1" s="63"/>
      <c r="AC1" s="99" t="s">
        <v>40</v>
      </c>
      <c r="AD1" s="99"/>
      <c r="AE1" s="99"/>
      <c r="AF1" s="99"/>
      <c r="AG1" s="99"/>
      <c r="AH1" s="9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tabSelected="1" workbookViewId="0">
      <pane ySplit="3" topLeftCell="A4" activePane="bottomLeft" state="frozen"/>
      <selection pane="bottomLeft" activeCell="A4" sqref="A4:XFD12"/>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00" t="s">
        <v>141</v>
      </c>
      <c r="B1" s="100"/>
      <c r="C1" s="100"/>
      <c r="D1" s="100"/>
      <c r="E1" s="100" t="s">
        <v>205</v>
      </c>
      <c r="F1" s="100"/>
      <c r="G1" s="100"/>
      <c r="H1" s="100"/>
      <c r="I1" s="100"/>
      <c r="J1" s="100"/>
      <c r="K1" s="10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01" t="s">
        <v>142</v>
      </c>
      <c r="B2" s="101" t="s">
        <v>143</v>
      </c>
      <c r="C2" s="101" t="s">
        <v>144</v>
      </c>
      <c r="D2" s="103" t="s">
        <v>145</v>
      </c>
      <c r="E2" s="101" t="s">
        <v>146</v>
      </c>
      <c r="F2" s="101" t="s">
        <v>219</v>
      </c>
      <c r="G2" s="101" t="s">
        <v>191</v>
      </c>
      <c r="H2" s="101" t="s">
        <v>192</v>
      </c>
      <c r="I2" s="101" t="s">
        <v>217</v>
      </c>
      <c r="J2" s="101" t="s">
        <v>147</v>
      </c>
      <c r="K2" s="10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02"/>
      <c r="B3" s="102"/>
      <c r="C3" s="102"/>
      <c r="D3" s="104"/>
      <c r="E3" s="102"/>
      <c r="F3" s="102" t="s">
        <v>159</v>
      </c>
      <c r="G3" s="102" t="s">
        <v>160</v>
      </c>
      <c r="H3" s="102" t="s">
        <v>161</v>
      </c>
      <c r="I3" s="102" t="s">
        <v>162</v>
      </c>
      <c r="J3" s="102" t="s">
        <v>163</v>
      </c>
      <c r="K3" s="10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127" customFormat="1">
      <c r="A4" s="81" t="s">
        <v>347</v>
      </c>
      <c r="B4" s="81" t="s">
        <v>348</v>
      </c>
      <c r="C4" s="81" t="s">
        <v>349</v>
      </c>
      <c r="D4" s="126">
        <v>38504</v>
      </c>
      <c r="F4" s="81">
        <v>34.200000000000003</v>
      </c>
      <c r="G4" s="81">
        <v>0</v>
      </c>
      <c r="H4" s="128">
        <v>5</v>
      </c>
      <c r="I4" s="81">
        <v>0</v>
      </c>
      <c r="J4" s="81">
        <v>0.5</v>
      </c>
      <c r="K4" s="81">
        <v>0</v>
      </c>
      <c r="L4" s="81">
        <v>4.1900000000000005E-8</v>
      </c>
      <c r="M4" s="81">
        <v>1.3000000000000001E-9</v>
      </c>
      <c r="N4" s="81">
        <v>1.7849999999999999E-7</v>
      </c>
      <c r="O4" s="81">
        <v>2.1000000000000002E-9</v>
      </c>
      <c r="P4" s="81">
        <v>3.725E-4</v>
      </c>
      <c r="Q4" s="81">
        <v>3.3000000000000002E-6</v>
      </c>
      <c r="R4" s="81">
        <v>9.057000000000001E-8</v>
      </c>
      <c r="S4" s="81">
        <v>9.8000000000000013E-10</v>
      </c>
      <c r="T4" s="81">
        <v>1.405E-8</v>
      </c>
      <c r="U4" s="83">
        <v>4.0000000000000001E-10</v>
      </c>
    </row>
    <row r="5" spans="1:63" s="127" customFormat="1">
      <c r="A5" s="81" t="s">
        <v>347</v>
      </c>
      <c r="B5" s="81" t="s">
        <v>348</v>
      </c>
      <c r="C5" s="81" t="s">
        <v>350</v>
      </c>
      <c r="D5" s="126">
        <v>38504</v>
      </c>
      <c r="F5" s="81">
        <v>34.200000000000003</v>
      </c>
      <c r="G5" s="81">
        <v>0</v>
      </c>
      <c r="H5" s="128">
        <v>5</v>
      </c>
      <c r="I5" s="81">
        <v>0</v>
      </c>
      <c r="J5" s="81">
        <v>0.5</v>
      </c>
      <c r="K5" s="81">
        <v>0</v>
      </c>
      <c r="L5" s="81">
        <v>3.9700000000000005E-8</v>
      </c>
      <c r="M5" s="81">
        <v>1.3000000000000001E-9</v>
      </c>
      <c r="N5" s="81">
        <v>1.7199999999999998E-7</v>
      </c>
      <c r="O5" s="81">
        <v>2.1000000000000002E-9</v>
      </c>
      <c r="P5" s="81">
        <v>3.392E-4</v>
      </c>
      <c r="Q5" s="81">
        <v>3.0000000000000001E-6</v>
      </c>
      <c r="R5" s="81">
        <v>7.6410000000000007E-8</v>
      </c>
      <c r="S5" s="81">
        <v>7.9000000000000006E-10</v>
      </c>
      <c r="T5" s="81">
        <v>1.1679999999999999E-8</v>
      </c>
      <c r="U5" s="81">
        <v>1.7000000000000001E-10</v>
      </c>
    </row>
    <row r="6" spans="1:63" s="127" customFormat="1">
      <c r="A6" s="81" t="s">
        <v>347</v>
      </c>
      <c r="B6" s="81" t="s">
        <v>348</v>
      </c>
      <c r="C6" s="81" t="s">
        <v>351</v>
      </c>
      <c r="D6" s="126">
        <v>38504</v>
      </c>
      <c r="F6" s="81">
        <v>34.200000000000003</v>
      </c>
      <c r="G6" s="81">
        <v>0</v>
      </c>
      <c r="H6" s="128">
        <v>5</v>
      </c>
      <c r="I6" s="81">
        <v>0</v>
      </c>
      <c r="J6" s="81">
        <v>0.5</v>
      </c>
      <c r="K6" s="81">
        <v>0</v>
      </c>
      <c r="L6" s="83">
        <v>3.9400000000000002E-8</v>
      </c>
      <c r="M6" s="83">
        <v>6E-10</v>
      </c>
      <c r="N6" s="83">
        <v>1.6829999999999999E-7</v>
      </c>
      <c r="O6" s="83">
        <v>6.9999999999999996E-10</v>
      </c>
      <c r="P6" s="83">
        <v>3.2079999999999999E-4</v>
      </c>
      <c r="Q6" s="83">
        <v>1.1999999999999999E-6</v>
      </c>
      <c r="R6" s="83">
        <v>7.5310000000000004E-8</v>
      </c>
      <c r="S6" s="83">
        <v>3.1999999999999998E-10</v>
      </c>
      <c r="T6" s="83">
        <v>1.0800000000000001E-8</v>
      </c>
      <c r="U6" s="83">
        <v>6E-11</v>
      </c>
    </row>
    <row r="7" spans="1:63" s="127" customFormat="1">
      <c r="A7" s="81" t="s">
        <v>347</v>
      </c>
      <c r="B7" s="81" t="s">
        <v>348</v>
      </c>
      <c r="C7" s="81" t="s">
        <v>352</v>
      </c>
      <c r="D7" s="126">
        <v>38504</v>
      </c>
      <c r="F7" s="81">
        <v>34.200000000000003</v>
      </c>
      <c r="G7" s="81">
        <v>0</v>
      </c>
      <c r="H7" s="128">
        <v>5</v>
      </c>
      <c r="I7" s="81">
        <v>0</v>
      </c>
      <c r="J7" s="81">
        <v>0.5</v>
      </c>
      <c r="K7" s="81">
        <v>0</v>
      </c>
      <c r="L7" s="81">
        <v>3.8100000000000004E-8</v>
      </c>
      <c r="M7" s="81">
        <v>7.0000000000000006E-10</v>
      </c>
      <c r="N7" s="81">
        <v>1.6399999999999999E-7</v>
      </c>
      <c r="O7" s="81">
        <v>1.9000000000000001E-9</v>
      </c>
      <c r="P7" s="81">
        <v>3.0289999999999999E-4</v>
      </c>
      <c r="Q7" s="81">
        <v>2.7E-6</v>
      </c>
      <c r="R7" s="81">
        <v>7.2040000000000002E-8</v>
      </c>
      <c r="S7" s="81">
        <v>7.2999999999999996E-10</v>
      </c>
      <c r="T7" s="81">
        <v>9.7399999999999999E-9</v>
      </c>
      <c r="U7" s="81">
        <v>2.1000000000000002E-10</v>
      </c>
    </row>
    <row r="8" spans="1:63" s="127" customFormat="1">
      <c r="A8" s="81" t="s">
        <v>347</v>
      </c>
      <c r="B8" s="81" t="s">
        <v>348</v>
      </c>
      <c r="C8" s="81" t="s">
        <v>353</v>
      </c>
      <c r="D8" s="126">
        <v>38504</v>
      </c>
      <c r="F8" s="81">
        <v>34.200000000000003</v>
      </c>
      <c r="G8" s="81">
        <v>0</v>
      </c>
      <c r="H8" s="128">
        <v>5</v>
      </c>
      <c r="I8" s="81">
        <v>0</v>
      </c>
      <c r="J8" s="81">
        <v>0.5</v>
      </c>
      <c r="K8" s="81">
        <v>0</v>
      </c>
      <c r="L8" s="81">
        <v>3.7400000000000004E-8</v>
      </c>
      <c r="M8" s="81">
        <v>8.9999999999999999E-10</v>
      </c>
      <c r="N8" s="81">
        <v>1.5869999999999999E-7</v>
      </c>
      <c r="O8" s="81">
        <v>1.7000000000000001E-9</v>
      </c>
      <c r="P8" s="81">
        <v>2.721E-4</v>
      </c>
      <c r="Q8" s="81">
        <v>2.4000000000000003E-6</v>
      </c>
      <c r="R8" s="81">
        <v>6.2960000000000003E-8</v>
      </c>
      <c r="S8" s="81">
        <v>6.4000000000000006E-10</v>
      </c>
      <c r="T8" s="81">
        <v>8.5199999999999995E-9</v>
      </c>
      <c r="U8" s="81">
        <v>2.5999999999999998E-10</v>
      </c>
    </row>
    <row r="9" spans="1:63" s="127" customFormat="1">
      <c r="A9" s="81" t="s">
        <v>347</v>
      </c>
      <c r="B9" s="81" t="s">
        <v>348</v>
      </c>
      <c r="C9" s="81" t="s">
        <v>354</v>
      </c>
      <c r="D9" s="126">
        <v>38504</v>
      </c>
      <c r="F9" s="81">
        <v>34.200000000000003</v>
      </c>
      <c r="G9" s="81">
        <v>0</v>
      </c>
      <c r="H9" s="128">
        <v>5</v>
      </c>
      <c r="I9" s="81">
        <v>0</v>
      </c>
      <c r="J9" s="81">
        <v>0.5</v>
      </c>
      <c r="K9" s="81">
        <v>0</v>
      </c>
      <c r="L9" s="81">
        <v>3.8299999999999999E-8</v>
      </c>
      <c r="M9" s="81">
        <v>4.0000000000000001E-10</v>
      </c>
      <c r="N9" s="81">
        <v>1.6019999999999999E-7</v>
      </c>
      <c r="O9" s="81">
        <v>1.7000000000000001E-9</v>
      </c>
      <c r="P9" s="81">
        <v>2.653E-4</v>
      </c>
      <c r="Q9" s="81">
        <v>2.3E-6</v>
      </c>
      <c r="R9" s="81">
        <v>6.0769999999999994E-8</v>
      </c>
      <c r="S9" s="81">
        <v>6.0999999999999996E-10</v>
      </c>
      <c r="T9" s="81">
        <v>7.980000000000001E-9</v>
      </c>
      <c r="U9" s="81">
        <v>1.4000000000000001E-10</v>
      </c>
    </row>
    <row r="10" spans="1:63" s="127" customFormat="1">
      <c r="A10" s="81" t="s">
        <v>347</v>
      </c>
      <c r="B10" s="81" t="s">
        <v>348</v>
      </c>
      <c r="C10" s="81" t="s">
        <v>355</v>
      </c>
      <c r="D10" s="126">
        <v>38504</v>
      </c>
      <c r="F10" s="81">
        <v>34.200000000000003</v>
      </c>
      <c r="G10" s="81">
        <v>0</v>
      </c>
      <c r="H10" s="128">
        <v>5</v>
      </c>
      <c r="I10" s="81">
        <v>0</v>
      </c>
      <c r="J10" s="81">
        <v>0.5</v>
      </c>
      <c r="K10" s="81">
        <v>0</v>
      </c>
      <c r="L10" s="81">
        <v>3.84E-8</v>
      </c>
      <c r="M10" s="81">
        <v>1.0000000000000001E-9</v>
      </c>
      <c r="N10" s="81">
        <v>1.539E-7</v>
      </c>
      <c r="O10" s="81">
        <v>2.4E-9</v>
      </c>
      <c r="P10" s="81">
        <v>2.4560000000000001E-4</v>
      </c>
      <c r="Q10" s="81">
        <v>2.2000000000000001E-6</v>
      </c>
      <c r="R10" s="81">
        <v>5.1929999999999996E-8</v>
      </c>
      <c r="S10" s="81">
        <v>5.3000000000000003E-10</v>
      </c>
      <c r="T10" s="81">
        <v>6.8999999999999997E-9</v>
      </c>
      <c r="U10" s="81">
        <v>1.8999999999999999E-10</v>
      </c>
    </row>
    <row r="11" spans="1:63" s="127" customFormat="1">
      <c r="A11" s="81" t="s">
        <v>347</v>
      </c>
      <c r="B11" s="81" t="s">
        <v>348</v>
      </c>
      <c r="C11" s="81" t="s">
        <v>356</v>
      </c>
      <c r="D11" s="126">
        <v>38504</v>
      </c>
      <c r="F11" s="81">
        <v>34.200000000000003</v>
      </c>
      <c r="G11" s="81">
        <v>0</v>
      </c>
      <c r="H11" s="128">
        <v>5</v>
      </c>
      <c r="I11" s="81">
        <v>0</v>
      </c>
      <c r="J11" s="81">
        <v>0.5</v>
      </c>
      <c r="K11" s="81">
        <v>0</v>
      </c>
      <c r="L11" s="81">
        <v>3.8500000000000001E-8</v>
      </c>
      <c r="M11" s="81">
        <v>1.8E-9</v>
      </c>
      <c r="N11" s="81">
        <v>1.5529999999999999E-7</v>
      </c>
      <c r="O11" s="81">
        <v>1.4999999999999998E-9</v>
      </c>
      <c r="P11" s="81">
        <v>2.3550000000000001E-4</v>
      </c>
      <c r="Q11" s="81">
        <v>2.1000000000000002E-6</v>
      </c>
      <c r="R11" s="81">
        <v>4.8669999999999998E-8</v>
      </c>
      <c r="S11" s="81">
        <v>4.9000000000000007E-10</v>
      </c>
      <c r="T11" s="81">
        <v>6.4000000000000002E-9</v>
      </c>
      <c r="U11" s="81">
        <v>8.9999999999999999E-11</v>
      </c>
    </row>
    <row r="12" spans="1:63" s="127" customFormat="1">
      <c r="A12" s="81" t="s">
        <v>347</v>
      </c>
      <c r="B12" s="81" t="s">
        <v>348</v>
      </c>
      <c r="C12" s="81" t="s">
        <v>357</v>
      </c>
      <c r="D12" s="126">
        <v>38504</v>
      </c>
      <c r="F12" s="81">
        <v>34.200000000000003</v>
      </c>
      <c r="G12" s="81">
        <v>0</v>
      </c>
      <c r="H12" s="128">
        <v>5</v>
      </c>
      <c r="I12" s="81">
        <v>0</v>
      </c>
      <c r="J12" s="81">
        <v>0.5</v>
      </c>
      <c r="K12" s="81">
        <v>0</v>
      </c>
      <c r="L12" s="81">
        <v>3.7400000000000004E-8</v>
      </c>
      <c r="M12" s="81">
        <v>1.3000000000000001E-9</v>
      </c>
      <c r="N12" s="81">
        <v>1.4639999999999999E-7</v>
      </c>
      <c r="O12" s="81">
        <v>2.7999999999999998E-9</v>
      </c>
      <c r="P12" s="81">
        <v>2.1580000000000001E-4</v>
      </c>
      <c r="Q12" s="81">
        <v>2.0000000000000003E-6</v>
      </c>
      <c r="R12" s="81">
        <v>4.4109999999999996E-8</v>
      </c>
      <c r="S12" s="81">
        <v>5.0000000000000003E-10</v>
      </c>
      <c r="T12" s="81">
        <v>5.6999999999999998E-9</v>
      </c>
      <c r="U12" s="81">
        <v>1.2E-10</v>
      </c>
    </row>
    <row r="13" spans="1:63">
      <c r="A13" s="40"/>
      <c r="B13" s="40"/>
      <c r="C13" s="43"/>
      <c r="D13" s="74"/>
      <c r="F13" s="42"/>
      <c r="G13" s="40"/>
      <c r="H13" s="44"/>
      <c r="I13" s="40"/>
      <c r="J13" s="40"/>
      <c r="K13" s="40"/>
      <c r="L13" s="40"/>
      <c r="M13" s="40"/>
      <c r="N13" s="40"/>
      <c r="O13" s="40"/>
      <c r="P13" s="40"/>
      <c r="Q13" s="40"/>
      <c r="R13" s="40"/>
      <c r="S13" s="40"/>
      <c r="T13" s="40"/>
      <c r="U13" s="40"/>
    </row>
    <row r="14" spans="1:63">
      <c r="A14" s="40"/>
      <c r="B14" s="40"/>
      <c r="C14" s="43"/>
      <c r="D14" s="74"/>
      <c r="F14" s="42"/>
      <c r="G14" s="40"/>
      <c r="H14" s="44"/>
      <c r="I14" s="40"/>
      <c r="J14" s="40"/>
      <c r="K14" s="40"/>
      <c r="L14" s="40"/>
      <c r="M14" s="40"/>
      <c r="N14" s="40"/>
      <c r="O14" s="40"/>
      <c r="P14" s="40"/>
      <c r="Q14" s="40"/>
      <c r="R14" s="40"/>
      <c r="S14" s="40"/>
      <c r="T14" s="40"/>
      <c r="U14" s="40"/>
    </row>
    <row r="15" spans="1:63">
      <c r="A15" s="40"/>
      <c r="B15" s="40"/>
      <c r="C15" s="43"/>
      <c r="D15" s="74"/>
      <c r="F15" s="42"/>
      <c r="G15" s="40"/>
      <c r="H15" s="44"/>
      <c r="I15" s="40"/>
      <c r="J15" s="40"/>
      <c r="K15" s="40"/>
      <c r="L15" s="40"/>
      <c r="M15" s="40"/>
      <c r="N15" s="40"/>
      <c r="O15" s="40"/>
      <c r="P15" s="40"/>
      <c r="Q15" s="40"/>
      <c r="R15" s="40"/>
      <c r="S15" s="40"/>
      <c r="T15" s="40"/>
      <c r="U15" s="40"/>
    </row>
    <row r="16" spans="1:63">
      <c r="A16" s="40"/>
      <c r="B16" s="40"/>
      <c r="C16" s="43"/>
      <c r="D16" s="74"/>
      <c r="F16" s="42"/>
      <c r="G16" s="40"/>
      <c r="H16" s="44"/>
      <c r="I16" s="40"/>
      <c r="J16" s="40"/>
      <c r="K16" s="40"/>
      <c r="L16" s="40"/>
      <c r="M16" s="40"/>
      <c r="N16" s="40"/>
      <c r="O16" s="40"/>
      <c r="P16" s="40"/>
      <c r="Q16" s="40"/>
      <c r="R16" s="40"/>
      <c r="S16" s="40"/>
      <c r="T16" s="40"/>
      <c r="U16" s="40"/>
    </row>
    <row r="17" spans="1:21">
      <c r="A17" s="40"/>
      <c r="B17" s="40"/>
      <c r="C17" s="43"/>
      <c r="D17" s="74"/>
      <c r="F17" s="42"/>
      <c r="G17" s="40"/>
      <c r="H17" s="44"/>
      <c r="I17" s="40"/>
      <c r="J17" s="40"/>
      <c r="K17" s="40"/>
      <c r="L17" s="40"/>
      <c r="M17" s="40"/>
      <c r="N17" s="40"/>
      <c r="O17" s="40"/>
      <c r="P17" s="40"/>
      <c r="Q17" s="40"/>
      <c r="R17" s="40"/>
      <c r="S17" s="40"/>
      <c r="T17" s="40"/>
      <c r="U17" s="40"/>
    </row>
    <row r="18" spans="1:21">
      <c r="A18" s="40"/>
      <c r="B18" s="40"/>
      <c r="C18" s="43"/>
      <c r="D18" s="74"/>
      <c r="F18" s="42"/>
      <c r="G18" s="40"/>
      <c r="H18" s="44"/>
      <c r="I18" s="40"/>
      <c r="J18" s="40"/>
      <c r="K18" s="40"/>
      <c r="L18" s="40"/>
      <c r="M18" s="40"/>
      <c r="N18" s="40"/>
      <c r="O18" s="40"/>
      <c r="P18" s="40"/>
      <c r="Q18" s="40"/>
      <c r="R18" s="40"/>
      <c r="S18" s="40"/>
      <c r="T18" s="40"/>
      <c r="U18" s="40"/>
    </row>
    <row r="19" spans="1:21">
      <c r="A19" s="40"/>
      <c r="B19" s="40"/>
      <c r="C19" s="43"/>
      <c r="D19" s="74"/>
      <c r="F19" s="42"/>
      <c r="G19" s="40"/>
      <c r="H19" s="44"/>
      <c r="I19" s="40"/>
      <c r="J19" s="40"/>
      <c r="K19" s="40"/>
      <c r="L19" s="40"/>
      <c r="M19" s="40"/>
      <c r="N19" s="40"/>
      <c r="O19" s="40"/>
      <c r="P19" s="40"/>
      <c r="Q19" s="40"/>
      <c r="R19" s="40"/>
      <c r="S19" s="40"/>
      <c r="T19" s="40"/>
      <c r="U19" s="40"/>
    </row>
    <row r="20" spans="1:21">
      <c r="A20" s="40"/>
      <c r="B20" s="40"/>
      <c r="C20" s="43"/>
      <c r="D20" s="74"/>
      <c r="F20" s="42"/>
      <c r="G20" s="40"/>
      <c r="H20" s="44"/>
      <c r="I20" s="40"/>
      <c r="J20" s="40"/>
      <c r="K20" s="40"/>
      <c r="L20" s="40"/>
      <c r="M20" s="40"/>
      <c r="N20" s="40"/>
      <c r="O20" s="40"/>
      <c r="P20" s="40"/>
      <c r="Q20" s="40"/>
      <c r="R20" s="40"/>
      <c r="S20" s="40"/>
      <c r="T20" s="40"/>
      <c r="U20" s="40"/>
    </row>
    <row r="21" spans="1:21">
      <c r="A21" s="40"/>
      <c r="B21" s="40"/>
      <c r="C21" s="43"/>
      <c r="D21" s="74"/>
      <c r="F21" s="42"/>
      <c r="G21" s="40"/>
      <c r="H21" s="44"/>
      <c r="I21" s="40"/>
      <c r="J21" s="40"/>
      <c r="K21" s="40"/>
      <c r="L21" s="40"/>
      <c r="M21" s="40"/>
      <c r="N21" s="40"/>
      <c r="O21" s="40"/>
      <c r="P21" s="40"/>
      <c r="Q21" s="40"/>
      <c r="R21" s="40"/>
      <c r="S21" s="40"/>
      <c r="T21" s="40"/>
      <c r="U21" s="40"/>
    </row>
    <row r="22" spans="1:21">
      <c r="A22" s="40"/>
      <c r="B22" s="40"/>
      <c r="C22" s="43"/>
      <c r="D22" s="74"/>
      <c r="F22" s="42"/>
      <c r="G22" s="40"/>
      <c r="H22" s="44"/>
      <c r="I22" s="40"/>
      <c r="J22" s="40"/>
      <c r="K22" s="40"/>
      <c r="L22" s="40"/>
      <c r="M22" s="40"/>
      <c r="N22" s="40"/>
      <c r="O22" s="40"/>
      <c r="P22" s="40"/>
      <c r="Q22" s="40"/>
      <c r="R22" s="40"/>
      <c r="S22" s="40"/>
      <c r="T22" s="40"/>
      <c r="U22" s="40"/>
    </row>
    <row r="23" spans="1:21">
      <c r="A23" s="40"/>
      <c r="B23" s="40"/>
      <c r="C23" s="43"/>
      <c r="D23" s="74"/>
      <c r="F23" s="42"/>
      <c r="G23" s="40"/>
      <c r="H23" s="44"/>
      <c r="I23" s="40"/>
      <c r="J23" s="40"/>
      <c r="K23" s="40"/>
      <c r="L23" s="40"/>
      <c r="M23" s="40"/>
      <c r="N23" s="40"/>
      <c r="O23" s="40"/>
      <c r="P23" s="40"/>
      <c r="Q23" s="40"/>
      <c r="R23" s="40"/>
      <c r="S23" s="40"/>
      <c r="T23" s="40"/>
      <c r="U23" s="40"/>
    </row>
    <row r="24" spans="1:21">
      <c r="A24" s="40"/>
      <c r="B24" s="40"/>
      <c r="C24" s="43"/>
      <c r="D24" s="74"/>
      <c r="F24" s="42"/>
      <c r="G24" s="40"/>
      <c r="H24" s="44"/>
      <c r="I24" s="40"/>
      <c r="J24" s="40"/>
      <c r="K24" s="40"/>
      <c r="L24" s="40"/>
      <c r="M24" s="40"/>
      <c r="N24" s="40"/>
      <c r="O24" s="40"/>
      <c r="P24" s="40"/>
      <c r="Q24" s="40"/>
      <c r="R24" s="40"/>
      <c r="S24" s="40"/>
      <c r="T24" s="40"/>
      <c r="U24" s="40"/>
    </row>
    <row r="25" spans="1:21">
      <c r="A25" s="40"/>
      <c r="B25" s="40"/>
      <c r="C25" s="43"/>
      <c r="D25" s="74"/>
      <c r="F25" s="42"/>
      <c r="G25" s="40"/>
      <c r="H25" s="44"/>
      <c r="I25" s="40"/>
      <c r="J25" s="40"/>
      <c r="K25" s="40"/>
      <c r="L25" s="40"/>
      <c r="M25" s="40"/>
      <c r="N25" s="40"/>
      <c r="O25" s="40"/>
      <c r="P25" s="40"/>
      <c r="Q25" s="40"/>
      <c r="R25" s="40"/>
      <c r="S25" s="40"/>
      <c r="T25" s="40"/>
      <c r="U25" s="40"/>
    </row>
    <row r="26" spans="1:21">
      <c r="A26" s="40"/>
      <c r="B26" s="40"/>
      <c r="C26" s="43"/>
      <c r="D26" s="74"/>
      <c r="F26" s="42"/>
      <c r="G26" s="40"/>
      <c r="H26" s="44"/>
      <c r="I26" s="40"/>
      <c r="J26" s="40"/>
      <c r="K26" s="40"/>
      <c r="L26" s="40"/>
      <c r="M26" s="40"/>
      <c r="N26" s="40"/>
      <c r="O26" s="40"/>
      <c r="P26" s="40"/>
      <c r="Q26" s="40"/>
      <c r="R26" s="40"/>
      <c r="S26" s="40"/>
      <c r="T26" s="40"/>
      <c r="U26" s="40"/>
    </row>
    <row r="27" spans="1:21">
      <c r="A27" s="40"/>
      <c r="B27" s="40"/>
      <c r="C27" s="43"/>
      <c r="D27" s="74"/>
      <c r="F27" s="42"/>
      <c r="G27" s="40"/>
      <c r="H27" s="44"/>
      <c r="I27" s="40"/>
      <c r="J27" s="40"/>
      <c r="K27" s="40"/>
      <c r="L27" s="40"/>
      <c r="M27" s="40"/>
      <c r="N27" s="40"/>
      <c r="O27" s="40"/>
      <c r="P27" s="40"/>
      <c r="Q27" s="40"/>
      <c r="R27" s="40"/>
      <c r="S27" s="40"/>
      <c r="T27" s="40"/>
      <c r="U27" s="40"/>
    </row>
    <row r="28" spans="1:21">
      <c r="A28" s="40"/>
      <c r="B28" s="40"/>
      <c r="C28" s="43"/>
      <c r="D28" s="74"/>
      <c r="F28" s="42"/>
      <c r="G28" s="40"/>
      <c r="H28" s="44"/>
      <c r="I28" s="40"/>
      <c r="J28" s="40"/>
      <c r="K28" s="40"/>
      <c r="L28" s="40"/>
      <c r="M28" s="40"/>
      <c r="N28" s="40"/>
      <c r="O28" s="40"/>
      <c r="P28" s="40"/>
      <c r="Q28" s="40"/>
      <c r="R28" s="40"/>
      <c r="S28" s="40"/>
      <c r="T28" s="40"/>
      <c r="U28" s="40"/>
    </row>
    <row r="29" spans="1:21">
      <c r="A29" s="40"/>
      <c r="B29" s="40"/>
      <c r="C29" s="43"/>
      <c r="D29" s="74"/>
      <c r="F29" s="42"/>
      <c r="G29" s="40"/>
      <c r="H29" s="44"/>
      <c r="I29" s="40"/>
      <c r="J29" s="40"/>
      <c r="K29" s="40"/>
      <c r="L29" s="40"/>
      <c r="M29" s="40"/>
      <c r="N29" s="40"/>
      <c r="O29" s="40"/>
      <c r="P29" s="40"/>
      <c r="Q29" s="40"/>
      <c r="R29" s="40"/>
      <c r="S29" s="40"/>
      <c r="T29" s="40"/>
      <c r="U29" s="40"/>
    </row>
    <row r="30" spans="1:21">
      <c r="A30" s="40"/>
      <c r="B30" s="40"/>
      <c r="C30" s="43"/>
      <c r="D30" s="74"/>
      <c r="F30" s="42"/>
      <c r="G30" s="40"/>
      <c r="H30" s="44"/>
      <c r="I30" s="40"/>
      <c r="J30" s="40"/>
      <c r="K30" s="40"/>
      <c r="L30" s="40"/>
      <c r="M30" s="40"/>
      <c r="N30" s="40"/>
      <c r="O30" s="40"/>
      <c r="P30" s="40"/>
      <c r="Q30" s="40"/>
      <c r="R30" s="40"/>
      <c r="S30" s="40"/>
      <c r="T30" s="40"/>
      <c r="U30" s="40"/>
    </row>
    <row r="31" spans="1:21">
      <c r="A31" s="40"/>
      <c r="B31" s="40"/>
      <c r="C31" s="43"/>
      <c r="D31" s="74"/>
      <c r="F31" s="42"/>
      <c r="G31" s="40"/>
      <c r="H31" s="44"/>
      <c r="I31" s="40"/>
      <c r="J31" s="40"/>
      <c r="K31" s="40"/>
      <c r="L31" s="40"/>
      <c r="M31" s="40"/>
      <c r="N31" s="40"/>
      <c r="O31" s="40"/>
      <c r="P31" s="40"/>
      <c r="Q31" s="40"/>
      <c r="R31" s="40"/>
      <c r="S31" s="40"/>
      <c r="T31" s="40"/>
      <c r="U31" s="40"/>
    </row>
    <row r="32" spans="1:21">
      <c r="A32" s="40"/>
      <c r="B32" s="40"/>
      <c r="C32" s="43"/>
      <c r="D32" s="74"/>
      <c r="F32" s="42"/>
      <c r="G32" s="40"/>
      <c r="H32" s="44"/>
      <c r="I32" s="40"/>
      <c r="J32" s="40"/>
      <c r="K32" s="40"/>
      <c r="L32" s="40"/>
      <c r="M32" s="40"/>
      <c r="N32" s="40"/>
      <c r="O32" s="40"/>
      <c r="P32" s="40"/>
      <c r="Q32" s="40"/>
      <c r="R32" s="40"/>
      <c r="S32" s="40"/>
      <c r="T32" s="40"/>
      <c r="U32" s="40"/>
    </row>
    <row r="33" spans="1:21">
      <c r="A33" s="40"/>
      <c r="B33" s="40"/>
      <c r="C33" s="43"/>
      <c r="D33" s="74"/>
      <c r="F33" s="42"/>
      <c r="G33" s="40"/>
      <c r="H33" s="44"/>
      <c r="I33" s="40"/>
      <c r="J33" s="40"/>
      <c r="K33" s="40"/>
      <c r="L33" s="40"/>
      <c r="M33" s="40"/>
      <c r="N33" s="40"/>
      <c r="O33" s="40"/>
      <c r="P33" s="40"/>
      <c r="Q33" s="40"/>
      <c r="R33" s="40"/>
      <c r="S33" s="40"/>
      <c r="T33" s="40"/>
      <c r="U33" s="40"/>
    </row>
    <row r="34" spans="1:21">
      <c r="A34" s="40"/>
      <c r="B34" s="40"/>
      <c r="C34" s="43"/>
      <c r="D34" s="74"/>
      <c r="F34" s="42"/>
      <c r="G34" s="40"/>
      <c r="H34" s="44"/>
      <c r="I34" s="40"/>
      <c r="J34" s="40"/>
      <c r="K34" s="40"/>
      <c r="L34" s="40"/>
      <c r="M34" s="40"/>
      <c r="N34" s="40"/>
      <c r="O34" s="40"/>
      <c r="P34" s="40"/>
      <c r="Q34" s="40"/>
      <c r="R34" s="40"/>
      <c r="S34" s="40"/>
      <c r="T34" s="40"/>
      <c r="U34" s="40"/>
    </row>
    <row r="35" spans="1:21">
      <c r="A35" s="40"/>
      <c r="B35" s="40"/>
      <c r="C35" s="43"/>
      <c r="D35" s="74"/>
      <c r="F35" s="42"/>
      <c r="G35" s="40"/>
      <c r="H35" s="44"/>
      <c r="I35" s="40"/>
      <c r="J35" s="40"/>
      <c r="K35" s="40"/>
      <c r="L35" s="40"/>
      <c r="M35" s="40"/>
      <c r="N35" s="40"/>
      <c r="O35" s="40"/>
      <c r="P35" s="40"/>
      <c r="Q35" s="40"/>
      <c r="R35" s="40"/>
      <c r="S35" s="40"/>
      <c r="T35" s="40"/>
      <c r="U35" s="40"/>
    </row>
    <row r="36" spans="1:21">
      <c r="A36" s="40"/>
      <c r="B36" s="40"/>
      <c r="C36" s="43"/>
      <c r="D36" s="74"/>
      <c r="F36" s="42"/>
      <c r="G36" s="40"/>
      <c r="H36" s="44"/>
      <c r="I36" s="40"/>
      <c r="J36" s="40"/>
      <c r="K36" s="40"/>
      <c r="L36" s="40"/>
      <c r="M36" s="40"/>
      <c r="N36" s="40"/>
      <c r="O36" s="40"/>
      <c r="P36" s="40"/>
      <c r="Q36" s="40"/>
      <c r="R36" s="40"/>
      <c r="S36" s="40"/>
      <c r="T36" s="40"/>
      <c r="U36" s="40"/>
    </row>
    <row r="37" spans="1:21">
      <c r="A37" s="40"/>
      <c r="B37" s="40"/>
      <c r="C37" s="43"/>
      <c r="D37" s="74"/>
      <c r="F37" s="42"/>
      <c r="G37" s="40"/>
      <c r="H37" s="44"/>
      <c r="I37" s="40"/>
      <c r="J37" s="40"/>
      <c r="K37" s="40"/>
      <c r="L37" s="40"/>
      <c r="M37" s="40"/>
      <c r="N37" s="40"/>
      <c r="O37" s="40"/>
      <c r="P37" s="40"/>
      <c r="Q37" s="40"/>
      <c r="R37" s="40"/>
      <c r="S37" s="40"/>
      <c r="T37" s="40"/>
      <c r="U37" s="40"/>
    </row>
    <row r="38" spans="1:21">
      <c r="A38" s="40"/>
      <c r="B38" s="40"/>
      <c r="C38" s="43"/>
      <c r="D38" s="74"/>
      <c r="F38" s="42"/>
      <c r="G38" s="40"/>
      <c r="H38" s="44"/>
      <c r="I38" s="40"/>
      <c r="J38" s="40"/>
      <c r="K38" s="40"/>
      <c r="L38" s="40"/>
      <c r="M38" s="40"/>
      <c r="N38" s="40"/>
      <c r="O38" s="40"/>
      <c r="P38" s="40"/>
      <c r="Q38" s="40"/>
      <c r="R38" s="40"/>
      <c r="S38" s="40"/>
      <c r="T38" s="40"/>
      <c r="U38" s="40"/>
    </row>
    <row r="39" spans="1:21">
      <c r="A39" s="40"/>
      <c r="B39" s="40"/>
      <c r="C39" s="43"/>
      <c r="D39" s="74"/>
      <c r="F39" s="42"/>
      <c r="G39" s="40"/>
      <c r="H39" s="44"/>
      <c r="I39" s="40"/>
      <c r="J39" s="40"/>
      <c r="K39" s="40"/>
      <c r="L39" s="40"/>
      <c r="M39" s="40"/>
      <c r="N39" s="40"/>
      <c r="O39" s="40"/>
      <c r="P39" s="40"/>
      <c r="Q39" s="40"/>
      <c r="R39" s="40"/>
      <c r="S39" s="40"/>
      <c r="T39" s="40"/>
      <c r="U39" s="40"/>
    </row>
    <row r="40" spans="1:21">
      <c r="A40" s="40"/>
      <c r="B40" s="40"/>
      <c r="C40" s="43"/>
      <c r="D40" s="74"/>
      <c r="F40" s="42"/>
      <c r="G40" s="40"/>
      <c r="H40" s="44"/>
      <c r="I40" s="40"/>
      <c r="J40" s="40"/>
      <c r="K40" s="40"/>
      <c r="L40" s="40"/>
      <c r="M40" s="40"/>
      <c r="N40" s="40"/>
      <c r="O40" s="40"/>
      <c r="P40" s="40"/>
      <c r="Q40" s="40"/>
      <c r="R40" s="40"/>
      <c r="S40" s="40"/>
      <c r="T40" s="40"/>
      <c r="U40" s="40"/>
    </row>
    <row r="41" spans="1:21">
      <c r="A41" s="40"/>
      <c r="B41" s="40"/>
      <c r="C41" s="43"/>
      <c r="D41" s="74"/>
      <c r="F41" s="42"/>
      <c r="G41" s="40"/>
      <c r="H41" s="44"/>
      <c r="I41" s="40"/>
      <c r="J41" s="40"/>
      <c r="K41" s="40"/>
      <c r="L41" s="40"/>
      <c r="M41" s="40"/>
      <c r="N41" s="40"/>
      <c r="O41" s="40"/>
      <c r="P41" s="40"/>
      <c r="Q41" s="40"/>
      <c r="R41" s="40"/>
      <c r="S41" s="40"/>
      <c r="T41" s="40"/>
      <c r="U41" s="40"/>
    </row>
    <row r="42" spans="1:21">
      <c r="A42" s="40"/>
      <c r="B42" s="40"/>
      <c r="C42" s="43"/>
      <c r="D42" s="74"/>
      <c r="F42" s="42"/>
      <c r="G42" s="40"/>
      <c r="H42" s="44"/>
      <c r="I42" s="40"/>
      <c r="J42" s="40"/>
      <c r="K42" s="40"/>
      <c r="L42" s="40"/>
      <c r="M42" s="40"/>
      <c r="N42" s="40"/>
      <c r="O42" s="40"/>
      <c r="P42" s="40"/>
      <c r="Q42" s="40"/>
      <c r="R42" s="40"/>
      <c r="S42" s="40"/>
      <c r="T42" s="40"/>
      <c r="U42" s="40"/>
    </row>
    <row r="43" spans="1:21">
      <c r="A43" s="40"/>
      <c r="B43" s="40"/>
      <c r="C43" s="43"/>
      <c r="D43" s="74"/>
      <c r="F43" s="42"/>
      <c r="G43" s="40"/>
      <c r="H43" s="44"/>
      <c r="I43" s="40"/>
      <c r="J43" s="40"/>
      <c r="K43" s="40"/>
      <c r="L43" s="40"/>
      <c r="M43" s="40"/>
      <c r="N43" s="40"/>
      <c r="O43" s="40"/>
      <c r="P43" s="40"/>
      <c r="Q43" s="40"/>
      <c r="R43" s="40"/>
      <c r="S43" s="40"/>
      <c r="T43" s="40"/>
      <c r="U43" s="40"/>
    </row>
    <row r="44" spans="1:21">
      <c r="A44" s="40"/>
      <c r="B44" s="40"/>
      <c r="C44" s="43"/>
      <c r="D44" s="74"/>
      <c r="F44" s="42"/>
      <c r="G44" s="40"/>
      <c r="H44" s="44"/>
      <c r="I44" s="40"/>
      <c r="J44" s="40"/>
      <c r="K44" s="40"/>
      <c r="L44" s="40"/>
      <c r="M44" s="40"/>
      <c r="N44" s="40"/>
      <c r="O44" s="40"/>
      <c r="P44" s="40"/>
      <c r="Q44" s="40"/>
      <c r="R44" s="40"/>
      <c r="S44" s="40"/>
      <c r="T44" s="40"/>
      <c r="U44" s="40"/>
    </row>
    <row r="45" spans="1:21">
      <c r="A45" s="40"/>
      <c r="B45" s="40"/>
      <c r="C45" s="43"/>
      <c r="D45" s="74"/>
      <c r="F45" s="42"/>
      <c r="G45" s="40"/>
      <c r="H45" s="44"/>
      <c r="I45" s="40"/>
      <c r="J45" s="40"/>
      <c r="K45" s="40"/>
      <c r="L45" s="40"/>
      <c r="M45" s="40"/>
      <c r="N45" s="40"/>
      <c r="O45" s="40"/>
      <c r="P45" s="40"/>
      <c r="Q45" s="40"/>
      <c r="R45" s="40"/>
      <c r="S45" s="40"/>
      <c r="T45" s="40"/>
      <c r="U45" s="40"/>
    </row>
    <row r="46" spans="1:21">
      <c r="A46" s="40"/>
      <c r="B46" s="40"/>
      <c r="C46" s="43"/>
      <c r="D46" s="74"/>
      <c r="F46" s="42"/>
      <c r="G46" s="40"/>
      <c r="H46" s="44"/>
      <c r="I46" s="40"/>
      <c r="J46" s="40"/>
      <c r="K46" s="40"/>
      <c r="L46" s="40"/>
      <c r="M46" s="40"/>
      <c r="N46" s="40"/>
      <c r="O46" s="40"/>
      <c r="P46" s="40"/>
      <c r="Q46" s="40"/>
      <c r="R46" s="40"/>
      <c r="S46" s="40"/>
      <c r="T46" s="40"/>
      <c r="U46" s="40"/>
    </row>
    <row r="47" spans="1:21">
      <c r="A47" s="40"/>
      <c r="B47" s="40"/>
      <c r="C47" s="43"/>
      <c r="D47" s="74"/>
      <c r="F47" s="42"/>
      <c r="G47" s="40"/>
      <c r="H47" s="44"/>
      <c r="I47" s="40"/>
      <c r="J47" s="40"/>
      <c r="K47" s="40"/>
      <c r="L47" s="40"/>
      <c r="M47" s="40"/>
      <c r="N47" s="40"/>
      <c r="O47" s="40"/>
      <c r="P47" s="40"/>
      <c r="Q47" s="40"/>
      <c r="R47" s="40"/>
      <c r="S47" s="40"/>
      <c r="T47" s="40"/>
      <c r="U47" s="40"/>
    </row>
    <row r="48" spans="1:21">
      <c r="A48" s="40"/>
      <c r="B48" s="40"/>
      <c r="C48" s="43"/>
      <c r="D48" s="74"/>
      <c r="F48" s="42"/>
      <c r="G48" s="40"/>
      <c r="H48" s="44"/>
      <c r="I48" s="40"/>
      <c r="J48" s="40"/>
      <c r="K48" s="40"/>
      <c r="L48" s="40"/>
      <c r="M48" s="40"/>
      <c r="N48" s="40"/>
      <c r="O48" s="40"/>
      <c r="P48" s="40"/>
      <c r="Q48" s="40"/>
      <c r="R48" s="40"/>
      <c r="S48" s="40"/>
      <c r="T48" s="40"/>
      <c r="U48" s="40"/>
    </row>
    <row r="49" spans="1:21">
      <c r="A49" s="40"/>
      <c r="B49" s="40"/>
      <c r="C49" s="43"/>
      <c r="D49" s="74"/>
      <c r="F49" s="42"/>
      <c r="G49" s="40"/>
      <c r="H49" s="44"/>
      <c r="I49" s="40"/>
      <c r="J49" s="40"/>
      <c r="K49" s="40"/>
      <c r="L49" s="40"/>
      <c r="M49" s="40"/>
      <c r="N49" s="40"/>
      <c r="O49" s="40"/>
      <c r="P49" s="40"/>
      <c r="Q49" s="40"/>
      <c r="R49" s="40"/>
      <c r="S49" s="40"/>
      <c r="T49" s="40"/>
      <c r="U49" s="40"/>
    </row>
    <row r="50" spans="1:21">
      <c r="A50" s="40"/>
      <c r="B50" s="40"/>
      <c r="C50" s="43"/>
      <c r="D50" s="74"/>
      <c r="F50" s="42"/>
      <c r="G50" s="40"/>
      <c r="H50" s="44"/>
      <c r="I50" s="40"/>
      <c r="J50" s="40"/>
      <c r="K50" s="40"/>
      <c r="L50" s="40"/>
      <c r="M50" s="40"/>
      <c r="N50" s="40"/>
      <c r="O50" s="40"/>
      <c r="P50" s="40"/>
      <c r="Q50" s="40"/>
      <c r="R50" s="40"/>
      <c r="S50" s="40"/>
      <c r="T50" s="40"/>
      <c r="U50" s="40"/>
    </row>
    <row r="51" spans="1:21">
      <c r="A51" s="40"/>
      <c r="B51" s="40"/>
      <c r="C51" s="43"/>
      <c r="D51" s="74"/>
      <c r="F51" s="42"/>
      <c r="G51" s="40"/>
      <c r="H51" s="44"/>
      <c r="I51" s="40"/>
      <c r="J51" s="40"/>
      <c r="K51" s="40"/>
      <c r="L51" s="40"/>
      <c r="M51" s="40"/>
      <c r="N51" s="40"/>
      <c r="O51" s="40"/>
      <c r="P51" s="40"/>
      <c r="Q51" s="40"/>
      <c r="R51" s="40"/>
      <c r="S51" s="40"/>
      <c r="T51" s="40"/>
      <c r="U51" s="40"/>
    </row>
    <row r="52" spans="1:21">
      <c r="A52" s="40"/>
      <c r="B52" s="40"/>
      <c r="C52" s="43"/>
      <c r="D52" s="74"/>
      <c r="F52" s="42"/>
      <c r="G52" s="40"/>
      <c r="H52" s="44"/>
      <c r="I52" s="40"/>
      <c r="J52" s="40"/>
      <c r="K52" s="40"/>
      <c r="L52" s="40"/>
      <c r="M52" s="40"/>
      <c r="N52" s="40"/>
      <c r="O52" s="40"/>
      <c r="P52" s="40"/>
      <c r="Q52" s="40"/>
      <c r="R52" s="40"/>
      <c r="S52" s="40"/>
      <c r="T52" s="40"/>
      <c r="U52" s="40"/>
    </row>
    <row r="53" spans="1:21">
      <c r="A53" s="40"/>
      <c r="B53" s="40"/>
      <c r="C53" s="43"/>
      <c r="D53" s="74"/>
      <c r="F53" s="42"/>
      <c r="G53" s="40"/>
      <c r="H53" s="44"/>
      <c r="I53" s="40"/>
      <c r="J53" s="40"/>
      <c r="K53" s="40"/>
      <c r="L53" s="40"/>
      <c r="M53" s="40"/>
      <c r="N53" s="40"/>
      <c r="O53" s="40"/>
      <c r="P53" s="40"/>
      <c r="Q53" s="40"/>
      <c r="R53" s="40"/>
      <c r="S53" s="40"/>
      <c r="T53" s="40"/>
      <c r="U53" s="40"/>
    </row>
    <row r="54" spans="1:21">
      <c r="A54" s="40"/>
      <c r="B54" s="40"/>
      <c r="C54" s="43"/>
      <c r="D54" s="74"/>
      <c r="F54" s="42"/>
      <c r="G54" s="40"/>
      <c r="H54" s="44"/>
      <c r="I54" s="40"/>
      <c r="J54" s="40"/>
      <c r="K54" s="40"/>
      <c r="L54" s="40"/>
      <c r="M54" s="40"/>
      <c r="N54" s="40"/>
      <c r="O54" s="40"/>
      <c r="P54" s="40"/>
      <c r="Q54" s="40"/>
      <c r="R54" s="40"/>
      <c r="S54" s="40"/>
      <c r="T54" s="40"/>
      <c r="U54" s="40"/>
    </row>
    <row r="55" spans="1:21">
      <c r="A55" s="40"/>
      <c r="B55" s="40"/>
      <c r="C55" s="43"/>
      <c r="D55" s="74"/>
      <c r="F55" s="42"/>
      <c r="G55" s="40"/>
      <c r="H55" s="44"/>
      <c r="I55" s="40"/>
      <c r="J55" s="40"/>
      <c r="K55" s="40"/>
      <c r="L55" s="40"/>
      <c r="M55" s="40"/>
      <c r="N55" s="40"/>
      <c r="O55" s="40"/>
      <c r="P55" s="40"/>
      <c r="Q55" s="40"/>
      <c r="R55" s="40"/>
      <c r="S55" s="40"/>
      <c r="T55" s="40"/>
      <c r="U55" s="40"/>
    </row>
    <row r="56" spans="1:21">
      <c r="A56" s="40"/>
      <c r="B56" s="40"/>
      <c r="C56" s="43"/>
      <c r="D56" s="74"/>
      <c r="F56" s="42"/>
      <c r="G56" s="40"/>
      <c r="H56" s="44"/>
      <c r="I56" s="40"/>
      <c r="J56" s="40"/>
      <c r="K56" s="40"/>
      <c r="L56" s="40"/>
      <c r="M56" s="40"/>
      <c r="N56" s="40"/>
      <c r="O56" s="40"/>
      <c r="P56" s="40"/>
      <c r="Q56" s="40"/>
      <c r="R56" s="40"/>
      <c r="S56" s="40"/>
      <c r="T56" s="40"/>
      <c r="U56" s="40"/>
    </row>
    <row r="57" spans="1:21">
      <c r="A57" s="40"/>
      <c r="B57" s="40"/>
      <c r="C57" s="43"/>
      <c r="D57" s="74"/>
      <c r="F57" s="42"/>
      <c r="G57" s="40"/>
      <c r="H57" s="44"/>
      <c r="I57" s="40"/>
      <c r="J57" s="40"/>
      <c r="K57" s="40"/>
      <c r="L57" s="40"/>
      <c r="M57" s="40"/>
      <c r="N57" s="40"/>
      <c r="O57" s="40"/>
      <c r="P57" s="40"/>
      <c r="Q57" s="40"/>
      <c r="R57" s="40"/>
      <c r="S57" s="40"/>
      <c r="T57" s="40"/>
      <c r="U57" s="40"/>
    </row>
    <row r="58" spans="1:21">
      <c r="A58" s="40"/>
      <c r="B58" s="40"/>
      <c r="C58" s="43"/>
      <c r="D58" s="74"/>
      <c r="F58" s="42"/>
      <c r="G58" s="40"/>
      <c r="H58" s="44"/>
      <c r="I58" s="40"/>
      <c r="J58" s="40"/>
      <c r="K58" s="40"/>
      <c r="L58" s="40"/>
      <c r="M58" s="40"/>
      <c r="N58" s="40"/>
      <c r="O58" s="40"/>
      <c r="P58" s="40"/>
      <c r="Q58" s="40"/>
      <c r="R58" s="40"/>
      <c r="S58" s="40"/>
      <c r="T58" s="40"/>
      <c r="U58" s="40"/>
    </row>
    <row r="59" spans="1:21">
      <c r="A59" s="40"/>
      <c r="B59" s="40"/>
      <c r="C59" s="43"/>
      <c r="D59" s="74"/>
      <c r="F59" s="42"/>
      <c r="G59" s="40"/>
      <c r="H59" s="44"/>
      <c r="I59" s="40"/>
      <c r="J59" s="40"/>
      <c r="K59" s="40"/>
      <c r="L59" s="40"/>
      <c r="M59" s="40"/>
      <c r="N59" s="40"/>
      <c r="O59" s="40"/>
      <c r="P59" s="40"/>
      <c r="Q59" s="40"/>
      <c r="R59" s="40"/>
      <c r="S59" s="40"/>
      <c r="T59" s="40"/>
      <c r="U59" s="40"/>
    </row>
    <row r="60" spans="1:21">
      <c r="A60" s="40"/>
      <c r="B60" s="40"/>
      <c r="C60" s="43"/>
      <c r="D60" s="74"/>
      <c r="F60" s="42"/>
      <c r="G60" s="40"/>
      <c r="H60" s="44"/>
      <c r="I60" s="40"/>
      <c r="J60" s="40"/>
      <c r="K60" s="40"/>
      <c r="L60" s="40"/>
      <c r="M60" s="40"/>
      <c r="N60" s="40"/>
      <c r="O60" s="40"/>
      <c r="P60" s="40"/>
      <c r="Q60" s="40"/>
      <c r="R60" s="40"/>
      <c r="S60" s="40"/>
      <c r="T60" s="40"/>
      <c r="U60" s="40"/>
    </row>
    <row r="61" spans="1:21">
      <c r="A61" s="40"/>
      <c r="B61" s="40"/>
      <c r="C61" s="43"/>
      <c r="D61" s="74"/>
      <c r="F61" s="42"/>
      <c r="G61" s="40"/>
      <c r="H61" s="44"/>
      <c r="I61" s="40"/>
      <c r="J61" s="40"/>
      <c r="K61" s="40"/>
      <c r="L61" s="40"/>
      <c r="M61" s="40"/>
      <c r="N61" s="40"/>
      <c r="O61" s="40"/>
      <c r="P61" s="40"/>
      <c r="Q61" s="40"/>
      <c r="R61" s="40"/>
      <c r="S61" s="40"/>
      <c r="T61" s="40"/>
      <c r="U61" s="40"/>
    </row>
    <row r="62" spans="1:21">
      <c r="A62" s="40"/>
      <c r="B62" s="40"/>
      <c r="C62" s="43"/>
      <c r="D62" s="74"/>
      <c r="F62" s="42"/>
      <c r="G62" s="40"/>
      <c r="H62" s="44"/>
      <c r="I62" s="40"/>
      <c r="J62" s="40"/>
      <c r="K62" s="40"/>
      <c r="L62" s="40"/>
      <c r="M62" s="40"/>
      <c r="N62" s="40"/>
      <c r="O62" s="40"/>
      <c r="P62" s="40"/>
      <c r="Q62" s="40"/>
      <c r="R62" s="40"/>
      <c r="S62" s="40"/>
      <c r="T62" s="40"/>
      <c r="U62" s="40"/>
    </row>
    <row r="63" spans="1:21">
      <c r="A63" s="40"/>
      <c r="B63" s="40"/>
      <c r="C63" s="43"/>
      <c r="D63" s="74"/>
      <c r="F63" s="42"/>
      <c r="G63" s="40"/>
      <c r="H63" s="44"/>
      <c r="I63" s="40"/>
      <c r="J63" s="40"/>
      <c r="K63" s="40"/>
      <c r="L63" s="40"/>
      <c r="M63" s="40"/>
      <c r="N63" s="40"/>
      <c r="O63" s="40"/>
      <c r="P63" s="40"/>
      <c r="Q63" s="40"/>
      <c r="R63" s="40"/>
      <c r="S63" s="40"/>
      <c r="T63" s="40"/>
      <c r="U63" s="40"/>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B9B33F0F-A8B9-45E3-B1B3-AEE98046877C}">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1A8EDC94-9268-4DA5-83C8-9F3C15BFBB55}">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01" t="s">
        <v>142</v>
      </c>
      <c r="B2" s="101" t="s">
        <v>143</v>
      </c>
      <c r="C2" s="107" t="s">
        <v>144</v>
      </c>
      <c r="D2" s="109" t="s">
        <v>145</v>
      </c>
      <c r="E2" s="105" t="s">
        <v>146</v>
      </c>
      <c r="F2" s="20" t="s">
        <v>168</v>
      </c>
      <c r="G2" s="21" t="s">
        <v>184</v>
      </c>
      <c r="H2" s="21" t="s">
        <v>169</v>
      </c>
      <c r="I2" s="21" t="s">
        <v>182</v>
      </c>
      <c r="J2" s="21" t="s">
        <v>170</v>
      </c>
      <c r="K2" s="21" t="s">
        <v>183</v>
      </c>
      <c r="L2" s="21" t="s">
        <v>64</v>
      </c>
      <c r="M2" s="21" t="s">
        <v>148</v>
      </c>
      <c r="N2" s="21" t="s">
        <v>72</v>
      </c>
      <c r="O2" s="21" t="s">
        <v>149</v>
      </c>
      <c r="P2" s="10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02"/>
      <c r="B3" s="102"/>
      <c r="C3" s="108"/>
      <c r="D3" s="110"/>
      <c r="E3" s="106"/>
      <c r="F3" s="24" t="s">
        <v>176</v>
      </c>
      <c r="G3" s="25" t="s">
        <v>176</v>
      </c>
      <c r="H3" s="25" t="s">
        <v>177</v>
      </c>
      <c r="I3" s="25" t="s">
        <v>177</v>
      </c>
      <c r="J3" s="25" t="s">
        <v>178</v>
      </c>
      <c r="K3" s="25" t="s">
        <v>178</v>
      </c>
      <c r="L3" s="25" t="s">
        <v>198</v>
      </c>
      <c r="M3" s="25"/>
      <c r="N3" s="25" t="s">
        <v>198</v>
      </c>
      <c r="O3" s="25"/>
      <c r="P3" s="10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051B1615-7F3C-4537-9455-571D28A24AF8}">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8DA9FAE9-D9E5-4EE5-BC04-84C693FC9289}">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374-04FC-4CB0-8CCD-990792B7F22B}">
  <sheetPr codeName="Sheet15"/>
  <dimension ref="A1:AE59"/>
  <sheetViews>
    <sheetView workbookViewId="0">
      <selection activeCell="H11" sqref="H11"/>
    </sheetView>
  </sheetViews>
  <sheetFormatPr defaultRowHeight="13.2"/>
  <cols>
    <col min="1" max="1" width="23.21875" style="111" bestFit="1" customWidth="1"/>
    <col min="2" max="3" width="8.88671875" style="111"/>
    <col min="4" max="4" width="15.77734375" style="111" customWidth="1"/>
    <col min="5" max="9" width="12.77734375" style="111" customWidth="1"/>
    <col min="10" max="16384" width="8.88671875" style="111"/>
  </cols>
  <sheetData>
    <row r="1" spans="1:31">
      <c r="A1" s="112" t="s">
        <v>343</v>
      </c>
    </row>
    <row r="2" spans="1:31">
      <c r="A2" s="112" t="s">
        <v>342</v>
      </c>
      <c r="B2" s="112" t="s">
        <v>341</v>
      </c>
      <c r="C2" s="112" t="s">
        <v>340</v>
      </c>
      <c r="D2" s="112" t="s">
        <v>339</v>
      </c>
      <c r="E2" s="112" t="s">
        <v>218</v>
      </c>
      <c r="F2" s="112"/>
      <c r="G2" s="112"/>
      <c r="H2" s="112"/>
    </row>
    <row r="3" spans="1:31">
      <c r="A3" s="111" t="s">
        <v>262</v>
      </c>
      <c r="D3" s="121">
        <v>0</v>
      </c>
      <c r="E3" s="124" t="s">
        <v>338</v>
      </c>
      <c r="F3" s="123" t="s">
        <v>337</v>
      </c>
      <c r="G3" s="122"/>
    </row>
    <row r="4" spans="1:31">
      <c r="A4" s="111" t="s">
        <v>336</v>
      </c>
      <c r="D4" s="121">
        <v>0</v>
      </c>
      <c r="E4" s="121" t="s">
        <v>335</v>
      </c>
      <c r="F4" s="120" t="s">
        <v>334</v>
      </c>
      <c r="G4" s="119"/>
    </row>
    <row r="5" spans="1:31">
      <c r="A5" s="111" t="s">
        <v>333</v>
      </c>
      <c r="B5" s="111">
        <v>0</v>
      </c>
      <c r="C5" s="111">
        <v>50</v>
      </c>
      <c r="D5" s="118"/>
      <c r="E5" s="117" t="s">
        <v>332</v>
      </c>
      <c r="F5" s="116"/>
      <c r="G5" s="115"/>
    </row>
    <row r="6" spans="1:31">
      <c r="A6" s="111" t="s">
        <v>331</v>
      </c>
      <c r="E6" s="111" t="s">
        <v>345</v>
      </c>
    </row>
    <row r="7" spans="1:31" ht="13.8">
      <c r="E7" s="114" t="s">
        <v>344</v>
      </c>
      <c r="F7" s="113"/>
      <c r="G7" s="113"/>
      <c r="H7" s="113"/>
      <c r="I7" s="113"/>
      <c r="J7" s="125"/>
    </row>
    <row r="8" spans="1:31">
      <c r="A8" s="112" t="s">
        <v>329</v>
      </c>
      <c r="B8" s="112" t="s">
        <v>262</v>
      </c>
      <c r="C8" s="112" t="s">
        <v>261</v>
      </c>
      <c r="D8" s="112" t="s">
        <v>264</v>
      </c>
      <c r="E8" s="112" t="s">
        <v>74</v>
      </c>
      <c r="F8" s="112" t="s">
        <v>75</v>
      </c>
      <c r="G8" s="112" t="s">
        <v>76</v>
      </c>
      <c r="H8" s="112" t="s">
        <v>79</v>
      </c>
      <c r="I8" s="112" t="s">
        <v>212</v>
      </c>
      <c r="J8" s="112" t="s">
        <v>74</v>
      </c>
      <c r="K8" s="112" t="s">
        <v>75</v>
      </c>
      <c r="L8" s="112" t="s">
        <v>76</v>
      </c>
      <c r="M8" s="112" t="s">
        <v>79</v>
      </c>
      <c r="N8" s="112" t="s">
        <v>212</v>
      </c>
      <c r="O8" s="112"/>
      <c r="P8" s="112"/>
      <c r="Q8" s="112"/>
      <c r="R8" s="112"/>
      <c r="S8" s="112"/>
      <c r="T8" s="112"/>
      <c r="U8" s="112"/>
      <c r="V8" s="112"/>
      <c r="W8" s="112"/>
      <c r="X8" s="112"/>
      <c r="Y8" s="112"/>
      <c r="Z8" s="112"/>
      <c r="AA8" s="112"/>
      <c r="AB8" s="112"/>
      <c r="AC8" s="112"/>
      <c r="AD8" s="112"/>
      <c r="AE8" s="112"/>
    </row>
    <row r="9" spans="1:31">
      <c r="A9" s="111">
        <v>1</v>
      </c>
      <c r="B9" s="111">
        <f>$D$3</f>
        <v>0</v>
      </c>
      <c r="C9" s="111">
        <f>$D$4</f>
        <v>0</v>
      </c>
      <c r="D9" s="111">
        <f>$B$5+($A9-1)*1</f>
        <v>0</v>
      </c>
      <c r="E9" s="111">
        <f>GasSolubility($E$8,$D$9,$D$4,$D$3,$E$6)</f>
        <v>1.0034949979074506E-5</v>
      </c>
      <c r="F9" s="111">
        <f>GasSolubility($F$8,$D$9,$D$4,$D$3,$E$6)</f>
        <v>1.003510686301099E-5</v>
      </c>
      <c r="G9" s="111">
        <f>GasSolubility($G$8,$D$9,$D$4,$D$3,$E$6)</f>
        <v>1.0163826136527656E-5</v>
      </c>
      <c r="H9" s="111">
        <f>GasSolubility($H$8,$D$9,$D$4,$D$3,$E$6)</f>
        <v>1.0083748858308224E-5</v>
      </c>
      <c r="I9" s="111">
        <f>GasSolubility($I$8,$D$9,$D$4,$D$3,$E$6)</f>
        <v>1.0191257392397062E-5</v>
      </c>
      <c r="J9" s="111">
        <f>(E9-$E9)/$E9*100</f>
        <v>0</v>
      </c>
      <c r="K9" s="111">
        <f>(F9-$E9)/$E9*100</f>
        <v>1.5633753711876742E-3</v>
      </c>
      <c r="L9" s="111">
        <f>(G9-$E9)/$E9*100</f>
        <v>1.2842730429338456</v>
      </c>
      <c r="M9" s="111">
        <f>(H9-$E9)/$E9*100</f>
        <v>0.48628921255687485</v>
      </c>
      <c r="N9" s="111">
        <f>(I9-$E9)/$E9*100</f>
        <v>1.5576302188700217</v>
      </c>
    </row>
    <row r="10" spans="1:31">
      <c r="A10" s="111">
        <v>2</v>
      </c>
      <c r="B10" s="111">
        <f>$D$3</f>
        <v>0</v>
      </c>
      <c r="C10" s="111">
        <f>$D$4</f>
        <v>0</v>
      </c>
      <c r="D10" s="111">
        <f>$B$5+($A10-1)*1</f>
        <v>1</v>
      </c>
      <c r="E10" s="111">
        <f>GasSolubility($E$8,$D$10,$D$4,$D$3,$E$6)</f>
        <v>9.9135399539601004E-6</v>
      </c>
      <c r="F10" s="111">
        <f>GasSolubility($F$8,$D$10,$D$4,$D$3,$E$6)</f>
        <v>9.9147988789810699E-6</v>
      </c>
      <c r="G10" s="111">
        <f>GasSolubility($G$8,$D$10,$D$4,$D$3,$E$6)</f>
        <v>1.0033991322218783E-5</v>
      </c>
      <c r="H10" s="111">
        <f>GasSolubility($H$8,$D$10,$D$4,$D$3,$E$6)</f>
        <v>9.9678353324974086E-6</v>
      </c>
      <c r="I10" s="111">
        <f>GasSolubility($I$8,$D$10,$D$4,$D$3,$E$6)</f>
        <v>1.0061459099080442E-5</v>
      </c>
      <c r="J10" s="111">
        <f>(E10-$E10)/$E10*100</f>
        <v>0</v>
      </c>
      <c r="K10" s="111">
        <f>(F10-$E10)/$E10*100</f>
        <v>1.2699046221794212E-2</v>
      </c>
      <c r="L10" s="111">
        <f>(G10-$E10)/$E10*100</f>
        <v>1.215018740208605</v>
      </c>
      <c r="M10" s="111">
        <f>(H10-$E10)/$E10*100</f>
        <v>0.54768910792172809</v>
      </c>
      <c r="N10" s="111">
        <f>(I10-$E10)/$E10*100</f>
        <v>1.4920920862507161</v>
      </c>
    </row>
    <row r="11" spans="1:31">
      <c r="A11" s="111">
        <v>3</v>
      </c>
      <c r="B11" s="111">
        <f>$D$3</f>
        <v>0</v>
      </c>
      <c r="C11" s="111">
        <f>$D$4</f>
        <v>0</v>
      </c>
      <c r="D11" s="111">
        <f>$B$5+($A11-1)*1</f>
        <v>2</v>
      </c>
      <c r="E11" s="111">
        <f>GasSolubility($E$8,$D$11,$D$4,$D$3,$E$6)</f>
        <v>9.7966485616992518E-6</v>
      </c>
      <c r="F11" s="111">
        <f>GasSolubility($F$8,$D$11,$D$4,$D$3,$E$6)</f>
        <v>9.7986801423529146E-6</v>
      </c>
      <c r="G11" s="111">
        <f>GasSolubility($G$8,$D$11,$D$4,$D$3,$E$6)</f>
        <v>9.9088930806747011E-6</v>
      </c>
      <c r="H11" s="111">
        <f>GasSolubility($H$8,$D$11,$D$4,$D$3,$E$6)</f>
        <v>9.8553459230882085E-6</v>
      </c>
      <c r="I11" s="111">
        <f>GasSolubility($I$8,$D$11,$D$4,$D$3,$E$6)</f>
        <v>9.9373167777920197E-6</v>
      </c>
      <c r="J11" s="111">
        <f>(E11-$E11)/$E11*100</f>
        <v>0</v>
      </c>
      <c r="K11" s="111">
        <f>(F11-$E11)/$E11*100</f>
        <v>2.0737506718425138E-2</v>
      </c>
      <c r="L11" s="111">
        <f>(G11-$E11)/$E11*100</f>
        <v>1.145744060007194</v>
      </c>
      <c r="M11" s="111">
        <f>(H11-$E11)/$E11*100</f>
        <v>0.59915756923687702</v>
      </c>
      <c r="N11" s="111">
        <f>(I11-$E11)/$E11*100</f>
        <v>1.4358810077430066</v>
      </c>
    </row>
    <row r="12" spans="1:31">
      <c r="A12" s="111">
        <v>4</v>
      </c>
      <c r="B12" s="111">
        <f>$D$3</f>
        <v>0</v>
      </c>
      <c r="C12" s="111">
        <f>$D$4</f>
        <v>0</v>
      </c>
      <c r="D12" s="111">
        <f>$B$5+($A12-1)*1</f>
        <v>3</v>
      </c>
      <c r="E12" s="111">
        <f>GasSolubility($E$8,$D$12,$D$4,$D$3,$E$6)</f>
        <v>9.6840518982374445E-6</v>
      </c>
      <c r="F12" s="111">
        <f>GasSolubility($F$8,$D$12,$D$4,$D$3,$E$6)</f>
        <v>9.6865764184144748E-6</v>
      </c>
      <c r="G12" s="111">
        <f>GasSolubility($G$8,$D$12,$D$4,$D$3,$E$6)</f>
        <v>9.7883329790328236E-6</v>
      </c>
      <c r="H12" s="111">
        <f>GasSolubility($H$8,$D$12,$D$4,$D$3,$E$6)</f>
        <v>9.7461901170338555E-6</v>
      </c>
      <c r="I12" s="111">
        <f>GasSolubility($I$8,$D$12,$D$4,$D$3,$E$6)</f>
        <v>9.8185112517818677E-6</v>
      </c>
      <c r="J12" s="111">
        <f>(E12-$E12)/$E12*100</f>
        <v>0</v>
      </c>
      <c r="K12" s="111">
        <f>(F12-$E12)/$E12*100</f>
        <v>2.6068841881049513E-2</v>
      </c>
      <c r="L12" s="111">
        <f>(G12-$E12)/$E12*100</f>
        <v>1.0768331468190391</v>
      </c>
      <c r="M12" s="111">
        <f>(H12-$E12)/$E12*100</f>
        <v>0.64165516097368869</v>
      </c>
      <c r="N12" s="111">
        <f>(I12-$E12)/$E12*100</f>
        <v>1.3884617199221703</v>
      </c>
    </row>
    <row r="13" spans="1:31">
      <c r="A13" s="111">
        <v>5</v>
      </c>
      <c r="B13" s="111">
        <f>$D$3</f>
        <v>0</v>
      </c>
      <c r="C13" s="111">
        <f>$D$4</f>
        <v>0</v>
      </c>
      <c r="D13" s="111">
        <f>$B$5+($A13-1)*1</f>
        <v>4</v>
      </c>
      <c r="E13" s="111">
        <f>GasSolubility($E$8,$D$13,$D$4,$D$3,$E$6)</f>
        <v>9.5755378695410805E-6</v>
      </c>
      <c r="F13" s="111">
        <f>GasSolubility($F$8,$D$13,$D$4,$D$3,$E$6)</f>
        <v>9.578320943302476E-6</v>
      </c>
      <c r="G13" s="111">
        <f>GasSolubility($G$8,$D$13,$D$4,$D$3,$E$6)</f>
        <v>9.6721213695397726E-6</v>
      </c>
      <c r="H13" s="111">
        <f>GasSolubility($H$8,$D$13,$D$4,$D$3,$E$6)</f>
        <v>9.6402808720049542E-6</v>
      </c>
      <c r="I13" s="111">
        <f>GasSolubility($I$8,$D$13,$D$4,$D$3,$E$6)</f>
        <v>9.7047418307979575E-6</v>
      </c>
      <c r="J13" s="111">
        <f>(E13-$E13)/$E13*100</f>
        <v>0</v>
      </c>
      <c r="K13" s="111">
        <f>(F13-$E13)/$E13*100</f>
        <v>2.906441183056873E-2</v>
      </c>
      <c r="L13" s="111">
        <f>(G13-$E13)/$E13*100</f>
        <v>1.0086483006444522</v>
      </c>
      <c r="M13" s="111">
        <f>(H13-$E13)/$E13*100</f>
        <v>0.67612914643484756</v>
      </c>
      <c r="N13" s="111">
        <f>(I13-$E13)/$E13*100</f>
        <v>1.3493128325236234</v>
      </c>
    </row>
    <row r="14" spans="1:31">
      <c r="A14" s="111">
        <v>6</v>
      </c>
      <c r="B14" s="111">
        <f>$D$3</f>
        <v>0</v>
      </c>
      <c r="C14" s="111">
        <f>$D$4</f>
        <v>0</v>
      </c>
      <c r="D14" s="111">
        <f>$B$5+($A14-1)*1</f>
        <v>5</v>
      </c>
      <c r="E14" s="111">
        <f>GasSolubility($E$8,$D$14,$D$4,$D$3,$E$6)</f>
        <v>9.4709054312483206E-6</v>
      </c>
      <c r="F14" s="111">
        <f>GasSolubility($F$8,$D$14,$D$4,$D$3,$E$6)</f>
        <v>9.473753958720127E-6</v>
      </c>
      <c r="G14" s="111">
        <f>GasSolubility($G$8,$D$14,$D$4,$D$3,$E$6)</f>
        <v>9.5600768464791481E-6</v>
      </c>
      <c r="H14" s="111">
        <f>GasSolubility($H$8,$D$14,$D$4,$D$3,$E$6)</f>
        <v>9.5375344862212532E-6</v>
      </c>
      <c r="I14" s="111">
        <f>GasSolubility($I$8,$D$14,$D$4,$D$3,$E$6)</f>
        <v>9.5957249704070155E-6</v>
      </c>
      <c r="J14" s="111">
        <f>(E14-$E14)/$E14*100</f>
        <v>0</v>
      </c>
      <c r="K14" s="111">
        <f>(F14-$E14)/$E14*100</f>
        <v>3.007661191936279E-2</v>
      </c>
      <c r="L14" s="111">
        <f>(G14-$E14)/$E14*100</f>
        <v>0.94152999286230099</v>
      </c>
      <c r="M14" s="111">
        <f>(H14-$E14)/$E14*100</f>
        <v>0.7035130427244749</v>
      </c>
      <c r="N14" s="111">
        <f>(I14-$E14)/$E14*100</f>
        <v>1.3179261482948095</v>
      </c>
    </row>
    <row r="15" spans="1:31">
      <c r="A15" s="111">
        <v>7</v>
      </c>
      <c r="B15" s="111">
        <f>$D$3</f>
        <v>0</v>
      </c>
      <c r="C15" s="111">
        <f>$D$4</f>
        <v>0</v>
      </c>
      <c r="D15" s="111">
        <f>$B$5+($A15-1)*1</f>
        <v>6</v>
      </c>
      <c r="E15" s="111">
        <f>GasSolubility($E$8,$D$15,$D$4,$D$3,$E$6)</f>
        <v>9.369963884103238E-6</v>
      </c>
      <c r="F15" s="111">
        <f>GasSolubility($F$8,$D$15,$D$4,$D$3,$E$6)</f>
        <v>9.3727222734436596E-6</v>
      </c>
      <c r="G15" s="111">
        <f>GasSolubility($G$8,$D$15,$D$4,$D$3,$E$6)</f>
        <v>9.4520257347816495E-6</v>
      </c>
      <c r="H15" s="111">
        <f>GasSolubility($H$8,$D$15,$D$4,$D$3,$E$6)</f>
        <v>9.4378704743629648E-6</v>
      </c>
      <c r="I15" s="111">
        <f>GasSolubility($I$8,$D$15,$D$4,$D$3,$E$6)</f>
        <v>9.4911930416784178E-6</v>
      </c>
      <c r="J15" s="111">
        <f>(E15-$E15)/$E15*100</f>
        <v>0</v>
      </c>
      <c r="K15" s="111">
        <f>(F15-$E15)/$E15*100</f>
        <v>2.943863364405723E-2</v>
      </c>
      <c r="L15" s="111">
        <f>(G15-$E15)/$E15*100</f>
        <v>0.87579687278875018</v>
      </c>
      <c r="M15" s="111">
        <f>(H15-$E15)/$E15*100</f>
        <v>0.72472627535880663</v>
      </c>
      <c r="N15" s="111">
        <f>(I15-$E15)/$E15*100</f>
        <v>1.2938060282265664</v>
      </c>
    </row>
    <row r="16" spans="1:31">
      <c r="A16" s="111">
        <v>8</v>
      </c>
      <c r="B16" s="111">
        <f>$D$3</f>
        <v>0</v>
      </c>
      <c r="C16" s="111">
        <f>$D$4</f>
        <v>0</v>
      </c>
      <c r="D16" s="111">
        <f>$B$5+($A16-1)*1</f>
        <v>7</v>
      </c>
      <c r="E16" s="111">
        <f>GasSolubility($E$8,$D$16,$D$4,$D$3,$E$6)</f>
        <v>9.2725322207081011E-6</v>
      </c>
      <c r="F16" s="111">
        <f>GasSolubility($F$8,$D$16,$D$4,$D$3,$E$6)</f>
        <v>9.2750788496710214E-6</v>
      </c>
      <c r="G16" s="111">
        <f>GasSolubility($G$8,$D$16,$D$4,$D$3,$E$6)</f>
        <v>9.3478016080281456E-6</v>
      </c>
      <c r="H16" s="111">
        <f>GasSolubility($H$8,$D$16,$D$4,$D$3,$E$6)</f>
        <v>9.3412114492760514E-6</v>
      </c>
      <c r="I16" s="111">
        <f>GasSolubility($I$8,$D$16,$D$4,$D$3,$E$6)</f>
        <v>9.3908932014261554E-6</v>
      </c>
      <c r="J16" s="111">
        <f>(E16-$E16)/$E16*100</f>
        <v>0</v>
      </c>
      <c r="K16" s="111">
        <f>(F16-$E16)/$E16*100</f>
        <v>2.7464223389086745E-2</v>
      </c>
      <c r="L16" s="111">
        <f>(G16-$E16)/$E16*100</f>
        <v>0.81174576187449043</v>
      </c>
      <c r="M16" s="111">
        <f>(H16-$E16)/$E16*100</f>
        <v>0.7406739273935421</v>
      </c>
      <c r="N16" s="111">
        <f>(I16-$E16)/$E16*100</f>
        <v>1.2764687994690582</v>
      </c>
    </row>
    <row r="17" spans="1:14">
      <c r="A17" s="111">
        <v>9</v>
      </c>
      <c r="B17" s="111">
        <f>$D$3</f>
        <v>0</v>
      </c>
      <c r="C17" s="111">
        <f>$D$4</f>
        <v>0</v>
      </c>
      <c r="D17" s="111">
        <f>$B$5+($A17-1)*1</f>
        <v>8</v>
      </c>
      <c r="E17" s="111">
        <f>GasSolubility($E$8,$D$17,$D$4,$D$3,$E$6)</f>
        <v>9.1784385195174996E-6</v>
      </c>
      <c r="F17" s="111">
        <f>GasSolubility($F$8,$D$17,$D$4,$D$3,$E$6)</f>
        <v>9.1806824124100497E-6</v>
      </c>
      <c r="G17" s="111">
        <f>GasSolubility($G$8,$D$17,$D$4,$D$3,$E$6)</f>
        <v>9.2472448337248489E-6</v>
      </c>
      <c r="H17" s="111">
        <f>GasSolubility($H$8,$D$17,$D$4,$D$3,$E$6)</f>
        <v>9.2474830092014893E-6</v>
      </c>
      <c r="I17" s="111">
        <f>GasSolubility($I$8,$D$17,$D$4,$D$3,$E$6)</f>
        <v>9.2945863541567546E-6</v>
      </c>
      <c r="J17" s="111">
        <f>(E17-$E17)/$E17*100</f>
        <v>0</v>
      </c>
      <c r="K17" s="111">
        <f>(F17-$E17)/$E17*100</f>
        <v>2.4447436105592139E-2</v>
      </c>
      <c r="L17" s="111">
        <f>(G17-$E17)/$E17*100</f>
        <v>0.74965163258473744</v>
      </c>
      <c r="M17" s="111">
        <f>(H17-$E17)/$E17*100</f>
        <v>0.75224657807719675</v>
      </c>
      <c r="N17" s="111">
        <f>(I17-$E17)/$E17*100</f>
        <v>1.2654422034017265</v>
      </c>
    </row>
    <row r="18" spans="1:14">
      <c r="A18" s="111">
        <v>10</v>
      </c>
      <c r="B18" s="111">
        <f>$D$3</f>
        <v>0</v>
      </c>
      <c r="C18" s="111">
        <f>$D$4</f>
        <v>0</v>
      </c>
      <c r="D18" s="111">
        <f>$B$5+($A18-1)*1</f>
        <v>9</v>
      </c>
      <c r="E18" s="111">
        <f>GasSolubility($E$8,$D$18,$D$4,$D$3,$E$6)</f>
        <v>9.0875193823575953E-6</v>
      </c>
      <c r="F18" s="111">
        <f>GasSolubility($F$8,$D$18,$D$4,$D$3,$E$6)</f>
        <v>9.0893970802364409E-6</v>
      </c>
      <c r="G18" s="111">
        <f>GasSolubility($G$8,$D$18,$D$4,$D$3,$E$6)</f>
        <v>9.1502021438853154E-6</v>
      </c>
      <c r="H18" s="111">
        <f>GasSolubility($H$8,$D$18,$D$4,$D$3,$E$6)</f>
        <v>9.1566136302731692E-6</v>
      </c>
      <c r="I18" s="111">
        <f>GasSolubility($I$8,$D$18,$D$4,$D$3,$E$6)</f>
        <v>9.2020461977355083E-6</v>
      </c>
      <c r="J18" s="111">
        <f>(E18-$E18)/$E18*100</f>
        <v>0</v>
      </c>
      <c r="K18" s="111">
        <f>(F18-$E18)/$E18*100</f>
        <v>2.0662381006757075E-2</v>
      </c>
      <c r="L18" s="111">
        <f>(G18-$E18)/$E18*100</f>
        <v>0.68976756901791736</v>
      </c>
      <c r="M18" s="111">
        <f>(H18-$E18)/$E18*100</f>
        <v>0.76032022610826733</v>
      </c>
      <c r="N18" s="111">
        <f>(I18-$E18)/$E18*100</f>
        <v>1.2602648815281097</v>
      </c>
    </row>
    <row r="19" spans="1:14">
      <c r="A19" s="111">
        <v>11</v>
      </c>
      <c r="B19" s="111">
        <f>$D$3</f>
        <v>0</v>
      </c>
      <c r="C19" s="111">
        <f>$D$4</f>
        <v>0</v>
      </c>
      <c r="D19" s="111">
        <f>$B$5+($A19-1)*1</f>
        <v>10</v>
      </c>
      <c r="E19" s="111">
        <f>GasSolubility($E$8,$D$19,$D$4,$D$3,$E$6)</f>
        <v>8.9996194120652384E-6</v>
      </c>
      <c r="F19" s="111">
        <f>GasSolubility($F$8,$D$19,$D$4,$D$3,$E$6)</f>
        <v>9.0010920158723207E-6</v>
      </c>
      <c r="G19" s="111">
        <f>GasSolubility($G$8,$D$19,$D$4,$D$3,$E$6)</f>
        <v>9.056526229095075E-6</v>
      </c>
      <c r="H19" s="111">
        <f>GasSolubility($H$8,$D$19,$D$4,$D$3,$E$6)</f>
        <v>9.0685345640432471E-6</v>
      </c>
      <c r="I19" s="111">
        <f>GasSolubility($I$8,$D$19,$D$4,$D$3,$E$6)</f>
        <v>9.1130583455344101E-6</v>
      </c>
      <c r="J19" s="111">
        <f>(E19-$E19)/$E19*100</f>
        <v>0</v>
      </c>
      <c r="K19" s="111">
        <f>(F19-$E19)/$E19*100</f>
        <v>1.6362956472449668E-2</v>
      </c>
      <c r="L19" s="111">
        <f>(G19-$E19)/$E19*100</f>
        <v>0.6323247064597548</v>
      </c>
      <c r="M19" s="111">
        <f>(H19-$E19)/$E19*100</f>
        <v>0.76575629282298729</v>
      </c>
      <c r="N19" s="111">
        <f>(I19-$E19)/$E19*100</f>
        <v>1.2604858969601653</v>
      </c>
    </row>
    <row r="20" spans="1:14">
      <c r="A20" s="111">
        <v>12</v>
      </c>
      <c r="B20" s="111">
        <f>$D$3</f>
        <v>0</v>
      </c>
      <c r="C20" s="111">
        <f>$D$4</f>
        <v>0</v>
      </c>
      <c r="D20" s="111">
        <f>$B$5+($A20-1)*1</f>
        <v>11</v>
      </c>
      <c r="E20" s="111">
        <f>GasSolubility($E$8,$D$20,$D$4,$D$3,$E$6)</f>
        <v>8.9145907271437772E-6</v>
      </c>
      <c r="F20" s="111">
        <f>GasSolubility($F$8,$D$20,$D$4,$D$3,$E$6)</f>
        <v>8.915641095149051E-6</v>
      </c>
      <c r="G20" s="111">
        <f>GasSolubility($G$8,$D$20,$D$4,$D$3,$E$6)</f>
        <v>8.9660753543674469E-6</v>
      </c>
      <c r="H20" s="111">
        <f>GasSolubility($H$8,$D$20,$D$4,$D$3,$E$6)</f>
        <v>8.9831797398067753E-6</v>
      </c>
      <c r="I20" s="111">
        <f>GasSolubility($I$8,$D$20,$D$4,$D$3,$E$6)</f>
        <v>9.0274195185289467E-6</v>
      </c>
      <c r="J20" s="111">
        <f>(E20-$E20)/$E20*100</f>
        <v>0</v>
      </c>
      <c r="K20" s="111">
        <f>(F20-$E20)/$E20*100</f>
        <v>1.1782571263486514E-2</v>
      </c>
      <c r="L20" s="111">
        <f>(G20-$E20)/$E20*100</f>
        <v>0.57753214701046995</v>
      </c>
      <c r="M20" s="111">
        <f>(H20-$E20)/$E20*100</f>
        <v>0.76940170067654856</v>
      </c>
      <c r="N20" s="111">
        <f>(I20-$E20)/$E20*100</f>
        <v>1.2656642894622232</v>
      </c>
    </row>
    <row r="21" spans="1:14">
      <c r="A21" s="111">
        <v>13</v>
      </c>
      <c r="B21" s="111">
        <f>$D$3</f>
        <v>0</v>
      </c>
      <c r="C21" s="111">
        <f>$D$4</f>
        <v>0</v>
      </c>
      <c r="D21" s="111">
        <f>$B$5+($A21-1)*1</f>
        <v>12</v>
      </c>
      <c r="E21" s="111">
        <f>GasSolubility($E$8,$D$21,$D$4,$D$3,$E$6)</f>
        <v>8.8322925105880605E-6</v>
      </c>
      <c r="F21" s="111">
        <f>GasSolubility($F$8,$D$21,$D$4,$D$3,$E$6)</f>
        <v>8.8329225930198196E-6</v>
      </c>
      <c r="G21" s="111">
        <f>GasSolubility($G$8,$D$21,$D$4,$D$3,$E$6)</f>
        <v>8.8787129952179475E-6</v>
      </c>
      <c r="H21" s="111">
        <f>GasSolubility($H$8,$D$21,$D$4,$D$3,$E$6)</f>
        <v>8.9004856715099511E-6</v>
      </c>
      <c r="I21" s="111">
        <f>GasSolubility($I$8,$D$21,$D$4,$D$3,$E$6)</f>
        <v>8.9449368014136923E-6</v>
      </c>
      <c r="J21" s="111">
        <f>(E21-$E21)/$E21*100</f>
        <v>0</v>
      </c>
      <c r="K21" s="111">
        <f>(F21-$E21)/$E21*100</f>
        <v>7.1338492356738279E-3</v>
      </c>
      <c r="L21" s="111">
        <f>(G21-$E21)/$E21*100</f>
        <v>0.52557684852758924</v>
      </c>
      <c r="M21" s="111">
        <f>(H21-$E21)/$E21*100</f>
        <v>0.77208902264209767</v>
      </c>
      <c r="N21" s="111">
        <f>(I21-$E21)/$E21*100</f>
        <v>1.275368662106638</v>
      </c>
    </row>
    <row r="22" spans="1:14">
      <c r="A22" s="111">
        <v>14</v>
      </c>
      <c r="B22" s="111">
        <f>$D$3</f>
        <v>0</v>
      </c>
      <c r="C22" s="111">
        <f>$D$4</f>
        <v>0</v>
      </c>
      <c r="D22" s="111">
        <f>$B$5+($A22-1)*1</f>
        <v>13</v>
      </c>
      <c r="E22" s="111">
        <f>GasSolubility($E$8,$D$22,$D$4,$D$3,$E$6)</f>
        <v>8.7525905902744393E-6</v>
      </c>
      <c r="F22" s="111">
        <f>GasSolubility($F$8,$D$22,$D$4,$D$3,$E$6)</f>
        <v>8.7528188853821568E-6</v>
      </c>
      <c r="G22" s="111">
        <f>GasSolubility($G$8,$D$22,$D$4,$D$3,$E$6)</f>
        <v>8.7943074924960236E-6</v>
      </c>
      <c r="H22" s="111">
        <f>GasSolubility($H$8,$D$22,$D$4,$D$3,$E$6)</f>
        <v>8.8203913690381773E-6</v>
      </c>
      <c r="I22" s="111">
        <f>GasSolubility($I$8,$D$22,$D$4,$D$3,$E$6)</f>
        <v>8.865426957366208E-6</v>
      </c>
      <c r="J22" s="111">
        <f>(E22-$E22)/$E22*100</f>
        <v>0</v>
      </c>
      <c r="K22" s="111">
        <f>(F22-$E22)/$E22*100</f>
        <v>2.6083147082319033E-3</v>
      </c>
      <c r="L22" s="111">
        <f>(G22-$E22)/$E22*100</f>
        <v>0.47662348411381905</v>
      </c>
      <c r="M22" s="111">
        <f>(H22-$E22)/$E22*100</f>
        <v>0.77463669829451054</v>
      </c>
      <c r="N22" s="111">
        <f>(I22-$E22)/$E22*100</f>
        <v>1.2891767977488675</v>
      </c>
    </row>
    <row r="23" spans="1:14">
      <c r="A23" s="111">
        <v>15</v>
      </c>
      <c r="B23" s="111">
        <f>$D$3</f>
        <v>0</v>
      </c>
      <c r="C23" s="111">
        <f>$D$4</f>
        <v>0</v>
      </c>
      <c r="D23" s="111">
        <f>$B$5+($A23-1)*1</f>
        <v>14</v>
      </c>
      <c r="E23" s="111">
        <f>GasSolubility($E$8,$D$23,$D$4,$D$3,$E$6)</f>
        <v>8.6753570485278684E-6</v>
      </c>
      <c r="F23" s="111">
        <f>GasSolubility($F$8,$D$23,$D$4,$D$3,$E$6)</f>
        <v>8.6752161655572956E-6</v>
      </c>
      <c r="G23" s="111">
        <f>GasSolubility($G$8,$D$23,$D$4,$D$3,$E$6)</f>
        <v>8.7127317246147315E-6</v>
      </c>
      <c r="H23" s="111">
        <f>GasSolubility($H$8,$D$23,$D$4,$D$3,$E$6)</f>
        <v>8.7428382536912137E-6</v>
      </c>
      <c r="I23" s="111">
        <f>GasSolubility($I$8,$D$23,$D$4,$D$3,$E$6)</f>
        <v>8.7887157965802671E-6</v>
      </c>
      <c r="J23" s="111">
        <f>(E23-$E23)/$E23*100</f>
        <v>0</v>
      </c>
      <c r="K23" s="111">
        <f>(F23-$E23)/$E23*100</f>
        <v>-1.6239443493185695E-3</v>
      </c>
      <c r="L23" s="111">
        <f>(G23-$E23)/$E23*100</f>
        <v>0.43081426940468426</v>
      </c>
      <c r="M23" s="111">
        <f>(H23-$E23)/$E23*100</f>
        <v>0.7778493125513064</v>
      </c>
      <c r="N23" s="111">
        <f>(I23-$E23)/$E23*100</f>
        <v>1.3066753036018801</v>
      </c>
    </row>
    <row r="24" spans="1:14">
      <c r="A24" s="111">
        <v>16</v>
      </c>
      <c r="B24" s="111">
        <f>$D$3</f>
        <v>0</v>
      </c>
      <c r="C24" s="111">
        <f>$D$4</f>
        <v>0</v>
      </c>
      <c r="D24" s="111">
        <f>$B$5+($A24-1)*1</f>
        <v>15</v>
      </c>
      <c r="E24" s="111">
        <f>GasSolubility($E$8,$D$24,$D$4,$D$3,$E$6)</f>
        <v>8.6004698586792152E-6</v>
      </c>
      <c r="F24" s="111">
        <f>GasSolubility($F$8,$D$24,$D$4,$D$3,$E$6)</f>
        <v>8.6000041743536006E-6</v>
      </c>
      <c r="G24" s="111">
        <f>GasSolubility($G$8,$D$24,$D$4,$D$3,$E$6)</f>
        <v>8.6338627959130823E-6</v>
      </c>
      <c r="H24" s="111">
        <f>GasSolubility($H$8,$D$24,$D$4,$D$3,$E$6)</f>
        <v>8.6677700776633107E-6</v>
      </c>
      <c r="I24" s="111">
        <f>GasSolubility($I$8,$D$24,$D$4,$D$3,$E$6)</f>
        <v>8.7146375941445514E-6</v>
      </c>
      <c r="J24" s="111">
        <f>(E24-$E24)/$E24*100</f>
        <v>0</v>
      </c>
      <c r="K24" s="111">
        <f>(F24-$E24)/$E24*100</f>
        <v>-5.4146381914776665E-3</v>
      </c>
      <c r="L24" s="111">
        <f>(G24-$E24)/$E24*100</f>
        <v>0.38826875487701945</v>
      </c>
      <c r="M24" s="111">
        <f>(H24-$E24)/$E24*100</f>
        <v>0.78251793320546426</v>
      </c>
      <c r="N24" s="111">
        <f>(I24-$E24)/$E24*100</f>
        <v>1.3274592823568028</v>
      </c>
    </row>
    <row r="25" spans="1:14">
      <c r="A25" s="111">
        <v>17</v>
      </c>
      <c r="B25" s="111">
        <f>$D$3</f>
        <v>0</v>
      </c>
      <c r="C25" s="111">
        <f>$D$4</f>
        <v>0</v>
      </c>
      <c r="D25" s="111">
        <f>$B$5+($A25-1)*1</f>
        <v>16</v>
      </c>
      <c r="E25" s="111">
        <f>GasSolubility($E$8,$D$25,$D$4,$D$3,$E$6)</f>
        <v>8.5278125465979819E-6</v>
      </c>
      <c r="F25" s="111">
        <f>GasSolubility($F$8,$D$25,$D$4,$D$3,$E$6)</f>
        <v>8.5270759427140278E-6</v>
      </c>
      <c r="G25" s="111">
        <f>GasSolubility($G$8,$D$25,$D$4,$D$3,$E$6)</f>
        <v>8.55758173997087E-6</v>
      </c>
      <c r="H25" s="111">
        <f>GasSolubility($H$8,$D$25,$D$4,$D$3,$E$6)</f>
        <v>8.5951328473562709E-6</v>
      </c>
      <c r="I25" s="111">
        <f>GasSolubility($I$8,$D$25,$D$4,$D$3,$E$6)</f>
        <v>8.6430345532280259E-6</v>
      </c>
      <c r="J25" s="111">
        <f>(E25-$E25)/$E25*100</f>
        <v>0</v>
      </c>
      <c r="K25" s="111">
        <f>(F25-$E25)/$E25*100</f>
        <v>-8.6376650510201596E-3</v>
      </c>
      <c r="L25" s="111">
        <f>(G25-$E25)/$E25*100</f>
        <v>0.34908358046359733</v>
      </c>
      <c r="M25" s="111">
        <f>(H25-$E25)/$E25*100</f>
        <v>0.78942050368057459</v>
      </c>
      <c r="N25" s="111">
        <f>(I25-$E25)/$E25*100</f>
        <v>1.351132028294991</v>
      </c>
    </row>
    <row r="26" spans="1:14">
      <c r="A26" s="111">
        <v>18</v>
      </c>
      <c r="B26" s="111">
        <f>$D$3</f>
        <v>0</v>
      </c>
      <c r="C26" s="111">
        <f>$D$4</f>
        <v>0</v>
      </c>
      <c r="D26" s="111">
        <f>$B$5+($A26-1)*1</f>
        <v>17</v>
      </c>
      <c r="E26" s="111">
        <f>GasSolubility($E$8,$D$26,$D$4,$D$3,$E$6)</f>
        <v>8.4572738753614905E-6</v>
      </c>
      <c r="F26" s="111">
        <f>GasSolubility($F$8,$D$26,$D$4,$D$3,$E$6)</f>
        <v>8.4563275460166921E-6</v>
      </c>
      <c r="G26" s="111">
        <f>GasSolubility($G$8,$D$26,$D$4,$D$3,$E$6)</f>
        <v>8.4837732367774567E-6</v>
      </c>
      <c r="H26" s="111">
        <f>GasSolubility($H$8,$D$26,$D$4,$D$3,$E$6)</f>
        <v>8.5248747503627719E-6</v>
      </c>
      <c r="I26" s="111">
        <f>GasSolubility($I$8,$D$26,$D$4,$D$3,$E$6)</f>
        <v>8.5737563099172111E-6</v>
      </c>
      <c r="J26" s="111">
        <f>(E26-$E26)/$E26*100</f>
        <v>0</v>
      </c>
      <c r="K26" s="111">
        <f>(F26-$E26)/$E26*100</f>
        <v>-1.1189531742082317E-2</v>
      </c>
      <c r="L26" s="111">
        <f>(G26-$E26)/$E26*100</f>
        <v>0.31333218962160614</v>
      </c>
      <c r="M26" s="111">
        <f>(H26-$E26)/$E26*100</f>
        <v>0.7993222875071192</v>
      </c>
      <c r="N26" s="111">
        <f>(I26-$E26)/$E26*100</f>
        <v>1.3773047470422826</v>
      </c>
    </row>
    <row r="27" spans="1:14">
      <c r="A27" s="111">
        <v>19</v>
      </c>
      <c r="B27" s="111">
        <f>$D$3</f>
        <v>0</v>
      </c>
      <c r="C27" s="111">
        <f>$D$4</f>
        <v>0</v>
      </c>
      <c r="D27" s="111">
        <f>$B$5+($A27-1)*1</f>
        <v>18</v>
      </c>
      <c r="E27" s="111">
        <f>GasSolubility($E$8,$D$27,$D$4,$D$3,$E$6)</f>
        <v>8.3887475513578317E-6</v>
      </c>
      <c r="F27" s="111">
        <f>GasSolubility($F$8,$D$27,$D$4,$D$3,$E$6)</f>
        <v>8.3876578691588523E-6</v>
      </c>
      <c r="G27" s="111">
        <f>GasSolubility($G$8,$D$27,$D$4,$D$3,$E$6)</f>
        <v>8.4123253427270665E-6</v>
      </c>
      <c r="H27" s="111">
        <f>GasSolubility($H$8,$D$27,$D$4,$D$3,$E$6)</f>
        <v>8.4569460859665049E-6</v>
      </c>
      <c r="I27" s="111">
        <f>GasSolubility($I$8,$D$27,$D$4,$D$3,$E$6)</f>
        <v>8.5066594763532375E-6</v>
      </c>
      <c r="J27" s="111">
        <f>(E27-$E27)/$E27*100</f>
        <v>0</v>
      </c>
      <c r="K27" s="111">
        <f>(F27-$E27)/$E27*100</f>
        <v>-1.2989807981562374E-2</v>
      </c>
      <c r="L27" s="111">
        <f>(G27-$E27)/$E27*100</f>
        <v>0.28106450009237072</v>
      </c>
      <c r="M27" s="111">
        <f>(H27-$E27)/$E27*100</f>
        <v>0.81297636138346285</v>
      </c>
      <c r="N27" s="111">
        <f>(I27-$E27)/$E27*100</f>
        <v>1.4055962975822318</v>
      </c>
    </row>
    <row r="28" spans="1:14">
      <c r="A28" s="111">
        <v>20</v>
      </c>
      <c r="B28" s="111">
        <f>$D$3</f>
        <v>0</v>
      </c>
      <c r="C28" s="111">
        <f>$D$4</f>
        <v>0</v>
      </c>
      <c r="D28" s="111">
        <f>$B$5+($A28-1)*1</f>
        <v>19</v>
      </c>
      <c r="E28" s="111">
        <f>GasSolubility($E$8,$D$28,$D$4,$D$3,$E$6)</f>
        <v>8.3221319502689783E-6</v>
      </c>
      <c r="F28" s="111">
        <f>GasSolubility($F$8,$D$28,$D$4,$D$3,$E$6)</f>
        <v>8.3209683816136737E-6</v>
      </c>
      <c r="G28" s="111">
        <f>GasSolubility($G$8,$D$28,$D$4,$D$3,$E$6)</f>
        <v>8.3431292324829282E-6</v>
      </c>
      <c r="H28" s="111">
        <f>GasSolubility($H$8,$D$28,$D$4,$D$3,$E$6)</f>
        <v>8.3912991990139563E-6</v>
      </c>
      <c r="I28" s="111">
        <f>GasSolubility($I$8,$D$28,$D$4,$D$3,$E$6)</f>
        <v>8.4416072191334693E-6</v>
      </c>
      <c r="J28" s="111">
        <f>(E28-$E28)/$E28*100</f>
        <v>0</v>
      </c>
      <c r="K28" s="111">
        <f>(F28-$E28)/$E28*100</f>
        <v>-1.3981617478042529E-2</v>
      </c>
      <c r="L28" s="111">
        <f>(G28-$E28)/$E28*100</f>
        <v>0.25230652841633039</v>
      </c>
      <c r="M28" s="111">
        <f>(H28-$E28)/$E28*100</f>
        <v>0.83112415374214932</v>
      </c>
      <c r="N28" s="111">
        <f>(I28-$E28)/$E28*100</f>
        <v>1.4356329553345948</v>
      </c>
    </row>
    <row r="29" spans="1:14">
      <c r="A29" s="111">
        <v>21</v>
      </c>
      <c r="B29" s="111">
        <f>$D$3</f>
        <v>0</v>
      </c>
      <c r="C29" s="111">
        <f>$D$4</f>
        <v>0</v>
      </c>
      <c r="D29" s="111">
        <f>$B$5+($A29-1)*1</f>
        <v>20</v>
      </c>
      <c r="E29" s="111">
        <f>GasSolubility($E$8,$D$29,$D$4,$D$3,$E$6)</f>
        <v>8.2573298614890153E-6</v>
      </c>
      <c r="F29" s="111">
        <f>GasSolubility($F$8,$D$29,$D$4,$D$3,$E$6)</f>
        <v>8.2561629217006465E-6</v>
      </c>
      <c r="G29" s="111">
        <f>GasSolubility($G$8,$D$29,$D$4,$D$3,$E$6)</f>
        <v>8.2760789518126102E-6</v>
      </c>
      <c r="H29" s="111">
        <f>GasSolubility($H$8,$D$29,$D$4,$D$3,$E$6)</f>
        <v>8.3278884170211124E-6</v>
      </c>
      <c r="I29" s="111">
        <f>GasSolubility($I$8,$D$29,$D$4,$D$3,$E$6)</f>
        <v>8.3784688701802607E-6</v>
      </c>
      <c r="J29" s="111">
        <f>(E29-$E29)/$E29*100</f>
        <v>0</v>
      </c>
      <c r="K29" s="111">
        <f>(F29-$E29)/$E29*100</f>
        <v>-1.4132168726978873E-2</v>
      </c>
      <c r="L29" s="111">
        <f>(G29-$E29)/$E29*100</f>
        <v>0.22705996536529194</v>
      </c>
      <c r="M29" s="111">
        <f>(H29-$E29)/$E29*100</f>
        <v>0.85449602614486742</v>
      </c>
      <c r="N29" s="111">
        <f>(I29-$E29)/$E29*100</f>
        <v>1.4670481950372374</v>
      </c>
    </row>
    <row r="30" spans="1:14">
      <c r="A30" s="111">
        <v>22</v>
      </c>
      <c r="B30" s="111">
        <f>$D$3</f>
        <v>0</v>
      </c>
      <c r="C30" s="111">
        <f>$D$4</f>
        <v>0</v>
      </c>
      <c r="D30" s="111">
        <f>$B$5+($A30-1)*1</f>
        <v>21</v>
      </c>
      <c r="E30" s="111">
        <f>GasSolubility($E$8,$D$30,$D$4,$D$3,$E$6)</f>
        <v>8.1942482496654531E-6</v>
      </c>
      <c r="F30" s="111">
        <f>GasSolubility($F$8,$D$30,$D$4,$D$3,$E$6)</f>
        <v>8.1931474893621279E-6</v>
      </c>
      <c r="G30" s="111">
        <f>GasSolubility($G$8,$D$30,$D$4,$D$3,$E$6)</f>
        <v>8.2110711805569251E-6</v>
      </c>
      <c r="H30" s="111">
        <f>GasSolubility($H$8,$D$30,$D$4,$D$3,$E$6)</f>
        <v>8.2666699903858029E-6</v>
      </c>
      <c r="I30" s="111">
        <f>GasSolubility($I$8,$D$30,$D$4,$D$3,$E$6)</f>
        <v>8.3171195675535342E-6</v>
      </c>
      <c r="J30" s="111">
        <f>(E30-$E30)/$E30*100</f>
        <v>0</v>
      </c>
      <c r="K30" s="111">
        <f>(F30-$E30)/$E30*100</f>
        <v>-1.3433328717738896E-2</v>
      </c>
      <c r="L30" s="111">
        <f>(G30-$E30)/$E30*100</f>
        <v>0.20530169917855351</v>
      </c>
      <c r="M30" s="111">
        <f>(H30-$E30)/$E30*100</f>
        <v>0.88381189480446398</v>
      </c>
      <c r="N30" s="111">
        <f>(I30-$E30)/$E30*100</f>
        <v>1.499482492406764</v>
      </c>
    </row>
    <row r="31" spans="1:14">
      <c r="A31" s="111">
        <v>23</v>
      </c>
      <c r="B31" s="111">
        <f>$D$3</f>
        <v>0</v>
      </c>
      <c r="C31" s="111">
        <f>$D$4</f>
        <v>0</v>
      </c>
      <c r="D31" s="111">
        <f>$B$5+($A31-1)*1</f>
        <v>22</v>
      </c>
      <c r="E31" s="111">
        <f>GasSolubility($E$8,$D$31,$D$4,$D$3,$E$6)</f>
        <v>8.1327980321355735E-6</v>
      </c>
      <c r="F31" s="111">
        <f>GasSolubility($F$8,$D$31,$D$4,$D$3,$E$6)</f>
        <v>8.1318300467813868E-6</v>
      </c>
      <c r="G31" s="111">
        <f>GasSolubility($G$8,$D$31,$D$4,$D$3,$E$6)</f>
        <v>8.1480050049456484E-6</v>
      </c>
      <c r="H31" s="111">
        <f>GasSolubility($H$8,$D$31,$D$4,$D$3,$E$6)</f>
        <v>8.2076020355839994E-6</v>
      </c>
      <c r="I31" s="111">
        <f>GasSolubility($I$8,$D$31,$D$4,$D$3,$E$6)</f>
        <v>8.2574399238666587E-6</v>
      </c>
      <c r="J31" s="111">
        <f>(E31-$E31)/$E31*100</f>
        <v>0</v>
      </c>
      <c r="K31" s="111">
        <f>(F31-$E31)/$E31*100</f>
        <v>-1.1902242627467835E-2</v>
      </c>
      <c r="L31" s="111">
        <f>(G31-$E31)/$E31*100</f>
        <v>0.1869832836126854</v>
      </c>
      <c r="M31" s="111">
        <f>(H31-$E31)/$E31*100</f>
        <v>0.91978188998237453</v>
      </c>
      <c r="N31" s="111">
        <f>(I31-$E31)/$E31*100</f>
        <v>1.5325831434468289</v>
      </c>
    </row>
    <row r="32" spans="1:14">
      <c r="A32" s="111">
        <v>24</v>
      </c>
      <c r="B32" s="111">
        <f>$D$3</f>
        <v>0</v>
      </c>
      <c r="C32" s="111">
        <f>$D$4</f>
        <v>0</v>
      </c>
      <c r="D32" s="111">
        <f>$B$5+($A32-1)*1</f>
        <v>23</v>
      </c>
      <c r="E32" s="111">
        <f>GasSolubility($E$8,$D$32,$D$4,$D$3,$E$6)</f>
        <v>8.0728938711352692E-6</v>
      </c>
      <c r="F32" s="111">
        <f>GasSolubility($F$8,$D$32,$D$4,$D$3,$E$6)</f>
        <v>8.0721203262212412E-6</v>
      </c>
      <c r="G32" s="111">
        <f>GasSolubility($G$8,$D$32,$D$4,$D$3,$E$6)</f>
        <v>8.0867816985230959E-6</v>
      </c>
      <c r="H32" s="111">
        <f>GasSolubility($H$8,$D$32,$D$4,$D$3,$E$6)</f>
        <v>8.1506444812352213E-6</v>
      </c>
      <c r="I32" s="111">
        <f>GasSolubility($I$8,$D$32,$D$4,$D$3,$E$6)</f>
        <v>8.1993157201799656E-6</v>
      </c>
      <c r="J32" s="111">
        <f>(E32-$E32)/$E32*100</f>
        <v>0</v>
      </c>
      <c r="K32" s="111">
        <f>(F32-$E32)/$E32*100</f>
        <v>-9.5820027659944389E-3</v>
      </c>
      <c r="L32" s="111">
        <f>(G32-$E32)/$E32*100</f>
        <v>0.17203034759917776</v>
      </c>
      <c r="M32" s="111">
        <f>(H32-$E32)/$E32*100</f>
        <v>0.96310705109044437</v>
      </c>
      <c r="N32" s="111">
        <f>(I32-$E32)/$E32*100</f>
        <v>1.5660041004220213</v>
      </c>
    </row>
    <row r="33" spans="1:14">
      <c r="A33" s="111">
        <v>25</v>
      </c>
      <c r="B33" s="111">
        <f>$D$3</f>
        <v>0</v>
      </c>
      <c r="C33" s="111">
        <f>$D$4</f>
        <v>0</v>
      </c>
      <c r="D33" s="111">
        <f>$B$5+($A33-1)*1</f>
        <v>24</v>
      </c>
      <c r="E33" s="111">
        <f>GasSolubility($E$8,$D$33,$D$4,$D$3,$E$6)</f>
        <v>8.0144539797472136E-6</v>
      </c>
      <c r="F33" s="111">
        <f>GasSolubility($F$8,$D$33,$D$4,$D$3,$E$6)</f>
        <v>8.0139296445011615E-6</v>
      </c>
      <c r="G33" s="111">
        <f>GasSolubility($G$8,$D$33,$D$4,$D$3,$E$6)</f>
        <v>8.0273045109927589E-6</v>
      </c>
      <c r="H33" s="111">
        <f>GasSolubility($H$8,$D$33,$D$4,$D$3,$E$6)</f>
        <v>8.095759016928947E-6</v>
      </c>
      <c r="I33" s="111">
        <f>GasSolubility($I$8,$D$33,$D$4,$D$3,$E$6)</f>
        <v>8.1426376234281332E-6</v>
      </c>
      <c r="J33" s="111">
        <f>(E33-$E33)/$E33*100</f>
        <v>0</v>
      </c>
      <c r="K33" s="111">
        <f>(F33-$E33)/$E33*100</f>
        <v>-6.5423701649193729E-3</v>
      </c>
      <c r="L33" s="111">
        <f>(G33-$E33)/$E33*100</f>
        <v>0.16034194316941566</v>
      </c>
      <c r="M33" s="111">
        <f>(H33-$E33)/$E33*100</f>
        <v>1.0144800554996491</v>
      </c>
      <c r="N33" s="111">
        <f>(I33-$E33)/$E33*100</f>
        <v>1.5994058235887787</v>
      </c>
    </row>
    <row r="34" spans="1:14">
      <c r="A34" s="111">
        <v>26</v>
      </c>
      <c r="B34" s="111">
        <f>$D$3</f>
        <v>0</v>
      </c>
      <c r="C34" s="111">
        <f>$D$4</f>
        <v>0</v>
      </c>
      <c r="D34" s="111">
        <f>$B$5+($A34-1)*1</f>
        <v>25</v>
      </c>
      <c r="E34" s="111">
        <f>GasSolubility($E$8,$D$34,$D$4,$D$3,$E$6)</f>
        <v>7.9573999406194865E-6</v>
      </c>
      <c r="F34" s="111">
        <f>GasSolubility($F$8,$D$34,$D$4,$D$3,$E$6)</f>
        <v>7.9571707235653865E-6</v>
      </c>
      <c r="G34" s="111">
        <f>GasSolubility($G$8,$D$34,$D$4,$D$3,$E$6)</f>
        <v>7.9694784643292861E-6</v>
      </c>
      <c r="H34" s="111">
        <f>GasSolubility($H$8,$D$34,$D$4,$D$3,$E$6)</f>
        <v>8.0429090447103564E-6</v>
      </c>
      <c r="I34" s="111">
        <f>GasSolubility($I$8,$D$34,$D$4,$D$3,$E$6)</f>
        <v>8.0873009255730232E-6</v>
      </c>
      <c r="J34" s="111">
        <f>(E34-$E34)/$E34*100</f>
        <v>0</v>
      </c>
      <c r="K34" s="111">
        <f>(F34-$E34)/$E34*100</f>
        <v>-2.8805521377647911E-3</v>
      </c>
      <c r="L34" s="111">
        <f>(G34-$E34)/$E34*100</f>
        <v>0.151789828335049</v>
      </c>
      <c r="M34" s="111">
        <f>(H34-$E34)/$E34*100</f>
        <v>1.0745859794526433</v>
      </c>
      <c r="N34" s="111">
        <f>(I34-$E34)/$E34*100</f>
        <v>1.6324551476977027</v>
      </c>
    </row>
    <row r="35" spans="1:14">
      <c r="A35" s="111">
        <v>27</v>
      </c>
      <c r="B35" s="111">
        <f>$D$3</f>
        <v>0</v>
      </c>
      <c r="C35" s="111">
        <f>$D$4</f>
        <v>0</v>
      </c>
      <c r="D35" s="111">
        <f>$B$5+($A35-1)*1</f>
        <v>26</v>
      </c>
      <c r="E35" s="111">
        <f>GasSolubility($E$8,$D$35,$D$4,$D$3,$E$6)</f>
        <v>7.9016565365797449E-6</v>
      </c>
      <c r="F35" s="111">
        <f>GasSolubility($F$8,$D$35,$D$4,$D$3,$E$6)</f>
        <v>7.9017575166302162E-6</v>
      </c>
      <c r="G35" s="111">
        <f>GasSolubility($G$8,$D$35,$D$4,$D$3,$E$6)</f>
        <v>7.9132101555481493E-6</v>
      </c>
      <c r="H35" s="111">
        <f>GasSolubility($H$8,$D$35,$D$4,$D$3,$E$6)</f>
        <v>7.9920596331297033E-6</v>
      </c>
      <c r="I35" s="111">
        <f>GasSolubility($I$8,$D$35,$D$4,$D$3,$E$6)</f>
        <v>8.0332053028559746E-6</v>
      </c>
      <c r="J35" s="111">
        <f>(E35-$E35)/$E35*100</f>
        <v>0</v>
      </c>
      <c r="K35" s="111">
        <f>(F35-$E35)/$E35*100</f>
        <v>1.2779605137706639E-3</v>
      </c>
      <c r="L35" s="111">
        <f>(G35-$E35)/$E35*100</f>
        <v>0.14621768125352405</v>
      </c>
      <c r="M35" s="111">
        <f>(H35-$E35)/$E35*100</f>
        <v>1.1441030894148387</v>
      </c>
      <c r="N35" s="111">
        <f>(I35-$E35)/$E35*100</f>
        <v>1.6648251625116954</v>
      </c>
    </row>
    <row r="36" spans="1:14">
      <c r="A36" s="111">
        <v>28</v>
      </c>
      <c r="B36" s="111">
        <f>$D$3</f>
        <v>0</v>
      </c>
      <c r="C36" s="111">
        <f>$D$4</f>
        <v>0</v>
      </c>
      <c r="D36" s="111">
        <f>$B$5+($A36-1)*1</f>
        <v>27</v>
      </c>
      <c r="E36" s="111">
        <f>GasSolubility($E$8,$D$36,$D$4,$D$3,$E$6)</f>
        <v>7.8471515923123889E-6</v>
      </c>
      <c r="F36" s="111">
        <f>GasSolubility($F$8,$D$36,$D$4,$D$3,$E$6)</f>
        <v>7.8476050394269082E-6</v>
      </c>
      <c r="G36" s="111">
        <f>GasSolubility($G$8,$D$36,$D$4,$D$3,$E$6)</f>
        <v>7.8584075655548949E-6</v>
      </c>
      <c r="H36" s="111">
        <f>GasSolubility($H$8,$D$36,$D$4,$D$3,$E$6)</f>
        <v>7.9431774737655216E-6</v>
      </c>
      <c r="I36" s="111">
        <f>GasSolubility($I$8,$D$36,$D$4,$D$3,$E$6)</f>
        <v>7.980254593614433E-6</v>
      </c>
      <c r="J36" s="111">
        <f>(E36-$E36)/$E36*100</f>
        <v>0</v>
      </c>
      <c r="K36" s="111">
        <f>(F36-$E36)/$E36*100</f>
        <v>5.7784931154324847E-3</v>
      </c>
      <c r="L36" s="111">
        <f>(G36-$E36)/$E36*100</f>
        <v>0.14344024210687034</v>
      </c>
      <c r="M36" s="111">
        <f>(H36-$E36)/$E36*100</f>
        <v>1.2237036627049023</v>
      </c>
      <c r="N36" s="111">
        <f>(I36-$E36)/$E36*100</f>
        <v>1.6961951064185001</v>
      </c>
    </row>
    <row r="37" spans="1:14">
      <c r="A37" s="111">
        <v>29</v>
      </c>
      <c r="B37" s="111">
        <f>$D$3</f>
        <v>0</v>
      </c>
      <c r="C37" s="111">
        <f>$D$4</f>
        <v>0</v>
      </c>
      <c r="D37" s="111">
        <f>$B$5+($A37-1)*1</f>
        <v>28</v>
      </c>
      <c r="E37" s="111">
        <f>GasSolubility($E$8,$D$37,$D$4,$D$3,$E$6)</f>
        <v>7.7938158263523626E-6</v>
      </c>
      <c r="F37" s="111">
        <f>GasSolubility($F$8,$D$37,$D$4,$D$3,$E$6)</f>
        <v>7.7946292060882449E-6</v>
      </c>
      <c r="G37" s="111">
        <f>GasSolubility($G$8,$D$37,$D$4,$D$3,$E$6)</f>
        <v>7.8049798735326541E-6</v>
      </c>
      <c r="H37" s="111">
        <f>GasSolubility($H$8,$D$37,$D$4,$D$3,$E$6)</f>
        <v>7.8962308401374175E-6</v>
      </c>
      <c r="I37" s="111">
        <f>GasSolubility($I$8,$D$37,$D$4,$D$3,$E$6)</f>
        <v>7.9283565932902652E-6</v>
      </c>
      <c r="J37" s="111">
        <f>(E37-$E37)/$E37*100</f>
        <v>0</v>
      </c>
      <c r="K37" s="111">
        <f>(F37-$E37)/$E37*100</f>
        <v>1.0436219613146652E-2</v>
      </c>
      <c r="L37" s="111">
        <f>(G37-$E37)/$E37*100</f>
        <v>0.14324237868880296</v>
      </c>
      <c r="M37" s="111">
        <f>(H37-$E37)/$E37*100</f>
        <v>1.3140548361275155</v>
      </c>
      <c r="N37" s="111">
        <f>(I37-$E37)/$E37*100</f>
        <v>1.7262502724659585</v>
      </c>
    </row>
    <row r="38" spans="1:14">
      <c r="A38" s="111">
        <v>30</v>
      </c>
      <c r="B38" s="111">
        <f>$D$3</f>
        <v>0</v>
      </c>
      <c r="C38" s="111">
        <f>$D$4</f>
        <v>0</v>
      </c>
      <c r="D38" s="111">
        <f>$B$5+($A38-1)*1</f>
        <v>29</v>
      </c>
      <c r="E38" s="111">
        <f>GasSolubility($E$8,$D$38,$D$4,$D$3,$E$6)</f>
        <v>7.7415827126790914E-6</v>
      </c>
      <c r="F38" s="111">
        <f>GasSolubility($F$8,$D$38,$D$4,$D$3,$E$6)</f>
        <v>7.7427466692505932E-6</v>
      </c>
      <c r="G38" s="111">
        <f>GasSolubility($G$8,$D$38,$D$4,$D$3,$E$6)</f>
        <v>7.7528372763529246E-6</v>
      </c>
      <c r="H38" s="111">
        <f>GasSolubility($H$8,$D$38,$D$4,$D$3,$E$6)</f>
        <v>7.8511895489295764E-6</v>
      </c>
      <c r="I38" s="111">
        <f>GasSolubility($I$8,$D$38,$D$4,$D$3,$E$6)</f>
        <v>7.8774228653230334E-6</v>
      </c>
      <c r="J38" s="111">
        <f>(E38-$E38)/$E38*100</f>
        <v>0</v>
      </c>
      <c r="K38" s="111">
        <f>(F38-$E38)/$E38*100</f>
        <v>1.5035124143225777E-2</v>
      </c>
      <c r="L38" s="111">
        <f>(G38-$E38)/$E38*100</f>
        <v>0.14537807179145096</v>
      </c>
      <c r="M38" s="111">
        <f>(H38-$E38)/$E38*100</f>
        <v>1.4158194818608856</v>
      </c>
      <c r="N38" s="111">
        <f>(I38-$E38)/$E38*100</f>
        <v>1.7546819259770259</v>
      </c>
    </row>
    <row r="39" spans="1:14">
      <c r="A39" s="111">
        <v>31</v>
      </c>
      <c r="B39" s="111">
        <f>$D$3</f>
        <v>0</v>
      </c>
      <c r="C39" s="111">
        <f>$D$4</f>
        <v>0</v>
      </c>
      <c r="D39" s="111">
        <f>$B$5+($A39-1)*1</f>
        <v>30</v>
      </c>
      <c r="E39" s="111">
        <f>GasSolubility($E$8,$D$39,$D$4,$D$3,$E$6)</f>
        <v>7.6903883512708742E-6</v>
      </c>
      <c r="F39" s="111">
        <f>GasSolubility($F$8,$D$39,$D$4,$D$3,$E$6)</f>
        <v>7.6918746639709302E-6</v>
      </c>
      <c r="G39" s="111">
        <f>GasSolubility($G$8,$D$39,$D$4,$D$3,$E$6)</f>
        <v>7.7018908125264691E-6</v>
      </c>
      <c r="H39" s="111">
        <f>GasSolubility($H$8,$D$39,$D$4,$D$3,$E$6)</f>
        <v>7.8080249234511259E-6</v>
      </c>
      <c r="I39" s="111">
        <f>GasSolubility($I$8,$D$39,$D$4,$D$3,$E$6)</f>
        <v>7.8273685667619132E-6</v>
      </c>
      <c r="J39" s="111">
        <f>(E39-$E39)/$E39*100</f>
        <v>0</v>
      </c>
      <c r="K39" s="111">
        <f>(F39-$E39)/$E39*100</f>
        <v>1.93268874361903E-2</v>
      </c>
      <c r="L39" s="111">
        <f>(G39-$E39)/$E39*100</f>
        <v>0.14956931601112253</v>
      </c>
      <c r="M39" s="111">
        <f>(H39-$E39)/$E39*100</f>
        <v>1.5296571097194538</v>
      </c>
      <c r="N39" s="111">
        <f>(I39-$E39)/$E39*100</f>
        <v>1.7811872331311116</v>
      </c>
    </row>
    <row r="40" spans="1:14">
      <c r="A40" s="111">
        <v>32</v>
      </c>
      <c r="B40" s="111">
        <f>$D$3</f>
        <v>0</v>
      </c>
      <c r="C40" s="111">
        <f>$D$4</f>
        <v>0</v>
      </c>
      <c r="D40" s="111">
        <f>$B$5+($A40-1)*1</f>
        <v>31</v>
      </c>
      <c r="E40" s="111">
        <f>GasSolubility($E$8,$D$40,$D$4,$D$3,$E$6)</f>
        <v>7.6401713470034547E-6</v>
      </c>
      <c r="F40" s="111">
        <f>GasSolubility($F$8,$D$40,$D$4,$D$3,$E$6)</f>
        <v>7.6419308550789005E-6</v>
      </c>
      <c r="G40" s="111">
        <f>GasSolubility($G$8,$D$40,$D$4,$D$3,$E$6)</f>
        <v>7.6520521902331792E-6</v>
      </c>
      <c r="H40" s="111">
        <f>GasSolubility($H$8,$D$40,$D$4,$D$3,$E$6)</f>
        <v>7.7667097592646191E-6</v>
      </c>
      <c r="I40" s="111">
        <f>GasSolubility($I$8,$D$40,$D$4,$D$3,$E$6)</f>
        <v>7.7781122874817139E-6</v>
      </c>
      <c r="J40" s="111">
        <f>(E40-$E40)/$E40*100</f>
        <v>0</v>
      </c>
      <c r="K40" s="111">
        <f>(F40-$E40)/$E40*100</f>
        <v>2.3029693910411504E-2</v>
      </c>
      <c r="L40" s="111">
        <f>(G40-$E40)/$E40*100</f>
        <v>0.15550493163198931</v>
      </c>
      <c r="M40" s="111">
        <f>(H40-$E40)/$E40*100</f>
        <v>1.6562247954137035</v>
      </c>
      <c r="N40" s="111">
        <f>(I40-$E40)/$E40*100</f>
        <v>1.8054691997498318</v>
      </c>
    </row>
    <row r="41" spans="1:14">
      <c r="A41" s="111">
        <v>33</v>
      </c>
      <c r="B41" s="111">
        <f>$D$3</f>
        <v>0</v>
      </c>
      <c r="C41" s="111">
        <f>$D$4</f>
        <v>0</v>
      </c>
      <c r="D41" s="111">
        <f>$B$5+($A41-1)*1</f>
        <v>32</v>
      </c>
      <c r="E41" s="111">
        <f>GasSolubility($E$8,$D$41,$D$4,$D$3,$E$6)</f>
        <v>7.5908726963417105E-6</v>
      </c>
      <c r="F41" s="111">
        <f>GasSolubility($F$8,$D$41,$D$4,$D$3,$E$6)</f>
        <v>7.5928331876079348E-6</v>
      </c>
      <c r="G41" s="111">
        <f>GasSolubility($G$8,$D$41,$D$4,$D$3,$E$6)</f>
        <v>7.6032336189970985E-6</v>
      </c>
      <c r="H41" s="111">
        <f>GasSolubility($H$8,$D$41,$D$4,$D$3,$E$6)</f>
        <v>7.7272182919184419E-6</v>
      </c>
      <c r="I41" s="111">
        <f>GasSolubility($I$8,$D$41,$D$4,$D$3,$E$6)</f>
        <v>7.7295759020058561E-6</v>
      </c>
      <c r="J41" s="111">
        <f>(E41-$E41)/$E41*100</f>
        <v>0</v>
      </c>
      <c r="K41" s="111">
        <f>(F41-$E41)/$E41*100</f>
        <v>2.5826954879233584E-2</v>
      </c>
      <c r="L41" s="111">
        <f>(G41-$E41)/$E41*100</f>
        <v>0.16283928277897558</v>
      </c>
      <c r="M41" s="111">
        <f>(H41-$E41)/$E41*100</f>
        <v>1.7961781343328387</v>
      </c>
      <c r="N41" s="111">
        <f>(I41-$E41)/$E41*100</f>
        <v>1.8272366197234626</v>
      </c>
    </row>
    <row r="42" spans="1:14">
      <c r="A42" s="111">
        <v>34</v>
      </c>
      <c r="B42" s="111">
        <f>$D$3</f>
        <v>0</v>
      </c>
      <c r="C42" s="111">
        <f>$D$4</f>
        <v>0</v>
      </c>
      <c r="D42" s="111">
        <f>$B$5+($A42-1)*1</f>
        <v>33</v>
      </c>
      <c r="E42" s="111">
        <f>GasSolubility($E$8,$D$42,$D$4,$D$3,$E$6)</f>
        <v>7.5424356812930549E-6</v>
      </c>
      <c r="F42" s="111">
        <f>GasSolubility($F$8,$D$42,$D$4,$D$3,$E$6)</f>
        <v>7.5444997399673357E-6</v>
      </c>
      <c r="G42" s="111">
        <f>GasSolubility($G$8,$D$42,$D$4,$D$3,$E$6)</f>
        <v>7.5553476445914551E-6</v>
      </c>
      <c r="H42" s="111">
        <f>GasSolubility($H$8,$D$42,$D$4,$D$3,$E$6)</f>
        <v>7.6895261667237338E-6</v>
      </c>
      <c r="I42" s="111">
        <f>GasSolubility($I$8,$D$42,$D$4,$D$3,$E$6)</f>
        <v>7.681684432980975E-6</v>
      </c>
      <c r="J42" s="111">
        <f>(E42-$E42)/$E42*100</f>
        <v>0</v>
      </c>
      <c r="K42" s="111">
        <f>(F42-$E42)/$E42*100</f>
        <v>2.7365943330483162E-2</v>
      </c>
      <c r="L42" s="111">
        <f>(G42-$E42)/$E42*100</f>
        <v>0.17119089699929119</v>
      </c>
      <c r="M42" s="111">
        <f>(H42-$E42)/$E42*100</f>
        <v>1.9501722208317478</v>
      </c>
      <c r="N42" s="111">
        <f>(I42-$E42)/$E42*100</f>
        <v>1.8462040323829148</v>
      </c>
    </row>
    <row r="43" spans="1:14">
      <c r="A43" s="111">
        <v>35</v>
      </c>
      <c r="B43" s="111">
        <f>$D$3</f>
        <v>0</v>
      </c>
      <c r="C43" s="111">
        <f>$D$4</f>
        <v>0</v>
      </c>
      <c r="D43" s="111">
        <f>$B$5+($A43-1)*1</f>
        <v>34</v>
      </c>
      <c r="E43" s="111">
        <f>GasSolubility($E$8,$D$43,$D$4,$D$3,$E$6)</f>
        <v>7.494805770144233E-6</v>
      </c>
      <c r="F43" s="111">
        <f>GasSolubility($F$8,$D$43,$D$4,$D$3,$E$6)</f>
        <v>7.4968485795381938E-6</v>
      </c>
      <c r="G43" s="111">
        <f>GasSolubility($G$8,$D$43,$D$4,$D$3,$E$6)</f>
        <v>7.5083069867814907E-6</v>
      </c>
      <c r="H43" s="111">
        <f>GasSolubility($H$8,$D$43,$D$4,$D$3,$E$6)</f>
        <v>7.6536104105206179E-6</v>
      </c>
      <c r="I43" s="111">
        <f>GasSolubility($I$8,$D$43,$D$4,$D$3,$E$6)</f>
        <v>7.6343659254427027E-6</v>
      </c>
      <c r="J43" s="111">
        <f>(E43-$E43)/$E43*100</f>
        <v>0</v>
      </c>
      <c r="K43" s="111">
        <f>(F43-$E43)/$E43*100</f>
        <v>2.7256335342250554E-2</v>
      </c>
      <c r="L43" s="111">
        <f>(G43-$E43)/$E43*100</f>
        <v>0.18014098098499387</v>
      </c>
      <c r="M43" s="111">
        <f>(H43-$E43)/$E43*100</f>
        <v>2.1188626529721111</v>
      </c>
      <c r="N43" s="111">
        <f>(I43-$E43)/$E43*100</f>
        <v>1.8620916882784542</v>
      </c>
    </row>
    <row r="44" spans="1:14">
      <c r="A44" s="111">
        <v>36</v>
      </c>
      <c r="B44" s="111">
        <f>$D$3</f>
        <v>0</v>
      </c>
      <c r="C44" s="111">
        <f>$D$4</f>
        <v>0</v>
      </c>
      <c r="D44" s="111">
        <f>$B$5+($A44-1)*1</f>
        <v>35</v>
      </c>
      <c r="E44" s="111">
        <f>GasSolubility($E$8,$D$44,$D$4,$D$3,$E$6)</f>
        <v>7.4479305245253439E-6</v>
      </c>
      <c r="F44" s="111">
        <f>GasSolubility($F$8,$D$44,$D$4,$D$3,$E$6)</f>
        <v>7.4497976203919938E-6</v>
      </c>
      <c r="G44" s="111">
        <f>GasSolubility($G$8,$D$44,$D$4,$D$3,$E$6)</f>
        <v>7.4620243795295619E-6</v>
      </c>
      <c r="H44" s="111">
        <f>GasSolubility($H$8,$D$44,$D$4,$D$3,$E$6)</f>
        <v>7.6194494053830069E-6</v>
      </c>
      <c r="I44" s="111">
        <f>GasSolubility($I$8,$D$44,$D$4,$D$3,$E$6)</f>
        <v>7.5875513310554499E-6</v>
      </c>
      <c r="J44" s="111">
        <f>(E44-$E44)/$E44*100</f>
        <v>0</v>
      </c>
      <c r="K44" s="111">
        <f>(F44-$E44)/$E44*100</f>
        <v>2.5068653104399125E-2</v>
      </c>
      <c r="L44" s="111">
        <f>(G44-$E44)/$E44*100</f>
        <v>0.18923182698614474</v>
      </c>
      <c r="M44" s="111">
        <f>(H44-$E44)/$E44*100</f>
        <v>2.3029065630092451</v>
      </c>
      <c r="N44" s="111">
        <f>(I44-$E44)/$E44*100</f>
        <v>1.8746255227589419</v>
      </c>
    </row>
    <row r="45" spans="1:14">
      <c r="A45" s="111">
        <v>37</v>
      </c>
      <c r="B45" s="111">
        <f>$D$3</f>
        <v>0</v>
      </c>
      <c r="C45" s="111">
        <f>$D$4</f>
        <v>0</v>
      </c>
      <c r="D45" s="111">
        <f>$B$5+($A45-1)*1</f>
        <v>36</v>
      </c>
      <c r="E45" s="111">
        <f>GasSolubility($E$8,$D$45,$D$4,$D$3,$E$6)</f>
        <v>7.4017595123855089E-6</v>
      </c>
      <c r="F45" s="111">
        <f>GasSolubility($F$8,$D$45,$D$4,$D$3,$E$6)</f>
        <v>7.4032644828489375E-6</v>
      </c>
      <c r="G45" s="111">
        <f>GasSolubility($G$8,$D$45,$D$4,$D$3,$E$6)</f>
        <v>7.4164124133056254E-6</v>
      </c>
      <c r="H45" s="111">
        <f>GasSolubility($H$8,$D$45,$D$4,$D$3,$E$6)</f>
        <v>7.5870228642153203E-6</v>
      </c>
      <c r="I45" s="111">
        <f>GasSolubility($I$8,$D$45,$D$4,$D$3,$E$6)</f>
        <v>7.5411744015807585E-6</v>
      </c>
      <c r="J45" s="111">
        <f>(E45-$E45)/$E45*100</f>
        <v>0</v>
      </c>
      <c r="K45" s="111">
        <f>(F45-$E45)/$E45*100</f>
        <v>2.0332604172160686E-2</v>
      </c>
      <c r="L45" s="111">
        <f>(G45-$E45)/$E45*100</f>
        <v>0.19796510404853773</v>
      </c>
      <c r="M45" s="111">
        <f>(H45-$E45)/$E45*100</f>
        <v>2.5029636739724732</v>
      </c>
      <c r="N45" s="111">
        <f>(I45-$E45)/$E45*100</f>
        <v>1.8835371368383953</v>
      </c>
    </row>
    <row r="46" spans="1:14">
      <c r="A46" s="111">
        <v>38</v>
      </c>
      <c r="B46" s="111">
        <f>$D$3</f>
        <v>0</v>
      </c>
      <c r="C46" s="111">
        <f>$D$4</f>
        <v>0</v>
      </c>
      <c r="D46" s="111">
        <f>$B$5+($A46-1)*1</f>
        <v>37</v>
      </c>
      <c r="E46" s="111">
        <f>GasSolubility($E$8,$D$46,$D$4,$D$3,$E$6)</f>
        <v>7.3562442264825446E-6</v>
      </c>
      <c r="F46" s="111">
        <f>GasSolubility($F$8,$D$46,$D$4,$D$3,$E$6)</f>
        <v>7.3571663546072059E-6</v>
      </c>
      <c r="G46" s="111">
        <f>GasSolubility($G$8,$D$46,$D$4,$D$3,$E$6)</f>
        <v>7.371383379160618E-6</v>
      </c>
      <c r="H46" s="111">
        <f>GasSolubility($H$8,$D$46,$D$4,$D$3,$E$6)</f>
        <v>7.5563118081984543E-6</v>
      </c>
      <c r="I46" s="111">
        <f>GasSolubility($I$8,$D$46,$D$4,$D$3,$E$6)</f>
        <v>7.4951715908641527E-6</v>
      </c>
      <c r="J46" s="111">
        <f>(E46-$E46)/$E46*100</f>
        <v>0</v>
      </c>
      <c r="K46" s="111">
        <f>(F46-$E46)/$E46*100</f>
        <v>1.253531144794837E-2</v>
      </c>
      <c r="L46" s="111">
        <f>(G46-$E46)/$E46*100</f>
        <v>0.20580002800304406</v>
      </c>
      <c r="M46" s="111">
        <f>(H46-$E46)/$E46*100</f>
        <v>2.7196973830159781</v>
      </c>
      <c r="N46" s="111">
        <f>(I46-$E46)/$E46*100</f>
        <v>1.8885637847839296</v>
      </c>
    </row>
    <row r="47" spans="1:14">
      <c r="A47" s="111">
        <v>39</v>
      </c>
      <c r="B47" s="111">
        <f>$D$3</f>
        <v>0</v>
      </c>
      <c r="C47" s="111">
        <f>$D$4</f>
        <v>0</v>
      </c>
      <c r="D47" s="111">
        <f>$B$5+($A47-1)*1</f>
        <v>38</v>
      </c>
      <c r="E47" s="111">
        <f>GasSolubility($E$8,$D$47,$D$4,$D$3,$E$6)</f>
        <v>7.311338008027695E-6</v>
      </c>
      <c r="F47" s="111">
        <f>GasSolubility($F$8,$D$47,$D$4,$D$3,$E$6)</f>
        <v>7.3114198531906492E-6</v>
      </c>
      <c r="G47" s="111">
        <f>GasSolubility($G$8,$D$47,$D$4,$D$3,$E$6)</f>
        <v>7.3268491142360977E-6</v>
      </c>
      <c r="H47" s="111">
        <f>GasSolubility($H$8,$D$47,$D$4,$D$3,$E$6)</f>
        <v>7.5272985460463771E-6</v>
      </c>
      <c r="I47" s="111">
        <f>GasSolubility($I$8,$D$47,$D$4,$D$3,$E$6)</f>
        <v>7.4494819646967276E-6</v>
      </c>
      <c r="J47" s="111">
        <f>(E47-$E47)/$E47*100</f>
        <v>0</v>
      </c>
      <c r="K47" s="111">
        <f>(F47-$E47)/$E47*100</f>
        <v>1.1194279742552321E-3</v>
      </c>
      <c r="L47" s="111">
        <f>(G47-$E47)/$E47*100</f>
        <v>0.2121514036332583</v>
      </c>
      <c r="M47" s="111">
        <f>(H47-$E47)/$E47*100</f>
        <v>2.9537758722351772</v>
      </c>
      <c r="N47" s="111">
        <f>(I47-$E47)/$E47*100</f>
        <v>1.8894483679642964</v>
      </c>
    </row>
    <row r="48" spans="1:14">
      <c r="A48" s="111">
        <v>40</v>
      </c>
      <c r="B48" s="111">
        <f>$D$3</f>
        <v>0</v>
      </c>
      <c r="C48" s="111">
        <f>$D$4</f>
        <v>0</v>
      </c>
      <c r="D48" s="111">
        <f>$B$5+($A48-1)*1</f>
        <v>39</v>
      </c>
      <c r="E48" s="111">
        <f>GasSolubility($E$8,$D$48,$D$4,$D$3,$E$6)</f>
        <v>7.2669959751383242E-6</v>
      </c>
      <c r="F48" s="111">
        <f>GasSolubility($F$8,$D$48,$D$4,$D$3,$E$6)</f>
        <v>7.2659408894751446E-6</v>
      </c>
      <c r="G48" s="111">
        <f>GasSolubility($G$8,$D$48,$D$4,$D$3,$E$6)</f>
        <v>7.282720848395666E-6</v>
      </c>
      <c r="H48" s="111">
        <f>GasSolubility($H$8,$D$48,$D$4,$D$3,$E$6)</f>
        <v>7.4999666550384477E-6</v>
      </c>
      <c r="I48" s="111">
        <f>GasSolubility($I$8,$D$48,$D$4,$D$3,$E$6)</f>
        <v>7.4040471179312377E-6</v>
      </c>
      <c r="J48" s="111">
        <f>(E48-$E48)/$E48*100</f>
        <v>0</v>
      </c>
      <c r="K48" s="111">
        <f>(F48-$E48)/$E48*100</f>
        <v>-1.4518869513473127E-2</v>
      </c>
      <c r="L48" s="111">
        <f>(G48-$E48)/$E48*100</f>
        <v>0.21638753222293416</v>
      </c>
      <c r="M48" s="111">
        <f>(H48-$E48)/$E48*100</f>
        <v>3.2058732479989986</v>
      </c>
      <c r="N48" s="111">
        <f>(I48-$E48)/$E48*100</f>
        <v>1.8859394344209017</v>
      </c>
    </row>
    <row r="49" spans="1:14">
      <c r="A49" s="111">
        <v>41</v>
      </c>
      <c r="B49" s="111">
        <f>$D$3</f>
        <v>0</v>
      </c>
      <c r="C49" s="111">
        <f>$D$4</f>
        <v>0</v>
      </c>
      <c r="D49" s="111">
        <f>$B$5+($A49-1)*1</f>
        <v>40</v>
      </c>
      <c r="E49" s="111">
        <f>GasSolubility($E$8,$D$49,$D$4,$D$3,$E$6)</f>
        <v>7.223174955786269E-6</v>
      </c>
      <c r="F49" s="111">
        <f>GasSolubility($F$8,$D$49,$D$4,$D$3,$E$6)</f>
        <v>7.2206445320685031E-6</v>
      </c>
      <c r="G49" s="111">
        <f>GasSolubility($G$8,$D$49,$D$4,$D$3,$E$6)</f>
        <v>7.2389090516771149E-6</v>
      </c>
      <c r="H49" s="111">
        <f>GasSolubility($H$8,$D$49,$D$4,$D$3,$E$6)</f>
        <v>7.4743009637964498E-6</v>
      </c>
      <c r="I49" s="111">
        <f>GasSolubility($I$8,$D$49,$D$4,$D$3,$E$6)</f>
        <v>7.3588110982925101E-6</v>
      </c>
      <c r="J49" s="111">
        <f>(E49-$E49)/$E49*100</f>
        <v>0</v>
      </c>
      <c r="K49" s="111">
        <f>(F49-$E49)/$E49*100</f>
        <v>-3.503201477542553E-2</v>
      </c>
      <c r="L49" s="111">
        <f>(G49-$E49)/$E49*100</f>
        <v>0.21782797713132857</v>
      </c>
      <c r="M49" s="111">
        <f>(H49-$E49)/$E49*100</f>
        <v>3.4766707098657679</v>
      </c>
      <c r="N49" s="111">
        <f>(I49-$E49)/$E49*100</f>
        <v>1.8777911837451355</v>
      </c>
    </row>
    <row r="50" spans="1:14">
      <c r="A50" s="111">
        <v>42</v>
      </c>
      <c r="B50" s="111">
        <f>$D$3</f>
        <v>0</v>
      </c>
      <c r="C50" s="111">
        <f>$D$4</f>
        <v>0</v>
      </c>
      <c r="D50" s="111">
        <f>$B$5+($A50-1)*1</f>
        <v>41</v>
      </c>
      <c r="E50" s="111">
        <f>GasSolubility($E$8,$D$50,$D$4,$D$3,$E$6)</f>
        <v>7.1798334249382673E-6</v>
      </c>
      <c r="F50" s="111">
        <f>GasSolubility($F$8,$D$50,$D$4,$D$3,$E$6)</f>
        <v>7.175444872330293E-6</v>
      </c>
      <c r="G50" s="111">
        <f>GasSolubility($G$8,$D$50,$D$4,$D$3,$E$6)</f>
        <v>7.1953232822740507E-6</v>
      </c>
      <c r="H50" s="111">
        <f>GasSolubility($H$8,$D$50,$D$4,$D$3,$E$6)</f>
        <v>7.4502875367788427E-6</v>
      </c>
      <c r="I50" s="111">
        <f>GasSolubility($I$8,$D$50,$D$4,$D$3,$E$6)</f>
        <v>7.3137203363383143E-6</v>
      </c>
      <c r="J50" s="111">
        <f>(E50-$E50)/$E50*100</f>
        <v>0</v>
      </c>
      <c r="K50" s="111">
        <f>(F50-$E50)/$E50*100</f>
        <v>-6.1123320671078549E-2</v>
      </c>
      <c r="L50" s="111">
        <f>(G50-$E50)/$E50*100</f>
        <v>0.2157411797602613</v>
      </c>
      <c r="M50" s="111">
        <f>(H50-$E50)/$E50*100</f>
        <v>3.7668577505041609</v>
      </c>
      <c r="N50" s="111">
        <f>(I50-$E50)/$E50*100</f>
        <v>1.8647634767543122</v>
      </c>
    </row>
    <row r="51" spans="1:14">
      <c r="A51" s="111">
        <v>43</v>
      </c>
      <c r="B51" s="111">
        <f>$D$3</f>
        <v>0</v>
      </c>
      <c r="C51" s="111">
        <f>$D$4</f>
        <v>0</v>
      </c>
      <c r="D51" s="111">
        <f>$B$5+($A51-1)*1</f>
        <v>42</v>
      </c>
      <c r="E51" s="111">
        <f>GasSolubility($E$8,$D$51,$D$4,$D$3,$E$6)</f>
        <v>7.136931445617215E-6</v>
      </c>
      <c r="F51" s="111">
        <f>GasSolubility($F$8,$D$51,$D$4,$D$3,$E$6)</f>
        <v>7.1302548898316232E-6</v>
      </c>
      <c r="G51" s="111">
        <f>GasSolubility($G$8,$D$51,$D$4,$D$3,$E$6)</f>
        <v>7.1518720347677651E-6</v>
      </c>
      <c r="H51" s="111">
        <f>GasSolubility($H$8,$D$51,$D$4,$D$3,$E$6)</f>
        <v>7.427913660468602E-6</v>
      </c>
      <c r="I51" s="111">
        <f>GasSolubility($I$8,$D$51,$D$4,$D$3,$E$6)</f>
        <v>7.2687235810825453E-6</v>
      </c>
      <c r="J51" s="111">
        <f>(E51-$E51)/$E51*100</f>
        <v>0</v>
      </c>
      <c r="K51" s="111">
        <f>(F51-$E51)/$E51*100</f>
        <v>-9.3549389348441078E-2</v>
      </c>
      <c r="L51" s="111">
        <f>(G51-$E51)/$E51*100</f>
        <v>0.20934191766302002</v>
      </c>
      <c r="M51" s="111">
        <f>(H51-$E51)/$E51*100</f>
        <v>4.0771333880484306</v>
      </c>
      <c r="N51" s="111">
        <f>(I51-$E51)/$E51*100</f>
        <v>1.8466218495942517</v>
      </c>
    </row>
    <row r="52" spans="1:14">
      <c r="A52" s="111">
        <v>44</v>
      </c>
      <c r="B52" s="111">
        <f>$D$3</f>
        <v>0</v>
      </c>
      <c r="C52" s="111">
        <f>$D$4</f>
        <v>0</v>
      </c>
      <c r="D52" s="111">
        <f>$B$5+($A52-1)*1</f>
        <v>43</v>
      </c>
      <c r="E52" s="111">
        <f>GasSolubility($E$8,$D$52,$D$4,$D$3,$E$6)</f>
        <v>7.0944306136166639E-6</v>
      </c>
      <c r="F52" s="111">
        <f>GasSolubility($F$8,$D$52,$D$4,$D$3,$E$6)</f>
        <v>7.0849863180651831E-6</v>
      </c>
      <c r="G52" s="111">
        <f>GasSolubility($G$8,$D$52,$D$4,$D$3,$E$6)</f>
        <v>7.1084625883375884E-6</v>
      </c>
      <c r="H52" s="111">
        <f>GasSolubility($H$8,$D$52,$D$4,$D$3,$E$6)</f>
        <v>7.4071678312343315E-6</v>
      </c>
      <c r="I52" s="111">
        <f>GasSolubility($I$8,$D$52,$D$4,$D$3,$E$6)</f>
        <v>7.2237718407991456E-6</v>
      </c>
      <c r="J52" s="111">
        <f>(E52-$E52)/$E52*100</f>
        <v>0</v>
      </c>
      <c r="K52" s="111">
        <f>(F52-$E52)/$E52*100</f>
        <v>-0.13312267137201922</v>
      </c>
      <c r="L52" s="111">
        <f>(G52-$E52)/$E52*100</f>
        <v>0.19778859622634537</v>
      </c>
      <c r="M52" s="111">
        <f>(H52-$E52)/$E52*100</f>
        <v>4.4082074327066758</v>
      </c>
      <c r="N52" s="111">
        <f>(I52-$E52)/$E52*100</f>
        <v>1.8231375317736029</v>
      </c>
    </row>
    <row r="53" spans="1:14">
      <c r="A53" s="111">
        <v>45</v>
      </c>
      <c r="B53" s="111">
        <f>$D$3</f>
        <v>0</v>
      </c>
      <c r="C53" s="111">
        <f>$D$4</f>
        <v>0</v>
      </c>
      <c r="D53" s="111">
        <f>$B$5+($A53-1)*1</f>
        <v>44</v>
      </c>
      <c r="E53" s="111">
        <f>GasSolubility($E$8,$D$53,$D$4,$D$3,$E$6)</f>
        <v>7.0522940056305097E-6</v>
      </c>
      <c r="F53" s="111">
        <f>GasSolubility($F$8,$D$53,$D$4,$D$3,$E$6)</f>
        <v>7.0395495102287458E-6</v>
      </c>
      <c r="G53" s="111">
        <f>GasSolubility($G$8,$D$53,$D$4,$D$3,$E$6)</f>
        <v>7.0650008546880339E-6</v>
      </c>
      <c r="H53" s="111">
        <f>GasSolubility($H$8,$D$53,$D$4,$D$3,$E$6)</f>
        <v>7.388039744848143E-6</v>
      </c>
      <c r="I53" s="111">
        <f>GasSolubility($I$8,$D$53,$D$4,$D$3,$E$6)</f>
        <v>7.1788183285769338E-6</v>
      </c>
      <c r="J53" s="111">
        <f>(E53-$E53)/$E53*100</f>
        <v>0</v>
      </c>
      <c r="K53" s="111">
        <f>(F53-$E53)/$E53*100</f>
        <v>-0.18071418167746178</v>
      </c>
      <c r="L53" s="111">
        <f>(G53-$E53)/$E53*100</f>
        <v>0.18018036467820431</v>
      </c>
      <c r="M53" s="111">
        <f>(H53-$E53)/$E53*100</f>
        <v>4.7608017894542662</v>
      </c>
      <c r="N53" s="111">
        <f>(I53-$E53)/$E53*100</f>
        <v>1.7940874677857706</v>
      </c>
    </row>
    <row r="54" spans="1:14">
      <c r="A54" s="111">
        <v>46</v>
      </c>
      <c r="B54" s="111">
        <f>$D$3</f>
        <v>0</v>
      </c>
      <c r="C54" s="111">
        <f>$D$4</f>
        <v>0</v>
      </c>
      <c r="D54" s="111">
        <f>$B$5+($A54-1)*1</f>
        <v>45</v>
      </c>
      <c r="E54" s="111">
        <f>GasSolubility($E$8,$D$54,$D$4,$D$3,$E$6)</f>
        <v>7.0104861305663012E-6</v>
      </c>
      <c r="F54" s="111">
        <f>GasSolubility($F$8,$D$54,$D$4,$D$3,$E$6)</f>
        <v>6.9938533049153776E-6</v>
      </c>
      <c r="G54" s="111">
        <f>GasSolubility($G$8,$D$54,$D$4,$D$3,$E$6)</f>
        <v>7.0213912254380559E-6</v>
      </c>
      <c r="H54" s="111">
        <f>GasSolubility($H$8,$D$54,$D$4,$D$3,$E$6)</f>
        <v>7.3705202876470802E-6</v>
      </c>
      <c r="I54" s="111">
        <f>GasSolubility($I$8,$D$54,$D$4,$D$3,$E$6)</f>
        <v>7.1338184122058592E-6</v>
      </c>
      <c r="J54" s="111">
        <f>(E54-$E54)/$E54*100</f>
        <v>0</v>
      </c>
      <c r="K54" s="111">
        <f>(F54-$E54)/$E54*100</f>
        <v>-0.23725638052977638</v>
      </c>
      <c r="L54" s="111">
        <f>(G54-$E54)/$E54*100</f>
        <v>0.15555404673304427</v>
      </c>
      <c r="M54" s="111">
        <f>(H54-$E54)/$E54*100</f>
        <v>5.1356517989672685</v>
      </c>
      <c r="N54" s="111">
        <f>(I54-$E54)/$E54*100</f>
        <v>1.7592543418896303</v>
      </c>
    </row>
    <row r="55" spans="1:14">
      <c r="A55" s="111">
        <v>47</v>
      </c>
      <c r="B55" s="111">
        <f>$D$3</f>
        <v>0</v>
      </c>
      <c r="C55" s="111">
        <f>$D$4</f>
        <v>0</v>
      </c>
      <c r="D55" s="111">
        <f>$B$5+($A55-1)*1</f>
        <v>46</v>
      </c>
      <c r="E55" s="111">
        <f>GasSolubility($E$8,$D$55,$D$4,$D$3,$E$6)</f>
        <v>6.9689728838296871E-6</v>
      </c>
      <c r="F55" s="111">
        <f>GasSolubility($F$8,$D$55,$D$4,$D$3,$E$6)</f>
        <v>6.9478048915550868E-6</v>
      </c>
      <c r="G55" s="111">
        <f>GasSolubility($G$8,$D$55,$D$4,$D$3,$E$6)</f>
        <v>6.9775364187249182E-6</v>
      </c>
      <c r="H55" s="111">
        <f>GasSolubility($H$8,$D$55,$D$4,$D$3,$E$6)</f>
        <v>7.3546015293285656E-6</v>
      </c>
      <c r="I55" s="111">
        <f>GasSolubility($I$8,$D$55,$D$4,$D$3,$E$6)</f>
        <v>7.088729568008495E-6</v>
      </c>
      <c r="J55" s="111">
        <f>(E55-$E55)/$E55*100</f>
        <v>0</v>
      </c>
      <c r="K55" s="111">
        <f>(F55-$E55)/$E55*100</f>
        <v>-0.30374622813810925</v>
      </c>
      <c r="L55" s="111">
        <f>(G55-$E55)/$E55*100</f>
        <v>0.12288087553190699</v>
      </c>
      <c r="M55" s="111">
        <f>(H55-$E55)/$E55*100</f>
        <v>5.5335076190877999</v>
      </c>
      <c r="N55" s="111">
        <f>(I55-$E55)/$E55*100</f>
        <v>1.7184266056865116</v>
      </c>
    </row>
    <row r="56" spans="1:14">
      <c r="A56" s="111">
        <v>48</v>
      </c>
      <c r="B56" s="111">
        <f>$D$3</f>
        <v>0</v>
      </c>
      <c r="C56" s="111">
        <f>$D$4</f>
        <v>0</v>
      </c>
      <c r="D56" s="111">
        <f>$B$5+($A56-1)*1</f>
        <v>47</v>
      </c>
      <c r="E56" s="111">
        <f>GasSolubility($E$8,$D$56,$D$4,$D$3,$E$6)</f>
        <v>6.9277215043764941E-6</v>
      </c>
      <c r="F56" s="111">
        <f>GasSolubility($F$8,$D$56,$D$4,$D$3,$E$6)</f>
        <v>6.9013096754628602E-6</v>
      </c>
      <c r="G56" s="111">
        <f>GasSolubility($G$8,$D$56,$D$4,$D$3,$E$6)</f>
        <v>6.9333373247813596E-6</v>
      </c>
      <c r="H56" s="111">
        <f>GasSolubility($H$8,$D$56,$D$4,$D$3,$E$6)</f>
        <v>7.340276717373705E-6</v>
      </c>
      <c r="I56" s="111">
        <f>GasSolubility($I$8,$D$56,$D$4,$D$3,$E$6)</f>
        <v>7.0435113382464627E-6</v>
      </c>
      <c r="J56" s="111">
        <f>(E56-$E56)/$E56*100</f>
        <v>0</v>
      </c>
      <c r="K56" s="111">
        <f>(F56-$E56)/$E56*100</f>
        <v>-0.38124842196598924</v>
      </c>
      <c r="L56" s="111">
        <f>(G56-$E56)/$E56*100</f>
        <v>8.1063021966424648E-2</v>
      </c>
      <c r="M56" s="111">
        <f>(H56-$E56)/$E56*100</f>
        <v>5.9551356493846459</v>
      </c>
      <c r="N56" s="111">
        <f>(I56-$E56)/$E56*100</f>
        <v>1.6713985081071736</v>
      </c>
    </row>
    <row r="57" spans="1:14">
      <c r="A57" s="111">
        <v>49</v>
      </c>
      <c r="B57" s="111">
        <f>$D$3</f>
        <v>0</v>
      </c>
      <c r="C57" s="111">
        <f>$D$4</f>
        <v>0</v>
      </c>
      <c r="D57" s="111">
        <f>$B$5+($A57-1)*1</f>
        <v>48</v>
      </c>
      <c r="E57" s="111">
        <f>GasSolubility($E$8,$D$57,$D$4,$D$3,$E$6)</f>
        <v>6.8867005343472819E-6</v>
      </c>
      <c r="F57" s="111">
        <f>GasSolubility($F$8,$D$57,$D$4,$D$3,$E$6)</f>
        <v>6.8542711423592744E-6</v>
      </c>
      <c r="G57" s="111">
        <f>GasSolubility($G$8,$D$57,$D$4,$D$3,$E$6)</f>
        <v>6.888692850251157E-6</v>
      </c>
      <c r="H57" s="111">
        <f>GasSolubility($H$8,$D$57,$D$4,$D$3,$E$6)</f>
        <v>7.3275402730958363E-6</v>
      </c>
      <c r="I57" s="111">
        <f>GasSolubility($I$8,$D$57,$D$4,$D$3,$E$6)</f>
        <v>6.9981252917618743E-6</v>
      </c>
      <c r="J57" s="111">
        <f>(E57-$E57)/$E57*100</f>
        <v>0</v>
      </c>
      <c r="K57" s="111">
        <f>(F57-$E57)/$E57*100</f>
        <v>-0.47089882631408969</v>
      </c>
      <c r="L57" s="111">
        <f>(G57-$E57)/$E57*100</f>
        <v>2.8929904733601849E-2</v>
      </c>
      <c r="M57" s="111">
        <f>(H57-$E57)/$E57*100</f>
        <v>6.401320001499629</v>
      </c>
      <c r="N57" s="111">
        <f>(I57-$E57)/$E57*100</f>
        <v>1.6179701274777902</v>
      </c>
    </row>
    <row r="58" spans="1:14">
      <c r="A58" s="111">
        <v>50</v>
      </c>
      <c r="B58" s="111">
        <f>$D$3</f>
        <v>0</v>
      </c>
      <c r="C58" s="111">
        <f>$D$4</f>
        <v>0</v>
      </c>
      <c r="D58" s="111">
        <f>$B$5+($A58-1)*1</f>
        <v>49</v>
      </c>
      <c r="E58" s="111">
        <f>GasSolubility($E$8,$D$58,$D$4,$D$3,$E$6)</f>
        <v>6.8458797811055642E-6</v>
      </c>
      <c r="F58" s="111">
        <f>GasSolubility($F$8,$D$58,$D$4,$D$3,$E$6)</f>
        <v>6.8065907222397783E-6</v>
      </c>
      <c r="G58" s="111">
        <f>GasSolubility($G$8,$D$58,$D$4,$D$3,$E$6)</f>
        <v>6.8434997610123625E-6</v>
      </c>
      <c r="H58" s="111">
        <f>GasSolubility($H$8,$D$58,$D$4,$D$3,$E$6)</f>
        <v>7.3163877893152788E-6</v>
      </c>
      <c r="I58" s="111">
        <f>GasSolubility($I$8,$D$58,$D$4,$D$3,$E$6)</f>
        <v>6.9525349875265927E-6</v>
      </c>
      <c r="J58" s="111">
        <f>(E58-$E58)/$E58*100</f>
        <v>0</v>
      </c>
      <c r="K58" s="111">
        <f>(F58-$E58)/$E58*100</f>
        <v>-0.5739081041741726</v>
      </c>
      <c r="L58" s="111">
        <f>(G58-$E58)/$E58*100</f>
        <v>-3.4765730180808745E-2</v>
      </c>
      <c r="M58" s="111">
        <f>(H58-$E58)/$E58*100</f>
        <v>6.8728640182713034</v>
      </c>
      <c r="N58" s="111">
        <f>(I58-$E58)/$E58*100</f>
        <v>1.5579474053195295</v>
      </c>
    </row>
    <row r="59" spans="1:14">
      <c r="A59" s="111">
        <v>51</v>
      </c>
      <c r="B59" s="111">
        <f>$D$3</f>
        <v>0</v>
      </c>
      <c r="C59" s="111">
        <f>$D$4</f>
        <v>0</v>
      </c>
      <c r="D59" s="111">
        <f>$B$5+($A59-1)*1</f>
        <v>50</v>
      </c>
      <c r="E59" s="111">
        <f>GasSolubility($E$8,$D$59,$D$4,$D$3,$E$6)</f>
        <v>6.8052302815091614E-6</v>
      </c>
      <c r="F59" s="111">
        <f>GasSolubility($F$8,$D$59,$D$4,$D$3,$E$6)</f>
        <v>6.7581676524790157E-6</v>
      </c>
      <c r="G59" s="111">
        <f>GasSolubility($G$8,$D$59,$D$4,$D$3,$E$6)</f>
        <v>6.7976525232822458E-6</v>
      </c>
      <c r="H59" s="111">
        <f>GasSolubility($H$8,$D$59,$D$4,$D$3,$E$6)</f>
        <v>7.3068160296646757E-6</v>
      </c>
      <c r="I59" s="111">
        <f>GasSolubility($I$8,$D$59,$D$4,$D$3,$E$6)</f>
        <v>6.9067059407854158E-6</v>
      </c>
      <c r="J59" s="111">
        <f>(E59-$E59)/$E59*100</f>
        <v>0</v>
      </c>
      <c r="K59" s="111">
        <f>(F59-$E59)/$E59*100</f>
        <v>-0.69156556183002316</v>
      </c>
      <c r="L59" s="111">
        <f>(G59-$E59)/$E59*100</f>
        <v>-0.11135197360632346</v>
      </c>
      <c r="M59" s="111">
        <f>(H59-$E59)/$E59*100</f>
        <v>7.3705918448990424</v>
      </c>
      <c r="N59" s="111">
        <f>(I59-$E59)/$E59*100</f>
        <v>1.4911421815067609</v>
      </c>
    </row>
  </sheetData>
  <mergeCells count="1">
    <mergeCell ref="E7:I7"/>
  </mergeCell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9292B-58C0-4461-9AAE-E8AF6511291E}">
  <sheetPr codeName="Sheet14"/>
  <dimension ref="A1:AE44"/>
  <sheetViews>
    <sheetView workbookViewId="0">
      <selection activeCell="G33" sqref="G33"/>
    </sheetView>
  </sheetViews>
  <sheetFormatPr defaultRowHeight="13.2"/>
  <cols>
    <col min="1" max="1" width="23.21875" style="111" bestFit="1" customWidth="1"/>
    <col min="2" max="3" width="8.88671875" style="111"/>
    <col min="4" max="4" width="15.77734375" style="111" customWidth="1"/>
    <col min="5" max="9" width="12.77734375" style="111" customWidth="1"/>
    <col min="10" max="16384" width="8.88671875" style="111"/>
  </cols>
  <sheetData>
    <row r="1" spans="1:31">
      <c r="A1" s="112" t="s">
        <v>346</v>
      </c>
    </row>
    <row r="2" spans="1:31">
      <c r="A2" s="112" t="s">
        <v>342</v>
      </c>
      <c r="B2" s="112" t="s">
        <v>341</v>
      </c>
      <c r="C2" s="112" t="s">
        <v>340</v>
      </c>
      <c r="D2" s="112" t="s">
        <v>339</v>
      </c>
      <c r="E2" s="112" t="s">
        <v>218</v>
      </c>
      <c r="F2" s="112"/>
      <c r="G2" s="112"/>
      <c r="H2" s="112"/>
    </row>
    <row r="3" spans="1:31">
      <c r="A3" s="111" t="s">
        <v>262</v>
      </c>
      <c r="D3" s="121">
        <v>0</v>
      </c>
      <c r="E3" s="124" t="s">
        <v>338</v>
      </c>
      <c r="F3" s="123" t="s">
        <v>337</v>
      </c>
      <c r="G3" s="122"/>
    </row>
    <row r="4" spans="1:31">
      <c r="A4" s="111" t="s">
        <v>336</v>
      </c>
      <c r="B4" s="111">
        <v>0</v>
      </c>
      <c r="C4" s="111">
        <v>35</v>
      </c>
      <c r="D4" s="118"/>
      <c r="E4" s="121" t="s">
        <v>335</v>
      </c>
      <c r="F4" s="120" t="s">
        <v>334</v>
      </c>
      <c r="G4" s="119"/>
    </row>
    <row r="5" spans="1:31">
      <c r="A5" s="111" t="s">
        <v>333</v>
      </c>
      <c r="D5" s="121">
        <v>15</v>
      </c>
      <c r="E5" s="117" t="s">
        <v>332</v>
      </c>
      <c r="F5" s="116"/>
      <c r="G5" s="115"/>
    </row>
    <row r="6" spans="1:31">
      <c r="A6" s="111" t="s">
        <v>331</v>
      </c>
      <c r="E6" s="111" t="s">
        <v>345</v>
      </c>
    </row>
    <row r="7" spans="1:31" ht="13.8">
      <c r="E7" s="114" t="s">
        <v>344</v>
      </c>
      <c r="F7" s="113"/>
      <c r="G7" s="113"/>
      <c r="H7" s="113"/>
      <c r="I7" s="113"/>
      <c r="J7" s="125"/>
    </row>
    <row r="8" spans="1:31">
      <c r="A8" s="112" t="s">
        <v>329</v>
      </c>
      <c r="B8" s="112" t="s">
        <v>262</v>
      </c>
      <c r="C8" s="112" t="s">
        <v>261</v>
      </c>
      <c r="D8" s="112" t="s">
        <v>264</v>
      </c>
      <c r="E8" s="112" t="s">
        <v>74</v>
      </c>
      <c r="F8" s="112" t="s">
        <v>75</v>
      </c>
      <c r="G8" s="112" t="s">
        <v>76</v>
      </c>
      <c r="H8" s="112" t="s">
        <v>79</v>
      </c>
      <c r="I8" s="112" t="s">
        <v>212</v>
      </c>
      <c r="J8" s="112" t="s">
        <v>74</v>
      </c>
      <c r="K8" s="112" t="s">
        <v>75</v>
      </c>
      <c r="L8" s="112" t="s">
        <v>76</v>
      </c>
      <c r="M8" s="112" t="s">
        <v>79</v>
      </c>
      <c r="N8" s="112" t="s">
        <v>212</v>
      </c>
      <c r="O8" s="112"/>
      <c r="P8" s="112"/>
      <c r="Q8" s="112"/>
      <c r="R8" s="112"/>
      <c r="S8" s="112"/>
      <c r="T8" s="112"/>
      <c r="U8" s="112"/>
      <c r="V8" s="112"/>
      <c r="W8" s="112"/>
      <c r="X8" s="112"/>
      <c r="Y8" s="112"/>
      <c r="Z8" s="112"/>
      <c r="AA8" s="112"/>
      <c r="AB8" s="112"/>
      <c r="AC8" s="112"/>
      <c r="AD8" s="112"/>
      <c r="AE8" s="112"/>
    </row>
    <row r="9" spans="1:31">
      <c r="A9" s="111">
        <v>1</v>
      </c>
      <c r="B9" s="111">
        <f>$D$3</f>
        <v>0</v>
      </c>
      <c r="C9" s="111">
        <f>$B$4+($A9-1)*1</f>
        <v>0</v>
      </c>
      <c r="D9" s="111">
        <f>$D$5</f>
        <v>15</v>
      </c>
      <c r="E9" s="111">
        <f>GasSolubility($E$8,$D$5,$C$9,$D$3,$E$6)</f>
        <v>8.6004698586792152E-6</v>
      </c>
      <c r="F9" s="111">
        <f>GasSolubility($F$8,$D$5,$C$9,$D$3,$E$6)</f>
        <v>8.6000041743536006E-6</v>
      </c>
      <c r="G9" s="111">
        <f>GasSolubility($G$8,$D$5,$C$9,$D$3,$E$6)</f>
        <v>8.6338627959130823E-6</v>
      </c>
      <c r="H9" s="111">
        <f>GasSolubility($H$8,$D$5,$C$9,$D$3,$E$6)</f>
        <v>8.6677700776633107E-6</v>
      </c>
      <c r="I9" s="111">
        <f>GasSolubility($I$8,$D$5,$C$9,$D$3,$E$6)</f>
        <v>8.7146375941445514E-6</v>
      </c>
      <c r="J9" s="111">
        <f>(E9-$E9)/$E9*100</f>
        <v>0</v>
      </c>
      <c r="K9" s="111">
        <f>(F9-$E9)/$E9*100</f>
        <v>-5.4146381914776665E-3</v>
      </c>
      <c r="L9" s="111">
        <f>(G9-$E9)/$E9*100</f>
        <v>0.38826875487701945</v>
      </c>
      <c r="M9" s="111">
        <f>(H9-$E9)/$E9*100</f>
        <v>0.78251793320546426</v>
      </c>
      <c r="N9" s="111">
        <f>(I9-$E9)/$E9*100</f>
        <v>1.3274592823568028</v>
      </c>
    </row>
    <row r="10" spans="1:31">
      <c r="A10" s="111">
        <v>2</v>
      </c>
      <c r="B10" s="111">
        <f>$D$3</f>
        <v>0</v>
      </c>
      <c r="C10" s="111">
        <f>$B$4+($A10-1)*1</f>
        <v>1</v>
      </c>
      <c r="D10" s="111">
        <f>$D$5</f>
        <v>15</v>
      </c>
      <c r="E10" s="111">
        <f>GasSolubility($E$8,$D$5,$C$10,$D$3,$E$6)</f>
        <v>8.5501804506984726E-6</v>
      </c>
      <c r="F10" s="111">
        <f>GasSolubility($F$8,$D$5,$C$10,$D$3,$E$6)</f>
        <v>8.5495771760688922E-6</v>
      </c>
      <c r="G10" s="111">
        <f>GasSolubility($G$8,$D$5,$C$10,$D$3,$E$6)</f>
        <v>8.5852395135028302E-6</v>
      </c>
      <c r="H10" s="111">
        <f>GasSolubility($H$8,$D$5,$C$10,$D$3,$E$6)</f>
        <v>8.6171477481859771E-6</v>
      </c>
      <c r="I10" s="111">
        <f>GasSolubility($I$8,$D$5,$C$10,$D$3,$E$6)</f>
        <v>8.660117686439834E-6</v>
      </c>
      <c r="J10" s="111">
        <f>(E10-$E10)/$E10*100</f>
        <v>0</v>
      </c>
      <c r="K10" s="111">
        <f>(F10-$E10)/$E10*100</f>
        <v>-7.0556947079532181E-3</v>
      </c>
      <c r="L10" s="111">
        <f>(G10-$E10)/$E10*100</f>
        <v>0.41003886416799018</v>
      </c>
      <c r="M10" s="111">
        <f>(H10-$E10)/$E10*100</f>
        <v>0.78322671519796883</v>
      </c>
      <c r="N10" s="111">
        <f>(I10-$E10)/$E10*100</f>
        <v>1.285788485696586</v>
      </c>
    </row>
    <row r="11" spans="1:31">
      <c r="A11" s="111">
        <v>3</v>
      </c>
      <c r="B11" s="111">
        <f>$D$3</f>
        <v>0</v>
      </c>
      <c r="C11" s="111">
        <f>$B$4+($A11-1)*1</f>
        <v>2</v>
      </c>
      <c r="D11" s="111">
        <f>$D$5</f>
        <v>15</v>
      </c>
      <c r="E11" s="111">
        <f>GasSolubility($E$8,$D$5,$C$11,$D$3,$E$6)</f>
        <v>8.5001850992747273E-6</v>
      </c>
      <c r="F11" s="111">
        <f>GasSolubility($F$8,$D$5,$C$11,$D$3,$E$6)</f>
        <v>8.49947480757267E-6</v>
      </c>
      <c r="G11" s="111">
        <f>GasSolubility($G$8,$D$5,$C$11,$D$3,$E$6)</f>
        <v>8.5368548587892313E-6</v>
      </c>
      <c r="H11" s="111">
        <f>GasSolubility($H$8,$D$5,$C$11,$D$3,$E$6)</f>
        <v>8.5668210680185293E-6</v>
      </c>
      <c r="I11" s="111">
        <f>GasSolubility($I$8,$D$5,$C$11,$D$3,$E$6)</f>
        <v>8.6061595780737507E-6</v>
      </c>
      <c r="J11" s="111">
        <f>(E11-$E11)/$E11*100</f>
        <v>0</v>
      </c>
      <c r="K11" s="111">
        <f>(F11-$E11)/$E11*100</f>
        <v>-8.3561909977459443E-3</v>
      </c>
      <c r="L11" s="111">
        <f>(G11-$E11)/$E11*100</f>
        <v>0.43139954114214329</v>
      </c>
      <c r="M11" s="111">
        <f>(H11-$E11)/$E11*100</f>
        <v>0.78393550217497854</v>
      </c>
      <c r="N11" s="111">
        <f>(I11-$E11)/$E11*100</f>
        <v>1.2467314248023331</v>
      </c>
    </row>
    <row r="12" spans="1:31">
      <c r="A12" s="111">
        <v>4</v>
      </c>
      <c r="B12" s="111">
        <f>$D$3</f>
        <v>0</v>
      </c>
      <c r="C12" s="111">
        <f>$B$4+($A12-1)*1</f>
        <v>3</v>
      </c>
      <c r="D12" s="111">
        <f>$D$5</f>
        <v>15</v>
      </c>
      <c r="E12" s="111">
        <f>GasSolubility($E$8,$D$5,$C$12,$D$3,$E$6)</f>
        <v>8.4504820849751234E-6</v>
      </c>
      <c r="F12" s="111">
        <f>GasSolubility($F$8,$D$5,$C$12,$D$3,$E$6)</f>
        <v>8.449683631903875E-6</v>
      </c>
      <c r="G12" s="111">
        <f>GasSolubility($G$8,$D$5,$C$12,$D$3,$E$6)</f>
        <v>8.488696824709568E-6</v>
      </c>
      <c r="H12" s="111">
        <f>GasSolubility($H$8,$D$5,$C$12,$D$3,$E$6)</f>
        <v>8.5167883104819445E-6</v>
      </c>
      <c r="I12" s="111">
        <f>GasSolubility($I$8,$D$5,$C$12,$D$3,$E$6)</f>
        <v>8.552757009580098E-6</v>
      </c>
      <c r="J12" s="111">
        <f>(E12-$E12)/$E12*100</f>
        <v>0</v>
      </c>
      <c r="K12" s="111">
        <f>(F12-$E12)/$E12*100</f>
        <v>-9.4486097150373247E-3</v>
      </c>
      <c r="L12" s="111">
        <f>(G12-$E12)/$E12*100</f>
        <v>0.45221964084617183</v>
      </c>
      <c r="M12" s="111">
        <f>(H12-$E12)/$E12*100</f>
        <v>0.78464429413693304</v>
      </c>
      <c r="N12" s="111">
        <f>(I12-$E12)/$E12*100</f>
        <v>1.2102850887858627</v>
      </c>
    </row>
    <row r="13" spans="1:31">
      <c r="A13" s="111">
        <v>5</v>
      </c>
      <c r="B13" s="111">
        <f>$D$3</f>
        <v>0</v>
      </c>
      <c r="C13" s="111">
        <f>$B$4+($A13-1)*1</f>
        <v>4</v>
      </c>
      <c r="D13" s="111">
        <f>$D$5</f>
        <v>15</v>
      </c>
      <c r="E13" s="111">
        <f>GasSolubility($E$8,$D$5,$C$13,$D$3,$E$6)</f>
        <v>8.4010696984208846E-6</v>
      </c>
      <c r="F13" s="111">
        <f>GasSolubility($F$8,$D$5,$C$13,$D$3,$E$6)</f>
        <v>8.4001976368850537E-6</v>
      </c>
      <c r="G13" s="111">
        <f>GasSolubility($G$8,$D$5,$C$13,$D$3,$E$6)</f>
        <v>8.4407607594449136E-6</v>
      </c>
      <c r="H13" s="111">
        <f>GasSolubility($H$8,$D$5,$C$13,$D$3,$E$6)</f>
        <v>8.4670477589815132E-6</v>
      </c>
      <c r="I13" s="111">
        <f>GasSolubility($I$8,$D$5,$C$13,$D$3,$E$6)</f>
        <v>8.4999038030243878E-6</v>
      </c>
      <c r="J13" s="111">
        <f>(E13-$E13)/$E13*100</f>
        <v>0</v>
      </c>
      <c r="K13" s="111">
        <f>(F13-$E13)/$E13*100</f>
        <v>-1.0380363062514386E-2</v>
      </c>
      <c r="L13" s="111">
        <f>(G13-$E13)/$E13*100</f>
        <v>0.47245246675538843</v>
      </c>
      <c r="M13" s="111">
        <f>(H13-$E13)/$E13*100</f>
        <v>0.78535309108351048</v>
      </c>
      <c r="N13" s="111">
        <f>(I13-$E13)/$E13*100</f>
        <v>1.1764466687150643</v>
      </c>
    </row>
    <row r="14" spans="1:31">
      <c r="A14" s="111">
        <v>6</v>
      </c>
      <c r="B14" s="111">
        <f>$D$3</f>
        <v>0</v>
      </c>
      <c r="C14" s="111">
        <f>$B$4+($A14-1)*1</f>
        <v>5</v>
      </c>
      <c r="D14" s="111">
        <f>$D$5</f>
        <v>15</v>
      </c>
      <c r="E14" s="111">
        <f>GasSolubility($E$8,$D$5,$C$14,$D$3,$E$6)</f>
        <v>8.3519462402284029E-6</v>
      </c>
      <c r="F14" s="111">
        <f>GasSolubility($F$8,$D$5,$C$14,$D$3,$E$6)</f>
        <v>8.3510125840063113E-6</v>
      </c>
      <c r="G14" s="111">
        <f>GasSolubility($G$8,$D$5,$C$14,$D$3,$E$6)</f>
        <v>8.3930437383563281E-6</v>
      </c>
      <c r="H14" s="111">
        <f>GasSolubility($H$8,$D$5,$C$14,$D$3,$E$6)</f>
        <v>8.4175977069479421E-6</v>
      </c>
      <c r="I14" s="111">
        <f>GasSolubility($I$8,$D$5,$C$14,$D$3,$E$6)</f>
        <v>8.4475938608660755E-6</v>
      </c>
      <c r="J14" s="111">
        <f>(E14-$E14)/$E14*100</f>
        <v>0</v>
      </c>
      <c r="K14" s="111">
        <f>(F14-$E14)/$E14*100</f>
        <v>-1.1178906032638117E-2</v>
      </c>
      <c r="L14" s="111">
        <f>(G14-$E14)/$E14*100</f>
        <v>0.4920709131240924</v>
      </c>
      <c r="M14" s="111">
        <f>(H14-$E14)/$E14*100</f>
        <v>0.78606189301505658</v>
      </c>
      <c r="N14" s="111">
        <f>(I14-$E14)/$E14*100</f>
        <v>1.145213557254134</v>
      </c>
    </row>
    <row r="15" spans="1:31">
      <c r="A15" s="111">
        <v>7</v>
      </c>
      <c r="B15" s="111">
        <f>$D$3</f>
        <v>0</v>
      </c>
      <c r="C15" s="111">
        <f>$B$4+($A15-1)*1</f>
        <v>6</v>
      </c>
      <c r="D15" s="111">
        <f>$D$5</f>
        <v>15</v>
      </c>
      <c r="E15" s="111">
        <f>GasSolubility($E$8,$D$5,$C$15,$D$3,$E$6)</f>
        <v>8.3031100209509085E-6</v>
      </c>
      <c r="F15" s="111">
        <f>GasSolubility($F$8,$D$5,$C$15,$D$3,$E$6)</f>
        <v>8.3021250403217276E-6</v>
      </c>
      <c r="G15" s="111">
        <f>GasSolubility($G$8,$D$5,$C$15,$D$3,$E$6)</f>
        <v>8.345543607562082E-6</v>
      </c>
      <c r="H15" s="111">
        <f>GasSolubility($H$8,$D$5,$C$15,$D$3,$E$6)</f>
        <v>8.3684364577788085E-6</v>
      </c>
      <c r="I15" s="111">
        <f>GasSolubility($I$8,$D$5,$C$15,$D$3,$E$6)</f>
        <v>8.3958211648381538E-6</v>
      </c>
      <c r="J15" s="111">
        <f>(E15-$E15)/$E15*100</f>
        <v>0</v>
      </c>
      <c r="K15" s="111">
        <f>(F15-$E15)/$E15*100</f>
        <v>-1.1862791492532233E-2</v>
      </c>
      <c r="L15" s="111">
        <f>(G15-$E15)/$E15*100</f>
        <v>0.51105653790088945</v>
      </c>
      <c r="M15" s="111">
        <f>(H15-$E15)/$E15*100</f>
        <v>0.78677069993128312</v>
      </c>
      <c r="N15" s="111">
        <f>(I15-$E15)/$E15*100</f>
        <v>1.1165833483274448</v>
      </c>
    </row>
    <row r="16" spans="1:31">
      <c r="A16" s="111">
        <v>8</v>
      </c>
      <c r="B16" s="111">
        <f>$D$3</f>
        <v>0</v>
      </c>
      <c r="C16" s="111">
        <f>$B$4+($A16-1)*1</f>
        <v>7</v>
      </c>
      <c r="D16" s="111">
        <f>$D$5</f>
        <v>15</v>
      </c>
      <c r="E16" s="111">
        <f>GasSolubility($E$8,$D$5,$C$16,$D$3,$E$6)</f>
        <v>8.2545593610202534E-6</v>
      </c>
      <c r="F16" s="111">
        <f>GasSolubility($F$8,$D$5,$C$16,$D$3,$E$6)</f>
        <v>8.2535320269518945E-6</v>
      </c>
      <c r="G16" s="111">
        <f>GasSolubility($G$8,$D$5,$C$16,$D$3,$E$6)</f>
        <v>8.2982586388957423E-6</v>
      </c>
      <c r="H16" s="111">
        <f>GasSolubility($H$8,$D$5,$C$16,$D$3,$E$6)</f>
        <v>8.3195623247803469E-6</v>
      </c>
      <c r="I16" s="111">
        <f>GasSolubility($I$8,$D$5,$C$16,$D$3,$E$6)</f>
        <v>8.3445797748437806E-6</v>
      </c>
      <c r="J16" s="111">
        <f>(E16-$E16)/$E16*100</f>
        <v>0</v>
      </c>
      <c r="K16" s="111">
        <f>(F16-$E16)/$E16*100</f>
        <v>-1.2445656072329513E-2</v>
      </c>
      <c r="L16" s="111">
        <f>(G16-$E16)/$E16*100</f>
        <v>0.52939564626363966</v>
      </c>
      <c r="M16" s="111">
        <f>(H16-$E16)/$E16*100</f>
        <v>0.7874795118325888</v>
      </c>
      <c r="N16" s="111">
        <f>(I16-$E16)/$E16*100</f>
        <v>1.0905538368119598</v>
      </c>
    </row>
    <row r="17" spans="1:14">
      <c r="A17" s="111">
        <v>9</v>
      </c>
      <c r="B17" s="111">
        <f>$D$3</f>
        <v>0</v>
      </c>
      <c r="C17" s="111">
        <f>$B$4+($A17-1)*1</f>
        <v>8</v>
      </c>
      <c r="D17" s="111">
        <f>$D$5</f>
        <v>15</v>
      </c>
      <c r="E17" s="111">
        <f>GasSolubility($E$8,$D$5,$C$17,$D$3,$E$6)</f>
        <v>8.2062925906892656E-6</v>
      </c>
      <c r="F17" s="111">
        <f>GasSolubility($F$8,$D$5,$C$17,$D$3,$E$6)</f>
        <v>8.2052308543662326E-6</v>
      </c>
      <c r="G17" s="111">
        <f>GasSolubility($G$8,$D$5,$C$17,$D$3,$E$6)</f>
        <v>8.2511873692295283E-6</v>
      </c>
      <c r="H17" s="111">
        <f>GasSolubility($H$8,$D$5,$C$17,$D$3,$E$6)</f>
        <v>8.2709736311095771E-6</v>
      </c>
      <c r="I17" s="111">
        <f>GasSolubility($I$8,$D$5,$C$17,$D$3,$E$6)</f>
        <v>8.2938638278697119E-6</v>
      </c>
      <c r="J17" s="111">
        <f>(E17-$E17)/$E17*100</f>
        <v>0</v>
      </c>
      <c r="K17" s="111">
        <f>(F17-$E17)/$E17*100</f>
        <v>-1.2938075401278852E-2</v>
      </c>
      <c r="L17" s="111">
        <f>(G17-$E17)/$E17*100</f>
        <v>0.54707747797342288</v>
      </c>
      <c r="M17" s="111">
        <f>(H17-$E17)/$E17*100</f>
        <v>0.78818832871859423</v>
      </c>
      <c r="N17" s="111">
        <f>(I17-$E17)/$E17*100</f>
        <v>1.0671230182531311</v>
      </c>
    </row>
    <row r="18" spans="1:14">
      <c r="A18" s="111">
        <v>10</v>
      </c>
      <c r="B18" s="111">
        <f>$D$3</f>
        <v>0</v>
      </c>
      <c r="C18" s="111">
        <f>$B$4+($A18-1)*1</f>
        <v>9</v>
      </c>
      <c r="D18" s="111">
        <f>$D$5</f>
        <v>15</v>
      </c>
      <c r="E18" s="111">
        <f>GasSolubility($E$8,$D$5,$C$18,$D$3,$E$6)</f>
        <v>8.1583080499741965E-6</v>
      </c>
      <c r="F18" s="111">
        <f>GasSolubility($F$8,$D$5,$C$18,$D$3,$E$6)</f>
        <v>8.1572190330127185E-6</v>
      </c>
      <c r="G18" s="111">
        <f>GasSolubility($G$8,$D$5,$C$18,$D$3,$E$6)</f>
        <v>8.2043285138539608E-6</v>
      </c>
      <c r="H18" s="111">
        <f>GasSolubility($H$8,$D$5,$C$18,$D$3,$E$6)</f>
        <v>8.2226687097167796E-6</v>
      </c>
      <c r="I18" s="111">
        <f>GasSolubility($I$8,$D$5,$C$18,$D$3,$E$6)</f>
        <v>8.2436675369161029E-6</v>
      </c>
      <c r="J18" s="111">
        <f>(E18-$E18)/$E18*100</f>
        <v>0</v>
      </c>
      <c r="K18" s="111">
        <f>(F18-$E18)/$E18*100</f>
        <v>-1.3348563878773752E-2</v>
      </c>
      <c r="L18" s="111">
        <f>(G18-$E18)/$E18*100</f>
        <v>0.56409323597323391</v>
      </c>
      <c r="M18" s="111">
        <f>(H18-$E18)/$E18*100</f>
        <v>0.78889715058977994</v>
      </c>
      <c r="N18" s="111">
        <f>(I18-$E18)/$E18*100</f>
        <v>1.0462890886079792</v>
      </c>
    </row>
    <row r="19" spans="1:14">
      <c r="A19" s="111">
        <v>11</v>
      </c>
      <c r="B19" s="111">
        <f>$D$3</f>
        <v>0</v>
      </c>
      <c r="C19" s="111">
        <f>$B$4+($A19-1)*1</f>
        <v>10</v>
      </c>
      <c r="D19" s="111">
        <f>$D$5</f>
        <v>15</v>
      </c>
      <c r="E19" s="111">
        <f>GasSolubility($E$8,$D$5,$C$19,$D$3,$E$6)</f>
        <v>8.1106040885977667E-6</v>
      </c>
      <c r="F19" s="111">
        <f>GasSolubility($F$8,$D$5,$C$19,$D$3,$E$6)</f>
        <v>8.1094942198676687E-6</v>
      </c>
      <c r="G19" s="111">
        <f>GasSolubility($G$8,$D$5,$C$19,$D$3,$E$6)</f>
        <v>8.1576809150140008E-6</v>
      </c>
      <c r="H19" s="111">
        <f>GasSolubility($H$8,$D$5,$C$19,$D$3,$E$6)</f>
        <v>8.1746459032882942E-6</v>
      </c>
      <c r="I19" s="111">
        <f>GasSolubility($I$8,$D$5,$C$19,$D$3,$E$6)</f>
        <v>8.1939851899427394E-6</v>
      </c>
      <c r="J19" s="111">
        <f>(E19-$E19)/$E19*100</f>
        <v>0</v>
      </c>
      <c r="K19" s="111">
        <f>(F19-$E19)/$E19*100</f>
        <v>-1.3684168503038186E-2</v>
      </c>
      <c r="L19" s="111">
        <f>(G19-$E19)/$E19*100</f>
        <v>0.58043551259537696</v>
      </c>
      <c r="M19" s="111">
        <f>(H19-$E19)/$E19*100</f>
        <v>0.78960597744575189</v>
      </c>
      <c r="N19" s="111">
        <f>(I19-$E19)/$E19*100</f>
        <v>1.0280504440130838</v>
      </c>
    </row>
    <row r="20" spans="1:14">
      <c r="A20" s="111">
        <v>12</v>
      </c>
      <c r="B20" s="111">
        <f>$D$3</f>
        <v>0</v>
      </c>
      <c r="C20" s="111">
        <f>$B$4+($A20-1)*1</f>
        <v>11</v>
      </c>
      <c r="D20" s="111">
        <f>$D$5</f>
        <v>15</v>
      </c>
      <c r="E20" s="111">
        <f>GasSolubility($E$8,$D$5,$C$20,$D$3,$E$6)</f>
        <v>8.0631790659322706E-6</v>
      </c>
      <c r="F20" s="111">
        <f>GasSolubility($F$8,$D$5,$C$20,$D$3,$E$6)</f>
        <v>8.0620541841456415E-6</v>
      </c>
      <c r="G20" s="111">
        <f>GasSolubility($G$8,$D$5,$C$20,$D$3,$E$6)</f>
        <v>8.11124350911966E-6</v>
      </c>
      <c r="H20" s="111">
        <f>GasSolubility($H$8,$D$5,$C$20,$D$3,$E$6)</f>
        <v>8.1269035641896607E-6</v>
      </c>
      <c r="I20" s="111">
        <f>GasSolubility($I$8,$D$5,$C$20,$D$3,$E$6)</f>
        <v>8.1448111488311279E-6</v>
      </c>
      <c r="J20" s="111">
        <f>(E20-$E20)/$E20*100</f>
        <v>0</v>
      </c>
      <c r="K20" s="111">
        <f>(F20-$E20)/$E20*100</f>
        <v>-1.3950847146405099E-2</v>
      </c>
      <c r="L20" s="111">
        <f>(G20-$E20)/$E20*100</f>
        <v>0.59609792607070378</v>
      </c>
      <c r="M20" s="111">
        <f>(H20-$E20)/$E20*100</f>
        <v>0.79031480928697695</v>
      </c>
      <c r="N20" s="111">
        <f>(I20-$E20)/$E20*100</f>
        <v>1.0124056805802679</v>
      </c>
    </row>
    <row r="21" spans="1:14">
      <c r="A21" s="111">
        <v>13</v>
      </c>
      <c r="B21" s="111">
        <f>$D$3</f>
        <v>0</v>
      </c>
      <c r="C21" s="111">
        <f>$B$4+($A21-1)*1</f>
        <v>12</v>
      </c>
      <c r="D21" s="111">
        <f>$D$5</f>
        <v>15</v>
      </c>
      <c r="E21" s="111">
        <f>GasSolubility($E$8,$D$5,$C$21,$D$3,$E$6)</f>
        <v>8.016031350943291E-6</v>
      </c>
      <c r="F21" s="111">
        <f>GasSolubility($F$8,$D$5,$C$21,$D$3,$E$6)</f>
        <v>8.0148967840992285E-6</v>
      </c>
      <c r="G21" s="111">
        <f>GasSolubility($G$8,$D$5,$C$21,$D$3,$E$6)</f>
        <v>8.065015304719853E-6</v>
      </c>
      <c r="H21" s="111">
        <f>GasSolubility($H$8,$D$5,$C$21,$D$3,$E$6)</f>
        <v>8.0794400544090872E-6</v>
      </c>
      <c r="I21" s="111">
        <f>GasSolubility($I$8,$D$5,$C$21,$D$3,$E$6)</f>
        <v>8.0961398483623099E-6</v>
      </c>
      <c r="J21" s="111">
        <f>(E21-$E21)/$E21*100</f>
        <v>0</v>
      </c>
      <c r="K21" s="111">
        <f>(F21-$E21)/$E21*100</f>
        <v>-1.4153722638934061E-2</v>
      </c>
      <c r="L21" s="111">
        <f>(G21-$E21)/$E21*100</f>
        <v>0.6110748777298346</v>
      </c>
      <c r="M21" s="111">
        <f>(H21-$E21)/$E21*100</f>
        <v>0.79102364611304177</v>
      </c>
      <c r="N21" s="111">
        <f>(I21-$E21)/$E21*100</f>
        <v>0.99935359421457381</v>
      </c>
    </row>
    <row r="22" spans="1:14">
      <c r="A22" s="111">
        <v>14</v>
      </c>
      <c r="B22" s="111">
        <f>$D$3</f>
        <v>0</v>
      </c>
      <c r="C22" s="111">
        <f>$B$4+($A22-1)*1</f>
        <v>13</v>
      </c>
      <c r="D22" s="111">
        <f>$D$5</f>
        <v>15</v>
      </c>
      <c r="E22" s="111">
        <f>GasSolubility($E$8,$D$5,$C$22,$D$3,$E$6)</f>
        <v>7.9691593221334715E-6</v>
      </c>
      <c r="F22" s="111">
        <f>GasSolubility($F$8,$D$5,$C$22,$D$3,$E$6)</f>
        <v>7.9680199506508579E-6</v>
      </c>
      <c r="G22" s="111">
        <f>GasSolubility($G$8,$D$5,$C$22,$D$3,$E$6)</f>
        <v>8.0189953670791481E-6</v>
      </c>
      <c r="H22" s="111">
        <f>GasSolubility($H$8,$D$5,$C$22,$D$3,$E$6)</f>
        <v>8.0322537455012584E-6</v>
      </c>
      <c r="I22" s="111">
        <f>GasSolubility($I$8,$D$5,$C$22,$D$3,$E$6)</f>
        <v>8.0479657952101628E-6</v>
      </c>
      <c r="J22" s="111">
        <f>(E22-$E22)/$E22*100</f>
        <v>0</v>
      </c>
      <c r="K22" s="111">
        <f>(F22-$E22)/$E22*100</f>
        <v>-1.4297260684061473E-2</v>
      </c>
      <c r="L22" s="111">
        <f>(G22-$E22)/$E22*100</f>
        <v>0.6253613829411383</v>
      </c>
      <c r="M22" s="111">
        <f>(H22-$E22)/$E22*100</f>
        <v>0.79173248792440354</v>
      </c>
      <c r="N22" s="111">
        <f>(I22-$E22)/$E22*100</f>
        <v>0.98889318046151853</v>
      </c>
    </row>
    <row r="23" spans="1:14">
      <c r="A23" s="111">
        <v>15</v>
      </c>
      <c r="B23" s="111">
        <f>$D$3</f>
        <v>0</v>
      </c>
      <c r="C23" s="111">
        <f>$B$4+($A23-1)*1</f>
        <v>14</v>
      </c>
      <c r="D23" s="111">
        <f>$D$5</f>
        <v>15</v>
      </c>
      <c r="E23" s="111">
        <f>GasSolubility($E$8,$D$5,$C$23,$D$3,$E$6)</f>
        <v>7.9225613674868715E-6</v>
      </c>
      <c r="F23" s="111">
        <f>GasSolubility($F$8,$D$5,$C$23,$D$3,$E$6)</f>
        <v>7.9214216754464482E-6</v>
      </c>
      <c r="G23" s="111">
        <f>GasSolubility($G$8,$D$5,$C$23,$D$3,$E$6)</f>
        <v>7.9731828070097114E-6</v>
      </c>
      <c r="H23" s="111">
        <f>GasSolubility($H$8,$D$5,$C$23,$D$3,$E$6)</f>
        <v>7.9853430185314535E-6</v>
      </c>
      <c r="I23" s="111">
        <f>GasSolubility($I$8,$D$5,$C$23,$D$3,$E$6)</f>
        <v>8.0002835669499603E-6</v>
      </c>
      <c r="J23" s="111">
        <f>(E23-$E23)/$E23*100</f>
        <v>0</v>
      </c>
      <c r="K23" s="111">
        <f>(F23-$E23)/$E23*100</f>
        <v>-1.4385398705781918E-2</v>
      </c>
      <c r="L23" s="111">
        <f>(G23-$E23)/$E23*100</f>
        <v>0.63895294936538471</v>
      </c>
      <c r="M23" s="111">
        <f>(H23-$E23)/$E23*100</f>
        <v>0.79244133472073131</v>
      </c>
      <c r="N23" s="111">
        <f>(I23-$E23)/$E23*100</f>
        <v>0.98102363437726525</v>
      </c>
    </row>
    <row r="24" spans="1:14">
      <c r="A24" s="111">
        <v>16</v>
      </c>
      <c r="B24" s="111">
        <f>$D$3</f>
        <v>0</v>
      </c>
      <c r="C24" s="111">
        <f>$B$4+($A24-1)*1</f>
        <v>15</v>
      </c>
      <c r="D24" s="111">
        <f>$D$5</f>
        <v>15</v>
      </c>
      <c r="E24" s="111">
        <f>GasSolubility($E$8,$D$5,$C$24,$D$3,$E$6)</f>
        <v>7.8762358844134175E-6</v>
      </c>
      <c r="F24" s="111">
        <f>GasSolubility($F$8,$D$5,$C$24,$D$3,$E$6)</f>
        <v>7.8751000018883212E-6</v>
      </c>
      <c r="G24" s="111">
        <f>GasSolubility($G$8,$D$5,$C$24,$D$3,$E$6)</f>
        <v>7.9275767725578544E-6</v>
      </c>
      <c r="H24" s="111">
        <f>GasSolubility($H$8,$D$5,$C$24,$D$3,$E$6)</f>
        <v>7.9387062640200109E-6</v>
      </c>
      <c r="I24" s="111">
        <f>GasSolubility($I$8,$D$5,$C$24,$D$3,$E$6)</f>
        <v>7.9530878110817362E-6</v>
      </c>
      <c r="J24" s="111">
        <f>(E24-$E24)/$E24*100</f>
        <v>0</v>
      </c>
      <c r="K24" s="111">
        <f>(F24-$E24)/$E24*100</f>
        <v>-1.4421641781248816E-2</v>
      </c>
      <c r="L24" s="111">
        <f>(G24-$E24)/$E24*100</f>
        <v>0.65184548682749921</v>
      </c>
      <c r="M24" s="111">
        <f>(H24-$E24)/$E24*100</f>
        <v>0.79315018650239244</v>
      </c>
      <c r="N24" s="111">
        <f>(I24-$E24)/$E24*100</f>
        <v>0.97574435042510443</v>
      </c>
    </row>
    <row r="25" spans="1:14">
      <c r="A25" s="111">
        <v>17</v>
      </c>
      <c r="B25" s="111">
        <f>$D$3</f>
        <v>0</v>
      </c>
      <c r="C25" s="111">
        <f>$B$4+($A25-1)*1</f>
        <v>16</v>
      </c>
      <c r="D25" s="111">
        <f>$D$5</f>
        <v>15</v>
      </c>
      <c r="E25" s="111">
        <f>GasSolubility($E$8,$D$5,$C$25,$D$3,$E$6)</f>
        <v>7.8301812796938872E-6</v>
      </c>
      <c r="F25" s="111">
        <f>GasSolubility($F$8,$D$5,$C$25,$D$3,$E$6)</f>
        <v>7.8290530182432998E-6</v>
      </c>
      <c r="G25" s="111">
        <f>GasSolubility($G$8,$D$5,$C$25,$D$3,$E$6)</f>
        <v>7.8821764426702483E-6</v>
      </c>
      <c r="H25" s="111">
        <f>GasSolubility($H$8,$D$5,$C$25,$D$3,$E$6)</f>
        <v>7.8923418818870989E-6</v>
      </c>
      <c r="I25" s="111">
        <f>GasSolubility($I$8,$D$5,$C$25,$D$3,$E$6)</f>
        <v>7.9063732440687225E-6</v>
      </c>
      <c r="J25" s="111">
        <f>(E25-$E25)/$E25*100</f>
        <v>0</v>
      </c>
      <c r="K25" s="111">
        <f>(F25-$E25)/$E25*100</f>
        <v>-1.440913575670812E-2</v>
      </c>
      <c r="L25" s="111">
        <f>(G25-$E25)/$E25*100</f>
        <v>0.66403523902059292</v>
      </c>
      <c r="M25" s="111">
        <f>(H25-$E25)/$E25*100</f>
        <v>0.79385904326906898</v>
      </c>
      <c r="N25" s="111">
        <f>(I25-$E25)/$E25*100</f>
        <v>0.97305492239911306</v>
      </c>
    </row>
    <row r="26" spans="1:14">
      <c r="A26" s="111">
        <v>18</v>
      </c>
      <c r="B26" s="111">
        <f>$D$3</f>
        <v>0</v>
      </c>
      <c r="C26" s="111">
        <f>$B$4+($A26-1)*1</f>
        <v>17</v>
      </c>
      <c r="D26" s="111">
        <f>$D$5</f>
        <v>15</v>
      </c>
      <c r="E26" s="111">
        <f>GasSolubility($E$8,$D$5,$C$26,$D$3,$E$6)</f>
        <v>7.7843959694250179E-6</v>
      </c>
      <c r="F26" s="111">
        <f>GasSolubility($F$8,$D$5,$C$26,$D$3,$E$6)</f>
        <v>7.7832788522375602E-6</v>
      </c>
      <c r="G26" s="111">
        <f>GasSolubility($G$8,$D$5,$C$26,$D$3,$E$6)</f>
        <v>7.8369810222721175E-6</v>
      </c>
      <c r="H26" s="111">
        <f>GasSolubility($H$8,$D$5,$C$26,$D$3,$E$6)</f>
        <v>7.8462482813978307E-6</v>
      </c>
      <c r="I26" s="111">
        <f>GasSolubility($I$8,$D$5,$C$26,$D$3,$E$6)</f>
        <v>7.8601346503898906E-6</v>
      </c>
      <c r="J26" s="111">
        <f>(E26-$E26)/$E26*100</f>
        <v>0</v>
      </c>
      <c r="K26" s="111">
        <f>(F26-$E26)/$E26*100</f>
        <v>-1.4350724087590911E-2</v>
      </c>
      <c r="L26" s="111">
        <f>(G26-$E26)/$E26*100</f>
        <v>0.67551873072283708</v>
      </c>
      <c r="M26" s="111">
        <f>(H26-$E26)/$E26*100</f>
        <v>0.79456790502117036</v>
      </c>
      <c r="N26" s="111">
        <f>(I26-$E26)/$E26*100</f>
        <v>0.97295514337083522</v>
      </c>
    </row>
    <row r="27" spans="1:14">
      <c r="A27" s="111">
        <v>19</v>
      </c>
      <c r="B27" s="111">
        <f>$D$3</f>
        <v>0</v>
      </c>
      <c r="C27" s="111">
        <f>$B$4+($A27-1)*1</f>
        <v>18</v>
      </c>
      <c r="D27" s="111">
        <f>$D$5</f>
        <v>15</v>
      </c>
      <c r="E27" s="111">
        <f>GasSolubility($E$8,$D$5,$C$27,$D$3,$E$6)</f>
        <v>7.7388783789651337E-6</v>
      </c>
      <c r="F27" s="111">
        <f>GasSolubility($F$8,$D$5,$C$27,$D$3,$E$6)</f>
        <v>7.7377756667425119E-6</v>
      </c>
      <c r="G27" s="111">
        <f>GasSolubility($G$8,$D$5,$C$27,$D$3,$E$6)</f>
        <v>7.7919897383769677E-6</v>
      </c>
      <c r="H27" s="111">
        <f>GasSolubility($H$8,$D$5,$C$27,$D$3,$E$6)</f>
        <v>7.8004238811076736E-6</v>
      </c>
      <c r="I27" s="111">
        <f>GasSolubility($I$8,$D$5,$C$27,$D$3,$E$6)</f>
        <v>7.814366881607075E-6</v>
      </c>
      <c r="J27" s="111">
        <f>(E27-$E27)/$E27*100</f>
        <v>0</v>
      </c>
      <c r="K27" s="111">
        <f>(F27-$E27)/$E27*100</f>
        <v>-1.4248992794861361E-2</v>
      </c>
      <c r="L27" s="111">
        <f>(G27-$E27)/$E27*100</f>
        <v>0.68629272629732396</v>
      </c>
      <c r="M27" s="111">
        <f>(H27-$E27)/$E27*100</f>
        <v>0.79527677175836275</v>
      </c>
      <c r="N27" s="111">
        <f>(I27-$E27)/$E27*100</f>
        <v>0.97544500566289805</v>
      </c>
    </row>
    <row r="28" spans="1:14">
      <c r="A28" s="111">
        <v>20</v>
      </c>
      <c r="B28" s="111">
        <f>$D$3</f>
        <v>0</v>
      </c>
      <c r="C28" s="111">
        <f>$B$4+($A28-1)*1</f>
        <v>19</v>
      </c>
      <c r="D28" s="111">
        <f>$D$5</f>
        <v>15</v>
      </c>
      <c r="E28" s="111">
        <f>GasSolubility($E$8,$D$5,$C$28,$D$3,$E$6)</f>
        <v>7.6936269428798868E-6</v>
      </c>
      <c r="F28" s="111">
        <f>GasSolubility($F$8,$D$5,$C$28,$D$3,$E$6)</f>
        <v>7.6925416562783562E-6</v>
      </c>
      <c r="G28" s="111">
        <f>GasSolubility($G$8,$D$5,$C$28,$D$3,$E$6)</f>
        <v>7.7472018369658509E-6</v>
      </c>
      <c r="H28" s="111">
        <f>GasSolubility($H$8,$D$5,$C$28,$D$3,$E$6)</f>
        <v>7.7548671088082013E-6</v>
      </c>
      <c r="I28" s="111">
        <f>GasSolubility($I$8,$D$5,$C$28,$D$3,$E$6)</f>
        <v>7.7690648554459882E-6</v>
      </c>
      <c r="J28" s="111">
        <f>(E28-$E28)/$E28*100</f>
        <v>0</v>
      </c>
      <c r="K28" s="111">
        <f>(F28-$E28)/$E28*100</f>
        <v>-1.4106306552010136E-2</v>
      </c>
      <c r="L28" s="111">
        <f>(G28-$E28)/$E28*100</f>
        <v>0.69635419658013564</v>
      </c>
      <c r="M28" s="111">
        <f>(H28-$E28)/$E28*100</f>
        <v>0.79598564348105771</v>
      </c>
      <c r="N28" s="111">
        <f>(I28-$E28)/$E28*100</f>
        <v>0.980524700848874</v>
      </c>
    </row>
    <row r="29" spans="1:14">
      <c r="A29" s="111">
        <v>21</v>
      </c>
      <c r="B29" s="111">
        <f>$D$3</f>
        <v>0</v>
      </c>
      <c r="C29" s="111">
        <f>$B$4+($A29-1)*1</f>
        <v>20</v>
      </c>
      <c r="D29" s="111">
        <f>$D$5</f>
        <v>15</v>
      </c>
      <c r="E29" s="111">
        <f>GasSolubility($E$8,$D$5,$C$29,$D$3,$E$6)</f>
        <v>7.6486401048885246E-6</v>
      </c>
      <c r="F29" s="111">
        <f>GasSolubility($F$8,$D$5,$C$29,$D$3,$E$6)</f>
        <v>7.6475750441414917E-6</v>
      </c>
      <c r="G29" s="111">
        <f>GasSolubility($G$8,$D$5,$C$29,$D$3,$E$6)</f>
        <v>7.7026165804509571E-6</v>
      </c>
      <c r="H29" s="111">
        <f>GasSolubility($H$8,$D$5,$C$29,$D$3,$E$6)</f>
        <v>7.7095764014731434E-6</v>
      </c>
      <c r="I29" s="111">
        <f>GasSolubility($I$8,$D$5,$C$29,$D$3,$E$6)</f>
        <v>7.7242235548911458E-6</v>
      </c>
      <c r="J29" s="111">
        <f>(E29-$E29)/$E29*100</f>
        <v>0</v>
      </c>
      <c r="K29" s="111">
        <f>(F29-$E29)/$E29*100</f>
        <v>-1.3924838042152398E-2</v>
      </c>
      <c r="L29" s="111">
        <f>(G29-$E29)/$E29*100</f>
        <v>0.70570029210727581</v>
      </c>
      <c r="M29" s="111">
        <f>(H29-$E29)/$E29*100</f>
        <v>0.79669452018891851</v>
      </c>
      <c r="N29" s="111">
        <f>(I29-$E29)/$E29*100</f>
        <v>0.98819461977709044</v>
      </c>
    </row>
    <row r="30" spans="1:14">
      <c r="A30" s="111">
        <v>22</v>
      </c>
      <c r="B30" s="111">
        <f>$D$3</f>
        <v>0</v>
      </c>
      <c r="C30" s="111">
        <f>$B$4+($A30-1)*1</f>
        <v>21</v>
      </c>
      <c r="D30" s="111">
        <f>$D$5</f>
        <v>15</v>
      </c>
      <c r="E30" s="111">
        <f>GasSolubility($E$8,$D$5,$C$30,$D$3,$E$6)</f>
        <v>7.6039163178102615E-6</v>
      </c>
      <c r="F30" s="111">
        <f>GasSolubility($F$8,$D$5,$C$30,$D$3,$E$6)</f>
        <v>7.6028740800158434E-6</v>
      </c>
      <c r="G30" s="111">
        <f>GasSolubility($G$8,$D$5,$C$30,$D$3,$E$6)</f>
        <v>7.658233245590448E-6</v>
      </c>
      <c r="H30" s="111">
        <f>GasSolubility($H$8,$D$5,$C$30,$D$3,$E$6)</f>
        <v>7.6645502052047642E-6</v>
      </c>
      <c r="I30" s="111">
        <f>GasSolubility($I$8,$D$5,$C$30,$D$3,$E$6)</f>
        <v>7.6798380272942132E-6</v>
      </c>
      <c r="J30" s="111">
        <f>(E30-$E30)/$E30*100</f>
        <v>0</v>
      </c>
      <c r="K30" s="111">
        <f>(F30-$E30)/$E30*100</f>
        <v>-1.3706592114604366E-2</v>
      </c>
      <c r="L30" s="111">
        <f>(G30-$E30)/$E30*100</f>
        <v>0.71432832122261514</v>
      </c>
      <c r="M30" s="111">
        <f>(H30-$E30)/$E30*100</f>
        <v>0.79740340188230507</v>
      </c>
      <c r="N30" s="111">
        <f>(I30-$E30)/$E30*100</f>
        <v>0.99845535262038843</v>
      </c>
    </row>
    <row r="31" spans="1:14">
      <c r="A31" s="111">
        <v>23</v>
      </c>
      <c r="B31" s="111">
        <f>$D$3</f>
        <v>0</v>
      </c>
      <c r="C31" s="111">
        <f>$B$4+($A31-1)*1</f>
        <v>22</v>
      </c>
      <c r="D31" s="111">
        <f>$D$5</f>
        <v>15</v>
      </c>
      <c r="E31" s="111">
        <f>GasSolubility($E$8,$D$5,$C$31,$D$3,$E$6)</f>
        <v>7.5594540435111561E-6</v>
      </c>
      <c r="F31" s="111">
        <f>GasSolubility($F$8,$D$5,$C$31,$D$3,$E$6)</f>
        <v>7.5584370379648501E-6</v>
      </c>
      <c r="G31" s="111">
        <f>GasSolubility($G$8,$D$5,$C$31,$D$3,$E$6)</f>
        <v>7.6140511217564069E-6</v>
      </c>
      <c r="H31" s="111">
        <f>GasSolubility($H$8,$D$5,$C$31,$D$3,$E$6)</f>
        <v>7.6197869751805512E-6</v>
      </c>
      <c r="I31" s="111">
        <f>GasSolubility($I$8,$D$5,$C$31,$D$3,$E$6)</f>
        <v>7.635903383496087E-6</v>
      </c>
      <c r="J31" s="111">
        <f>(E31-$E31)/$E31*100</f>
        <v>0</v>
      </c>
      <c r="K31" s="111">
        <f>(F31-$E31)/$E31*100</f>
        <v>-1.345342587509973E-2</v>
      </c>
      <c r="L31" s="111">
        <f>(G31-$E31)/$E31*100</f>
        <v>0.72223573198537505</v>
      </c>
      <c r="M31" s="111">
        <f>(H31-$E31)/$E31*100</f>
        <v>0.79811228856114769</v>
      </c>
      <c r="N31" s="111">
        <f>(I31-$E31)/$E31*100</f>
        <v>1.0113076889534518</v>
      </c>
    </row>
    <row r="32" spans="1:14">
      <c r="A32" s="111">
        <v>24</v>
      </c>
      <c r="B32" s="111">
        <f>$D$3</f>
        <v>0</v>
      </c>
      <c r="C32" s="111">
        <f>$B$4+($A32-1)*1</f>
        <v>23</v>
      </c>
      <c r="D32" s="111">
        <f>$D$5</f>
        <v>15</v>
      </c>
      <c r="E32" s="111">
        <f>GasSolubility($E$8,$D$5,$C$32,$D$3,$E$6)</f>
        <v>7.5152517528511827E-6</v>
      </c>
      <c r="F32" s="111">
        <f>GasSolubility($F$8,$D$5,$C$32,$D$3,$E$6)</f>
        <v>7.5142622147268074E-6</v>
      </c>
      <c r="G32" s="111">
        <f>GasSolubility($G$8,$D$5,$C$32,$D$3,$E$6)</f>
        <v>7.5700695094829121E-6</v>
      </c>
      <c r="H32" s="111">
        <f>GasSolubility($H$8,$D$5,$C$32,$D$3,$E$6)</f>
        <v>7.5752851756002052E-6</v>
      </c>
      <c r="I32" s="111">
        <f>GasSolubility($I$8,$D$5,$C$32,$D$3,$E$6)</f>
        <v>7.5924147969617257E-6</v>
      </c>
      <c r="J32" s="111">
        <f>(E32-$E32)/$E32*100</f>
        <v>0</v>
      </c>
      <c r="K32" s="111">
        <f>(F32-$E32)/$E32*100</f>
        <v>-1.3167065547737177E-2</v>
      </c>
      <c r="L32" s="111">
        <f>(G32-$E32)/$E32*100</f>
        <v>0.72942009708367084</v>
      </c>
      <c r="M32" s="111">
        <f>(H32-$E32)/$E32*100</f>
        <v>0.79882118022522219</v>
      </c>
      <c r="N32" s="111">
        <f>(I32-$E32)/$E32*100</f>
        <v>1.0267526178516688</v>
      </c>
    </row>
    <row r="33" spans="1:14">
      <c r="A33" s="111">
        <v>25</v>
      </c>
      <c r="B33" s="111">
        <f>$D$3</f>
        <v>0</v>
      </c>
      <c r="C33" s="111">
        <f>$B$4+($A33-1)*1</f>
        <v>24</v>
      </c>
      <c r="D33" s="111">
        <f>$D$5</f>
        <v>15</v>
      </c>
      <c r="E33" s="111">
        <f>GasSolubility($E$8,$D$5,$C$33,$D$3,$E$6)</f>
        <v>7.4713079256315891E-6</v>
      </c>
      <c r="F33" s="111">
        <f>GasSolubility($F$8,$D$5,$C$33,$D$3,$E$6)</f>
        <v>7.4703479282547372E-6</v>
      </c>
      <c r="G33" s="111">
        <f>GasSolubility($G$8,$D$5,$C$33,$D$3,$E$6)</f>
        <v>7.5262877192386721E-6</v>
      </c>
      <c r="H33" s="111">
        <f>GasSolubility($H$8,$D$5,$C$33,$D$3,$E$6)</f>
        <v>7.5310432796329585E-6</v>
      </c>
      <c r="I33" s="111">
        <f>GasSolubility($I$8,$D$5,$C$33,$D$3,$E$6)</f>
        <v>7.5493675029282881E-6</v>
      </c>
      <c r="J33" s="111">
        <f>(E33-$E33)/$E33*100</f>
        <v>0</v>
      </c>
      <c r="K33" s="111">
        <f>(F33-$E33)/$E33*100</f>
        <v>-1.2849120748435831E-2</v>
      </c>
      <c r="L33" s="111">
        <f>(G33-$E33)/$E33*100</f>
        <v>0.73587910114727817</v>
      </c>
      <c r="M33" s="111">
        <f>(H33-$E33)/$E33*100</f>
        <v>0.799530076874989</v>
      </c>
      <c r="N33" s="111">
        <f>(I33-$E33)/$E33*100</f>
        <v>1.0447913280203918</v>
      </c>
    </row>
    <row r="34" spans="1:14">
      <c r="A34" s="111">
        <v>26</v>
      </c>
      <c r="B34" s="111">
        <f>$D$3</f>
        <v>0</v>
      </c>
      <c r="C34" s="111">
        <f>$B$4+($A34-1)*1</f>
        <v>25</v>
      </c>
      <c r="D34" s="111">
        <f>$D$5</f>
        <v>15</v>
      </c>
      <c r="E34" s="111">
        <f>GasSolubility($E$8,$D$5,$C$34,$D$3,$E$6)</f>
        <v>7.4276210505427192E-6</v>
      </c>
      <c r="F34" s="111">
        <f>GasSolubility($F$8,$D$5,$C$34,$D$3,$E$6)</f>
        <v>7.4266925164554462E-6</v>
      </c>
      <c r="G34" s="111">
        <f>GasSolubility($G$8,$D$5,$C$34,$D$3,$E$6)</f>
        <v>7.4827050703818555E-6</v>
      </c>
      <c r="H34" s="111">
        <f>GasSolubility($H$8,$D$5,$C$34,$D$3,$E$6)</f>
        <v>7.4870597693651821E-6</v>
      </c>
      <c r="I34" s="111">
        <f>GasSolubility($I$8,$D$5,$C$34,$D$3,$E$6)</f>
        <v>7.5067567975658652E-6</v>
      </c>
      <c r="J34" s="111">
        <f>(E34-$E34)/$E34*100</f>
        <v>0</v>
      </c>
      <c r="K34" s="111">
        <f>(F34-$E34)/$E34*100</f>
        <v>-1.2501096662775492E-2</v>
      </c>
      <c r="L34" s="111">
        <f>(G34-$E34)/$E34*100</f>
        <v>0.74161052999750809</v>
      </c>
      <c r="M34" s="111">
        <f>(H34-$E34)/$E34*100</f>
        <v>0.80023897851008252</v>
      </c>
      <c r="N34" s="111">
        <f>(I34-$E34)/$E34*100</f>
        <v>1.0654252079454665</v>
      </c>
    </row>
    <row r="35" spans="1:14">
      <c r="A35" s="111">
        <v>27</v>
      </c>
      <c r="B35" s="111">
        <f>$D$3</f>
        <v>0</v>
      </c>
      <c r="C35" s="111">
        <f>$B$4+($A35-1)*1</f>
        <v>26</v>
      </c>
      <c r="D35" s="111">
        <f>$D$5</f>
        <v>15</v>
      </c>
      <c r="E35" s="111">
        <f>GasSolubility($E$8,$D$5,$C$35,$D$3,$E$6)</f>
        <v>7.3841896251119163E-6</v>
      </c>
      <c r="F35" s="111">
        <f>GasSolubility($F$8,$D$5,$C$35,$D$3,$E$6)</f>
        <v>7.3832943360924713E-6</v>
      </c>
      <c r="G35" s="111">
        <f>GasSolubility($G$8,$D$5,$C$35,$D$3,$E$6)</f>
        <v>7.4393208902637638E-6</v>
      </c>
      <c r="H35" s="111">
        <f>GasSolubility($H$8,$D$5,$C$35,$D$3,$E$6)</f>
        <v>7.4433331357483078E-6</v>
      </c>
      <c r="I35" s="111">
        <f>GasSolubility($I$8,$D$5,$C$35,$D$3,$E$6)</f>
        <v>7.4645780371508179E-6</v>
      </c>
      <c r="J35" s="111">
        <f>(E35-$E35)/$E35*100</f>
        <v>0</v>
      </c>
      <c r="K35" s="111">
        <f>(F35-$E35)/$E35*100</f>
        <v>-1.2124404503376601E-2</v>
      </c>
      <c r="L35" s="111">
        <f>(G35-$E35)/$E35*100</f>
        <v>0.74661226147766946</v>
      </c>
      <c r="M35" s="111">
        <f>(H35-$E35)/$E35*100</f>
        <v>0.80094788513093207</v>
      </c>
      <c r="N35" s="111">
        <f>(I35-$E35)/$E35*100</f>
        <v>1.088655846073066</v>
      </c>
    </row>
    <row r="36" spans="1:14">
      <c r="A36" s="111">
        <v>28</v>
      </c>
      <c r="B36" s="111">
        <f>$D$3</f>
        <v>0</v>
      </c>
      <c r="C36" s="111">
        <f>$B$4+($A36-1)*1</f>
        <v>27</v>
      </c>
      <c r="D36" s="111">
        <f>$D$5</f>
        <v>15</v>
      </c>
      <c r="E36" s="111">
        <f>GasSolubility($E$8,$D$5,$C$36,$D$3,$E$6)</f>
        <v>7.3410121556519721E-6</v>
      </c>
      <c r="F36" s="111">
        <f>GasSolubility($F$8,$D$5,$C$36,$D$3,$E$6)</f>
        <v>7.3401517618248918E-6</v>
      </c>
      <c r="G36" s="111">
        <f>GasSolubility($G$8,$D$5,$C$36,$D$3,$E$6)</f>
        <v>7.396134513455522E-6</v>
      </c>
      <c r="H36" s="111">
        <f>GasSolubility($H$8,$D$5,$C$36,$D$3,$E$6)</f>
        <v>7.3998618785470563E-6</v>
      </c>
      <c r="I36" s="111">
        <f>GasSolubility($I$8,$D$5,$C$36,$D$3,$E$6)</f>
        <v>7.4228266372514979E-6</v>
      </c>
      <c r="J36" s="111">
        <f>(E36-$E36)/$E36*100</f>
        <v>0</v>
      </c>
      <c r="K36" s="111">
        <f>(F36-$E36)/$E36*100</f>
        <v>-1.1720370554323064E-2</v>
      </c>
      <c r="L36" s="111">
        <f>(G36-$E36)/$E36*100</f>
        <v>0.75088225757956584</v>
      </c>
      <c r="M36" s="111">
        <f>(H36-$E36)/$E36*100</f>
        <v>0.80165679673714718</v>
      </c>
      <c r="N36" s="111">
        <f>(I36-$E36)/$E36*100</f>
        <v>1.1144850310121803</v>
      </c>
    </row>
    <row r="37" spans="1:14">
      <c r="A37" s="111">
        <v>29</v>
      </c>
      <c r="B37" s="111">
        <f>$D$3</f>
        <v>0</v>
      </c>
      <c r="C37" s="111">
        <f>$B$4+($A37-1)*1</f>
        <v>28</v>
      </c>
      <c r="D37" s="111">
        <f>$D$5</f>
        <v>15</v>
      </c>
      <c r="E37" s="111">
        <f>GasSolubility($E$8,$D$5,$C$37,$D$3,$E$6)</f>
        <v>7.2980871572096359E-6</v>
      </c>
      <c r="F37" s="111">
        <f>GasSolubility($F$8,$D$5,$C$37,$D$3,$E$6)</f>
        <v>7.2972631853598071E-6</v>
      </c>
      <c r="G37" s="111">
        <f>GasSolubility($G$8,$D$5,$C$37,$D$3,$E$6)</f>
        <v>7.3531452810769371E-6</v>
      </c>
      <c r="H37" s="111">
        <f>GasSolubility($H$8,$D$5,$C$37,$D$3,$E$6)</f>
        <v>7.3566445062879686E-6</v>
      </c>
      <c r="I37" s="111">
        <f>GasSolubility($I$8,$D$5,$C$37,$D$3,$E$6)</f>
        <v>7.381498071926E-6</v>
      </c>
      <c r="J37" s="111">
        <f>(E37-$E37)/$E37*100</f>
        <v>0</v>
      </c>
      <c r="K37" s="111">
        <f>(F37-$E37)/$E37*100</f>
        <v>-1.1290244033532728E-2</v>
      </c>
      <c r="L37" s="111">
        <f>(G37-$E37)/$E37*100</f>
        <v>0.75441855764781152</v>
      </c>
      <c r="M37" s="111">
        <f>(H37-$E37)/$E37*100</f>
        <v>0.80236571332921169</v>
      </c>
      <c r="N37" s="111">
        <f>(I37-$E37)/$E37*100</f>
        <v>1.1429147517642901</v>
      </c>
    </row>
    <row r="38" spans="1:14">
      <c r="A38" s="111">
        <v>30</v>
      </c>
      <c r="B38" s="111">
        <f>$D$3</f>
        <v>0</v>
      </c>
      <c r="C38" s="111">
        <f>$B$4+($A38-1)*1</f>
        <v>29</v>
      </c>
      <c r="D38" s="111">
        <f>$D$5</f>
        <v>15</v>
      </c>
      <c r="E38" s="111">
        <f>GasSolubility($E$8,$D$5,$C$38,$D$3,$E$6)</f>
        <v>7.2554131535146587E-6</v>
      </c>
      <c r="F38" s="111">
        <f>GasSolubility($F$8,$D$5,$C$38,$D$3,$E$6)</f>
        <v>7.2546270147006114E-6</v>
      </c>
      <c r="G38" s="111">
        <f>GasSolubility($G$8,$D$5,$C$38,$D$3,$E$6)</f>
        <v>7.3103525402110829E-6</v>
      </c>
      <c r="H38" s="111">
        <f>GasSolubility($H$8,$D$5,$C$38,$D$3,$E$6)</f>
        <v>7.3136795362082213E-6</v>
      </c>
      <c r="I38" s="111">
        <f>GasSolubility($I$8,$D$5,$C$38,$D$3,$E$6)</f>
        <v>7.3405878729321942E-6</v>
      </c>
      <c r="J38" s="111">
        <f>(E38-$E38)/$E38*100</f>
        <v>0</v>
      </c>
      <c r="K38" s="111">
        <f>(F38-$E38)/$E38*100</f>
        <v>-1.0835203969969771E-2</v>
      </c>
      <c r="L38" s="111">
        <f>(G38-$E38)/$E38*100</f>
        <v>0.75721927247947973</v>
      </c>
      <c r="M38" s="111">
        <f>(H38-$E38)/$E38*100</f>
        <v>0.80307463490672859</v>
      </c>
      <c r="N38" s="111">
        <f>(I38-$E38)/$E38*100</f>
        <v>1.173947197979694</v>
      </c>
    </row>
    <row r="39" spans="1:14">
      <c r="A39" s="111">
        <v>31</v>
      </c>
      <c r="B39" s="111">
        <f>$D$3</f>
        <v>0</v>
      </c>
      <c r="C39" s="111">
        <f>$B$4+($A39-1)*1</f>
        <v>30</v>
      </c>
      <c r="D39" s="111">
        <f>$D$5</f>
        <v>15</v>
      </c>
      <c r="E39" s="111">
        <f>GasSolubility($E$8,$D$5,$C$39,$D$3,$E$6)</f>
        <v>7.212988676928915E-6</v>
      </c>
      <c r="F39" s="111">
        <f>GasSolubility($F$8,$D$5,$C$39,$D$3,$E$6)</f>
        <v>7.2122416734764611E-6</v>
      </c>
      <c r="G39" s="111">
        <f>GasSolubility($G$8,$D$5,$C$39,$D$3,$E$6)</f>
        <v>7.2677556433911219E-6</v>
      </c>
      <c r="H39" s="111">
        <f>GasSolubility($H$8,$D$5,$C$39,$D$3,$E$6)</f>
        <v>7.270965494204771E-6</v>
      </c>
      <c r="I39" s="111">
        <f>GasSolubility($I$8,$D$5,$C$39,$D$3,$E$6)</f>
        <v>7.30009162894916E-6</v>
      </c>
      <c r="J39" s="111">
        <f>(E39-$E39)/$E39*100</f>
        <v>0</v>
      </c>
      <c r="K39" s="111">
        <f>(F39-$E39)/$E39*100</f>
        <v>-1.0356365244869747E-2</v>
      </c>
      <c r="L39" s="111">
        <f>(G39-$E39)/$E39*100</f>
        <v>0.75928257918082787</v>
      </c>
      <c r="M39" s="111">
        <f>(H39-$E39)/$E39*100</f>
        <v>0.80378356147012331</v>
      </c>
      <c r="N39" s="111">
        <f>(I39-$E39)/$E39*100</f>
        <v>1.2075847602374301</v>
      </c>
    </row>
    <row r="40" spans="1:14">
      <c r="A40" s="111">
        <v>32</v>
      </c>
      <c r="B40" s="111">
        <f>$D$3</f>
        <v>0</v>
      </c>
      <c r="C40" s="111">
        <f>$B$4+($A40-1)*1</f>
        <v>31</v>
      </c>
      <c r="D40" s="111">
        <f>$D$5</f>
        <v>15</v>
      </c>
      <c r="E40" s="111">
        <f>GasSolubility($E$8,$D$5,$C$40,$D$3,$E$6)</f>
        <v>7.1708122683960278E-6</v>
      </c>
      <c r="F40" s="111">
        <f>GasSolubility($F$8,$D$5,$C$40,$D$3,$E$6)</f>
        <v>7.1701056003411164E-6</v>
      </c>
      <c r="G40" s="111">
        <f>GasSolubility($G$8,$D$5,$C$40,$D$3,$E$6)</f>
        <v>7.225353948148488E-6</v>
      </c>
      <c r="H40" s="111">
        <f>GasSolubility($H$8,$D$5,$C$40,$D$3,$E$6)</f>
        <v>7.2285009147837647E-6</v>
      </c>
      <c r="I40" s="111">
        <f>GasSolubility($I$8,$D$5,$C$40,$D$3,$E$6)</f>
        <v>7.2600049848105261E-6</v>
      </c>
      <c r="J40" s="111">
        <f>(E40-$E40)/$E40*100</f>
        <v>0</v>
      </c>
      <c r="K40" s="111">
        <f>(F40-$E40)/$E40*100</f>
        <v>-9.8547839276987292E-3</v>
      </c>
      <c r="L40" s="111">
        <f>(G40-$E40)/$E40*100</f>
        <v>0.76060671665945201</v>
      </c>
      <c r="M40" s="111">
        <f>(H40-$E40)/$E40*100</f>
        <v>0.80449249301907577</v>
      </c>
      <c r="N40" s="111">
        <f>(I40-$E40)/$E40*100</f>
        <v>1.2438300303523215</v>
      </c>
    </row>
    <row r="41" spans="1:14">
      <c r="A41" s="111">
        <v>33</v>
      </c>
      <c r="B41" s="111">
        <f>$D$3</f>
        <v>0</v>
      </c>
      <c r="C41" s="111">
        <f>$B$4+($A41-1)*1</f>
        <v>32</v>
      </c>
      <c r="D41" s="111">
        <f>$D$5</f>
        <v>15</v>
      </c>
      <c r="E41" s="111">
        <f>GasSolubility($E$8,$D$5,$C$41,$D$3,$E$6)</f>
        <v>7.1288824773910915E-6</v>
      </c>
      <c r="F41" s="111">
        <f>GasSolubility($F$8,$D$5,$C$41,$D$3,$E$6)</f>
        <v>7.1282172484312707E-6</v>
      </c>
      <c r="G41" s="111">
        <f>GasSolubility($G$8,$D$5,$C$41,$D$3,$E$6)</f>
        <v>7.1831468166133157E-6</v>
      </c>
      <c r="H41" s="111">
        <f>GasSolubility($H$8,$D$5,$C$41,$D$3,$E$6)</f>
        <v>7.1862843410102652E-6</v>
      </c>
      <c r="I41" s="111">
        <f>GasSolubility($I$8,$D$5,$C$41,$D$3,$E$6)</f>
        <v>7.2203236407490976E-6</v>
      </c>
      <c r="J41" s="111">
        <f>(E41-$E41)/$E41*100</f>
        <v>0</v>
      </c>
      <c r="K41" s="111">
        <f>(F41-$E41)/$E41*100</f>
        <v>-9.331462005869014E-3</v>
      </c>
      <c r="L41" s="111">
        <f>(G41-$E41)/$E41*100</f>
        <v>0.76118998166011154</v>
      </c>
      <c r="M41" s="111">
        <f>(H41-$E41)/$E41*100</f>
        <v>0.80520142955394314</v>
      </c>
      <c r="N41" s="111">
        <f>(I41-$E41)/$E41*100</f>
        <v>1.2826858017088565</v>
      </c>
    </row>
    <row r="42" spans="1:14">
      <c r="A42" s="111">
        <v>34</v>
      </c>
      <c r="B42" s="111">
        <f>$D$3</f>
        <v>0</v>
      </c>
      <c r="C42" s="111">
        <f>$B$4+($A42-1)*1</f>
        <v>33</v>
      </c>
      <c r="D42" s="111">
        <f>$D$5</f>
        <v>15</v>
      </c>
      <c r="E42" s="111">
        <f>GasSolubility($E$8,$D$5,$C$42,$D$3,$E$6)</f>
        <v>7.0871978618708848E-6</v>
      </c>
      <c r="F42" s="111">
        <f>GasSolubility($F$8,$D$5,$C$42,$D$3,$E$6)</f>
        <v>7.086575084876369E-6</v>
      </c>
      <c r="G42" s="111">
        <f>GasSolubility($G$8,$D$5,$C$42,$D$3,$E$6)</f>
        <v>7.1411336151599306E-6</v>
      </c>
      <c r="H42" s="111">
        <f>GasSolubility($H$8,$D$5,$C$42,$D$3,$E$6)</f>
        <v>7.1443143244582688E-6</v>
      </c>
      <c r="I42" s="111">
        <f>GasSolubility($I$8,$D$5,$C$42,$D$3,$E$6)</f>
        <v>7.1810433516527699E-6</v>
      </c>
      <c r="J42" s="111">
        <f>(E42-$E42)/$E42*100</f>
        <v>0</v>
      </c>
      <c r="K42" s="111">
        <f>(F42-$E42)/$E42*100</f>
        <v>-8.7873515972568157E-3</v>
      </c>
      <c r="L42" s="111">
        <f>(G42-$E42)/$E42*100</f>
        <v>0.76103072526336613</v>
      </c>
      <c r="M42" s="111">
        <f>(H42-$E42)/$E42*100</f>
        <v>0.8059103710744473</v>
      </c>
      <c r="N42" s="111">
        <f>(I42-$E42)/$E42*100</f>
        <v>1.3241550696188928</v>
      </c>
    </row>
    <row r="43" spans="1:14">
      <c r="A43" s="111">
        <v>35</v>
      </c>
      <c r="B43" s="111">
        <f>$D$3</f>
        <v>0</v>
      </c>
      <c r="C43" s="111">
        <f>$B$4+($A43-1)*1</f>
        <v>34</v>
      </c>
      <c r="D43" s="111">
        <f>$D$5</f>
        <v>15</v>
      </c>
      <c r="E43" s="111">
        <f>GasSolubility($E$8,$D$5,$C$43,$D$3,$E$6)</f>
        <v>7.0457569882241738E-6</v>
      </c>
      <c r="F43" s="111">
        <f>GasSolubility($F$8,$D$5,$C$43,$D$3,$E$6)</f>
        <v>7.0451775903529613E-6</v>
      </c>
      <c r="G43" s="111">
        <f>GasSolubility($G$8,$D$5,$C$43,$D$3,$E$6)</f>
        <v>7.099313714091009E-6</v>
      </c>
      <c r="H43" s="111">
        <f>GasSolubility($H$8,$D$5,$C$43,$D$3,$E$6)</f>
        <v>7.1025894251610028E-6</v>
      </c>
      <c r="I43" s="111">
        <f>GasSolubility($I$8,$D$5,$C$43,$D$3,$E$6)</f>
        <v>7.1421599263313827E-6</v>
      </c>
      <c r="J43" s="111">
        <f>(E43-$E43)/$E43*100</f>
        <v>0</v>
      </c>
      <c r="K43" s="111">
        <f>(F43-$E43)/$E43*100</f>
        <v>-8.2233587133487933E-3</v>
      </c>
      <c r="L43" s="111">
        <f>(G43-$E43)/$E43*100</f>
        <v>0.76012734978436547</v>
      </c>
      <c r="M43" s="111">
        <f>(H43-$E43)/$E43*100</f>
        <v>0.80661931758099337</v>
      </c>
      <c r="N43" s="111">
        <f>(I43-$E43)/$E43*100</f>
        <v>1.3682410317064659</v>
      </c>
    </row>
    <row r="44" spans="1:14">
      <c r="A44" s="111">
        <v>36</v>
      </c>
      <c r="B44" s="111">
        <f>$D$3</f>
        <v>0</v>
      </c>
      <c r="C44" s="111">
        <f>$B$4+($A44-1)*1</f>
        <v>35</v>
      </c>
      <c r="D44" s="111">
        <f>$D$5</f>
        <v>15</v>
      </c>
      <c r="E44" s="111">
        <f>GasSolubility($E$8,$D$5,$C$44,$D$3,$E$6)</f>
        <v>7.0045584312225142E-6</v>
      </c>
      <c r="F44" s="111">
        <f>GasSolubility($F$8,$D$5,$C$44,$D$3,$E$6)</f>
        <v>7.0040232586780173E-6</v>
      </c>
      <c r="G44" s="111">
        <f>GasSolubility($G$8,$D$5,$C$44,$D$3,$E$6)</f>
        <v>7.0576864873553667E-6</v>
      </c>
      <c r="H44" s="111">
        <f>GasSolubility($H$8,$D$5,$C$44,$D$3,$E$6)</f>
        <v>7.0611082115615238E-6</v>
      </c>
      <c r="I44" s="111">
        <f>GasSolubility($I$8,$D$5,$C$44,$D$3,$E$6)</f>
        <v>7.1036692267947619E-6</v>
      </c>
      <c r="J44" s="111">
        <f>(E44-$E44)/$E44*100</f>
        <v>0</v>
      </c>
      <c r="K44" s="111">
        <f>(F44-$E44)/$E44*100</f>
        <v>-7.6403466364324147E-3</v>
      </c>
      <c r="L44" s="111">
        <f>(G44-$E44)/$E44*100</f>
        <v>0.75847830601336064</v>
      </c>
      <c r="M44" s="111">
        <f>(H44-$E44)/$E44*100</f>
        <v>0.80732826907320043</v>
      </c>
      <c r="N44" s="111">
        <f>(I44-$E44)/$E44*100</f>
        <v>1.4149470883198818</v>
      </c>
    </row>
  </sheetData>
  <mergeCells count="1">
    <mergeCell ref="E7:I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C07AB-ACDA-4FD3-AC52-A4A64CCEEF19}">
  <sheetPr codeName="Sheet11"/>
  <dimension ref="A1:AA17"/>
  <sheetViews>
    <sheetView workbookViewId="0">
      <selection activeCell="F12" sqref="F12"/>
    </sheetView>
  </sheetViews>
  <sheetFormatPr defaultRowHeight="13.2"/>
  <cols>
    <col min="1" max="1" width="23.21875" style="111" bestFit="1" customWidth="1"/>
    <col min="2" max="3" width="8.88671875" style="111"/>
    <col min="4" max="4" width="15.77734375" style="111" customWidth="1"/>
    <col min="5" max="9" width="12.77734375" style="111" customWidth="1"/>
    <col min="10" max="16384" width="8.88671875" style="111"/>
  </cols>
  <sheetData>
    <row r="1" spans="1:27">
      <c r="A1" s="112" t="s">
        <v>343</v>
      </c>
    </row>
    <row r="2" spans="1:27">
      <c r="A2" s="112" t="s">
        <v>342</v>
      </c>
      <c r="B2" s="112" t="s">
        <v>341</v>
      </c>
      <c r="C2" s="112" t="s">
        <v>340</v>
      </c>
      <c r="D2" s="112" t="s">
        <v>339</v>
      </c>
      <c r="E2" s="112" t="s">
        <v>218</v>
      </c>
      <c r="F2" s="112"/>
      <c r="G2" s="112"/>
      <c r="H2" s="112"/>
    </row>
    <row r="3" spans="1:27">
      <c r="A3" s="111" t="s">
        <v>262</v>
      </c>
      <c r="D3" s="121">
        <v>0</v>
      </c>
      <c r="E3" s="124" t="s">
        <v>338</v>
      </c>
      <c r="F3" s="123" t="s">
        <v>337</v>
      </c>
      <c r="G3" s="122"/>
    </row>
    <row r="4" spans="1:27">
      <c r="A4" s="111" t="s">
        <v>336</v>
      </c>
      <c r="D4" s="121">
        <v>34.200000000000003</v>
      </c>
      <c r="E4" s="121" t="s">
        <v>335</v>
      </c>
      <c r="F4" s="120" t="s">
        <v>334</v>
      </c>
      <c r="G4" s="119"/>
    </row>
    <row r="5" spans="1:27">
      <c r="A5" s="111" t="s">
        <v>333</v>
      </c>
      <c r="B5" s="111">
        <v>0</v>
      </c>
      <c r="C5" s="111">
        <v>10</v>
      </c>
      <c r="D5" s="118"/>
      <c r="E5" s="117" t="s">
        <v>332</v>
      </c>
      <c r="F5" s="116"/>
      <c r="G5" s="115"/>
    </row>
    <row r="6" spans="1:27">
      <c r="A6" s="111" t="s">
        <v>331</v>
      </c>
      <c r="E6" s="111" t="s">
        <v>198</v>
      </c>
    </row>
    <row r="7" spans="1:27" ht="13.8">
      <c r="E7" s="114" t="s">
        <v>330</v>
      </c>
      <c r="F7" s="113"/>
      <c r="G7" s="113"/>
      <c r="H7" s="113"/>
      <c r="I7" s="113"/>
    </row>
    <row r="8" spans="1:27">
      <c r="A8" s="112" t="s">
        <v>329</v>
      </c>
      <c r="B8" s="112" t="s">
        <v>262</v>
      </c>
      <c r="C8" s="112" t="s">
        <v>261</v>
      </c>
      <c r="D8" s="112" t="s">
        <v>264</v>
      </c>
      <c r="E8" s="112" t="s">
        <v>74</v>
      </c>
      <c r="F8" s="112" t="s">
        <v>75</v>
      </c>
      <c r="G8" s="112" t="s">
        <v>76</v>
      </c>
      <c r="H8" s="112" t="s">
        <v>79</v>
      </c>
      <c r="I8" s="112" t="s">
        <v>212</v>
      </c>
      <c r="J8" s="112" t="s">
        <v>328</v>
      </c>
      <c r="K8" s="112"/>
      <c r="L8" s="112" t="s">
        <v>74</v>
      </c>
      <c r="M8" s="112" t="s">
        <v>75</v>
      </c>
      <c r="N8" s="112" t="s">
        <v>76</v>
      </c>
      <c r="O8" s="112" t="s">
        <v>79</v>
      </c>
      <c r="P8" s="112" t="s">
        <v>212</v>
      </c>
      <c r="Q8" s="112"/>
      <c r="R8" s="112"/>
      <c r="S8" s="112"/>
      <c r="T8" s="112"/>
      <c r="U8" s="112"/>
      <c r="V8" s="112"/>
      <c r="W8" s="112"/>
      <c r="X8" s="112"/>
      <c r="Y8" s="112"/>
      <c r="Z8" s="112"/>
      <c r="AA8" s="112"/>
    </row>
    <row r="9" spans="1:27">
      <c r="A9" s="111">
        <v>1</v>
      </c>
      <c r="B9" s="111">
        <f>$D$3</f>
        <v>0</v>
      </c>
      <c r="C9" s="111">
        <f>$D$4</f>
        <v>34.200000000000003</v>
      </c>
      <c r="D9" s="111">
        <v>1</v>
      </c>
      <c r="E9" s="111">
        <f>GasSolubility($E$8,$D$9,$D$4,$D$3,$E$6)</f>
        <v>1.761147967679668E-7</v>
      </c>
      <c r="F9" s="111">
        <f>GasSolubility($F$8,$D$9,$D$4,$D$3,$E$6)</f>
        <v>1.7611689053960984E-7</v>
      </c>
      <c r="G9" s="111">
        <f>GasSolubility($G$8,$D$9,$D$4,$D$3,$E$6)</f>
        <v>1.7913331591074483E-7</v>
      </c>
      <c r="H9" s="111">
        <f>GasSolubility($H$8,$D$9,$D$4,$D$3,$E$6)</f>
        <v>1.7975951815185693E-7</v>
      </c>
      <c r="I9" s="111">
        <f>GasSolubility($I$8,$D$9,$D$4,$D$3,$E$6)</f>
        <v>1.7995407569490012E-7</v>
      </c>
      <c r="J9" s="111">
        <v>1.7849999999999999E-7</v>
      </c>
      <c r="K9" s="111">
        <v>0</v>
      </c>
      <c r="L9" s="111">
        <f>(E9-$J9)/$J9*100</f>
        <v>-1.3362483092622901</v>
      </c>
      <c r="M9" s="111">
        <f>(F9-$J9)/$J9*100</f>
        <v>-1.3350753279496628</v>
      </c>
      <c r="N9" s="111">
        <f>(G9-$J9)/$J9*100</f>
        <v>0.35479882954893044</v>
      </c>
      <c r="O9" s="111">
        <f>(H9-$J9)/$J9*100</f>
        <v>0.70561241000388697</v>
      </c>
      <c r="P9" s="111">
        <f>(I9-$J9)/$J9*100</f>
        <v>0.81460823243704616</v>
      </c>
    </row>
    <row r="10" spans="1:27">
      <c r="A10" s="111">
        <v>2</v>
      </c>
      <c r="B10" s="111">
        <f>$D$3</f>
        <v>0</v>
      </c>
      <c r="C10" s="111">
        <f>$D$4</f>
        <v>34.200000000000003</v>
      </c>
      <c r="D10" s="111">
        <v>5.5</v>
      </c>
      <c r="E10" s="111">
        <f>GasSolubility($E$8,$D$10,$D$4,$D$3,$E$6)</f>
        <v>1.6939725267164491E-7</v>
      </c>
      <c r="F10" s="111">
        <f>GasSolubility($F$8,$D$10,$D$4,$D$3,$E$6)</f>
        <v>1.6944120455236005E-7</v>
      </c>
      <c r="G10" s="111">
        <f>GasSolubility($G$8,$D$10,$D$4,$D$3,$E$6)</f>
        <v>1.7159820452484702E-7</v>
      </c>
      <c r="H10" s="111">
        <f>GasSolubility($H$8,$D$10,$D$4,$D$3,$E$6)</f>
        <v>1.7204503453706584E-7</v>
      </c>
      <c r="I10" s="111">
        <f>GasSolubility($I$8,$D$10,$D$4,$D$3,$E$6)</f>
        <v>1.7223249166824217E-7</v>
      </c>
      <c r="J10" s="111">
        <v>1.72E-7</v>
      </c>
      <c r="K10" s="111">
        <v>0</v>
      </c>
      <c r="L10" s="111">
        <f>(E10-$J10)/$J10*100</f>
        <v>-1.5132251909041261</v>
      </c>
      <c r="M10" s="111">
        <f>(F10-$J10)/$J10*100</f>
        <v>-1.4876717718836974</v>
      </c>
      <c r="N10" s="111">
        <f>(G10-$J10)/$J10*100</f>
        <v>-0.23360202043778014</v>
      </c>
      <c r="O10" s="111">
        <f>(H10-$J10)/$J10*100</f>
        <v>2.6182870387113383E-2</v>
      </c>
      <c r="P10" s="111">
        <f>(I10-$J10)/$J10*100</f>
        <v>0.13516957455939838</v>
      </c>
    </row>
    <row r="11" spans="1:27">
      <c r="A11" s="111">
        <v>9</v>
      </c>
      <c r="B11" s="111">
        <f>$D$3</f>
        <v>0</v>
      </c>
      <c r="C11" s="111">
        <f>$D$4</f>
        <v>34.200000000000003</v>
      </c>
      <c r="D11" s="111">
        <v>7.5</v>
      </c>
      <c r="E11" s="111">
        <f>GasSolubility($E$8,$D$11,$D$4,$D$3,$E$6)</f>
        <v>1.6669695422487445E-7</v>
      </c>
      <c r="F11" s="111">
        <f>GasSolubility($F$8,$D$11,$D$4,$D$3,$E$6)</f>
        <v>1.6673642250174713E-7</v>
      </c>
      <c r="G11" s="111">
        <f>GasSolubility($G$8,$D$11,$D$4,$D$3,$E$6)</f>
        <v>1.6860123065133591E-7</v>
      </c>
      <c r="H11" s="111">
        <f>GasSolubility($H$8,$D$11,$D$4,$D$3,$E$6)</f>
        <v>1.6895451371844776E-7</v>
      </c>
      <c r="I11" s="111">
        <f>GasSolubility($I$8,$D$11,$D$4,$D$3,$E$6)</f>
        <v>1.6925093811099832E-7</v>
      </c>
      <c r="J11" s="111">
        <v>1.6829999999999999E-7</v>
      </c>
      <c r="K11" s="111">
        <v>0</v>
      </c>
      <c r="L11" s="111">
        <f>(E11-$J11)/$J11*100</f>
        <v>-0.95249303334850666</v>
      </c>
      <c r="M11" s="111">
        <f>(F11-$J11)/$J11*100</f>
        <v>-0.92904188844495827</v>
      </c>
      <c r="N11" s="111">
        <f>(G11-$J11)/$J11*100</f>
        <v>0.1789843442281176</v>
      </c>
      <c r="O11" s="111">
        <f>(H11-$J11)/$J11*100</f>
        <v>0.38889704007591752</v>
      </c>
      <c r="P11" s="111">
        <f>(I11-$J11)/$J11*100</f>
        <v>0.56502561556644515</v>
      </c>
    </row>
    <row r="12" spans="1:27">
      <c r="A12" s="111">
        <v>3</v>
      </c>
      <c r="B12" s="111">
        <f>$D$3</f>
        <v>0</v>
      </c>
      <c r="C12" s="111">
        <f>$D$4</f>
        <v>34.200000000000003</v>
      </c>
      <c r="D12" s="111">
        <v>10</v>
      </c>
      <c r="E12" s="111">
        <f>GasSolubility($E$8,$D$12,$D$4,$D$3,$E$6)</f>
        <v>1.635282607673809E-7</v>
      </c>
      <c r="F12" s="111">
        <f>GasSolubility($F$8,$D$12,$D$4,$D$3,$E$6)</f>
        <v>1.6355247426351564E-7</v>
      </c>
      <c r="G12" s="111">
        <f>GasSolubility($G$8,$D$12,$D$4,$D$3,$E$6)</f>
        <v>1.6512435767110125E-7</v>
      </c>
      <c r="H12" s="111">
        <f>GasSolubility($H$8,$D$12,$D$4,$D$3,$E$6)</f>
        <v>1.6536409115249815E-7</v>
      </c>
      <c r="I12" s="111">
        <f>GasSolubility($I$8,$D$12,$D$4,$D$3,$E$6)</f>
        <v>1.6584835337721935E-7</v>
      </c>
      <c r="J12" s="111">
        <v>1.6400000000000001E-7</v>
      </c>
      <c r="K12" s="111">
        <v>0</v>
      </c>
      <c r="L12" s="111">
        <f>(E12-$J12)/$J12*100</f>
        <v>-0.2876458735482369</v>
      </c>
      <c r="M12" s="111">
        <f>(F12-$J12)/$J12*100</f>
        <v>-0.27288154663681524</v>
      </c>
      <c r="N12" s="111">
        <f>(G12-$J12)/$J12*100</f>
        <v>0.68558394579343984</v>
      </c>
      <c r="O12" s="111">
        <f>(H12-$J12)/$J12*100</f>
        <v>0.83176289786472035</v>
      </c>
      <c r="P12" s="111">
        <f>(I12-$J12)/$J12*100</f>
        <v>1.1270447422069114</v>
      </c>
    </row>
    <row r="13" spans="1:27">
      <c r="A13" s="111">
        <v>4</v>
      </c>
      <c r="B13" s="111">
        <f>$D$3</f>
        <v>0</v>
      </c>
      <c r="C13" s="111">
        <f>$D$4</f>
        <v>34.200000000000003</v>
      </c>
      <c r="D13" s="111">
        <v>14.4</v>
      </c>
      <c r="E13" s="111">
        <f>GasSolubility($E$8,$D$13,$D$4,$D$3,$E$6)</f>
        <v>1.5841687239687755E-7</v>
      </c>
      <c r="F13" s="111">
        <f>GasSolubility($F$8,$D$13,$D$4,$D$3,$E$6)</f>
        <v>1.5840797817399023E-7</v>
      </c>
      <c r="G13" s="111">
        <f>GasSolubility($G$8,$D$13,$D$4,$D$3,$E$6)</f>
        <v>1.5964758272035088E-7</v>
      </c>
      <c r="H13" s="111">
        <f>GasSolubility($H$8,$D$13,$D$4,$D$3,$E$6)</f>
        <v>1.5973466222279363E-7</v>
      </c>
      <c r="I13" s="111">
        <f>GasSolubility($I$8,$D$13,$D$4,$D$3,$E$6)</f>
        <v>1.6058812161902271E-7</v>
      </c>
      <c r="J13" s="111">
        <v>1.5870000000000001E-7</v>
      </c>
      <c r="K13" s="111">
        <v>0</v>
      </c>
      <c r="L13" s="111">
        <f>(E13-$J13)/$J13*100</f>
        <v>-0.17840428678164175</v>
      </c>
      <c r="M13" s="111">
        <f>(F13-$J13)/$J13*100</f>
        <v>-0.18400871204145242</v>
      </c>
      <c r="N13" s="111">
        <f>(G13-$J13)/$J13*100</f>
        <v>0.59709056102764146</v>
      </c>
      <c r="O13" s="111">
        <f>(H13-$J13)/$J13*100</f>
        <v>0.65196107296384409</v>
      </c>
      <c r="P13" s="111">
        <f>(I13-$J13)/$J13*100</f>
        <v>1.1897426710918093</v>
      </c>
    </row>
    <row r="14" spans="1:27">
      <c r="A14" s="111">
        <v>5</v>
      </c>
      <c r="B14" s="111">
        <f>$D$3</f>
        <v>0</v>
      </c>
      <c r="C14" s="111">
        <f>$D$4</f>
        <v>34.200000000000003</v>
      </c>
      <c r="D14" s="111">
        <v>17</v>
      </c>
      <c r="E14" s="111">
        <f>GasSolubility($E$8,$D$14,$D$4,$D$3,$E$6)</f>
        <v>1.5562343742901887E-7</v>
      </c>
      <c r="F14" s="111">
        <f>GasSolubility($F$8,$D$14,$D$4,$D$3,$E$6)</f>
        <v>1.5560010419140922E-7</v>
      </c>
      <c r="G14" s="111">
        <f>GasSolubility($G$8,$D$14,$D$4,$D$3,$E$6)</f>
        <v>1.5674671362913355E-7</v>
      </c>
      <c r="H14" s="111">
        <f>GasSolubility($H$8,$D$14,$D$4,$D$3,$E$6)</f>
        <v>1.5679538097925127E-7</v>
      </c>
      <c r="I14" s="111">
        <f>GasSolubility($I$8,$D$14,$D$4,$D$3,$E$6)</f>
        <v>1.5783435299472904E-7</v>
      </c>
      <c r="J14" s="111">
        <v>1.6019999999999999E-7</v>
      </c>
      <c r="K14" s="111">
        <v>0</v>
      </c>
      <c r="L14" s="111">
        <f>(E14-$J14)/$J14*100</f>
        <v>-2.8567806310743609</v>
      </c>
      <c r="M14" s="111">
        <f>(F14-$J14)/$J14*100</f>
        <v>-2.8713456982464245</v>
      </c>
      <c r="N14" s="111">
        <f>(G14-$J14)/$J14*100</f>
        <v>-2.1556094699540851</v>
      </c>
      <c r="O14" s="111">
        <f>(H14-$J14)/$J14*100</f>
        <v>-2.125230350030415</v>
      </c>
      <c r="P14" s="111">
        <f>(I14-$J14)/$J14*100</f>
        <v>-1.4766835238894838</v>
      </c>
    </row>
    <row r="15" spans="1:27">
      <c r="A15" s="111">
        <v>6</v>
      </c>
      <c r="B15" s="111">
        <f>$D$3</f>
        <v>0</v>
      </c>
      <c r="C15" s="111">
        <f>$D$4</f>
        <v>34.200000000000003</v>
      </c>
      <c r="D15" s="111">
        <v>21.3</v>
      </c>
      <c r="E15" s="111">
        <f>GasSolubility($E$8,$D$15,$D$4,$D$3,$E$6)</f>
        <v>1.5128601661574923E-7</v>
      </c>
      <c r="F15" s="111">
        <f>GasSolubility($F$8,$D$15,$D$4,$D$3,$E$6)</f>
        <v>1.5125629382948308E-7</v>
      </c>
      <c r="G15" s="111">
        <f>GasSolubility($G$8,$D$15,$D$4,$D$3,$E$6)</f>
        <v>1.5240697622306895E-7</v>
      </c>
      <c r="H15" s="111">
        <f>GasSolubility($H$8,$D$15,$D$4,$D$3,$E$6)</f>
        <v>1.5252161900289361E-7</v>
      </c>
      <c r="I15" s="111">
        <f>GasSolubility($I$8,$D$15,$D$4,$D$3,$E$6)</f>
        <v>1.5372178334369935E-7</v>
      </c>
      <c r="J15" s="111">
        <v>1.539E-7</v>
      </c>
      <c r="K15" s="111">
        <v>0</v>
      </c>
      <c r="L15" s="111">
        <f>(E15-$J15)/$J15*100</f>
        <v>-1.6984947266086876</v>
      </c>
      <c r="M15" s="111">
        <f>(F15-$J15)/$J15*100</f>
        <v>-1.7178077781136563</v>
      </c>
      <c r="N15" s="111">
        <f>(G15-$J15)/$J15*100</f>
        <v>-0.97012591093635325</v>
      </c>
      <c r="O15" s="111">
        <f>(H15-$J15)/$J15*100</f>
        <v>-0.89563417615749397</v>
      </c>
      <c r="P15" s="111">
        <f>(I15-$J15)/$J15*100</f>
        <v>-0.11580029649164508</v>
      </c>
    </row>
    <row r="16" spans="1:27">
      <c r="A16" s="111">
        <v>7</v>
      </c>
      <c r="B16" s="111">
        <f>$D$3</f>
        <v>0</v>
      </c>
      <c r="C16" s="111">
        <f>$D$4</f>
        <v>34.200000000000003</v>
      </c>
      <c r="D16" s="111">
        <v>24.6</v>
      </c>
      <c r="E16" s="111">
        <f>GasSolubility($E$8,$D$16,$D$4,$D$3,$E$6)</f>
        <v>1.4813868745250676E-7</v>
      </c>
      <c r="F16" s="111">
        <f>GasSolubility($F$8,$D$16,$D$4,$D$3,$E$6)</f>
        <v>1.48119676660051E-7</v>
      </c>
      <c r="G16" s="111">
        <f>GasSolubility($G$8,$D$16,$D$4,$D$3,$E$6)</f>
        <v>1.4940004057088669E-7</v>
      </c>
      <c r="H16" s="111">
        <f>GasSolubility($H$8,$D$16,$D$4,$D$3,$E$6)</f>
        <v>1.4970994055932553E-7</v>
      </c>
      <c r="I16" s="111">
        <f>GasSolubility($I$8,$D$16,$D$4,$D$3,$E$6)</f>
        <v>1.5085008659576555E-7</v>
      </c>
      <c r="J16" s="111">
        <v>1.5529999999999999E-7</v>
      </c>
      <c r="K16" s="111">
        <v>0</v>
      </c>
      <c r="L16" s="111">
        <f>(E16-$J16)/$J16*100</f>
        <v>-4.6112765920754883</v>
      </c>
      <c r="M16" s="111">
        <f>(F16-$J16)/$J16*100</f>
        <v>-4.6235179265608455</v>
      </c>
      <c r="N16" s="111">
        <f>(G16-$J16)/$J16*100</f>
        <v>-3.7990723947928524</v>
      </c>
      <c r="O16" s="111">
        <f>(H16-$J16)/$J16*100</f>
        <v>-3.5995231427395136</v>
      </c>
      <c r="P16" s="111">
        <f>(I16-$J16)/$J16*100</f>
        <v>-2.8653660040144557</v>
      </c>
    </row>
    <row r="17" spans="1:16">
      <c r="A17" s="111">
        <v>8</v>
      </c>
      <c r="B17" s="111">
        <f>$D$3</f>
        <v>0</v>
      </c>
      <c r="C17" s="111">
        <f>$D$4</f>
        <v>34.200000000000003</v>
      </c>
      <c r="D17" s="111">
        <v>29.6</v>
      </c>
      <c r="E17" s="111">
        <f>GasSolubility($E$8,$D$17,$D$4,$D$3,$E$6)</f>
        <v>1.4356955979958213E-7</v>
      </c>
      <c r="F17" s="111">
        <f>GasSolubility($F$8,$D$17,$D$4,$D$3,$E$6)</f>
        <v>1.4358163964046984E-7</v>
      </c>
      <c r="G17" s="111">
        <f>GasSolubility($G$8,$D$17,$D$4,$D$3,$E$6)</f>
        <v>1.4525539037459669E-7</v>
      </c>
      <c r="H17" s="111">
        <f>GasSolubility($H$8,$D$17,$D$4,$D$3,$E$6)</f>
        <v>1.4617656591545199E-7</v>
      </c>
      <c r="I17" s="111">
        <f>GasSolubility($I$8,$D$17,$D$4,$D$3,$E$6)</f>
        <v>1.4681372984230277E-7</v>
      </c>
      <c r="J17" s="111">
        <v>1.4639999999999999E-7</v>
      </c>
      <c r="K17" s="111">
        <v>0</v>
      </c>
      <c r="L17" s="111">
        <f>(E17-$J17)/$J17*100</f>
        <v>-1.9333607926351477</v>
      </c>
      <c r="M17" s="111">
        <f>(F17-$J17)/$J17*100</f>
        <v>-1.9251095351981904</v>
      </c>
      <c r="N17" s="111">
        <f>(G17-$J17)/$J17*100</f>
        <v>-0.7818371758219228</v>
      </c>
      <c r="O17" s="111">
        <f>(H17-$J17)/$J17*100</f>
        <v>-0.15261891021038068</v>
      </c>
      <c r="P17" s="111">
        <f>(I17-$J17)/$J17*100</f>
        <v>0.28260235129971789</v>
      </c>
    </row>
  </sheetData>
  <mergeCells count="1">
    <mergeCell ref="E7:I7"/>
  </mergeCells>
  <pageMargins left="0.7" right="0.7" top="0.75" bottom="0.75" header="0.3" footer="0.3"/>
  <pageSetup orientation="portrait" horizontalDpi="1200" verticalDpi="1200" r:id="rId1"/>
  <drawing r:id="rId2"/>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SuppInfo</vt:lpstr>
      <vt:lpstr>Database</vt:lpstr>
      <vt:lpstr>Input_Gases</vt:lpstr>
      <vt:lpstr>Input_Tracers</vt:lpstr>
      <vt:lpstr>NeTemp_SolGph</vt:lpstr>
      <vt:lpstr>NeSalinity_SolGph</vt:lpstr>
      <vt:lpstr>NeSano_SolGph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2020-11-19T19:02:01Z</dcterms:modified>
</cp:coreProperties>
</file>