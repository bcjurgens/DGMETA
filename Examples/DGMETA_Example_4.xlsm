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Examples\"/>
    </mc:Choice>
  </mc:AlternateContent>
  <xr:revisionPtr revIDLastSave="0" documentId="8_{BC1ED98C-AB89-44F2-8AF9-4EF7D4B0177F}" xr6:coauthVersionLast="36" xr6:coauthVersionMax="36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66" i="2" l="1"/>
  <c r="W65" i="2"/>
  <c r="W64" i="2"/>
  <c r="W63" i="2"/>
  <c r="W62" i="2"/>
  <c r="W61" i="2"/>
  <c r="W60" i="2"/>
  <c r="T5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3" authorId="0" shapeId="0" xr:uid="{29BAFAD9-BD25-409E-88FC-8F3A5DF57E4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8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0751076B-5F71-4848-8F45-A6F8C1A00E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1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3" authorId="0" shapeId="0" xr:uid="{EACDFF85-6A87-4455-843D-6D5C3BD54F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6" authorId="0" shapeId="0" xr:uid="{79BA7974-BA98-4D3D-BCE5-7E23AE48B33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8" authorId="0" shapeId="0" xr:uid="{E7BF7551-6F2D-42E0-ABD6-8B14A09BBB07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51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<sst xmlns="http://schemas.openxmlformats.org/spreadsheetml/2006/main" count="711" uniqueCount="238">
  <si>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</si>
  <si>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</si>
  <si>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</si>
  <si>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</si>
  <si>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</si>
  <si>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</si>
  <si>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</si>
  <si>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</si>
  <si>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</si>
  <si>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</si>
  <si>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</si>
  <si>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</si>
  <si>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</si>
  <si>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</si>
  <si>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</si>
  <si>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</si>
  <si>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</si>
  <si>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</si>
  <si>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</si>
  <si>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</si>
  <si>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</si>
  <si>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</si>
  <si>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</si>
  <si>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</si>
  <si>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</si>
  <si>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</si>
  <si>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</si>
  <si>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</si>
  <si>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</si>
  <si>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</si>
  <si>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</si>
  <si>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</si>
  <si>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</si>
  <si>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</si>
  <si>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</si>
  <si>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</si>
  <si>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</si>
  <si>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</si>
  <si>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</si>
  <si>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</si>
  <si>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</si>
  <si>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</si>
  <si>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</si>
  <si>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</si>
  <si>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</si>
  <si>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</si>
  <si>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</si>
  <si>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</si>
  <si>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</si>
  <si>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</si>
  <si>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</si>
  <si>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</si>
  <si>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</si>
  <si>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</si>
  <si>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</si>
  <si>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</si>
  <si>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</si>
  <si>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</si>
  <si>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</si>
  <si>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</si>
  <si>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</si>
  <si>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</si>
  <si>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</si>
  <si>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</si>
  <si>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</si>
  <si>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</si>
  <si>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</si>
  <si>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</si>
  <si>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</si>
  <si>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</si>
  <si>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</si>
  <si>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</si>
  <si>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</si>
  <si>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</si>
  <si>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</si>
  <si>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</si>
  <si>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</si>
  <si>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</si>
  <si>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</si>
  <si>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</si>
  <si>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</si>
  <si>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</si>
  <si>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</si>
  <si>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</si>
  <si>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</si>
  <si>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</si>
  <si>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</si>
  <si>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</si>
  <si>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</si>
  <si>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</si>
  <si>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</si>
  <si>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</si>
  <si>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</si>
  <si>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</si>
  <si>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</si>
  <si>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</si>
  <si>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</si>
  <si>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</si>
  <si>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</si>
  <si>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</si>
  <si>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</si>
  <si>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</si>
  <si>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</si>
  <si>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</si>
  <si>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</si>
  <si>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</si>
  <si>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</si>
  <si>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</si>
  <si>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</si>
  <si>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</si>
  <si>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</si>
  <si>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</si>
  <si>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</si>
  <si>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</si>
  <si>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</si>
  <si>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</si>
  <si>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</si>
  <si>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</si>
  <si>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</si>
  <si>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</si>
  <si>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</si>
  <si>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</si>
  <si>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</si>
  <si>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</si>
  <si>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</si>
  <si>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</si>
  <si>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</si>
  <si>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</si>
  <si>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</si>
  <si>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</si>
  <si>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</si>
  <si>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</si>
  <si>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</si>
  <si>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</si>
  <si>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</si>
  <si>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</si>
  <si>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</si>
  <si>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</si>
  <si>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</si>
  <si>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</si>
  <si>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</si>
  <si>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</si>
  <si>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</si>
  <si>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</si>
  <si>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</si>
  <si>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</si>
  <si>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</si>
  <si>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</si>
  <si>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</si>
  <si>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</si>
  <si>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</si>
  <si>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</si>
  <si>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</si>
  <si>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</si>
  <si>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</si>
  <si>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</si>
  <si>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</si>
  <si>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</si>
  <si>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</si>
  <si>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</si>
  <si>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</si>
  <si>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</si>
  <si>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</si>
  <si>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</si>
  <si>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</si>
  <si>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</si>
  <si>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</si>
  <si>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</si>
  <si>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</si>
  <si>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</si>
  <si>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</si>
  <si>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</si>
  <si>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</si>
  <si>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Fractionation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</si>
  <si>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</si>
  <si>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</si>
  <si>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</si>
  <si>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</si>
  <si>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</si>
  <si>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</si>
  <si>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</si>
  <si>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</si>
  <si>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</si>
  <si>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</si>
  <si>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</si>
  <si>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</si>
  <si>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</si>
  <si>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</si>
  <si>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</si>
  <si>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</si>
  <si>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</si>
  <si>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</si>
  <si>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</si>
  <si>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</si>
  <si>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</si>
  <si>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</si>
  <si>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</si>
  <si>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</si>
  <si>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</si>
  <si>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</si>
  <si>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</si>
  <si>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</si>
  <si>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</si>
  <si>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</si>
  <si>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</si>
  <si>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</si>
  <si>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</si>
  <si>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</si>
  <si>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</si>
  <si>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</si>
  <si>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</si>
  <si>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</si>
  <si>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</si>
  <si>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</si>
  <si>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</si>
  <si>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</si>
  <si>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</si>
  <si>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</si>
  <si>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</si>
  <si>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</si>
  <si>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</si>
  <si>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</si>
  <si>
    <t>errN2O</t>
  </si>
  <si>
    <t>Ne_WHOI</t>
  </si>
  <si>
    <t>Jenkins, W.J., Lott, D., III and Cahill, K.L., 2018. A Determination of Atmospheric Helium, Neon, Argon, Krypton, and Xenon Solubility Concentrations in Water and Seawater. Marine Chemistry, In Press.</t>
  </si>
  <si>
    <t>Xe_WHOI</t>
  </si>
  <si>
    <t>Kr_WHOI</t>
  </si>
  <si>
    <t>Ar_WHOI</t>
  </si>
  <si>
    <t>He_WHOI</t>
  </si>
  <si>
    <t>Salinity, per mil</t>
  </si>
  <si>
    <t>Elevation, meters above sea level</t>
  </si>
  <si>
    <t>Temp, celsius</t>
  </si>
  <si>
    <t>Excess Air, cc/kg</t>
  </si>
  <si>
    <t>Excess N2, mg/L as N</t>
  </si>
  <si>
    <t>Aeschbach-Hertig 2008</t>
  </si>
  <si>
    <t>Degasssed</t>
  </si>
  <si>
    <t>GWMCO3</t>
  </si>
  <si>
    <t>GWMCO6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</si>
</sst>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E+00"/>
  </numFmts>
  <fonts count="24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0" fontId="14" fillId="0" borderId="0"/>
  </cellStyleXfs>
  <cellXfs count="70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14" fontId="18" fillId="2" borderId="3" xfId="1" applyNumberFormat="1" applyFont="1" applyFill="1" applyBorder="1" applyAlignment="1">
      <alignment horizontal="center"/>
    </xf>
    <xf numFmtId="14" fontId="18" fillId="2" borderId="2" xfId="1" applyNumberFormat="1" applyFont="1" applyFill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5" xfId="3" applyNumberFormat="1" applyFont="1" applyFill="1" applyBorder="1" applyAlignment="1">
      <alignment horizontal="center" wrapText="1"/>
    </xf>
    <xf numFmtId="14" fontId="18" fillId="2" borderId="2" xfId="3" applyNumberFormat="1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14" fontId="18" fillId="2" borderId="5" xfId="1" applyNumberFormat="1" applyFont="1" applyFill="1" applyBorder="1" applyAlignment="1">
      <alignment horizontal="center" wrapText="1"/>
    </xf>
    <xf numFmtId="14" fontId="18" fillId="2" borderId="2" xfId="1" applyNumberFormat="1" applyFont="1" applyFill="1" applyBorder="1" applyAlignment="1">
      <alignment horizontal="center" wrapText="1"/>
    </xf>
    <xf numFmtId="0" fontId="13" fillId="0" borderId="0" xfId="6" applyFont="1" applyFill="1" applyBorder="1"/>
    <xf numFmtId="14" fontId="13" fillId="0" borderId="0" xfId="6" applyNumberFormat="1" applyFont="1" applyFill="1" applyBorder="1"/>
    <xf numFmtId="0" fontId="13" fillId="0" borderId="0" xfId="6" applyNumberFormat="1" applyFont="1" applyFill="1" applyBorder="1"/>
    <xf numFmtId="0" fontId="13" fillId="0" borderId="0" xfId="8" applyFont="1" applyFill="1" applyBorder="1"/>
    <xf numFmtId="0" fontId="13" fillId="0" borderId="0" xfId="3" applyFont="1" applyFill="1" applyBorder="1"/>
    <xf numFmtId="11" fontId="13" fillId="0" borderId="0" xfId="3" applyNumberFormat="1" applyFont="1" applyFill="1" applyBorder="1"/>
    <xf numFmtId="11" fontId="13" fillId="0" borderId="0" xfId="1" applyNumberFormat="1" applyFont="1" applyFill="1" applyBorder="1"/>
    <xf numFmtId="11" fontId="13" fillId="0" borderId="0" xfId="6" applyNumberFormat="1" applyFont="1" applyFill="1" applyBorder="1"/>
    <xf numFmtId="0" fontId="13" fillId="0" borderId="0" xfId="3" applyNumberFormat="1" applyFont="1" applyFill="1" applyBorder="1"/>
    <xf numFmtId="0" fontId="13" fillId="0" borderId="0" xfId="3" applyNumberFormat="1" applyFont="1" applyFill="1"/>
    <xf numFmtId="0" fontId="13" fillId="0" borderId="0" xfId="5" applyNumberFormat="1" applyFont="1" applyFill="1"/>
    <xf numFmtId="0" fontId="17" fillId="0" borderId="0" xfId="3" applyFill="1"/>
    <xf numFmtId="9" fontId="17" fillId="0" borderId="0" xfId="5" applyFont="1" applyFill="1"/>
    <xf numFmtId="2" fontId="17" fillId="0" borderId="0" xfId="5" applyNumberFormat="1" applyFont="1" applyFill="1"/>
  </cellXfs>
  <cellStyles count="11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  <cellStyle name="Style 1" xfId="10" xr:uid="{00000000-0005-0000-0000-000005000000}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5"/>
  <sheetViews>
    <sheetView zoomScale="98" zoomScaleNormal="98" workbookViewId="0">
      <pane xSplit="2" topLeftCell="C1" activePane="topRight" state="frozen"/>
      <selection activeCell="A28" sqref="A28"/>
      <selection pane="topRight" activeCell="A49" sqref="A49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44" t="s">
        <v>8</v>
      </c>
      <c r="D6" s="44"/>
      <c r="E6" s="44"/>
      <c r="F6" s="44"/>
      <c r="G6" s="44"/>
    </row>
    <row r="7" spans="1:31">
      <c r="A7" s="3" t="s">
        <v>9</v>
      </c>
      <c r="B7" s="6" t="s">
        <v>10</v>
      </c>
      <c r="C7" s="43" t="s">
        <v>11</v>
      </c>
      <c r="D7" s="43"/>
      <c r="E7" s="43"/>
      <c r="F7" s="43"/>
      <c r="G7" s="43"/>
    </row>
    <row r="8" spans="1:31">
      <c r="A8" s="3" t="s">
        <v>12</v>
      </c>
      <c r="B8" s="6" t="s">
        <v>13</v>
      </c>
      <c r="C8" s="43" t="s">
        <v>14</v>
      </c>
      <c r="D8" s="43"/>
      <c r="E8" s="43"/>
      <c r="F8" s="43"/>
      <c r="G8" s="43"/>
    </row>
    <row r="9" spans="1:31">
      <c r="A9" s="3" t="s">
        <v>15</v>
      </c>
      <c r="B9" s="6" t="s">
        <v>16</v>
      </c>
      <c r="C9" s="43" t="s">
        <v>17</v>
      </c>
      <c r="D9" s="43"/>
      <c r="E9" s="43"/>
      <c r="F9" s="43"/>
      <c r="G9" s="43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44" t="s">
        <v>8</v>
      </c>
      <c r="C12" s="44"/>
      <c r="D12" s="44"/>
      <c r="E12" s="44"/>
      <c r="F12" s="44"/>
      <c r="G12" s="44"/>
      <c r="H12" s="44"/>
      <c r="I12" s="44"/>
    </row>
    <row r="13" spans="1:31">
      <c r="A13" s="2" t="s">
        <v>20</v>
      </c>
      <c r="B13" s="43" t="s">
        <v>21</v>
      </c>
      <c r="C13" s="43"/>
      <c r="D13" s="43"/>
      <c r="E13" s="43"/>
      <c r="F13" s="43"/>
      <c r="G13" s="43"/>
      <c r="H13" s="43"/>
      <c r="I13" s="43"/>
    </row>
    <row r="14" spans="1:31">
      <c r="A14" s="2" t="s">
        <v>22</v>
      </c>
      <c r="B14" s="43" t="s">
        <v>23</v>
      </c>
      <c r="C14" s="43"/>
      <c r="D14" s="43"/>
      <c r="E14" s="43"/>
      <c r="F14" s="43"/>
      <c r="G14" s="43"/>
      <c r="H14" s="43"/>
      <c r="I14" s="43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44" t="s">
        <v>29</v>
      </c>
      <c r="D21" s="44"/>
      <c r="E21" s="44"/>
      <c r="F21" s="44"/>
      <c r="G21" s="44"/>
      <c r="H21" s="44"/>
      <c r="I21" s="44"/>
      <c r="J21" s="44"/>
      <c r="K21" s="44"/>
      <c r="L21" s="44"/>
      <c r="M21" s="44"/>
    </row>
    <row r="22" spans="1:38" ht="18.75">
      <c r="A22" s="2" t="s">
        <v>30</v>
      </c>
      <c r="B22" s="6">
        <v>1</v>
      </c>
      <c r="C22" s="41" t="s">
        <v>31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</row>
    <row r="23" spans="1:38" ht="18.75">
      <c r="A23" s="2" t="s">
        <v>32</v>
      </c>
      <c r="B23" s="6">
        <v>2</v>
      </c>
      <c r="C23" s="41" t="s">
        <v>33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</row>
    <row r="24" spans="1:38" ht="18">
      <c r="A24" s="2" t="s">
        <v>34</v>
      </c>
      <c r="B24" s="6">
        <v>3</v>
      </c>
      <c r="C24" s="41" t="s">
        <v>35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</row>
    <row r="25" spans="1:38" ht="18.75">
      <c r="A25" s="2" t="s">
        <v>36</v>
      </c>
      <c r="B25" s="6">
        <v>4</v>
      </c>
      <c r="C25" s="41" t="s">
        <v>37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</row>
    <row r="26" spans="1:38" ht="18.75">
      <c r="A26" s="2" t="s">
        <v>38</v>
      </c>
      <c r="B26" s="6">
        <v>5</v>
      </c>
      <c r="C26" s="41" t="s">
        <v>39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2" t="s">
        <v>42</v>
      </c>
      <c r="F29" s="42"/>
      <c r="G29" s="42"/>
      <c r="H29" s="42"/>
      <c r="I29" s="42"/>
      <c r="J29" s="42"/>
      <c r="K29" s="42"/>
      <c r="L29" s="42"/>
      <c r="M29" s="42"/>
      <c r="N29" s="42"/>
      <c r="O29" s="42"/>
      <c r="Y29" s="42" t="s">
        <v>219</v>
      </c>
      <c r="Z29" s="42"/>
      <c r="AA29" s="42"/>
      <c r="AB29" s="12"/>
      <c r="AC29" s="42" t="s">
        <v>43</v>
      </c>
      <c r="AD29" s="42"/>
      <c r="AE29" s="42"/>
      <c r="AF29" s="42"/>
      <c r="AG29" s="42"/>
      <c r="AH29" s="42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209</v>
      </c>
      <c r="S30" s="5" t="s">
        <v>61</v>
      </c>
      <c r="T30" s="5" t="s">
        <v>214</v>
      </c>
      <c r="U30" s="5" t="s">
        <v>215</v>
      </c>
      <c r="V30" s="5" t="s">
        <v>216</v>
      </c>
      <c r="W30" s="5" t="s">
        <v>217</v>
      </c>
      <c r="X30" s="5" t="s">
        <v>62</v>
      </c>
      <c r="Y30" s="5" t="s">
        <v>221</v>
      </c>
      <c r="Z30" s="5" t="s">
        <v>218</v>
      </c>
      <c r="AA30" s="5" t="s">
        <v>220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2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76</v>
      </c>
      <c r="B33" s="2" t="s">
        <v>71</v>
      </c>
      <c r="C33" s="2" t="s">
        <v>72</v>
      </c>
      <c r="D33" s="2" t="s">
        <v>228</v>
      </c>
      <c r="E33" s="2">
        <v>-178.14241812221539</v>
      </c>
      <c r="F33" s="2">
        <v>217.59910061885759</v>
      </c>
      <c r="G33" s="2">
        <v>140.75062895024675</v>
      </c>
      <c r="H33" s="2">
        <v>-23.019543535064823</v>
      </c>
      <c r="I33" s="14" t="s">
        <v>74</v>
      </c>
      <c r="J33" s="14" t="s">
        <v>74</v>
      </c>
      <c r="K33" s="2">
        <v>-3.8129095255047221E-2</v>
      </c>
      <c r="L33" s="2">
        <v>1.9189902868874367E-2</v>
      </c>
      <c r="M33" s="2">
        <v>-2.6897985932168894E-3</v>
      </c>
      <c r="N33" s="14">
        <v>-2.55156518284938E-6</v>
      </c>
      <c r="O33" s="14" t="s">
        <v>74</v>
      </c>
      <c r="P33" s="15" t="s">
        <v>126</v>
      </c>
      <c r="Q33" s="2">
        <v>1</v>
      </c>
      <c r="R33" s="2" t="s">
        <v>70</v>
      </c>
      <c r="S33" s="2" t="s">
        <v>76</v>
      </c>
      <c r="T33" s="2">
        <v>22.410985442329228</v>
      </c>
      <c r="U33" s="2">
        <v>0.17860000000000001</v>
      </c>
      <c r="V33" s="9">
        <v>4.0026020000000004</v>
      </c>
      <c r="W33" s="2">
        <v>5.24</v>
      </c>
      <c r="X33" s="2" t="s">
        <v>224</v>
      </c>
      <c r="Y33" s="2">
        <v>818</v>
      </c>
      <c r="Z33" s="2">
        <v>11700</v>
      </c>
      <c r="AA33" s="2" t="s">
        <v>78</v>
      </c>
      <c r="AB33" s="2" t="s">
        <v>76</v>
      </c>
    </row>
    <row r="34" spans="1:38">
      <c r="A34" s="6" t="s">
        <v>70</v>
      </c>
      <c r="B34" s="2" t="s">
        <v>82</v>
      </c>
      <c r="C34" s="2" t="s">
        <v>83</v>
      </c>
      <c r="D34" s="2" t="s">
        <v>84</v>
      </c>
      <c r="E34" s="2">
        <v>-170.6018</v>
      </c>
      <c r="F34" s="2">
        <v>225.19460000000001</v>
      </c>
      <c r="G34" s="2">
        <v>140.88630000000001</v>
      </c>
      <c r="H34" s="2">
        <v>-22.629000000000001</v>
      </c>
      <c r="I34" s="14" t="s">
        <v>74</v>
      </c>
      <c r="J34" s="14" t="s">
        <v>74</v>
      </c>
      <c r="K34" s="2">
        <v>-0.127113</v>
      </c>
      <c r="L34" s="2">
        <v>7.9277E-2</v>
      </c>
      <c r="M34" s="2">
        <v>-1.2909500000000001E-2</v>
      </c>
      <c r="N34" s="14" t="s">
        <v>74</v>
      </c>
      <c r="O34" s="14" t="s">
        <v>74</v>
      </c>
      <c r="P34" s="15" t="s">
        <v>75</v>
      </c>
      <c r="Q34" s="2">
        <v>1</v>
      </c>
      <c r="R34" s="2" t="s">
        <v>70</v>
      </c>
      <c r="S34" s="2" t="s">
        <v>76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85</v>
      </c>
      <c r="E35" s="2">
        <v>-39.197099999999999</v>
      </c>
      <c r="F35" s="2">
        <v>51.801299999999998</v>
      </c>
      <c r="G35" s="2">
        <v>15.7699</v>
      </c>
      <c r="H35" s="2" t="s">
        <v>74</v>
      </c>
      <c r="I35" s="14" t="s">
        <v>74</v>
      </c>
      <c r="J35" s="14" t="s">
        <v>74</v>
      </c>
      <c r="K35" s="2">
        <v>-0.124695</v>
      </c>
      <c r="L35" s="2">
        <v>7.8373999999999999E-2</v>
      </c>
      <c r="M35" s="2">
        <v>-1.27972E-2</v>
      </c>
      <c r="N35" s="14" t="s">
        <v>74</v>
      </c>
      <c r="O35" s="14" t="s">
        <v>74</v>
      </c>
      <c r="P35" s="15" t="s">
        <v>86</v>
      </c>
      <c r="Q35" s="2">
        <v>1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77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87</v>
      </c>
      <c r="E36" s="2">
        <v>-52.857300000000002</v>
      </c>
      <c r="F36" s="2">
        <v>61.049399999999999</v>
      </c>
      <c r="G36" s="2">
        <v>18.915700000000001</v>
      </c>
      <c r="H36" s="2" t="s">
        <v>74</v>
      </c>
      <c r="I36" s="14" t="s">
        <v>74</v>
      </c>
      <c r="J36" s="14" t="s">
        <v>74</v>
      </c>
      <c r="K36" s="2">
        <v>-11.525</v>
      </c>
      <c r="L36" s="2">
        <v>17.7408</v>
      </c>
      <c r="M36" s="2">
        <v>5.3421000000000003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90</v>
      </c>
      <c r="E37" s="2">
        <v>-52.857300000000002</v>
      </c>
      <c r="F37" s="2">
        <v>61.049399999999999</v>
      </c>
      <c r="G37" s="2">
        <v>18.915700000000001</v>
      </c>
      <c r="H37" s="2" t="s">
        <v>74</v>
      </c>
      <c r="I37" s="14" t="s">
        <v>74</v>
      </c>
      <c r="J37" s="14" t="s">
        <v>74</v>
      </c>
      <c r="K37" s="2">
        <v>-11.9556</v>
      </c>
      <c r="L37" s="2">
        <v>18.406199999999998</v>
      </c>
      <c r="M37" s="2">
        <v>5.5464000000000002</v>
      </c>
      <c r="N37" s="14" t="s">
        <v>74</v>
      </c>
      <c r="O37" s="14" t="s">
        <v>74</v>
      </c>
      <c r="P37" s="15" t="s">
        <v>80</v>
      </c>
      <c r="Q37" s="2">
        <v>3</v>
      </c>
      <c r="R37" s="2" t="s">
        <v>76</v>
      </c>
      <c r="S37" s="2" t="s">
        <v>70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81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76</v>
      </c>
      <c r="B38" s="2" t="s">
        <v>82</v>
      </c>
      <c r="C38" s="2" t="s">
        <v>83</v>
      </c>
      <c r="D38" s="2" t="s">
        <v>91</v>
      </c>
      <c r="E38" s="2">
        <v>2.1815600000000002</v>
      </c>
      <c r="F38" s="2">
        <v>1.29108</v>
      </c>
      <c r="G38" s="2">
        <v>2.1250399999999998</v>
      </c>
      <c r="H38" s="2" t="s">
        <v>74</v>
      </c>
      <c r="I38" s="14" t="s">
        <v>74</v>
      </c>
      <c r="J38" s="14" t="s">
        <v>74</v>
      </c>
      <c r="K38" s="2">
        <v>-5.9473699999999996E-3</v>
      </c>
      <c r="L38" s="2">
        <v>-5.1389599999999997E-3</v>
      </c>
      <c r="M38" s="2" t="s">
        <v>74</v>
      </c>
      <c r="N38" s="14" t="s">
        <v>74</v>
      </c>
      <c r="O38" s="14" t="s">
        <v>74</v>
      </c>
      <c r="P38" s="15" t="s">
        <v>92</v>
      </c>
      <c r="Q38" s="2">
        <v>5</v>
      </c>
      <c r="R38" s="2" t="s">
        <v>70</v>
      </c>
      <c r="S38" s="2" t="s">
        <v>76</v>
      </c>
      <c r="T38" s="2">
        <v>22.416907353921353</v>
      </c>
      <c r="U38" s="2">
        <v>0.9002</v>
      </c>
      <c r="V38" s="9">
        <v>20.1797</v>
      </c>
      <c r="W38" s="2">
        <v>18.18</v>
      </c>
      <c r="X38" s="2" t="s">
        <v>93</v>
      </c>
      <c r="Y38" s="2">
        <v>1608</v>
      </c>
      <c r="Z38" s="2">
        <v>14840</v>
      </c>
      <c r="AA38" s="2" t="s">
        <v>78</v>
      </c>
      <c r="AB38" s="2" t="s">
        <v>76</v>
      </c>
    </row>
    <row r="39" spans="1:38">
      <c r="A39" s="6" t="s">
        <v>76</v>
      </c>
      <c r="B39" s="2" t="s">
        <v>82</v>
      </c>
      <c r="C39" s="2" t="s">
        <v>83</v>
      </c>
      <c r="D39" s="2" t="s">
        <v>223</v>
      </c>
      <c r="E39" s="2">
        <v>-274.13292896307883</v>
      </c>
      <c r="F39" s="2">
        <v>352.62009434730396</v>
      </c>
      <c r="G39" s="2">
        <v>226.96758858386374</v>
      </c>
      <c r="H39" s="2">
        <v>-37.133931282042241</v>
      </c>
      <c r="I39" s="14" t="s">
        <v>74</v>
      </c>
      <c r="J39" s="14" t="s">
        <v>74</v>
      </c>
      <c r="K39" s="2">
        <v>-6.3859579130923896E-2</v>
      </c>
      <c r="L39" s="2">
        <v>3.5325709013785789E-2</v>
      </c>
      <c r="M39" s="2">
        <v>-5.3257655648848035E-3</v>
      </c>
      <c r="N39" s="14">
        <v>1.2823288026371433E-5</v>
      </c>
      <c r="O39" s="14" t="s">
        <v>74</v>
      </c>
      <c r="P39" s="15" t="s">
        <v>126</v>
      </c>
      <c r="Q39" s="2">
        <v>1</v>
      </c>
      <c r="R39" s="2" t="s">
        <v>70</v>
      </c>
      <c r="S39" s="2" t="s">
        <v>76</v>
      </c>
      <c r="T39" s="2">
        <v>22.416907353921353</v>
      </c>
      <c r="U39" s="2">
        <v>0.9002</v>
      </c>
      <c r="V39" s="9">
        <v>20.1797</v>
      </c>
      <c r="W39" s="2">
        <v>18.18</v>
      </c>
      <c r="X39" s="2" t="s">
        <v>224</v>
      </c>
      <c r="Y39" s="2">
        <v>1608</v>
      </c>
      <c r="Z39" s="2">
        <v>14840</v>
      </c>
      <c r="AA39" s="2" t="s">
        <v>78</v>
      </c>
      <c r="AB39" s="2" t="s">
        <v>76</v>
      </c>
    </row>
    <row r="40" spans="1:38">
      <c r="A40" s="6" t="s">
        <v>70</v>
      </c>
      <c r="B40" s="2" t="s">
        <v>94</v>
      </c>
      <c r="C40" s="2" t="s">
        <v>95</v>
      </c>
      <c r="D40" s="2" t="s">
        <v>96</v>
      </c>
      <c r="E40" s="2">
        <v>-178.17250000000001</v>
      </c>
      <c r="F40" s="2">
        <v>251.81389999999999</v>
      </c>
      <c r="G40" s="2">
        <v>145.2337</v>
      </c>
      <c r="H40" s="2">
        <v>-22.204599999999999</v>
      </c>
      <c r="I40" s="14" t="s">
        <v>74</v>
      </c>
      <c r="J40" s="14" t="s">
        <v>74</v>
      </c>
      <c r="K40" s="2">
        <v>-3.8729E-2</v>
      </c>
      <c r="L40" s="2">
        <v>1.7170999999999999E-2</v>
      </c>
      <c r="M40" s="2">
        <v>-2.1281E-3</v>
      </c>
      <c r="N40" s="14" t="s">
        <v>74</v>
      </c>
      <c r="O40" s="14" t="s">
        <v>74</v>
      </c>
      <c r="P40" s="15" t="s">
        <v>75</v>
      </c>
      <c r="Q40" s="2">
        <v>1</v>
      </c>
      <c r="R40" s="2" t="s">
        <v>70</v>
      </c>
      <c r="S40" s="2" t="s">
        <v>76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97</v>
      </c>
      <c r="Y40" s="2">
        <v>2233</v>
      </c>
      <c r="Z40" s="2">
        <v>16680</v>
      </c>
      <c r="AA40" s="2" t="s">
        <v>98</v>
      </c>
      <c r="AB40" s="2" t="s">
        <v>76</v>
      </c>
      <c r="AK40" s="16"/>
      <c r="AL40" s="16"/>
    </row>
    <row r="41" spans="1:38">
      <c r="A41" s="6" t="s">
        <v>76</v>
      </c>
      <c r="B41" s="2" t="s">
        <v>94</v>
      </c>
      <c r="C41" s="2" t="s">
        <v>95</v>
      </c>
      <c r="D41" s="2" t="s">
        <v>99</v>
      </c>
      <c r="E41" s="2">
        <v>2.7915000000000001</v>
      </c>
      <c r="F41" s="2">
        <v>3.1760899999999999</v>
      </c>
      <c r="G41" s="2">
        <v>4.1311600000000004</v>
      </c>
      <c r="H41" s="2">
        <v>4.9037899999999999</v>
      </c>
      <c r="I41" s="14" t="s">
        <v>74</v>
      </c>
      <c r="J41" s="14" t="s">
        <v>74</v>
      </c>
      <c r="K41" s="2">
        <v>-6.9623300000000001E-3</v>
      </c>
      <c r="L41" s="2">
        <v>-7.6667000000000003E-3</v>
      </c>
      <c r="M41" s="2">
        <v>-1.1688799999999999E-2</v>
      </c>
      <c r="N41" s="14" t="s">
        <v>74</v>
      </c>
      <c r="O41" s="14" t="s">
        <v>74</v>
      </c>
      <c r="P41" s="15" t="s">
        <v>100</v>
      </c>
      <c r="Q41" s="2">
        <v>5</v>
      </c>
      <c r="R41" s="2" t="s">
        <v>70</v>
      </c>
      <c r="S41" s="2" t="s">
        <v>76</v>
      </c>
      <c r="T41" s="2">
        <v>22.392376681614351</v>
      </c>
      <c r="U41" s="2">
        <v>1.784</v>
      </c>
      <c r="V41" s="9">
        <v>39.948</v>
      </c>
      <c r="W41" s="2">
        <v>9340</v>
      </c>
      <c r="X41" s="2" t="s">
        <v>93</v>
      </c>
      <c r="Y41" s="2">
        <v>2233</v>
      </c>
      <c r="Z41" s="2">
        <v>16680</v>
      </c>
      <c r="AA41" s="2" t="s">
        <v>98</v>
      </c>
      <c r="AB41" s="2" t="s">
        <v>76</v>
      </c>
    </row>
    <row r="42" spans="1:38">
      <c r="A42" s="6" t="s">
        <v>76</v>
      </c>
      <c r="B42" s="2" t="s">
        <v>94</v>
      </c>
      <c r="C42" s="2" t="s">
        <v>95</v>
      </c>
      <c r="D42" s="2" t="s">
        <v>101</v>
      </c>
      <c r="E42" s="2">
        <v>-57.6661</v>
      </c>
      <c r="F42" s="2">
        <v>74.762699999999995</v>
      </c>
      <c r="G42" s="2">
        <v>20.139800000000001</v>
      </c>
      <c r="H42" s="2" t="s">
        <v>74</v>
      </c>
      <c r="I42" s="14" t="s">
        <v>74</v>
      </c>
      <c r="J42" s="14" t="s">
        <v>74</v>
      </c>
      <c r="K42" s="2">
        <v>-10.271000000000001</v>
      </c>
      <c r="L42" s="2">
        <v>16.094999999999999</v>
      </c>
      <c r="M42" s="2">
        <v>4.7538999999999998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22.392376681614351</v>
      </c>
      <c r="U42" s="2">
        <v>1.784</v>
      </c>
      <c r="V42" s="9">
        <v>39.948</v>
      </c>
      <c r="W42" s="2">
        <v>9340</v>
      </c>
      <c r="X42" s="2" t="s">
        <v>102</v>
      </c>
      <c r="Y42" s="2">
        <v>2233</v>
      </c>
      <c r="Z42" s="2">
        <v>16680</v>
      </c>
      <c r="AA42" s="2" t="s">
        <v>98</v>
      </c>
      <c r="AB42" s="2" t="s">
        <v>76</v>
      </c>
    </row>
    <row r="43" spans="1:38">
      <c r="A43" s="6" t="s">
        <v>76</v>
      </c>
      <c r="B43" s="2" t="s">
        <v>94</v>
      </c>
      <c r="C43" s="2" t="s">
        <v>95</v>
      </c>
      <c r="D43" s="2" t="s">
        <v>227</v>
      </c>
      <c r="E43" s="2">
        <v>-227.46065343395853</v>
      </c>
      <c r="F43" s="2">
        <v>305.43465089764936</v>
      </c>
      <c r="G43" s="2">
        <v>180.52783053586313</v>
      </c>
      <c r="H43" s="2">
        <v>-27.994502908372116</v>
      </c>
      <c r="I43" s="14" t="s">
        <v>74</v>
      </c>
      <c r="J43" s="14" t="s">
        <v>74</v>
      </c>
      <c r="K43" s="2">
        <v>-6.6942144095538822E-2</v>
      </c>
      <c r="L43" s="2">
        <v>3.7200664945349259E-2</v>
      </c>
      <c r="M43" s="2">
        <v>-5.6364177904516359E-3</v>
      </c>
      <c r="N43" s="14">
        <v>-5.3032453325024811E-6</v>
      </c>
      <c r="O43" s="14" t="s">
        <v>74</v>
      </c>
      <c r="P43" s="15" t="s">
        <v>126</v>
      </c>
      <c r="Q43" s="2">
        <v>1</v>
      </c>
      <c r="R43" s="2" t="s">
        <v>70</v>
      </c>
      <c r="S43" s="2" t="s">
        <v>76</v>
      </c>
      <c r="T43" s="2">
        <v>22.392376681614351</v>
      </c>
      <c r="U43" s="2">
        <v>1.784</v>
      </c>
      <c r="V43" s="9">
        <v>39.948</v>
      </c>
      <c r="W43" s="2">
        <v>9340</v>
      </c>
      <c r="X43" s="2" t="s">
        <v>224</v>
      </c>
      <c r="Y43" s="2">
        <v>2233</v>
      </c>
      <c r="Z43" s="2">
        <v>16680</v>
      </c>
      <c r="AA43" s="2" t="s">
        <v>98</v>
      </c>
      <c r="AB43" s="2" t="s">
        <v>76</v>
      </c>
    </row>
    <row r="44" spans="1:38">
      <c r="A44" s="6" t="s">
        <v>70</v>
      </c>
      <c r="B44" s="2" t="s">
        <v>103</v>
      </c>
      <c r="C44" s="2" t="s">
        <v>104</v>
      </c>
      <c r="D44" s="2" t="s">
        <v>105</v>
      </c>
      <c r="E44" s="2">
        <v>-112.684</v>
      </c>
      <c r="F44" s="2">
        <v>153.58170000000001</v>
      </c>
      <c r="G44" s="2">
        <v>74.468999999999994</v>
      </c>
      <c r="H44" s="2">
        <v>-10.0189</v>
      </c>
      <c r="I44" s="14" t="s">
        <v>74</v>
      </c>
      <c r="J44" s="14" t="s">
        <v>74</v>
      </c>
      <c r="K44" s="2">
        <v>-1.1213000000000001E-2</v>
      </c>
      <c r="L44" s="2">
        <v>-1.8439999999999999E-3</v>
      </c>
      <c r="M44" s="2">
        <v>1.1201E-3</v>
      </c>
      <c r="N44" s="14" t="s">
        <v>74</v>
      </c>
      <c r="O44" s="14" t="s">
        <v>74</v>
      </c>
      <c r="P44" s="15" t="s">
        <v>75</v>
      </c>
      <c r="Q44" s="2">
        <v>1</v>
      </c>
      <c r="R44" s="2" t="s">
        <v>70</v>
      </c>
      <c r="S44" s="2" t="s">
        <v>76</v>
      </c>
      <c r="T44" s="2">
        <v>22.352093891704456</v>
      </c>
      <c r="U44" s="2">
        <v>3.7490000000000001</v>
      </c>
      <c r="V44" s="9">
        <v>83.798000000000002</v>
      </c>
      <c r="W44" s="2">
        <v>1.1399999999999999</v>
      </c>
      <c r="X44" s="2" t="s">
        <v>106</v>
      </c>
      <c r="Y44" s="2">
        <v>6393</v>
      </c>
      <c r="Z44" s="2">
        <v>20200</v>
      </c>
      <c r="AA44" s="2" t="s">
        <v>78</v>
      </c>
      <c r="AB44" s="2" t="s">
        <v>76</v>
      </c>
    </row>
    <row r="45" spans="1:38">
      <c r="A45" s="6" t="s">
        <v>76</v>
      </c>
      <c r="B45" s="2" t="s">
        <v>103</v>
      </c>
      <c r="C45" s="2" t="s">
        <v>104</v>
      </c>
      <c r="D45" s="2" t="s">
        <v>107</v>
      </c>
      <c r="E45" s="2">
        <v>-66.992800000000003</v>
      </c>
      <c r="F45" s="2">
        <v>91.016599999999997</v>
      </c>
      <c r="G45" s="2">
        <v>24.220700000000001</v>
      </c>
      <c r="H45" s="2" t="s">
        <v>74</v>
      </c>
      <c r="I45" s="14" t="s">
        <v>74</v>
      </c>
      <c r="J45" s="14" t="s">
        <v>74</v>
      </c>
      <c r="K45" s="2">
        <v>-9.5533999999999999</v>
      </c>
      <c r="L45" s="2">
        <v>15.103899999999999</v>
      </c>
      <c r="M45" s="2">
        <v>4.4164000000000003</v>
      </c>
      <c r="N45" s="14" t="s">
        <v>74</v>
      </c>
      <c r="O45" s="14" t="s">
        <v>74</v>
      </c>
      <c r="P45" s="15" t="s">
        <v>80</v>
      </c>
      <c r="Q45" s="2">
        <v>3</v>
      </c>
      <c r="R45" s="2" t="s">
        <v>76</v>
      </c>
      <c r="S45" s="2" t="s">
        <v>70</v>
      </c>
      <c r="T45" s="2">
        <v>22.352093891704456</v>
      </c>
      <c r="U45" s="2">
        <v>3.7490000000000001</v>
      </c>
      <c r="V45" s="9">
        <v>83.798000000000002</v>
      </c>
      <c r="W45" s="2">
        <v>1.1399999999999999</v>
      </c>
      <c r="X45" s="2" t="s">
        <v>108</v>
      </c>
      <c r="Y45" s="2">
        <v>6393</v>
      </c>
      <c r="Z45" s="2">
        <v>20200</v>
      </c>
      <c r="AA45" s="2" t="s">
        <v>78</v>
      </c>
      <c r="AB45" s="2" t="s">
        <v>76</v>
      </c>
    </row>
    <row r="46" spans="1:38">
      <c r="A46" s="6" t="s">
        <v>76</v>
      </c>
      <c r="B46" s="2" t="s">
        <v>103</v>
      </c>
      <c r="C46" s="2" t="s">
        <v>104</v>
      </c>
      <c r="D46" s="2" t="s">
        <v>226</v>
      </c>
      <c r="E46" s="2">
        <v>-122.46938859427131</v>
      </c>
      <c r="F46" s="2">
        <v>153.56543264999917</v>
      </c>
      <c r="G46" s="2">
        <v>70.196888746308758</v>
      </c>
      <c r="H46" s="2">
        <v>-8.5252411363631815</v>
      </c>
      <c r="I46" s="14" t="s">
        <v>74</v>
      </c>
      <c r="J46" s="14" t="s">
        <v>74</v>
      </c>
      <c r="K46" s="2">
        <v>-4.9521501676346523E-2</v>
      </c>
      <c r="L46" s="2">
        <v>2.4433726230271114E-2</v>
      </c>
      <c r="M46" s="2">
        <v>-3.3967810297901224E-3</v>
      </c>
      <c r="N46" s="14">
        <v>4.1920793924741206E-6</v>
      </c>
      <c r="O46" s="14" t="s">
        <v>74</v>
      </c>
      <c r="P46" s="15" t="s">
        <v>126</v>
      </c>
      <c r="Q46" s="2">
        <v>1</v>
      </c>
      <c r="R46" s="2" t="s">
        <v>70</v>
      </c>
      <c r="S46" s="2" t="s">
        <v>76</v>
      </c>
      <c r="T46" s="2">
        <v>22.352093891704456</v>
      </c>
      <c r="U46" s="2">
        <v>3.7490000000000001</v>
      </c>
      <c r="V46" s="9">
        <v>83.798000000000002</v>
      </c>
      <c r="W46" s="2">
        <v>1.1399999999999999</v>
      </c>
      <c r="X46" s="2" t="s">
        <v>224</v>
      </c>
      <c r="Y46" s="2">
        <v>6393</v>
      </c>
      <c r="Z46" s="2">
        <v>20200</v>
      </c>
      <c r="AA46" s="2" t="s">
        <v>78</v>
      </c>
      <c r="AB46" s="2" t="s">
        <v>76</v>
      </c>
    </row>
    <row r="47" spans="1:38">
      <c r="A47" s="6" t="s">
        <v>70</v>
      </c>
      <c r="B47" s="2" t="s">
        <v>109</v>
      </c>
      <c r="C47" s="2" t="s">
        <v>110</v>
      </c>
      <c r="D47" s="2" t="s">
        <v>111</v>
      </c>
      <c r="E47" s="2">
        <v>-74.739800000000002</v>
      </c>
      <c r="F47" s="2">
        <v>105.21</v>
      </c>
      <c r="G47" s="2">
        <v>27.4664</v>
      </c>
      <c r="H47" s="2" t="s">
        <v>112</v>
      </c>
      <c r="I47" s="14" t="s">
        <v>74</v>
      </c>
      <c r="J47" s="14" t="s">
        <v>74</v>
      </c>
      <c r="K47" s="2">
        <v>-14.133800000000001</v>
      </c>
      <c r="L47" s="2">
        <v>21.877199999999998</v>
      </c>
      <c r="M47" s="2">
        <v>6.5526999999999997</v>
      </c>
      <c r="N47" s="14" t="s">
        <v>74</v>
      </c>
      <c r="O47" s="14" t="s">
        <v>74</v>
      </c>
      <c r="P47" s="15" t="s">
        <v>80</v>
      </c>
      <c r="Q47" s="2">
        <v>3</v>
      </c>
      <c r="R47" s="2" t="s">
        <v>76</v>
      </c>
      <c r="S47" s="2" t="s">
        <v>70</v>
      </c>
      <c r="T47" s="9">
        <v>22.2804</v>
      </c>
      <c r="U47" s="2">
        <v>5.8940000000000001</v>
      </c>
      <c r="V47" s="9">
        <v>131.29300000000001</v>
      </c>
      <c r="W47" s="2">
        <v>8.6999999999999994E-2</v>
      </c>
      <c r="X47" s="2" t="s">
        <v>108</v>
      </c>
      <c r="Y47" s="2">
        <v>9007</v>
      </c>
      <c r="Z47" s="2">
        <v>21310</v>
      </c>
      <c r="AA47" s="2" t="s">
        <v>78</v>
      </c>
      <c r="AB47" s="2" t="s">
        <v>76</v>
      </c>
    </row>
    <row r="48" spans="1:38">
      <c r="A48" s="6" t="s">
        <v>76</v>
      </c>
      <c r="B48" s="2" t="s">
        <v>109</v>
      </c>
      <c r="C48" s="2" t="s">
        <v>110</v>
      </c>
      <c r="D48" s="2" t="s">
        <v>225</v>
      </c>
      <c r="E48" s="2">
        <v>-224.5100051620274</v>
      </c>
      <c r="F48" s="2">
        <v>292.8234162687358</v>
      </c>
      <c r="G48" s="2">
        <v>157.61265466581128</v>
      </c>
      <c r="H48" s="2">
        <v>-22.668945306025336</v>
      </c>
      <c r="I48" s="14" t="s">
        <v>74</v>
      </c>
      <c r="J48" s="14" t="s">
        <v>74</v>
      </c>
      <c r="K48" s="2">
        <v>-8.491506529469646E-2</v>
      </c>
      <c r="L48" s="2">
        <v>4.7995555854953076E-2</v>
      </c>
      <c r="M48" s="2">
        <v>-7.3594642581385362E-3</v>
      </c>
      <c r="N48" s="14">
        <v>6.6929189163709991E-6</v>
      </c>
      <c r="O48" s="14" t="s">
        <v>74</v>
      </c>
      <c r="P48" s="15" t="s">
        <v>126</v>
      </c>
      <c r="Q48" s="2">
        <v>1</v>
      </c>
      <c r="R48" s="2" t="s">
        <v>70</v>
      </c>
      <c r="S48" s="2" t="s">
        <v>76</v>
      </c>
      <c r="T48" s="9">
        <v>22.2804</v>
      </c>
      <c r="U48" s="2">
        <v>5.8940000000000001</v>
      </c>
      <c r="V48" s="9">
        <v>131.29300000000001</v>
      </c>
      <c r="W48" s="2">
        <v>8.6999999999999994E-2</v>
      </c>
      <c r="X48" s="2" t="s">
        <v>224</v>
      </c>
      <c r="Y48" s="2">
        <v>9007</v>
      </c>
      <c r="Z48" s="2">
        <v>21310</v>
      </c>
      <c r="AA48" s="2" t="s">
        <v>78</v>
      </c>
      <c r="AB48" s="2" t="s">
        <v>76</v>
      </c>
    </row>
    <row r="49" spans="1:38">
      <c r="A49" s="6" t="s">
        <v>70</v>
      </c>
      <c r="B49" s="2" t="s">
        <v>113</v>
      </c>
      <c r="C49" s="2" t="s">
        <v>114</v>
      </c>
      <c r="D49" s="2" t="s">
        <v>210</v>
      </c>
      <c r="E49" s="2">
        <v>-177.02119999999999</v>
      </c>
      <c r="F49" s="2">
        <v>254.6078</v>
      </c>
      <c r="G49" s="2">
        <v>146.36109999999999</v>
      </c>
      <c r="H49" s="2">
        <v>-22.093299999999999</v>
      </c>
      <c r="I49" s="14" t="s">
        <v>74</v>
      </c>
      <c r="J49" s="14" t="s">
        <v>74</v>
      </c>
      <c r="K49" s="2">
        <v>-5.4052000000000003E-2</v>
      </c>
      <c r="L49" s="2">
        <v>2.7265999999999999E-2</v>
      </c>
      <c r="M49" s="2">
        <v>-3.8430000000000001E-3</v>
      </c>
      <c r="N49" s="14" t="s">
        <v>74</v>
      </c>
      <c r="O49" s="14" t="s">
        <v>74</v>
      </c>
      <c r="P49" s="2" t="s">
        <v>75</v>
      </c>
      <c r="Q49" s="2">
        <v>1</v>
      </c>
      <c r="R49" s="2" t="s">
        <v>70</v>
      </c>
      <c r="S49" s="2" t="s">
        <v>76</v>
      </c>
      <c r="T49" s="2">
        <v>22.392805755395699</v>
      </c>
      <c r="U49" s="2">
        <v>1.2509999999999999</v>
      </c>
      <c r="V49" s="9">
        <v>28.013400000000001</v>
      </c>
      <c r="W49" s="2">
        <v>780840</v>
      </c>
      <c r="X49" s="2" t="s">
        <v>97</v>
      </c>
      <c r="Y49" s="2">
        <v>3412</v>
      </c>
      <c r="Z49" s="2">
        <v>18501.648000000001</v>
      </c>
      <c r="AA49" s="2" t="s">
        <v>115</v>
      </c>
      <c r="AB49" s="2" t="s">
        <v>76</v>
      </c>
    </row>
    <row r="50" spans="1:38">
      <c r="A50" s="6" t="s">
        <v>76</v>
      </c>
      <c r="B50" s="2" t="s">
        <v>113</v>
      </c>
      <c r="C50" s="2" t="s">
        <v>114</v>
      </c>
      <c r="D50" s="2" t="s">
        <v>116</v>
      </c>
      <c r="E50" s="2">
        <v>-59.627400000000002</v>
      </c>
      <c r="F50" s="2">
        <v>85.766099999999994</v>
      </c>
      <c r="G50" s="2">
        <v>24.369599999999998</v>
      </c>
      <c r="H50" s="2" t="s">
        <v>74</v>
      </c>
      <c r="I50" s="14" t="s">
        <v>74</v>
      </c>
      <c r="J50" s="14" t="s">
        <v>74</v>
      </c>
      <c r="K50" s="2">
        <v>-5.1580000000000001E-2</v>
      </c>
      <c r="L50" s="2">
        <v>2.6329000000000002E-2</v>
      </c>
      <c r="M50" s="2">
        <v>-3.7252000000000001E-3</v>
      </c>
      <c r="N50" s="14" t="s">
        <v>74</v>
      </c>
      <c r="O50" s="14" t="s">
        <v>74</v>
      </c>
      <c r="P50" s="2" t="s">
        <v>86</v>
      </c>
      <c r="Q50" s="2">
        <v>1</v>
      </c>
      <c r="R50" s="2" t="s">
        <v>76</v>
      </c>
      <c r="S50" s="2" t="s">
        <v>70</v>
      </c>
      <c r="T50" s="2">
        <v>22.392805755395685</v>
      </c>
      <c r="U50" s="2">
        <v>1.2509999999999999</v>
      </c>
      <c r="V50" s="9">
        <v>28.013400000000001</v>
      </c>
      <c r="W50" s="2">
        <v>780840</v>
      </c>
      <c r="X50" s="2" t="s">
        <v>97</v>
      </c>
      <c r="Y50" s="2">
        <v>3412</v>
      </c>
      <c r="Z50" s="2">
        <v>18501.648000000001</v>
      </c>
      <c r="AA50" s="2" t="s">
        <v>115</v>
      </c>
      <c r="AB50" s="2" t="s">
        <v>76</v>
      </c>
    </row>
    <row r="51" spans="1:38">
      <c r="A51" s="6" t="s">
        <v>76</v>
      </c>
      <c r="B51" s="2" t="s">
        <v>113</v>
      </c>
      <c r="C51" s="2" t="s">
        <v>114</v>
      </c>
      <c r="D51" s="2" t="s">
        <v>117</v>
      </c>
      <c r="E51" s="2">
        <v>6.4293100000000001</v>
      </c>
      <c r="F51" s="2">
        <v>2.9270399999999999</v>
      </c>
      <c r="G51" s="2">
        <v>4.32531</v>
      </c>
      <c r="H51" s="2">
        <v>4.6914899999999999</v>
      </c>
      <c r="I51" s="14" t="s">
        <v>74</v>
      </c>
      <c r="J51" s="14" t="s">
        <v>74</v>
      </c>
      <c r="K51" s="2">
        <v>-7.4412899999999997E-3</v>
      </c>
      <c r="L51" s="2">
        <v>-8.0256600000000004E-3</v>
      </c>
      <c r="M51" s="2">
        <v>-1.46775E-2</v>
      </c>
      <c r="N51" s="14" t="s">
        <v>74</v>
      </c>
      <c r="O51" s="14" t="s">
        <v>74</v>
      </c>
      <c r="P51" s="2" t="s">
        <v>100</v>
      </c>
      <c r="Q51" s="2">
        <v>5</v>
      </c>
      <c r="R51" s="2" t="s">
        <v>70</v>
      </c>
      <c r="S51" s="2" t="s">
        <v>76</v>
      </c>
      <c r="T51" s="2">
        <v>22.392805755395685</v>
      </c>
      <c r="U51" s="2">
        <v>1.2509999999999999</v>
      </c>
      <c r="V51" s="9">
        <v>28.013400000000001</v>
      </c>
      <c r="W51" s="2">
        <v>780840</v>
      </c>
      <c r="X51" s="2" t="s">
        <v>93</v>
      </c>
      <c r="Y51" s="2">
        <v>3412</v>
      </c>
      <c r="Z51" s="2">
        <v>18501.648000000001</v>
      </c>
      <c r="AA51" s="2" t="s">
        <v>115</v>
      </c>
      <c r="AB51" s="2" t="s">
        <v>76</v>
      </c>
    </row>
    <row r="52" spans="1:38">
      <c r="A52" s="6" t="s">
        <v>76</v>
      </c>
      <c r="B52" s="2" t="s">
        <v>118</v>
      </c>
      <c r="C52" s="2" t="s">
        <v>119</v>
      </c>
      <c r="D52" s="2" t="s">
        <v>120</v>
      </c>
      <c r="E52" s="2">
        <v>-177.78880000000001</v>
      </c>
      <c r="F52" s="2">
        <v>255.5907</v>
      </c>
      <c r="G52" s="2">
        <v>146.4813</v>
      </c>
      <c r="H52" s="2">
        <v>-22.204000000000001</v>
      </c>
      <c r="I52" s="14" t="s">
        <v>74</v>
      </c>
      <c r="J52" s="14" t="s">
        <v>74</v>
      </c>
      <c r="K52" s="2">
        <v>-3.7361999999999999E-2</v>
      </c>
      <c r="L52" s="2">
        <v>1.6504000000000001E-2</v>
      </c>
      <c r="M52" s="2">
        <v>-2.0563999999999999E-3</v>
      </c>
      <c r="N52" s="14" t="s">
        <v>74</v>
      </c>
      <c r="O52" s="14" t="s">
        <v>74</v>
      </c>
      <c r="P52" s="2" t="s">
        <v>75</v>
      </c>
      <c r="Q52" s="2">
        <v>1</v>
      </c>
      <c r="R52" s="2" t="s">
        <v>70</v>
      </c>
      <c r="S52" s="2" t="s">
        <v>76</v>
      </c>
      <c r="T52" s="2">
        <v>22.392442267319804</v>
      </c>
      <c r="U52" s="2">
        <v>1.429</v>
      </c>
      <c r="V52" s="9">
        <v>31.998799999999999</v>
      </c>
      <c r="W52" s="2">
        <v>209500</v>
      </c>
      <c r="X52" s="2" t="s">
        <v>97</v>
      </c>
      <c r="Y52" s="2">
        <v>4286</v>
      </c>
      <c r="Z52" s="2">
        <v>18702.458999999999</v>
      </c>
      <c r="AA52" s="2" t="s">
        <v>115</v>
      </c>
      <c r="AB52" s="2" t="s">
        <v>76</v>
      </c>
    </row>
    <row r="53" spans="1:38">
      <c r="A53" s="6" t="s">
        <v>70</v>
      </c>
      <c r="B53" s="2" t="s">
        <v>118</v>
      </c>
      <c r="C53" s="2" t="s">
        <v>119</v>
      </c>
      <c r="D53" s="2" t="s">
        <v>121</v>
      </c>
      <c r="E53" s="2">
        <v>-139.09802999999999</v>
      </c>
      <c r="F53" s="2">
        <v>157228.79999999999</v>
      </c>
      <c r="G53" s="2">
        <v>-66371490</v>
      </c>
      <c r="H53" s="2">
        <v>12436780000</v>
      </c>
      <c r="I53" s="14">
        <v>-862106100000</v>
      </c>
      <c r="J53" s="14" t="s">
        <v>74</v>
      </c>
      <c r="K53" s="2">
        <v>-2.0573000000000001E-2</v>
      </c>
      <c r="L53" s="2">
        <v>12.141999999999999</v>
      </c>
      <c r="M53" s="2">
        <v>-2363.1</v>
      </c>
      <c r="N53" s="14" t="s">
        <v>74</v>
      </c>
      <c r="O53" s="14" t="s">
        <v>74</v>
      </c>
      <c r="P53" s="2" t="s">
        <v>75</v>
      </c>
      <c r="Q53" s="2">
        <v>4</v>
      </c>
      <c r="R53" s="2" t="s">
        <v>70</v>
      </c>
      <c r="S53" s="2" t="s">
        <v>76</v>
      </c>
      <c r="T53" s="2">
        <v>22.392442267319804</v>
      </c>
      <c r="U53" s="2">
        <v>1.429</v>
      </c>
      <c r="V53" s="9">
        <v>31.998799999999999</v>
      </c>
      <c r="W53" s="2">
        <v>209500</v>
      </c>
      <c r="X53" s="2" t="s">
        <v>122</v>
      </c>
      <c r="Y53" s="2">
        <v>4286</v>
      </c>
      <c r="Z53" s="2">
        <v>18702.458999999999</v>
      </c>
      <c r="AA53" s="2" t="s">
        <v>115</v>
      </c>
      <c r="AB53" s="2" t="s">
        <v>70</v>
      </c>
      <c r="AC53" s="2">
        <v>1</v>
      </c>
      <c r="AD53" s="16">
        <v>9.7499999999999996E-4</v>
      </c>
      <c r="AE53" s="16">
        <v>-1.4260000000000001E-5</v>
      </c>
      <c r="AF53" s="16">
        <v>6.4360000000000002E-8</v>
      </c>
      <c r="AG53" s="16"/>
    </row>
    <row r="54" spans="1:38">
      <c r="A54" s="6" t="s">
        <v>76</v>
      </c>
      <c r="B54" s="2" t="s">
        <v>118</v>
      </c>
      <c r="C54" s="2" t="s">
        <v>119</v>
      </c>
      <c r="D54" s="2" t="s">
        <v>123</v>
      </c>
      <c r="E54" s="2">
        <v>5.8081800000000001</v>
      </c>
      <c r="F54" s="2">
        <v>3.2068400000000001</v>
      </c>
      <c r="G54" s="2">
        <v>4.1189</v>
      </c>
      <c r="H54" s="2">
        <v>4.9384499999999996</v>
      </c>
      <c r="I54" s="14">
        <v>1.0156700000000001</v>
      </c>
      <c r="J54" s="14">
        <v>1.4157500000000001</v>
      </c>
      <c r="K54" s="2">
        <v>-7.0121100000000002E-3</v>
      </c>
      <c r="L54" s="2">
        <v>-7.2595799999999999E-3</v>
      </c>
      <c r="M54" s="2">
        <v>-7.9333400000000005E-3</v>
      </c>
      <c r="N54" s="14">
        <v>-5.5449100000000001E-3</v>
      </c>
      <c r="O54" s="14">
        <v>-1.3241200000000001E-7</v>
      </c>
      <c r="P54" s="2" t="s">
        <v>100</v>
      </c>
      <c r="Q54" s="2">
        <v>5</v>
      </c>
      <c r="R54" s="2" t="s">
        <v>70</v>
      </c>
      <c r="S54" s="2" t="s">
        <v>76</v>
      </c>
      <c r="T54" s="2">
        <v>22.392442267319804</v>
      </c>
      <c r="U54" s="2">
        <v>1.429</v>
      </c>
      <c r="V54" s="9">
        <v>31.998799999999999</v>
      </c>
      <c r="W54" s="2">
        <v>209500</v>
      </c>
      <c r="X54" s="2" t="s">
        <v>38</v>
      </c>
      <c r="Y54" s="2">
        <v>4286</v>
      </c>
      <c r="Z54" s="2">
        <v>18702.458999999999</v>
      </c>
      <c r="AA54" s="2" t="s">
        <v>115</v>
      </c>
      <c r="AB54" s="2" t="s">
        <v>76</v>
      </c>
    </row>
    <row r="55" spans="1:38">
      <c r="A55" s="6" t="s">
        <v>70</v>
      </c>
      <c r="B55" s="2" t="s">
        <v>124</v>
      </c>
      <c r="C55" s="2" t="s">
        <v>88</v>
      </c>
      <c r="D55" s="2" t="s">
        <v>125</v>
      </c>
      <c r="E55" s="2">
        <v>-162.83009999999999</v>
      </c>
      <c r="F55" s="2">
        <v>218.29679999999999</v>
      </c>
      <c r="G55" s="2">
        <v>90.924099999999996</v>
      </c>
      <c r="H55" s="2">
        <v>-1.4769600000000001</v>
      </c>
      <c r="I55" s="14" t="s">
        <v>74</v>
      </c>
      <c r="J55" s="14" t="s">
        <v>74</v>
      </c>
      <c r="K55" s="2">
        <v>2.5694999999999999E-2</v>
      </c>
      <c r="L55" s="2">
        <v>-2.5225000000000001E-2</v>
      </c>
      <c r="M55" s="2">
        <v>4.9867000000000002E-3</v>
      </c>
      <c r="N55" s="14" t="s">
        <v>74</v>
      </c>
      <c r="O55" s="14" t="s">
        <v>74</v>
      </c>
      <c r="P55" s="2" t="s">
        <v>126</v>
      </c>
      <c r="Q55" s="2">
        <v>2</v>
      </c>
      <c r="R55" s="2" t="s">
        <v>70</v>
      </c>
      <c r="S55" s="2" t="s">
        <v>70</v>
      </c>
      <c r="T55" s="2">
        <v>22.260748609003542</v>
      </c>
      <c r="U55" s="2">
        <v>1.9770000000000001</v>
      </c>
      <c r="V55" s="9">
        <v>44.009500000000003</v>
      </c>
      <c r="W55" s="2">
        <v>350</v>
      </c>
      <c r="X55" s="2" t="s">
        <v>127</v>
      </c>
      <c r="Y55" s="2">
        <v>5019</v>
      </c>
      <c r="Z55" s="2">
        <v>19510</v>
      </c>
      <c r="AA55" s="2" t="s">
        <v>78</v>
      </c>
      <c r="AB55" s="2" t="s">
        <v>70</v>
      </c>
      <c r="AF55" s="16"/>
      <c r="AK55" s="16"/>
      <c r="AL55" s="16"/>
    </row>
    <row r="56" spans="1:38">
      <c r="A56" s="6" t="s">
        <v>70</v>
      </c>
      <c r="B56" s="2" t="s">
        <v>128</v>
      </c>
      <c r="C56" s="2" t="s">
        <v>129</v>
      </c>
      <c r="D56" s="2" t="s">
        <v>130</v>
      </c>
      <c r="E56" s="2">
        <v>-414.3956</v>
      </c>
      <c r="F56" s="2">
        <v>599.86260000000004</v>
      </c>
      <c r="G56" s="2">
        <v>380.36360000000002</v>
      </c>
      <c r="H56" s="2">
        <v>-62.0764</v>
      </c>
      <c r="I56" s="14" t="s">
        <v>74</v>
      </c>
      <c r="J56" s="14" t="s">
        <v>74</v>
      </c>
      <c r="K56" s="2">
        <v>-6.4236000000000001E-2</v>
      </c>
      <c r="L56" s="2">
        <v>3.4979999999999997E-2</v>
      </c>
      <c r="M56" s="2">
        <v>-5.2731999999999996E-3</v>
      </c>
      <c r="N56" s="14" t="s">
        <v>74</v>
      </c>
      <c r="O56" s="14" t="s">
        <v>74</v>
      </c>
      <c r="P56" s="2" t="s">
        <v>131</v>
      </c>
      <c r="Q56" s="2">
        <v>1</v>
      </c>
      <c r="R56" s="2" t="s">
        <v>70</v>
      </c>
      <c r="S56" s="2" t="s">
        <v>70</v>
      </c>
      <c r="T56" s="2">
        <v>22.390034891835306</v>
      </c>
      <c r="U56" s="2">
        <v>0.71650000000000003</v>
      </c>
      <c r="V56" s="9">
        <v>16.042459999999998</v>
      </c>
      <c r="W56" s="2">
        <v>1.41</v>
      </c>
      <c r="X56" s="2" t="s">
        <v>132</v>
      </c>
      <c r="Y56" s="2">
        <v>3047</v>
      </c>
      <c r="Z56" s="2">
        <v>18360</v>
      </c>
      <c r="AA56" s="2" t="s">
        <v>78</v>
      </c>
      <c r="AB56" s="2" t="s">
        <v>76</v>
      </c>
    </row>
    <row r="57" spans="1:38">
      <c r="A57" s="6" t="s">
        <v>70</v>
      </c>
      <c r="B57" s="2" t="s">
        <v>133</v>
      </c>
      <c r="C57" s="2" t="s">
        <v>134</v>
      </c>
      <c r="D57" s="2" t="s">
        <v>135</v>
      </c>
      <c r="E57" s="2">
        <v>-172.49950000000001</v>
      </c>
      <c r="F57" s="2">
        <v>267.67959999999999</v>
      </c>
      <c r="G57" s="2">
        <v>161.08619999999999</v>
      </c>
      <c r="H57" s="2">
        <v>-25.6218</v>
      </c>
      <c r="I57" s="14"/>
      <c r="J57" s="14"/>
      <c r="K57" s="2">
        <v>4.6102999999999998E-2</v>
      </c>
      <c r="L57" s="2">
        <v>-4.1766999999999999E-2</v>
      </c>
      <c r="M57" s="2">
        <v>8.1890000000000001E-3</v>
      </c>
      <c r="N57" s="14"/>
      <c r="O57" s="14"/>
      <c r="P57" s="2" t="s">
        <v>131</v>
      </c>
      <c r="Q57" s="2">
        <v>1</v>
      </c>
      <c r="R57" s="2" t="s">
        <v>70</v>
      </c>
      <c r="S57" s="2" t="s">
        <v>70</v>
      </c>
      <c r="T57" s="2">
        <v>22.390087929656278</v>
      </c>
      <c r="U57" s="2">
        <v>1.2509999999999999</v>
      </c>
      <c r="V57" s="2">
        <v>28.01</v>
      </c>
      <c r="W57" s="2">
        <v>0.11</v>
      </c>
      <c r="X57" s="2" t="s">
        <v>132</v>
      </c>
      <c r="AB57" s="2" t="s">
        <v>76</v>
      </c>
    </row>
    <row r="58" spans="1:38">
      <c r="A58" s="6" t="s">
        <v>70</v>
      </c>
      <c r="B58" s="2" t="s">
        <v>136</v>
      </c>
      <c r="C58" s="2" t="s">
        <v>137</v>
      </c>
      <c r="D58" s="2" t="s">
        <v>138</v>
      </c>
      <c r="E58" s="2">
        <v>-317.19819999999999</v>
      </c>
      <c r="F58" s="2">
        <v>459.7398</v>
      </c>
      <c r="G58" s="2">
        <v>299.26</v>
      </c>
      <c r="H58" s="2">
        <v>-49.394599999999997</v>
      </c>
      <c r="I58" s="14" t="s">
        <v>74</v>
      </c>
      <c r="J58" s="14" t="s">
        <v>74</v>
      </c>
      <c r="K58" s="2">
        <v>-7.4473999999999999E-2</v>
      </c>
      <c r="L58" s="2">
        <v>4.3362999999999999E-2</v>
      </c>
      <c r="M58" s="2">
        <v>-6.7419999999999997E-3</v>
      </c>
      <c r="N58" s="14" t="s">
        <v>74</v>
      </c>
      <c r="O58" s="14" t="s">
        <v>74</v>
      </c>
      <c r="P58" s="2" t="s">
        <v>131</v>
      </c>
      <c r="Q58" s="2">
        <v>1</v>
      </c>
      <c r="R58" s="2" t="s">
        <v>70</v>
      </c>
      <c r="S58" s="2" t="s">
        <v>70</v>
      </c>
      <c r="T58" s="2">
        <v>22.428571428571431</v>
      </c>
      <c r="U58" s="2">
        <v>8.9880000000000002E-2</v>
      </c>
      <c r="V58" s="2">
        <v>2.0158800000000001</v>
      </c>
      <c r="W58" s="2">
        <v>0.57999999999999996</v>
      </c>
      <c r="X58" s="2" t="s">
        <v>132</v>
      </c>
      <c r="Y58" s="2">
        <v>3338</v>
      </c>
      <c r="Z58" s="2">
        <v>16060</v>
      </c>
      <c r="AA58" s="2" t="s">
        <v>78</v>
      </c>
      <c r="AB58" s="2" t="s">
        <v>76</v>
      </c>
    </row>
    <row r="59" spans="1:38">
      <c r="A59" s="6" t="s">
        <v>70</v>
      </c>
      <c r="B59" s="2" t="s">
        <v>139</v>
      </c>
      <c r="C59" s="2" t="s">
        <v>89</v>
      </c>
      <c r="D59" s="2" t="s">
        <v>140</v>
      </c>
      <c r="E59" s="2">
        <v>-168.24590000000001</v>
      </c>
      <c r="F59" s="2">
        <v>226.08940000000001</v>
      </c>
      <c r="G59" s="2">
        <v>93.281700000000001</v>
      </c>
      <c r="H59" s="2">
        <v>-1.4869300000000001</v>
      </c>
      <c r="I59" s="14" t="s">
        <v>74</v>
      </c>
      <c r="J59" s="14" t="s">
        <v>74</v>
      </c>
      <c r="K59" s="2">
        <v>-6.0360999999999998E-2</v>
      </c>
      <c r="L59" s="2">
        <v>3.3765000000000003E-2</v>
      </c>
      <c r="M59" s="2">
        <v>-5.1862000000000002E-3</v>
      </c>
      <c r="N59" s="14" t="s">
        <v>74</v>
      </c>
      <c r="O59" s="14" t="s">
        <v>74</v>
      </c>
      <c r="P59" s="2" t="s">
        <v>126</v>
      </c>
      <c r="Q59" s="2">
        <v>2</v>
      </c>
      <c r="R59" s="2" t="s">
        <v>70</v>
      </c>
      <c r="S59" s="2" t="s">
        <v>70</v>
      </c>
      <c r="T59" s="2">
        <f>V59/U59</f>
        <v>22.262417804754676</v>
      </c>
      <c r="U59" s="2">
        <v>1.9770000000000001</v>
      </c>
      <c r="V59" s="2">
        <v>44.012799999999999</v>
      </c>
      <c r="W59" s="2">
        <v>0.32</v>
      </c>
      <c r="X59" s="2" t="s">
        <v>127</v>
      </c>
      <c r="Y59" s="2">
        <v>5019</v>
      </c>
      <c r="Z59" s="2">
        <v>19510</v>
      </c>
      <c r="AA59" s="2" t="s">
        <v>78</v>
      </c>
      <c r="AB59" s="2" t="s">
        <v>70</v>
      </c>
      <c r="AC59" s="2">
        <v>2</v>
      </c>
      <c r="AD59" s="2">
        <v>4.7390000000000002E-2</v>
      </c>
      <c r="AE59" s="2">
        <v>-9.4563000000000006</v>
      </c>
      <c r="AF59" s="16">
        <v>-6.4270000000000006E-5</v>
      </c>
      <c r="AH59" s="2">
        <v>32.299999999999997</v>
      </c>
    </row>
    <row r="60" spans="1:38" ht="18">
      <c r="A60" s="6" t="s">
        <v>70</v>
      </c>
      <c r="B60" s="2" t="s">
        <v>141</v>
      </c>
      <c r="C60" s="2" t="s">
        <v>142</v>
      </c>
      <c r="D60" s="2" t="s">
        <v>143</v>
      </c>
      <c r="E60" s="2">
        <v>-136.26849999999999</v>
      </c>
      <c r="F60" s="2">
        <v>206.11500000000001</v>
      </c>
      <c r="G60" s="2">
        <v>57.280500000000004</v>
      </c>
      <c r="H60" s="2" t="s">
        <v>74</v>
      </c>
      <c r="I60" s="14" t="s">
        <v>74</v>
      </c>
      <c r="J60" s="14" t="s">
        <v>74</v>
      </c>
      <c r="K60" s="2">
        <v>-0.14859800000000001</v>
      </c>
      <c r="L60" s="2">
        <v>9.5114000000000004E-2</v>
      </c>
      <c r="M60" s="2">
        <v>-1.6339599999999999E-2</v>
      </c>
      <c r="N60" s="14" t="s">
        <v>74</v>
      </c>
      <c r="O60" s="14" t="s">
        <v>74</v>
      </c>
      <c r="P60" s="2" t="s">
        <v>126</v>
      </c>
      <c r="Q60" s="2">
        <v>1</v>
      </c>
      <c r="R60" s="2" t="s">
        <v>76</v>
      </c>
      <c r="S60" s="2" t="s">
        <v>70</v>
      </c>
      <c r="T60" s="2">
        <v>21.595112751050191</v>
      </c>
      <c r="U60" s="2">
        <v>6.3611615083287569</v>
      </c>
      <c r="V60" s="2">
        <v>137.37</v>
      </c>
      <c r="W60" s="2">
        <f>232/1000000</f>
        <v>2.32E-4</v>
      </c>
      <c r="X60" s="2" t="s">
        <v>144</v>
      </c>
      <c r="Y60" s="2">
        <v>22331</v>
      </c>
      <c r="Z60" s="2">
        <v>18100</v>
      </c>
      <c r="AA60" s="2" t="s">
        <v>145</v>
      </c>
      <c r="AB60" s="2" t="s">
        <v>76</v>
      </c>
    </row>
    <row r="61" spans="1:38" ht="18">
      <c r="A61" s="6" t="s">
        <v>70</v>
      </c>
      <c r="B61" s="2" t="s">
        <v>146</v>
      </c>
      <c r="C61" s="2" t="s">
        <v>147</v>
      </c>
      <c r="D61" s="2" t="s">
        <v>148</v>
      </c>
      <c r="E61" s="2">
        <v>-124.4395</v>
      </c>
      <c r="F61" s="2">
        <v>185.4299</v>
      </c>
      <c r="G61" s="2">
        <v>51.638300000000001</v>
      </c>
      <c r="H61" s="2" t="s">
        <v>74</v>
      </c>
      <c r="I61" s="14" t="s">
        <v>74</v>
      </c>
      <c r="J61" s="14" t="s">
        <v>74</v>
      </c>
      <c r="K61" s="2">
        <v>-0.149779</v>
      </c>
      <c r="L61" s="2">
        <v>9.4668000000000002E-2</v>
      </c>
      <c r="M61" s="2">
        <v>-1.6004299999999999E-2</v>
      </c>
      <c r="N61" s="14" t="s">
        <v>74</v>
      </c>
      <c r="O61" s="14" t="s">
        <v>74</v>
      </c>
      <c r="P61" s="2" t="s">
        <v>126</v>
      </c>
      <c r="Q61" s="2">
        <v>1</v>
      </c>
      <c r="R61" s="2" t="s">
        <v>76</v>
      </c>
      <c r="S61" s="2" t="s">
        <v>70</v>
      </c>
      <c r="T61" s="2">
        <v>21.935214413408325</v>
      </c>
      <c r="U61" s="2">
        <v>5.5121412410763311</v>
      </c>
      <c r="V61" s="2">
        <v>120.91</v>
      </c>
      <c r="W61" s="2">
        <f>516/1000000</f>
        <v>5.1599999999999997E-4</v>
      </c>
      <c r="X61" s="2" t="s">
        <v>144</v>
      </c>
      <c r="Y61" s="2">
        <v>3600</v>
      </c>
      <c r="Z61" s="2">
        <v>20100</v>
      </c>
      <c r="AA61" s="2" t="s">
        <v>145</v>
      </c>
      <c r="AB61" s="2" t="s">
        <v>76</v>
      </c>
    </row>
    <row r="62" spans="1:38" ht="18">
      <c r="A62" s="6" t="s">
        <v>70</v>
      </c>
      <c r="B62" s="2" t="s">
        <v>149</v>
      </c>
      <c r="C62" s="2" t="s">
        <v>150</v>
      </c>
      <c r="D62" s="2" t="s">
        <v>151</v>
      </c>
      <c r="E62" s="2">
        <v>-136.12899999999999</v>
      </c>
      <c r="F62" s="2">
        <v>206.47499999999999</v>
      </c>
      <c r="G62" s="2">
        <v>55.895699999999998</v>
      </c>
      <c r="H62" s="2" t="s">
        <v>74</v>
      </c>
      <c r="I62" s="14" t="s">
        <v>74</v>
      </c>
      <c r="J62" s="14" t="s">
        <v>74</v>
      </c>
      <c r="K62" s="2">
        <v>-2.7539999999999999E-2</v>
      </c>
      <c r="L62" s="2">
        <v>6.0330000000000002E-3</v>
      </c>
      <c r="M62" s="2" t="s">
        <v>74</v>
      </c>
      <c r="N62" s="14" t="s">
        <v>74</v>
      </c>
      <c r="O62" s="14" t="s">
        <v>74</v>
      </c>
      <c r="P62" s="2" t="s">
        <v>126</v>
      </c>
      <c r="Q62" s="2">
        <v>1</v>
      </c>
      <c r="R62" s="2" t="s">
        <v>76</v>
      </c>
      <c r="S62" s="2" t="s">
        <v>70</v>
      </c>
      <c r="T62" s="2">
        <v>21.491902248776974</v>
      </c>
      <c r="U62" s="2">
        <v>8.7186326194398696</v>
      </c>
      <c r="V62" s="2">
        <v>187.38</v>
      </c>
      <c r="W62" s="2">
        <f>72/1000000</f>
        <v>7.2000000000000002E-5</v>
      </c>
      <c r="X62" s="2" t="s">
        <v>152</v>
      </c>
      <c r="AB62" s="2" t="s">
        <v>76</v>
      </c>
    </row>
    <row r="63" spans="1:38">
      <c r="A63" s="6" t="s">
        <v>70</v>
      </c>
      <c r="B63" s="2" t="s">
        <v>153</v>
      </c>
      <c r="C63" s="2" t="s">
        <v>154</v>
      </c>
      <c r="D63" s="2" t="s">
        <v>155</v>
      </c>
      <c r="E63" s="2">
        <v>-98.726399999999998</v>
      </c>
      <c r="F63" s="2">
        <v>142.803</v>
      </c>
      <c r="G63" s="2">
        <v>38.874600000000001</v>
      </c>
      <c r="H63" s="2" t="s">
        <v>74</v>
      </c>
      <c r="I63" s="14" t="s">
        <v>74</v>
      </c>
      <c r="J63" s="14" t="s">
        <v>74</v>
      </c>
      <c r="K63" s="2">
        <v>2.68696E-2</v>
      </c>
      <c r="L63" s="2">
        <v>-3.3440699999999997E-2</v>
      </c>
      <c r="M63" s="2">
        <v>7.0843E-3</v>
      </c>
      <c r="N63" s="14" t="s">
        <v>74</v>
      </c>
      <c r="O63" s="14" t="s">
        <v>74</v>
      </c>
      <c r="P63" s="2" t="s">
        <v>126</v>
      </c>
      <c r="Q63" s="2">
        <v>1</v>
      </c>
      <c r="R63" s="2" t="s">
        <v>76</v>
      </c>
      <c r="S63" s="2" t="s">
        <v>70</v>
      </c>
      <c r="T63" s="2">
        <v>22.16387741414858</v>
      </c>
      <c r="U63" s="2">
        <v>6.5895698334248571</v>
      </c>
      <c r="V63" s="2">
        <v>146.05041800000001</v>
      </c>
      <c r="W63" s="2">
        <f>8.6/1000000</f>
        <v>8.599999999999999E-6</v>
      </c>
      <c r="X63" s="2" t="s">
        <v>156</v>
      </c>
      <c r="Y63" s="2">
        <v>2.9000000000000001E-2</v>
      </c>
      <c r="Z63" s="2">
        <v>19.3</v>
      </c>
      <c r="AA63" s="2" t="s">
        <v>157</v>
      </c>
      <c r="AB63" s="2" t="s">
        <v>76</v>
      </c>
    </row>
    <row r="64" spans="1:38" ht="18">
      <c r="A64" s="6" t="s">
        <v>76</v>
      </c>
      <c r="B64" s="2" t="s">
        <v>158</v>
      </c>
      <c r="C64" s="2" t="s">
        <v>159</v>
      </c>
      <c r="D64" s="2" t="s">
        <v>160</v>
      </c>
      <c r="E64" s="2">
        <v>-89.858599999999996</v>
      </c>
      <c r="F64" s="2">
        <v>140.17019999999999</v>
      </c>
      <c r="G64" s="2">
        <v>36.377600000000001</v>
      </c>
      <c r="H64" s="2" t="s">
        <v>74</v>
      </c>
      <c r="I64" s="14" t="s">
        <v>74</v>
      </c>
      <c r="J64" s="14" t="s">
        <v>74</v>
      </c>
      <c r="K64" s="2" t="s">
        <v>74</v>
      </c>
      <c r="L64" s="2" t="s">
        <v>74</v>
      </c>
      <c r="M64" s="2" t="s">
        <v>74</v>
      </c>
      <c r="N64" s="14" t="s">
        <v>74</v>
      </c>
      <c r="O64" s="14" t="s">
        <v>74</v>
      </c>
      <c r="P64" s="2" t="s">
        <v>86</v>
      </c>
      <c r="Q64" s="2">
        <v>1</v>
      </c>
      <c r="R64" s="2" t="s">
        <v>76</v>
      </c>
      <c r="S64" s="2" t="s">
        <v>70</v>
      </c>
      <c r="T64" s="2">
        <v>22.01052413752328</v>
      </c>
      <c r="U64" s="2">
        <v>6.7653999999999996</v>
      </c>
      <c r="V64" s="2">
        <v>148.91</v>
      </c>
      <c r="W64" s="2">
        <f>33/1000000</f>
        <v>3.3000000000000003E-5</v>
      </c>
      <c r="X64" s="2" t="s">
        <v>161</v>
      </c>
      <c r="AB64" s="2" t="s">
        <v>76</v>
      </c>
    </row>
    <row r="65" spans="1:31" ht="18">
      <c r="A65" s="6" t="s">
        <v>70</v>
      </c>
      <c r="B65" s="2" t="s">
        <v>158</v>
      </c>
      <c r="C65" s="2" t="s">
        <v>159</v>
      </c>
      <c r="D65" s="2" t="s">
        <v>162</v>
      </c>
      <c r="E65" s="2">
        <v>-91.878</v>
      </c>
      <c r="F65" s="2">
        <v>139.001</v>
      </c>
      <c r="G65" s="2">
        <v>35.478000000000002</v>
      </c>
      <c r="H65" s="2" t="s">
        <v>74</v>
      </c>
      <c r="I65" s="14" t="s">
        <v>74</v>
      </c>
      <c r="J65" s="14" t="s">
        <v>74</v>
      </c>
      <c r="K65" s="2" t="s">
        <v>74</v>
      </c>
      <c r="L65" s="2" t="s">
        <v>74</v>
      </c>
      <c r="M65" s="2" t="s">
        <v>74</v>
      </c>
      <c r="N65" s="14" t="s">
        <v>74</v>
      </c>
      <c r="O65" s="14" t="s">
        <v>74</v>
      </c>
      <c r="P65" s="2" t="s">
        <v>163</v>
      </c>
      <c r="Q65" s="2">
        <v>1</v>
      </c>
      <c r="R65" s="2" t="s">
        <v>76</v>
      </c>
      <c r="S65" s="2" t="s">
        <v>70</v>
      </c>
      <c r="T65" s="2">
        <v>22.01052413752328</v>
      </c>
      <c r="U65" s="2">
        <v>6.7653999999999996</v>
      </c>
      <c r="V65" s="2">
        <v>148.91</v>
      </c>
      <c r="W65" s="2">
        <f>33/1000000</f>
        <v>3.3000000000000003E-5</v>
      </c>
      <c r="X65" s="2" t="s">
        <v>164</v>
      </c>
      <c r="AB65" s="2" t="s">
        <v>76</v>
      </c>
    </row>
    <row r="66" spans="1:31" ht="18">
      <c r="A66" s="6" t="s">
        <v>76</v>
      </c>
      <c r="B66" s="2" t="s">
        <v>158</v>
      </c>
      <c r="C66" s="2" t="s">
        <v>159</v>
      </c>
      <c r="D66" s="2" t="s">
        <v>165</v>
      </c>
      <c r="E66" s="2">
        <v>-92.968299999999999</v>
      </c>
      <c r="F66" s="2">
        <v>140.17019999999999</v>
      </c>
      <c r="G66" s="2">
        <v>36.377600000000001</v>
      </c>
      <c r="H66" s="2" t="s">
        <v>74</v>
      </c>
      <c r="I66" s="14" t="s">
        <v>74</v>
      </c>
      <c r="J66" s="14" t="s">
        <v>74</v>
      </c>
      <c r="K66" s="2" t="s">
        <v>74</v>
      </c>
      <c r="L66" s="2" t="s">
        <v>74</v>
      </c>
      <c r="M66" s="2" t="s">
        <v>74</v>
      </c>
      <c r="N66" s="14" t="s">
        <v>74</v>
      </c>
      <c r="O66" s="14" t="s">
        <v>74</v>
      </c>
      <c r="P66" s="2" t="s">
        <v>163</v>
      </c>
      <c r="Q66" s="2">
        <v>1</v>
      </c>
      <c r="R66" s="2" t="s">
        <v>76</v>
      </c>
      <c r="S66" s="2" t="s">
        <v>70</v>
      </c>
      <c r="T66" s="2">
        <v>22.01052413752328</v>
      </c>
      <c r="U66" s="2">
        <v>6.7653999999999996</v>
      </c>
      <c r="V66" s="2">
        <v>148.91</v>
      </c>
      <c r="W66" s="2">
        <f>33/1000000</f>
        <v>3.3000000000000003E-5</v>
      </c>
      <c r="X66" s="2" t="s">
        <v>164</v>
      </c>
      <c r="AB66" s="2" t="s">
        <v>76</v>
      </c>
    </row>
    <row r="67" spans="1:31">
      <c r="A67" s="6"/>
      <c r="B67" s="17"/>
      <c r="C67" s="18"/>
      <c r="D67" s="18"/>
      <c r="E67" s="18"/>
      <c r="F67" s="18"/>
      <c r="G67" s="18"/>
      <c r="H67" s="18"/>
      <c r="I67" s="18"/>
      <c r="J67" s="18"/>
      <c r="K67" s="19"/>
      <c r="L67" s="19"/>
      <c r="M67" s="19"/>
    </row>
    <row r="68" spans="1:31">
      <c r="A68" s="6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6"/>
      <c r="D69" s="14"/>
      <c r="T69" s="9"/>
    </row>
    <row r="70" spans="1:31">
      <c r="A70" s="6"/>
      <c r="T70" s="9"/>
      <c r="U70" s="20"/>
    </row>
    <row r="71" spans="1:31">
      <c r="A71" s="6"/>
      <c r="T71" s="9"/>
    </row>
    <row r="72" spans="1:31">
      <c r="A72" s="6"/>
      <c r="T72" s="9"/>
    </row>
    <row r="73" spans="1:31">
      <c r="A73" s="6"/>
      <c r="T73" s="9"/>
    </row>
    <row r="74" spans="1:31">
      <c r="A74" s="6"/>
      <c r="T74" s="9"/>
    </row>
    <row r="75" spans="1:31">
      <c r="A75" s="6"/>
      <c r="T75" s="9"/>
    </row>
    <row r="76" spans="1:31">
      <c r="A76" s="6"/>
    </row>
    <row r="77" spans="1:31">
      <c r="A77" s="6"/>
    </row>
    <row r="78" spans="1:31">
      <c r="A78" s="6"/>
    </row>
    <row r="79" spans="1:31">
      <c r="A79" s="6"/>
    </row>
    <row r="80" spans="1:3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</sheetData>
  <mergeCells count="16">
    <mergeCell ref="B13:I13"/>
    <mergeCell ref="C6:G6"/>
    <mergeCell ref="C7:G7"/>
    <mergeCell ref="C8:G8"/>
    <mergeCell ref="C9:G9"/>
    <mergeCell ref="B12:I12"/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</mergeCells>
  <conditionalFormatting sqref="A49:A95 A31:A32 A34:A38 A40:A42 A44:A45 A47">
    <cfRule type="cellIs" dxfId="5" priority="10" operator="equal">
      <formula>"Yes"</formula>
    </cfRule>
  </conditionalFormatting>
  <conditionalFormatting sqref="A33">
    <cfRule type="cellIs" dxfId="4" priority="5" operator="equal">
      <formula>"Yes"</formula>
    </cfRule>
  </conditionalFormatting>
  <conditionalFormatting sqref="A39">
    <cfRule type="cellIs" dxfId="3" priority="4" operator="equal">
      <formula>"Yes"</formula>
    </cfRule>
  </conditionalFormatting>
  <conditionalFormatting sqref="A43">
    <cfRule type="cellIs" dxfId="2" priority="3" operator="equal">
      <formula>"Yes"</formula>
    </cfRule>
  </conditionalFormatting>
  <conditionalFormatting sqref="A46">
    <cfRule type="cellIs" dxfId="1" priority="2" operator="equal">
      <formula>"Yes"</formula>
    </cfRule>
  </conditionalFormatting>
  <conditionalFormatting sqref="A48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8"/>
  <sheetViews>
    <sheetView tabSelected="1" workbookViewId="0">
      <pane ySplit="3" topLeftCell="A4" activePane="bottomLeft" state="frozen"/>
      <selection pane="bottomLeft" activeCell="A4" sqref="A4:XFD8"/>
    </sheetView>
  </sheetViews>
  <sheetFormatPr defaultColWidth="9.33203125" defaultRowHeight="15"/>
  <cols>
    <col min="1" max="1" width="14.33203125" style="21" bestFit="1" customWidth="1"/>
    <col min="2" max="2" width="12.83203125" style="21" bestFit="1" customWidth="1"/>
    <col min="3" max="3" width="19" style="21" bestFit="1" customWidth="1"/>
    <col min="4" max="4" width="15" style="22" bestFit="1" customWidth="1"/>
    <col min="5" max="5" width="15.33203125" style="21" customWidth="1"/>
    <col min="6" max="6" width="10.6640625" style="21" customWidth="1"/>
    <col min="7" max="7" width="11.6640625" style="21" customWidth="1"/>
    <col min="8" max="10" width="9.33203125" style="21"/>
    <col min="11" max="11" width="11" style="21" customWidth="1"/>
    <col min="12" max="12" width="14.1640625" style="21" bestFit="1" customWidth="1"/>
    <col min="13" max="16384" width="9.33203125" style="21"/>
  </cols>
  <sheetData>
    <row r="1" spans="1:62" ht="15.75" thickBot="1">
      <c r="A1" s="45" t="s">
        <v>166</v>
      </c>
      <c r="B1" s="45"/>
      <c r="C1" s="45"/>
      <c r="D1" s="45"/>
      <c r="E1" s="45" t="s">
        <v>208</v>
      </c>
      <c r="F1" s="45"/>
      <c r="G1" s="45"/>
      <c r="H1" s="45"/>
      <c r="I1" s="45"/>
      <c r="J1" s="45"/>
      <c r="K1" s="45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 ht="15" customHeight="1">
      <c r="A2" s="46" t="s">
        <v>168</v>
      </c>
      <c r="B2" s="46" t="s">
        <v>169</v>
      </c>
      <c r="C2" s="46" t="s">
        <v>170</v>
      </c>
      <c r="D2" s="48" t="s">
        <v>171</v>
      </c>
      <c r="E2" s="46" t="s">
        <v>172</v>
      </c>
      <c r="F2" s="46" t="s">
        <v>229</v>
      </c>
      <c r="G2" s="46" t="s">
        <v>230</v>
      </c>
      <c r="H2" s="46" t="s">
        <v>231</v>
      </c>
      <c r="I2" s="46" t="s">
        <v>232</v>
      </c>
      <c r="J2" s="46" t="s">
        <v>173</v>
      </c>
      <c r="K2" s="46" t="s">
        <v>233</v>
      </c>
      <c r="L2" s="36" t="s">
        <v>72</v>
      </c>
      <c r="M2" s="36" t="s">
        <v>174</v>
      </c>
      <c r="N2" s="36" t="s">
        <v>83</v>
      </c>
      <c r="O2" s="36" t="s">
        <v>175</v>
      </c>
      <c r="P2" s="36" t="s">
        <v>95</v>
      </c>
      <c r="Q2" s="36" t="s">
        <v>176</v>
      </c>
      <c r="R2" s="36" t="s">
        <v>104</v>
      </c>
      <c r="S2" s="36" t="s">
        <v>177</v>
      </c>
      <c r="T2" s="36" t="s">
        <v>110</v>
      </c>
      <c r="U2" s="36" t="s">
        <v>178</v>
      </c>
      <c r="V2" s="36" t="s">
        <v>114</v>
      </c>
      <c r="W2" s="36" t="s">
        <v>179</v>
      </c>
      <c r="X2" s="36" t="s">
        <v>95</v>
      </c>
      <c r="Y2" s="36" t="s">
        <v>176</v>
      </c>
      <c r="Z2" s="36" t="s">
        <v>114</v>
      </c>
      <c r="AA2" s="36" t="s">
        <v>179</v>
      </c>
      <c r="AB2" s="36" t="s">
        <v>119</v>
      </c>
      <c r="AC2" s="36" t="s">
        <v>180</v>
      </c>
      <c r="AD2" s="36" t="s">
        <v>88</v>
      </c>
      <c r="AE2" s="36" t="s">
        <v>181</v>
      </c>
      <c r="AF2" s="36" t="s">
        <v>129</v>
      </c>
      <c r="AG2" s="36" t="s">
        <v>182</v>
      </c>
      <c r="AH2" s="36" t="s">
        <v>137</v>
      </c>
      <c r="AI2" s="36" t="s">
        <v>183</v>
      </c>
      <c r="AJ2" s="36" t="s">
        <v>89</v>
      </c>
      <c r="AK2" s="36" t="s">
        <v>222</v>
      </c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39.75" customHeight="1" thickBot="1">
      <c r="A3" s="47"/>
      <c r="B3" s="47"/>
      <c r="C3" s="47"/>
      <c r="D3" s="49"/>
      <c r="E3" s="47"/>
      <c r="F3" s="47" t="s">
        <v>185</v>
      </c>
      <c r="G3" s="47" t="s">
        <v>186</v>
      </c>
      <c r="H3" s="47" t="s">
        <v>187</v>
      </c>
      <c r="I3" s="47" t="s">
        <v>188</v>
      </c>
      <c r="J3" s="47" t="s">
        <v>189</v>
      </c>
      <c r="K3" s="47" t="s">
        <v>190</v>
      </c>
      <c r="L3" s="37" t="s">
        <v>191</v>
      </c>
      <c r="M3" s="37"/>
      <c r="N3" s="37" t="s">
        <v>191</v>
      </c>
      <c r="O3" s="37"/>
      <c r="P3" s="37" t="s">
        <v>191</v>
      </c>
      <c r="Q3" s="37"/>
      <c r="R3" s="37" t="s">
        <v>191</v>
      </c>
      <c r="S3" s="37"/>
      <c r="T3" s="37" t="s">
        <v>191</v>
      </c>
      <c r="U3" s="37"/>
      <c r="V3" s="37" t="s">
        <v>191</v>
      </c>
      <c r="W3" s="37"/>
      <c r="X3" s="37" t="s">
        <v>192</v>
      </c>
      <c r="Y3" s="37"/>
      <c r="Z3" s="37" t="s">
        <v>192</v>
      </c>
      <c r="AA3" s="37"/>
      <c r="AB3" s="37" t="s">
        <v>192</v>
      </c>
      <c r="AC3" s="37"/>
      <c r="AD3" s="37" t="s">
        <v>192</v>
      </c>
      <c r="AE3" s="37"/>
      <c r="AF3" s="37" t="s">
        <v>192</v>
      </c>
      <c r="AG3" s="37"/>
      <c r="AH3" s="37" t="s">
        <v>192</v>
      </c>
      <c r="AI3" s="37"/>
      <c r="AJ3" s="37" t="s">
        <v>192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  <row r="4" spans="1:62" ht="15.75">
      <c r="A4" s="56" t="s">
        <v>234</v>
      </c>
      <c r="B4" s="56" t="s">
        <v>235</v>
      </c>
      <c r="C4" s="56" t="s">
        <v>236</v>
      </c>
      <c r="D4" s="57"/>
      <c r="F4" s="58">
        <v>1.07</v>
      </c>
      <c r="G4" s="58">
        <v>88</v>
      </c>
      <c r="H4" s="59">
        <v>5</v>
      </c>
      <c r="I4" s="60">
        <v>3</v>
      </c>
      <c r="J4" s="60">
        <v>1.5</v>
      </c>
      <c r="K4" s="60">
        <v>0</v>
      </c>
      <c r="L4" s="61">
        <v>4.4280000000000003E-8</v>
      </c>
      <c r="M4" s="61">
        <v>4.4280000000000001E-10</v>
      </c>
      <c r="N4" s="62">
        <v>1.7319999999999999E-7</v>
      </c>
      <c r="O4" s="63">
        <v>1.5588E-9</v>
      </c>
      <c r="P4" s="62">
        <v>3.6200000000000002E-4</v>
      </c>
      <c r="Q4" s="63">
        <v>2.8960000000000003E-6</v>
      </c>
      <c r="R4" s="62">
        <v>8.6300000000000012E-8</v>
      </c>
      <c r="S4" s="63">
        <v>8.6300000000000023E-10</v>
      </c>
      <c r="T4" s="62">
        <v>1.2989999999999999E-8</v>
      </c>
      <c r="U4" s="63">
        <v>2.4681E-10</v>
      </c>
      <c r="V4" s="61"/>
      <c r="W4" s="64"/>
      <c r="X4" s="65"/>
      <c r="Y4" s="65"/>
      <c r="Z4" s="65"/>
      <c r="AA4" s="66"/>
      <c r="AB4" s="65"/>
      <c r="AC4" s="66"/>
      <c r="AD4" s="66"/>
      <c r="AE4" s="65"/>
      <c r="AF4" s="65"/>
      <c r="AG4" s="65"/>
      <c r="AH4" s="67"/>
      <c r="AI4" s="68"/>
      <c r="AJ4" s="69"/>
    </row>
    <row r="5" spans="1:62" ht="15.75">
      <c r="A5" s="56" t="s">
        <v>234</v>
      </c>
      <c r="B5" s="56" t="s">
        <v>235</v>
      </c>
      <c r="C5" s="56" t="s">
        <v>236</v>
      </c>
      <c r="D5" s="57"/>
      <c r="F5" s="58">
        <v>1.43</v>
      </c>
      <c r="G5" s="58">
        <v>88</v>
      </c>
      <c r="H5" s="59">
        <v>5</v>
      </c>
      <c r="I5" s="60">
        <v>3</v>
      </c>
      <c r="J5" s="60">
        <v>1.5</v>
      </c>
      <c r="K5" s="60">
        <v>0</v>
      </c>
      <c r="L5" s="61">
        <v>4.5069999999999999E-8</v>
      </c>
      <c r="M5" s="61">
        <v>4.507E-10</v>
      </c>
      <c r="N5" s="61">
        <v>1.314E-7</v>
      </c>
      <c r="O5" s="61">
        <v>1.1826E-9</v>
      </c>
      <c r="P5" s="61">
        <v>3.166E-4</v>
      </c>
      <c r="Q5" s="61">
        <v>2.5328000000000001E-6</v>
      </c>
      <c r="R5" s="61">
        <v>8.0280000000000002E-8</v>
      </c>
      <c r="S5" s="61">
        <v>8.0280000000000006E-10</v>
      </c>
      <c r="T5" s="61">
        <v>1.294E-8</v>
      </c>
      <c r="U5" s="61">
        <v>2.4586000000000002E-10</v>
      </c>
      <c r="V5" s="64"/>
      <c r="W5" s="64"/>
      <c r="X5" s="65"/>
      <c r="Y5" s="65"/>
      <c r="Z5" s="65"/>
      <c r="AA5" s="66"/>
      <c r="AB5" s="65"/>
      <c r="AC5" s="66"/>
      <c r="AD5" s="66"/>
      <c r="AE5" s="65"/>
      <c r="AF5" s="65"/>
      <c r="AG5" s="65"/>
      <c r="AH5" s="67"/>
      <c r="AI5" s="68"/>
      <c r="AJ5" s="69"/>
    </row>
    <row r="6" spans="1:62" ht="15.75">
      <c r="A6" s="56" t="s">
        <v>234</v>
      </c>
      <c r="B6" s="56" t="s">
        <v>235</v>
      </c>
      <c r="C6" s="56" t="s">
        <v>236</v>
      </c>
      <c r="D6" s="57"/>
      <c r="F6" s="58">
        <v>1.45</v>
      </c>
      <c r="G6" s="58">
        <v>88</v>
      </c>
      <c r="H6" s="59">
        <v>5</v>
      </c>
      <c r="I6" s="60">
        <v>3</v>
      </c>
      <c r="J6" s="60">
        <v>1.5</v>
      </c>
      <c r="K6" s="60">
        <v>0</v>
      </c>
      <c r="L6" s="61">
        <v>4.4500000000000001E-8</v>
      </c>
      <c r="M6" s="61">
        <v>4.4500000000000007E-10</v>
      </c>
      <c r="N6" s="61">
        <v>1.3009999999999998E-7</v>
      </c>
      <c r="O6" s="61">
        <v>1.1709E-9</v>
      </c>
      <c r="P6" s="61">
        <v>3.1130000000000003E-4</v>
      </c>
      <c r="Q6" s="61">
        <v>2.4903999999999999E-6</v>
      </c>
      <c r="R6" s="61">
        <v>7.8230000000000006E-8</v>
      </c>
      <c r="S6" s="61">
        <v>7.8230000000000008E-10</v>
      </c>
      <c r="T6" s="61">
        <v>1.2929999999999999E-8</v>
      </c>
      <c r="U6" s="61">
        <v>2.4566999999999999E-10</v>
      </c>
      <c r="V6" s="64"/>
      <c r="W6" s="64"/>
      <c r="X6" s="65"/>
      <c r="Y6" s="65"/>
      <c r="Z6" s="65"/>
      <c r="AA6" s="66"/>
      <c r="AB6" s="65"/>
      <c r="AC6" s="66"/>
      <c r="AD6" s="66"/>
      <c r="AE6" s="65"/>
      <c r="AF6" s="65"/>
      <c r="AG6" s="65"/>
      <c r="AH6" s="67"/>
      <c r="AI6" s="68"/>
      <c r="AJ6" s="69"/>
    </row>
    <row r="7" spans="1:62" ht="15.75">
      <c r="A7" s="56" t="s">
        <v>234</v>
      </c>
      <c r="B7" s="56" t="s">
        <v>235</v>
      </c>
      <c r="C7" s="56" t="s">
        <v>237</v>
      </c>
      <c r="D7" s="57"/>
      <c r="F7" s="58">
        <v>1.1000000000000001</v>
      </c>
      <c r="G7" s="58">
        <v>88</v>
      </c>
      <c r="H7" s="59">
        <v>5</v>
      </c>
      <c r="I7" s="60">
        <v>3</v>
      </c>
      <c r="J7" s="60">
        <v>1.5</v>
      </c>
      <c r="K7" s="60">
        <v>0</v>
      </c>
      <c r="L7" s="61">
        <v>3.9740000000000004E-8</v>
      </c>
      <c r="M7" s="61">
        <v>3.9740000000000004E-10</v>
      </c>
      <c r="N7" s="61">
        <v>1.4219999999999999E-7</v>
      </c>
      <c r="O7" s="61">
        <v>1.2798000000000001E-9</v>
      </c>
      <c r="P7" s="61">
        <v>3.2029999999999998E-4</v>
      </c>
      <c r="Q7" s="61">
        <v>2.5624000000000002E-6</v>
      </c>
      <c r="R7" s="61">
        <v>8.2539999999999997E-8</v>
      </c>
      <c r="S7" s="61">
        <v>8.2540000000000007E-10</v>
      </c>
      <c r="T7" s="61">
        <v>1.236E-8</v>
      </c>
      <c r="U7" s="61">
        <v>2.3483999999999999E-10</v>
      </c>
      <c r="V7" s="64"/>
      <c r="W7" s="64"/>
      <c r="X7" s="65"/>
      <c r="Y7" s="65"/>
      <c r="Z7" s="65"/>
      <c r="AA7" s="66"/>
      <c r="AB7" s="65"/>
      <c r="AC7" s="66"/>
      <c r="AD7" s="66"/>
      <c r="AE7" s="65"/>
      <c r="AF7" s="65"/>
      <c r="AG7" s="65"/>
      <c r="AH7" s="67"/>
      <c r="AI7" s="68"/>
      <c r="AJ7" s="69"/>
    </row>
    <row r="8" spans="1:62" ht="15.75">
      <c r="A8" s="56" t="s">
        <v>234</v>
      </c>
      <c r="B8" s="56" t="s">
        <v>235</v>
      </c>
      <c r="C8" s="56" t="s">
        <v>237</v>
      </c>
      <c r="D8" s="57"/>
      <c r="F8" s="58">
        <v>1.46</v>
      </c>
      <c r="G8" s="58">
        <v>88</v>
      </c>
      <c r="H8" s="59">
        <v>5</v>
      </c>
      <c r="I8" s="60">
        <v>3</v>
      </c>
      <c r="J8" s="60">
        <v>1.5</v>
      </c>
      <c r="K8" s="60">
        <v>0</v>
      </c>
      <c r="L8" s="61">
        <v>4.0400000000000004E-8</v>
      </c>
      <c r="M8" s="61">
        <v>4.04E-10</v>
      </c>
      <c r="N8" s="61">
        <v>1.2450000000000001E-7</v>
      </c>
      <c r="O8" s="61">
        <v>1.1205E-9</v>
      </c>
      <c r="P8" s="61">
        <v>3.0610000000000001E-4</v>
      </c>
      <c r="Q8" s="61">
        <v>2.4488000000000002E-6</v>
      </c>
      <c r="R8" s="61">
        <v>8.1500000000000008E-8</v>
      </c>
      <c r="S8" s="61">
        <v>8.1500000000000008E-10</v>
      </c>
      <c r="T8" s="61">
        <v>1.2250000000000001E-8</v>
      </c>
      <c r="U8" s="61">
        <v>2.3275E-10</v>
      </c>
      <c r="V8" s="64"/>
      <c r="W8" s="64"/>
      <c r="X8" s="65"/>
      <c r="Y8" s="65"/>
      <c r="Z8" s="65"/>
      <c r="AA8" s="66"/>
      <c r="AB8" s="65"/>
      <c r="AC8" s="66"/>
      <c r="AD8" s="66"/>
      <c r="AE8" s="65"/>
      <c r="AF8" s="65"/>
      <c r="AG8" s="65"/>
      <c r="AH8" s="67"/>
      <c r="AI8" s="68"/>
      <c r="AJ8" s="69"/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55D3286C-A90D-4934-839F-ECED073B3D59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B6CB124A-FCA2-4760-8DA0-E7E4FDBC92FF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3"/>
  <sheetViews>
    <sheetView workbookViewId="0">
      <pane ySplit="3" topLeftCell="A62" activePane="bottomLeft" state="frozen"/>
      <selection pane="bottomLeft" activeCell="A78" sqref="A4:XFD78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2" customWidth="1"/>
    <col min="5" max="5" width="14.6640625" style="21" customWidth="1"/>
    <col min="6" max="15" width="9.33203125" style="21"/>
    <col min="16" max="16" width="15.5" style="22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40"/>
      <c r="E1" s="24"/>
      <c r="F1" s="38" t="s">
        <v>193</v>
      </c>
      <c r="G1" s="23"/>
      <c r="H1" s="23"/>
      <c r="I1" s="23"/>
      <c r="J1" s="23"/>
      <c r="K1" s="23"/>
      <c r="L1" s="23"/>
      <c r="M1" s="23"/>
      <c r="N1" s="23"/>
      <c r="O1" s="23"/>
      <c r="P1" s="39"/>
      <c r="Q1" s="38" t="s">
        <v>194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46" t="s">
        <v>168</v>
      </c>
      <c r="B2" s="46" t="s">
        <v>169</v>
      </c>
      <c r="C2" s="52" t="s">
        <v>170</v>
      </c>
      <c r="D2" s="54" t="s">
        <v>171</v>
      </c>
      <c r="E2" s="50" t="s">
        <v>172</v>
      </c>
      <c r="F2" s="25" t="s">
        <v>195</v>
      </c>
      <c r="G2" s="26" t="s">
        <v>213</v>
      </c>
      <c r="H2" s="26" t="s">
        <v>196</v>
      </c>
      <c r="I2" s="26" t="s">
        <v>211</v>
      </c>
      <c r="J2" s="26" t="s">
        <v>197</v>
      </c>
      <c r="K2" s="26" t="s">
        <v>212</v>
      </c>
      <c r="L2" s="26" t="s">
        <v>72</v>
      </c>
      <c r="M2" s="26" t="s">
        <v>174</v>
      </c>
      <c r="N2" s="26" t="s">
        <v>82</v>
      </c>
      <c r="O2" s="26" t="s">
        <v>175</v>
      </c>
      <c r="P2" s="50" t="s">
        <v>198</v>
      </c>
      <c r="Q2" s="27" t="s">
        <v>142</v>
      </c>
      <c r="R2" s="27" t="s">
        <v>184</v>
      </c>
      <c r="S2" s="27" t="s">
        <v>147</v>
      </c>
      <c r="T2" s="27" t="s">
        <v>199</v>
      </c>
      <c r="U2" s="27" t="s">
        <v>150</v>
      </c>
      <c r="V2" s="27" t="s">
        <v>200</v>
      </c>
      <c r="W2" s="28" t="s">
        <v>154</v>
      </c>
      <c r="X2" s="28" t="s">
        <v>201</v>
      </c>
      <c r="Y2" s="27" t="s">
        <v>159</v>
      </c>
      <c r="Z2" s="27" t="s">
        <v>202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47"/>
      <c r="B3" s="47"/>
      <c r="C3" s="53"/>
      <c r="D3" s="55"/>
      <c r="E3" s="51"/>
      <c r="F3" s="29" t="s">
        <v>203</v>
      </c>
      <c r="G3" s="30" t="s">
        <v>203</v>
      </c>
      <c r="H3" s="30" t="s">
        <v>204</v>
      </c>
      <c r="I3" s="30" t="s">
        <v>204</v>
      </c>
      <c r="J3" s="30" t="s">
        <v>205</v>
      </c>
      <c r="K3" s="30" t="s">
        <v>205</v>
      </c>
      <c r="L3" s="30" t="s">
        <v>191</v>
      </c>
      <c r="M3" s="30" t="s">
        <v>191</v>
      </c>
      <c r="N3" s="30" t="s">
        <v>191</v>
      </c>
      <c r="O3" s="30" t="s">
        <v>191</v>
      </c>
      <c r="P3" s="51"/>
      <c r="Q3" s="31" t="s">
        <v>206</v>
      </c>
      <c r="R3" s="32"/>
      <c r="S3" s="32" t="s">
        <v>206</v>
      </c>
      <c r="T3" s="32"/>
      <c r="U3" s="32" t="s">
        <v>206</v>
      </c>
      <c r="V3" s="32"/>
      <c r="W3" s="33" t="s">
        <v>207</v>
      </c>
      <c r="X3" s="33"/>
      <c r="Y3" s="32" t="s">
        <v>206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E85891FA-0012-4BCD-9910-FD228BE81210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F0869EF9-2329-465F-ADF9-0C6105D25EF6}">
      <formula1>"mmol/kg, pmol/kg, fmol/kg"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  <group id="Format" label="Formatting">
          <button id="customButton7" label="Output to flat-file" size="large" onAction="ReformatDGMETAout" imageMso="CacheListData" screentip="Click this button to reformat a ModOut worksheet into flat file for export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Input_Gases</vt:lpstr>
      <vt:lpstr>Input_Tracers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2019-06-19T23:30:47Z</dcterms:modified>
</cp:coreProperties>
</file>