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13_ncr:1_{7299E895-C244-48C0-8E37-7E8372DF419C}" xr6:coauthVersionLast="45" xr6:coauthVersionMax="45" xr10:uidLastSave="{00000000-0000-0000-0000-000000000000}"/>
  <bookViews>
    <workbookView xWindow="-108" yWindow="-108" windowWidth="23256" windowHeight="12576" activeTab="1" xr2:uid="{70B0DDF8-EEF4-422F-A291-FA7B2B31B8DD}"/>
  </bookViews>
  <sheets>
    <sheet name="SuppInfo" sheetId="11" r:id="rId1"/>
    <sheet name="Database" sheetId="2" r:id="rId2"/>
    <sheet name="Input_Gases" sheetId="3" r:id="rId3"/>
    <sheet name="Input_Tracers"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54" i="11" l="1" a="1"/>
  <c r="L54" i="11" l="1"/>
  <c r="C54" i="11" l="1" a="1"/>
  <c r="C54" i="11"/>
  <c r="C58" i="11" a="1"/>
  <c r="C58" i="11"/>
  <c r="M54" i="11" a="1"/>
  <c r="M54" i="11"/>
  <c r="C57" i="11" a="1"/>
  <c r="C57" i="11"/>
  <c r="N57" i="11" a="1"/>
  <c r="N57" i="11"/>
  <c r="M57" i="11" a="1"/>
  <c r="M57" i="11"/>
  <c r="L57" i="11" a="1"/>
  <c r="L57" i="11"/>
  <c r="C56" i="11" a="1"/>
  <c r="C56" i="11"/>
  <c r="N56" i="11" a="1"/>
  <c r="N56" i="11"/>
  <c r="M56" i="11" a="1"/>
  <c r="M56" i="11"/>
  <c r="L56" i="11" a="1"/>
  <c r="L56" i="11"/>
  <c r="C55" i="11" a="1"/>
  <c r="C55" i="11"/>
  <c r="N55" i="11" a="1"/>
  <c r="N55" i="11"/>
  <c r="M55" i="11" a="1"/>
  <c r="M55" i="11"/>
  <c r="L55" i="11" a="1"/>
  <c r="L55" i="11"/>
  <c r="N54" i="11" a="1"/>
  <c r="N54" i="11"/>
  <c r="B44" i="11"/>
  <c r="B43" i="11"/>
  <c r="B48" i="11"/>
  <c r="B49" i="11"/>
  <c r="B45" i="11"/>
  <c r="Y44" i="2"/>
  <c r="T35" i="2"/>
  <c r="W41" i="2"/>
  <c r="W40" i="2"/>
  <c r="W39" i="2"/>
  <c r="W38" i="2"/>
  <c r="W37" i="2"/>
  <c r="W36" i="2"/>
  <c r="T34" i="2"/>
  <c r="P58" i="11" a="1"/>
  <c r="P58"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0" shapeId="0" xr:uid="{E604C59A-B106-475E-ACF5-1F5480AD4A1E}">
      <text>
        <r>
          <rPr>
            <b/>
            <sz val="9"/>
            <color indexed="81"/>
            <rFont val="Tahoma"/>
            <family val="2"/>
          </rPr>
          <t>Jurgens, Bryant:</t>
        </r>
        <r>
          <rPr>
            <sz val="9"/>
            <color indexed="81"/>
            <rFont val="Tahoma"/>
            <family val="2"/>
          </rPr>
          <t xml:space="preserve">
Molar volumes are computed from gas density and molar mass.
</t>
        </r>
      </text>
    </comment>
    <comment ref="W2" authorId="0" shapeId="0" xr:uid="{030391BB-98D9-4197-9ABF-9B7C73A195E9}">
      <text>
        <r>
          <rPr>
            <b/>
            <sz val="9"/>
            <color indexed="81"/>
            <rFont val="Tahoma"/>
            <family val="2"/>
          </rPr>
          <t>Jurgens, Bryant:</t>
        </r>
        <r>
          <rPr>
            <sz val="9"/>
            <color indexed="81"/>
            <rFont val="Tahoma"/>
            <family val="2"/>
          </rPr>
          <t xml:space="preserve">
For transient gas tracer such as SF6, CFCs, or Halon-1301, these values change and are dependent on the year the water equilibrated with the atmosphere.
</t>
        </r>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<sst xmlns="http://schemas.openxmlformats.org/spreadsheetml/2006/main" count="899" uniqueCount="328">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</sst>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E+00"/>
  </numFmts>
  <fonts count="32">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s>
  <fills count="4">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s>
  <borders count="12">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s>
  <cellStyleXfs count="15">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cellStyleXfs>
  <cellXfs count="111">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0" fontId="14" fillId="0" borderId="0" xfId="1"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1" fontId="14" fillId="0" borderId="0" xfId="1" applyNumberFormat="1" applyFont="1"/>
    <xf numFmtId="1" fontId="2" fillId="0" borderId="0" xfId="1" applyNumberFormat="1"/>
    <xf numFmtId="0" fontId="14" fillId="0" borderId="0" xfId="1" applyFon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14" fontId="14" fillId="0" borderId="0" xfId="1" applyNumberFormat="1" applyFont="1" applyAlignment="1">
      <alignment horizontal="left"/>
    </xf>
    <xf numFmtId="0" fontId="2" fillId="0" borderId="0" xfId="1" applyAlignment="1">
      <alignment horizontal="left"/>
    </xf>
    <xf numFmtId="49" fontId="2" fillId="0" borderId="0" xfId="1" applyNumberFormat="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cellXfs>
  <cellStyles count="15">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workbookViewId="0">
      <selection activeCell="A49" sqref="A49"/>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1" t="s">
        <v>0</v>
      </c>
      <c r="B1" s="96" t="s">
        <v>8</v>
      </c>
      <c r="C1" s="96"/>
      <c r="D1" s="96"/>
      <c r="E1" s="96"/>
      <c r="F1" s="96"/>
      <c r="G1" s="96"/>
      <c r="H1" s="96"/>
      <c r="I1" s="96"/>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98" t="s">
        <v>8</v>
      </c>
      <c r="D6" s="98"/>
      <c r="E6" s="98"/>
      <c r="F6" s="98"/>
      <c r="G6" s="98"/>
      <c r="H6" s="98"/>
    </row>
    <row r="7" spans="1:12" s="2" customFormat="1" ht="14.4">
      <c r="A7" s="3" t="s">
        <v>9</v>
      </c>
      <c r="B7" s="6" t="s">
        <v>10</v>
      </c>
      <c r="C7" s="62" t="s">
        <v>11</v>
      </c>
      <c r="D7" s="62"/>
      <c r="E7" s="62"/>
      <c r="F7" s="62"/>
      <c r="G7" s="62"/>
    </row>
    <row r="8" spans="1:12" s="2" customFormat="1" ht="14.4">
      <c r="A8" s="3" t="s">
        <v>12</v>
      </c>
      <c r="B8" s="6" t="s">
        <v>13</v>
      </c>
      <c r="C8" s="62" t="s">
        <v>14</v>
      </c>
      <c r="D8" s="62"/>
      <c r="E8" s="62"/>
      <c r="F8" s="62"/>
      <c r="G8" s="62"/>
    </row>
    <row r="9" spans="1:12" s="2" customFormat="1" ht="14.4">
      <c r="A9" s="3" t="s">
        <v>15</v>
      </c>
      <c r="B9" s="6" t="s">
        <v>16</v>
      </c>
      <c r="C9" s="62" t="s">
        <v>17</v>
      </c>
      <c r="D9" s="62"/>
      <c r="E9" s="62"/>
      <c r="F9" s="62"/>
      <c r="G9" s="62"/>
      <c r="I9" s="7"/>
    </row>
    <row r="10" spans="1:12" s="2" customFormat="1" ht="14.4">
      <c r="J10" s="7"/>
    </row>
    <row r="11" spans="1:12" s="2" customFormat="1" ht="15.6">
      <c r="A11" s="1" t="s">
        <v>18</v>
      </c>
    </row>
    <row r="12" spans="1:12" s="2" customFormat="1" ht="14.4">
      <c r="A12" s="4" t="s">
        <v>19</v>
      </c>
      <c r="B12" s="97" t="s">
        <v>8</v>
      </c>
      <c r="C12" s="97"/>
      <c r="D12" s="97"/>
      <c r="E12" s="97"/>
      <c r="F12" s="97"/>
      <c r="G12" s="97"/>
      <c r="H12" s="97"/>
      <c r="I12" s="97"/>
      <c r="J12" s="97"/>
      <c r="K12" s="97"/>
      <c r="L12" s="97"/>
    </row>
    <row r="13" spans="1:12" s="2" customFormat="1" ht="14.4">
      <c r="A13" s="38" t="s">
        <v>259</v>
      </c>
      <c r="B13" s="49" t="s">
        <v>243</v>
      </c>
      <c r="C13" s="50"/>
      <c r="D13" s="50"/>
      <c r="E13" s="50"/>
      <c r="F13" s="50"/>
      <c r="G13" s="50"/>
      <c r="H13" s="50"/>
      <c r="I13" s="50"/>
      <c r="J13" s="50"/>
      <c r="K13" s="50"/>
      <c r="L13" s="50"/>
    </row>
    <row r="14" spans="1:12" s="2" customFormat="1" ht="14.4">
      <c r="A14" s="2" t="s">
        <v>20</v>
      </c>
      <c r="B14" s="49" t="s">
        <v>223</v>
      </c>
      <c r="C14" s="48"/>
      <c r="D14" s="48"/>
      <c r="E14" s="48"/>
      <c r="F14" s="48"/>
      <c r="G14" s="48"/>
      <c r="H14" s="48"/>
      <c r="I14" s="48"/>
    </row>
    <row r="15" spans="1:12" s="2" customFormat="1" ht="14.4">
      <c r="A15" s="2" t="s">
        <v>21</v>
      </c>
      <c r="B15" s="48" t="s">
        <v>22</v>
      </c>
      <c r="C15" s="48"/>
      <c r="D15" s="48"/>
      <c r="E15" s="48"/>
      <c r="F15" s="48"/>
      <c r="G15" s="48"/>
      <c r="H15" s="48"/>
      <c r="I15" s="48"/>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96" t="s">
        <v>27</v>
      </c>
      <c r="D23" s="96"/>
      <c r="E23" s="96"/>
      <c r="F23" s="96"/>
      <c r="G23" s="96"/>
      <c r="H23" s="96"/>
      <c r="I23" s="96"/>
      <c r="J23" s="96"/>
      <c r="K23" s="96"/>
      <c r="L23" s="96"/>
      <c r="M23" s="96"/>
    </row>
    <row r="24" spans="1:30" s="2" customFormat="1" ht="16.8">
      <c r="A24" s="2" t="s">
        <v>28</v>
      </c>
      <c r="B24" s="6">
        <v>1</v>
      </c>
      <c r="C24" s="95" t="s">
        <v>29</v>
      </c>
      <c r="D24" s="95"/>
      <c r="E24" s="95"/>
      <c r="F24" s="95"/>
      <c r="G24" s="95"/>
      <c r="H24" s="95"/>
      <c r="I24" s="95"/>
      <c r="J24" s="95"/>
      <c r="K24" s="95"/>
      <c r="L24" s="95"/>
      <c r="M24" s="95"/>
    </row>
    <row r="25" spans="1:30" s="2" customFormat="1" ht="16.8">
      <c r="A25" s="2" t="s">
        <v>30</v>
      </c>
      <c r="B25" s="6">
        <v>2</v>
      </c>
      <c r="C25" s="95" t="s">
        <v>31</v>
      </c>
      <c r="D25" s="95"/>
      <c r="E25" s="95"/>
      <c r="F25" s="95"/>
      <c r="G25" s="95"/>
      <c r="H25" s="95"/>
      <c r="I25" s="95"/>
      <c r="J25" s="95"/>
      <c r="K25" s="95"/>
      <c r="L25" s="95"/>
      <c r="M25" s="95"/>
    </row>
    <row r="26" spans="1:30" s="2" customFormat="1" ht="15.6">
      <c r="A26" s="2" t="s">
        <v>32</v>
      </c>
      <c r="B26" s="6">
        <v>3</v>
      </c>
      <c r="C26" s="95" t="s">
        <v>33</v>
      </c>
      <c r="D26" s="95"/>
      <c r="E26" s="95"/>
      <c r="F26" s="95"/>
      <c r="G26" s="95"/>
      <c r="H26" s="95"/>
      <c r="I26" s="95"/>
      <c r="J26" s="95"/>
      <c r="K26" s="95"/>
      <c r="L26" s="95"/>
      <c r="M26" s="95"/>
    </row>
    <row r="27" spans="1:30" s="2" customFormat="1" ht="16.8">
      <c r="A27" s="2" t="s">
        <v>34</v>
      </c>
      <c r="B27" s="6">
        <v>4</v>
      </c>
      <c r="C27" s="95" t="s">
        <v>35</v>
      </c>
      <c r="D27" s="95"/>
      <c r="E27" s="95"/>
      <c r="F27" s="95"/>
      <c r="G27" s="95"/>
      <c r="H27" s="95"/>
      <c r="I27" s="95"/>
      <c r="J27" s="95"/>
      <c r="K27" s="95"/>
      <c r="L27" s="95"/>
      <c r="M27" s="95"/>
    </row>
    <row r="28" spans="1:30" s="2" customFormat="1" ht="16.8">
      <c r="A28" s="2" t="s">
        <v>36</v>
      </c>
      <c r="B28" s="6">
        <v>5</v>
      </c>
      <c r="C28" s="95" t="s">
        <v>37</v>
      </c>
      <c r="D28" s="95"/>
      <c r="E28" s="95"/>
      <c r="F28" s="95"/>
      <c r="G28" s="95"/>
      <c r="H28" s="95"/>
      <c r="I28" s="95"/>
      <c r="J28" s="95"/>
      <c r="K28" s="95"/>
      <c r="L28" s="95"/>
      <c r="M28" s="95"/>
    </row>
    <row r="29" spans="1:30" s="2" customFormat="1" ht="16.8">
      <c r="A29" s="2" t="s">
        <v>194</v>
      </c>
      <c r="B29" s="6">
        <v>6</v>
      </c>
      <c r="C29" s="95" t="s">
        <v>195</v>
      </c>
      <c r="D29" s="95"/>
      <c r="E29" s="95"/>
      <c r="F29" s="95"/>
      <c r="G29" s="95"/>
      <c r="H29" s="95"/>
      <c r="I29" s="95"/>
      <c r="J29" s="95"/>
      <c r="K29" s="95"/>
      <c r="L29" s="95"/>
      <c r="M29" s="95"/>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6" t="s">
        <v>246</v>
      </c>
      <c r="B41" s="56"/>
    </row>
    <row r="42" spans="1:4" ht="14.4">
      <c r="A42" s="57" t="s">
        <v>247</v>
      </c>
      <c r="B42" s="58">
        <v>-200</v>
      </c>
      <c r="C42" s="38" t="s">
        <v>253</v>
      </c>
    </row>
    <row r="43" spans="1:4" ht="14.4">
      <c r="A43" s="38" t="s">
        <v>250</v>
      </c>
      <c r="B43" s="2">
        <f>C34*C35/C36/C37</f>
        <v>-5.2567440508738619</v>
      </c>
    </row>
    <row r="44" spans="1:4" ht="14.4">
      <c r="A44" s="51" t="s">
        <v>254</v>
      </c>
      <c r="B44" s="59">
        <f>C38/(C38+C37*(B42-C39))</f>
        <v>0.99550872344100882</v>
      </c>
      <c r="C44" s="38"/>
    </row>
    <row r="45" spans="1:4" ht="14.4">
      <c r="A45" s="52" t="s">
        <v>248</v>
      </c>
      <c r="B45" s="2">
        <f>B44^B43</f>
        <v>1.0239448512780687</v>
      </c>
      <c r="C45" s="38" t="s">
        <v>249</v>
      </c>
    </row>
    <row r="47" spans="1:4" ht="14.4">
      <c r="A47" s="53" t="s">
        <v>251</v>
      </c>
      <c r="B47" s="55">
        <v>0.99</v>
      </c>
      <c r="C47" t="s">
        <v>252</v>
      </c>
    </row>
    <row r="48" spans="1:4">
      <c r="A48" s="54" t="s">
        <v>254</v>
      </c>
      <c r="B48" s="54">
        <f>10^(LOG(B47)/B43)</f>
        <v>1.0019137225379218</v>
      </c>
    </row>
    <row r="49" spans="1:17">
      <c r="A49" s="60" t="s">
        <v>248</v>
      </c>
      <c r="B49">
        <f>(C38-B48*C38)/(B48*C37)</f>
        <v>84.674748226258089</v>
      </c>
      <c r="C49" t="s">
        <v>247</v>
      </c>
    </row>
    <row r="51" spans="1:17" ht="15.6">
      <c r="A51" s="1" t="s">
        <v>260</v>
      </c>
      <c r="B51" s="70"/>
      <c r="C51" s="70"/>
      <c r="D51" s="70"/>
      <c r="E51" s="70"/>
      <c r="F51" s="70"/>
      <c r="G51" s="70"/>
      <c r="H51" s="70"/>
      <c r="J51" s="70"/>
      <c r="K51" s="94" t="s">
        <v>280</v>
      </c>
      <c r="L51" s="94"/>
      <c r="M51" s="94"/>
      <c r="N51" s="94" t="s">
        <v>276</v>
      </c>
      <c r="O51" s="94"/>
    </row>
    <row r="52" spans="1:17">
      <c r="A52" s="71" t="s">
        <v>275</v>
      </c>
      <c r="B52" s="71" t="s">
        <v>285</v>
      </c>
      <c r="C52" s="70" t="s">
        <v>261</v>
      </c>
      <c r="D52" s="70" t="s">
        <v>262</v>
      </c>
      <c r="E52" s="70" t="s">
        <v>264</v>
      </c>
      <c r="F52" s="70" t="s">
        <v>265</v>
      </c>
      <c r="G52" s="70" t="s">
        <v>147</v>
      </c>
      <c r="H52" s="70" t="s">
        <v>266</v>
      </c>
      <c r="I52" s="70" t="s">
        <v>289</v>
      </c>
      <c r="J52" s="70" t="s">
        <v>274</v>
      </c>
      <c r="K52" s="70" t="s">
        <v>287</v>
      </c>
      <c r="L52" s="70" t="s">
        <v>273</v>
      </c>
      <c r="M52" s="70" t="s">
        <v>271</v>
      </c>
      <c r="N52" s="70" t="s">
        <v>265</v>
      </c>
      <c r="O52" s="70" t="s">
        <v>277</v>
      </c>
      <c r="P52" s="70" t="s">
        <v>278</v>
      </c>
    </row>
    <row r="53" spans="1:17">
      <c r="A53" s="72" t="s">
        <v>268</v>
      </c>
      <c r="B53" s="91" t="s">
        <v>286</v>
      </c>
      <c r="C53" s="73" t="s">
        <v>263</v>
      </c>
      <c r="D53" s="73" t="s">
        <v>242</v>
      </c>
      <c r="E53" s="73" t="s">
        <v>269</v>
      </c>
      <c r="F53" s="73" t="s">
        <v>201</v>
      </c>
      <c r="G53" s="73" t="s">
        <v>270</v>
      </c>
      <c r="H53" s="73" t="s">
        <v>267</v>
      </c>
      <c r="I53" s="92" t="s">
        <v>288</v>
      </c>
      <c r="J53" s="73" t="s">
        <v>268</v>
      </c>
      <c r="K53" s="73" t="s">
        <v>268</v>
      </c>
      <c r="L53" s="73" t="s">
        <v>272</v>
      </c>
      <c r="M53" s="73" t="s">
        <v>272</v>
      </c>
      <c r="N53" s="73" t="s">
        <v>272</v>
      </c>
      <c r="O53" s="73" t="s">
        <v>272</v>
      </c>
      <c r="P53" s="73" t="s">
        <v>284</v>
      </c>
    </row>
    <row r="54" spans="1:17" ht="14.4">
      <c r="A54" t="s">
        <v>81</v>
      </c>
      <c r="B54">
        <v>200</v>
      </c>
      <c r="C54" cm="1">
        <f t="array" ref="C54">SalinityFromSC(B54)</f>
        <v>0.1115208</v>
      </c>
      <c r="D54">
        <v>2500</v>
      </c>
      <c r="E54">
        <v>5</v>
      </c>
      <c r="F54">
        <v>20</v>
      </c>
      <c r="G54">
        <v>0.5</v>
      </c>
      <c r="H54">
        <v>0</v>
      </c>
      <c r="I54" t="s">
        <v>198</v>
      </c>
      <c r="J54" t="s">
        <v>16</v>
      </c>
      <c r="K54" s="2" t="s">
        <v>83</v>
      </c>
      <c r="L54"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cm="1">
        <f t="array" ref="L56">GasModel(J56,K56,E56,F56,C56,D56,G56,H56,I56)</f>
        <v>10.804100958996939</v>
      </c>
      <c r="M56" cm="1">
        <f t="array" ref="M56">GasSolubility(K56,E56,C56,D56,I56)</f>
        <v>10.773378537539616</v>
      </c>
      <c r="N56" cm="1">
        <f t="array" ref="N56">GasModelExcessAir(J56,K56,E56,F56,C56,D56,G56,I56)</f>
        <v>3.0722421457322593E-2</v>
      </c>
    </row>
    <row r="57" spans="1:17">
      <c r="A57" t="s">
        <v>97</v>
      </c>
      <c r="B57">
        <v>300</v>
      </c>
      <c r="C57" cm="1">
        <f t="array" ref="C57">SalinityFromSC(B57)</f>
        <v>0.16734180000000001</v>
      </c>
      <c r="D57">
        <v>50</v>
      </c>
      <c r="E57">
        <v>20</v>
      </c>
      <c r="F57">
        <v>3</v>
      </c>
      <c r="G57">
        <v>0</v>
      </c>
      <c r="H57">
        <v>0</v>
      </c>
      <c r="I57" t="s">
        <v>165</v>
      </c>
      <c r="J57" t="s">
        <v>10</v>
      </c>
      <c r="K57" t="s">
        <v>181</v>
      </c>
      <c r="L57" cm="1">
        <f t="array" ref="L57">GasModel(J57,K57,E57,F57,C57,D57,G57,H57,I57)</f>
        <v>17.703644335637556</v>
      </c>
      <c r="M57" cm="1">
        <f t="array" ref="M57">GasSolubility(K57,E57,C57,D57,I57)</f>
        <v>14.778032620081682</v>
      </c>
      <c r="N57" cm="1">
        <f t="array" ref="N57">GasModelExcessAir(J57,K57,E57,F57,C57,D57,G57,I57)</f>
        <v>2.9256117155558732</v>
      </c>
    </row>
    <row r="58" spans="1:17">
      <c r="A58" t="s">
        <v>122</v>
      </c>
      <c r="B58">
        <v>50000</v>
      </c>
      <c r="C58" cm="1">
        <f t="array" ref="C58">SalinityFromSC(B58)</f>
        <v>32.909999999999997</v>
      </c>
      <c r="D58">
        <v>0</v>
      </c>
      <c r="E58">
        <v>3</v>
      </c>
      <c r="F58">
        <v>0.1</v>
      </c>
      <c r="G58">
        <v>0</v>
      </c>
      <c r="H58">
        <v>0</v>
      </c>
      <c r="I58" t="s">
        <v>179</v>
      </c>
      <c r="J58" t="s">
        <v>10</v>
      </c>
      <c r="K58" t="s">
        <v>123</v>
      </c>
      <c r="O58">
        <v>3.5382249080808936</v>
      </c>
      <c r="P58"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tabSelected="1" zoomScaleNormal="100" workbookViewId="0">
      <pane xSplit="8124" ySplit="2064" topLeftCell="G3" activePane="bottomLeft"/>
      <selection activeCell="C8" sqref="C8"/>
      <selection pane="topRight" activeCell="W2" sqref="W2"/>
      <selection pane="bottomLeft" activeCell="A40" sqref="A40"/>
      <selection pane="bottomRight" activeCell="Q13" sqref="Q13"/>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3" t="s">
        <v>39</v>
      </c>
      <c r="E1" s="99" t="s">
        <v>221</v>
      </c>
      <c r="F1" s="99"/>
      <c r="G1" s="99"/>
      <c r="H1" s="99"/>
      <c r="I1" s="99"/>
      <c r="J1" s="99"/>
      <c r="K1" s="99"/>
      <c r="L1" s="99"/>
      <c r="M1" s="99"/>
      <c r="N1" s="99"/>
      <c r="O1" s="99"/>
      <c r="Y1" s="99" t="s">
        <v>189</v>
      </c>
      <c r="Z1" s="99"/>
      <c r="AA1" s="99"/>
      <c r="AB1" s="64"/>
      <c r="AC1" s="99" t="s">
        <v>40</v>
      </c>
      <c r="AD1" s="99"/>
      <c r="AE1" s="99"/>
      <c r="AF1" s="99"/>
      <c r="AG1" s="99"/>
      <c r="AH1" s="99"/>
    </row>
    <row r="2" spans="1:38" s="16" customFormat="1" ht="74.400000000000006">
      <c r="A2" s="65" t="s">
        <v>41</v>
      </c>
      <c r="B2" s="65" t="s">
        <v>42</v>
      </c>
      <c r="C2" s="65" t="s">
        <v>43</v>
      </c>
      <c r="D2" s="65" t="s">
        <v>290</v>
      </c>
      <c r="E2" s="65" t="s">
        <v>44</v>
      </c>
      <c r="F2" s="65" t="s">
        <v>45</v>
      </c>
      <c r="G2" s="65" t="s">
        <v>46</v>
      </c>
      <c r="H2" s="65" t="s">
        <v>47</v>
      </c>
      <c r="I2" s="65" t="s">
        <v>48</v>
      </c>
      <c r="J2" s="65" t="s">
        <v>49</v>
      </c>
      <c r="K2" s="65" t="s">
        <v>50</v>
      </c>
      <c r="L2" s="65" t="s">
        <v>51</v>
      </c>
      <c r="M2" s="65" t="s">
        <v>52</v>
      </c>
      <c r="N2" s="65" t="s">
        <v>53</v>
      </c>
      <c r="O2" s="65" t="s">
        <v>54</v>
      </c>
      <c r="P2" s="65" t="s">
        <v>291</v>
      </c>
      <c r="Q2" s="65" t="s">
        <v>200</v>
      </c>
      <c r="R2" s="65" t="s">
        <v>257</v>
      </c>
      <c r="S2" s="65" t="s">
        <v>327</v>
      </c>
      <c r="T2" s="65" t="s">
        <v>185</v>
      </c>
      <c r="U2" s="65" t="s">
        <v>186</v>
      </c>
      <c r="V2" s="65" t="s">
        <v>187</v>
      </c>
      <c r="W2" s="65" t="s">
        <v>199</v>
      </c>
      <c r="X2" s="65" t="s">
        <v>55</v>
      </c>
      <c r="Y2" s="65" t="s">
        <v>196</v>
      </c>
      <c r="Z2" s="65" t="s">
        <v>188</v>
      </c>
      <c r="AA2" s="65" t="s">
        <v>190</v>
      </c>
      <c r="AB2" s="66" t="s">
        <v>56</v>
      </c>
      <c r="AC2" s="66" t="s">
        <v>57</v>
      </c>
      <c r="AD2" s="66" t="s">
        <v>58</v>
      </c>
      <c r="AE2" s="66" t="s">
        <v>59</v>
      </c>
      <c r="AF2" s="66" t="s">
        <v>60</v>
      </c>
      <c r="AG2" s="66" t="s">
        <v>61</v>
      </c>
      <c r="AH2" s="66" t="s">
        <v>281</v>
      </c>
      <c r="AI2" s="66" t="s">
        <v>224</v>
      </c>
    </row>
    <row r="3" spans="1:38">
      <c r="A3" s="37" t="s">
        <v>62</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67</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67</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62</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67</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67</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67</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62</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67</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67</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67</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62</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67</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67</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62</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67</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90">
        <v>4.7328118195360994E-2</v>
      </c>
      <c r="AE26" s="90">
        <v>-9.279999850397191</v>
      </c>
      <c r="AF26" s="90">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90">
        <v>4.7328118195360994E-2</v>
      </c>
      <c r="AE27" s="90">
        <v>-9.279999850397191</v>
      </c>
      <c r="AF27" s="90">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T47" s="9"/>
      <c r="U47" s="15"/>
    </row>
    <row r="48" spans="1:35">
      <c r="A48" s="6"/>
      <c r="T48" s="9"/>
    </row>
    <row r="49" spans="1:20">
      <c r="A49" s="6"/>
      <c r="T49" s="9"/>
    </row>
    <row r="50" spans="1:20">
      <c r="A50" s="6"/>
      <c r="T50" s="9"/>
    </row>
    <row r="51" spans="1:20">
      <c r="A51" s="6"/>
      <c r="T51" s="9"/>
    </row>
    <row r="52" spans="1:20">
      <c r="A52" s="6"/>
      <c r="T52" s="9"/>
    </row>
    <row r="53" spans="1:20">
      <c r="A53" s="6"/>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workbookViewId="0">
      <pane ySplit="3" topLeftCell="A4" activePane="bottomLeft" state="frozen"/>
      <selection pane="bottomLeft" activeCell="E4" sqref="E4"/>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00" t="s">
        <v>141</v>
      </c>
      <c r="B1" s="100"/>
      <c r="C1" s="100"/>
      <c r="D1" s="100"/>
      <c r="E1" s="100" t="s">
        <v>205</v>
      </c>
      <c r="F1" s="100"/>
      <c r="G1" s="100"/>
      <c r="H1" s="100"/>
      <c r="I1" s="100"/>
      <c r="J1" s="100"/>
      <c r="K1" s="100"/>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01" t="s">
        <v>142</v>
      </c>
      <c r="B2" s="101" t="s">
        <v>143</v>
      </c>
      <c r="C2" s="101" t="s">
        <v>144</v>
      </c>
      <c r="D2" s="103" t="s">
        <v>145</v>
      </c>
      <c r="E2" s="101" t="s">
        <v>146</v>
      </c>
      <c r="F2" s="101" t="s">
        <v>219</v>
      </c>
      <c r="G2" s="101" t="s">
        <v>191</v>
      </c>
      <c r="H2" s="101" t="s">
        <v>192</v>
      </c>
      <c r="I2" s="101" t="s">
        <v>217</v>
      </c>
      <c r="J2" s="101" t="s">
        <v>147</v>
      </c>
      <c r="K2" s="101"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02"/>
      <c r="B3" s="102"/>
      <c r="C3" s="102"/>
      <c r="D3" s="104"/>
      <c r="E3" s="102"/>
      <c r="F3" s="102" t="s">
        <v>159</v>
      </c>
      <c r="G3" s="102" t="s">
        <v>160</v>
      </c>
      <c r="H3" s="102" t="s">
        <v>161</v>
      </c>
      <c r="I3" s="102" t="s">
        <v>162</v>
      </c>
      <c r="J3" s="102" t="s">
        <v>163</v>
      </c>
      <c r="K3" s="102"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c r="A4" s="40"/>
      <c r="B4" s="40"/>
      <c r="C4" s="43"/>
      <c r="D4" s="74"/>
      <c r="F4" s="42"/>
      <c r="G4" s="40"/>
      <c r="H4" s="44"/>
      <c r="I4" s="40"/>
      <c r="J4" s="40"/>
      <c r="K4" s="40"/>
      <c r="L4" s="40"/>
      <c r="M4" s="40"/>
      <c r="N4" s="45"/>
      <c r="O4" s="45"/>
      <c r="P4" s="42"/>
      <c r="Q4" s="40"/>
      <c r="R4" s="40"/>
      <c r="S4" s="40"/>
      <c r="T4" s="40"/>
      <c r="U4" s="40"/>
      <c r="Z4" s="42"/>
    </row>
    <row r="5" spans="1:63">
      <c r="A5" s="40"/>
      <c r="B5" s="40"/>
      <c r="C5" s="43"/>
      <c r="D5" s="74"/>
      <c r="F5" s="42"/>
      <c r="G5" s="40"/>
      <c r="H5" s="44"/>
      <c r="I5" s="40"/>
      <c r="J5" s="40"/>
      <c r="K5" s="40"/>
      <c r="L5" s="40"/>
      <c r="M5" s="40"/>
      <c r="N5" s="40"/>
      <c r="O5" s="40"/>
      <c r="P5" s="40"/>
      <c r="Q5" s="40"/>
      <c r="R5" s="40"/>
      <c r="S5" s="40"/>
      <c r="T5" s="40"/>
      <c r="U5" s="40"/>
    </row>
    <row r="6" spans="1:63">
      <c r="A6" s="40"/>
      <c r="B6" s="40"/>
      <c r="C6" s="43"/>
      <c r="D6" s="74"/>
      <c r="F6" s="42"/>
      <c r="G6" s="40"/>
      <c r="H6" s="44"/>
      <c r="I6" s="40"/>
      <c r="J6" s="40"/>
      <c r="K6" s="40"/>
      <c r="L6" s="40"/>
      <c r="M6" s="40"/>
      <c r="N6" s="40"/>
      <c r="O6" s="40"/>
      <c r="P6" s="40"/>
      <c r="Q6" s="40"/>
      <c r="R6" s="40"/>
      <c r="S6" s="40"/>
      <c r="T6" s="40"/>
      <c r="U6" s="40"/>
    </row>
    <row r="7" spans="1:63">
      <c r="A7" s="40"/>
      <c r="B7" s="40"/>
      <c r="C7" s="43"/>
      <c r="D7" s="74"/>
      <c r="F7" s="42"/>
      <c r="G7" s="40"/>
      <c r="H7" s="44"/>
      <c r="I7" s="40"/>
      <c r="J7" s="40"/>
      <c r="K7" s="40"/>
      <c r="L7" s="40"/>
      <c r="M7" s="40"/>
      <c r="N7" s="40"/>
      <c r="O7" s="40"/>
      <c r="P7" s="40"/>
      <c r="Q7" s="40"/>
      <c r="R7" s="40"/>
      <c r="S7" s="40"/>
      <c r="T7" s="40"/>
      <c r="U7" s="40"/>
    </row>
    <row r="8" spans="1:63">
      <c r="A8" s="40"/>
      <c r="B8" s="40"/>
      <c r="C8" s="43"/>
      <c r="D8" s="74"/>
      <c r="F8" s="42"/>
      <c r="G8" s="40"/>
      <c r="H8" s="44"/>
      <c r="I8" s="40"/>
      <c r="J8" s="40"/>
      <c r="K8" s="40"/>
      <c r="L8" s="40"/>
      <c r="M8" s="40"/>
      <c r="N8" s="40"/>
      <c r="O8" s="40"/>
      <c r="P8" s="40"/>
      <c r="Q8" s="40"/>
      <c r="R8" s="40"/>
      <c r="S8" s="40"/>
      <c r="T8" s="40"/>
      <c r="U8" s="40"/>
    </row>
    <row r="9" spans="1:63">
      <c r="A9" s="40"/>
      <c r="B9" s="40"/>
      <c r="C9" s="43"/>
      <c r="D9" s="74"/>
      <c r="F9" s="42"/>
      <c r="G9" s="40"/>
      <c r="H9" s="44"/>
      <c r="I9" s="40"/>
      <c r="J9" s="40"/>
      <c r="K9" s="40"/>
      <c r="L9" s="40"/>
      <c r="M9" s="40"/>
      <c r="N9" s="40"/>
      <c r="O9" s="40"/>
      <c r="P9" s="40"/>
      <c r="Q9" s="40"/>
      <c r="R9" s="40"/>
      <c r="S9" s="40"/>
      <c r="T9" s="40"/>
      <c r="U9" s="40"/>
    </row>
    <row r="10" spans="1:63">
      <c r="A10" s="40"/>
      <c r="B10" s="40"/>
      <c r="C10" s="43"/>
      <c r="D10" s="74"/>
      <c r="F10" s="42"/>
      <c r="G10" s="40"/>
      <c r="H10" s="44"/>
      <c r="I10" s="40"/>
      <c r="J10" s="40"/>
      <c r="K10" s="40"/>
      <c r="L10" s="40"/>
      <c r="M10" s="40"/>
      <c r="N10" s="40"/>
      <c r="O10" s="40"/>
      <c r="P10" s="40"/>
      <c r="Q10" s="40"/>
      <c r="R10" s="40"/>
      <c r="S10" s="40"/>
      <c r="T10" s="40"/>
      <c r="U10" s="40"/>
    </row>
    <row r="11" spans="1:63">
      <c r="A11" s="40"/>
      <c r="B11" s="40"/>
      <c r="C11" s="43"/>
      <c r="D11" s="74"/>
      <c r="F11" s="42"/>
      <c r="G11" s="40"/>
      <c r="H11" s="44"/>
      <c r="I11" s="40"/>
      <c r="J11" s="40"/>
      <c r="K11" s="40"/>
      <c r="L11" s="40"/>
      <c r="M11" s="40"/>
      <c r="N11" s="40"/>
      <c r="O11" s="40"/>
      <c r="P11" s="40"/>
      <c r="Q11" s="40"/>
      <c r="R11" s="40"/>
      <c r="S11" s="40"/>
      <c r="T11" s="40"/>
      <c r="U11" s="40"/>
    </row>
    <row r="12" spans="1:63">
      <c r="A12" s="40"/>
      <c r="B12" s="40"/>
      <c r="C12" s="43"/>
      <c r="D12" s="74"/>
      <c r="F12" s="42"/>
      <c r="G12" s="40"/>
      <c r="H12" s="44"/>
      <c r="I12" s="40"/>
      <c r="J12" s="40"/>
      <c r="K12" s="40"/>
      <c r="L12" s="40"/>
      <c r="M12" s="40"/>
      <c r="N12" s="40"/>
      <c r="O12" s="40"/>
      <c r="P12" s="40"/>
      <c r="Q12" s="40"/>
      <c r="R12" s="40"/>
      <c r="S12" s="40"/>
      <c r="T12" s="40"/>
      <c r="U12" s="40"/>
    </row>
    <row r="13" spans="1:63">
      <c r="A13" s="40"/>
      <c r="B13" s="40"/>
      <c r="C13" s="43"/>
      <c r="D13" s="74"/>
      <c r="F13" s="42"/>
      <c r="G13" s="40"/>
      <c r="H13" s="44"/>
      <c r="I13" s="40"/>
      <c r="J13" s="40"/>
      <c r="K13" s="40"/>
      <c r="L13" s="40"/>
      <c r="M13" s="40"/>
      <c r="N13" s="40"/>
      <c r="O13" s="40"/>
      <c r="P13" s="40"/>
      <c r="Q13" s="40"/>
      <c r="R13" s="40"/>
      <c r="S13" s="40"/>
      <c r="T13" s="40"/>
      <c r="U13" s="40"/>
    </row>
    <row r="14" spans="1:63">
      <c r="A14" s="40"/>
      <c r="B14" s="40"/>
      <c r="C14" s="43"/>
      <c r="D14" s="74"/>
      <c r="F14" s="42"/>
      <c r="G14" s="40"/>
      <c r="H14" s="44"/>
      <c r="I14" s="40"/>
      <c r="J14" s="40"/>
      <c r="K14" s="40"/>
      <c r="L14" s="40"/>
      <c r="M14" s="40"/>
      <c r="N14" s="40"/>
      <c r="O14" s="40"/>
      <c r="P14" s="40"/>
      <c r="Q14" s="40"/>
      <c r="R14" s="40"/>
      <c r="S14" s="40"/>
      <c r="T14" s="40"/>
      <c r="U14" s="40"/>
    </row>
    <row r="15" spans="1:63">
      <c r="A15" s="40"/>
      <c r="B15" s="40"/>
      <c r="C15" s="43"/>
      <c r="D15" s="74"/>
      <c r="F15" s="42"/>
      <c r="G15" s="40"/>
      <c r="H15" s="44"/>
      <c r="I15" s="40"/>
      <c r="J15" s="40"/>
      <c r="K15" s="40"/>
      <c r="L15" s="40"/>
      <c r="M15" s="40"/>
      <c r="N15" s="40"/>
      <c r="O15" s="40"/>
      <c r="P15" s="40"/>
      <c r="Q15" s="40"/>
      <c r="R15" s="40"/>
      <c r="S15" s="40"/>
      <c r="T15" s="40"/>
      <c r="U15" s="40"/>
    </row>
    <row r="16" spans="1:63">
      <c r="A16" s="40"/>
      <c r="B16" s="40"/>
      <c r="C16" s="43"/>
      <c r="D16" s="74"/>
      <c r="F16" s="42"/>
      <c r="G16" s="40"/>
      <c r="H16" s="44"/>
      <c r="I16" s="40"/>
      <c r="J16" s="40"/>
      <c r="K16" s="40"/>
      <c r="L16" s="40"/>
      <c r="M16" s="40"/>
      <c r="N16" s="40"/>
      <c r="O16" s="40"/>
      <c r="P16" s="40"/>
      <c r="Q16" s="40"/>
      <c r="R16" s="40"/>
      <c r="S16" s="40"/>
      <c r="T16" s="40"/>
      <c r="U16" s="40"/>
    </row>
    <row r="17" spans="1:21">
      <c r="A17" s="40"/>
      <c r="B17" s="40"/>
      <c r="C17" s="43"/>
      <c r="D17" s="74"/>
      <c r="F17" s="42"/>
      <c r="G17" s="40"/>
      <c r="H17" s="44"/>
      <c r="I17" s="40"/>
      <c r="J17" s="40"/>
      <c r="K17" s="40"/>
      <c r="L17" s="40"/>
      <c r="M17" s="40"/>
      <c r="N17" s="40"/>
      <c r="O17" s="40"/>
      <c r="P17" s="40"/>
      <c r="Q17" s="40"/>
      <c r="R17" s="40"/>
      <c r="S17" s="40"/>
      <c r="T17" s="40"/>
      <c r="U17" s="40"/>
    </row>
    <row r="18" spans="1:21">
      <c r="A18" s="40"/>
      <c r="B18" s="40"/>
      <c r="C18" s="43"/>
      <c r="D18" s="74"/>
      <c r="F18" s="42"/>
      <c r="G18" s="40"/>
      <c r="H18" s="44"/>
      <c r="I18" s="40"/>
      <c r="J18" s="40"/>
      <c r="K18" s="40"/>
      <c r="L18" s="40"/>
      <c r="M18" s="40"/>
      <c r="N18" s="40"/>
      <c r="O18" s="40"/>
      <c r="P18" s="40"/>
      <c r="Q18" s="40"/>
      <c r="R18" s="40"/>
      <c r="S18" s="40"/>
      <c r="T18" s="40"/>
      <c r="U18" s="40"/>
    </row>
    <row r="19" spans="1:21">
      <c r="A19" s="40"/>
      <c r="B19" s="40"/>
      <c r="C19" s="43"/>
      <c r="D19" s="74"/>
      <c r="F19" s="42"/>
      <c r="G19" s="40"/>
      <c r="H19" s="44"/>
      <c r="I19" s="40"/>
      <c r="J19" s="40"/>
      <c r="K19" s="40"/>
      <c r="L19" s="40"/>
      <c r="M19" s="40"/>
      <c r="N19" s="40"/>
      <c r="O19" s="40"/>
      <c r="P19" s="40"/>
      <c r="Q19" s="40"/>
      <c r="R19" s="40"/>
      <c r="S19" s="40"/>
      <c r="T19" s="40"/>
      <c r="U19" s="40"/>
    </row>
    <row r="20" spans="1:21">
      <c r="A20" s="40"/>
      <c r="B20" s="40"/>
      <c r="C20" s="43"/>
      <c r="D20" s="74"/>
      <c r="F20" s="42"/>
      <c r="G20" s="40"/>
      <c r="H20" s="44"/>
      <c r="I20" s="40"/>
      <c r="J20" s="40"/>
      <c r="K20" s="40"/>
      <c r="L20" s="40"/>
      <c r="M20" s="40"/>
      <c r="N20" s="40"/>
      <c r="O20" s="40"/>
      <c r="P20" s="40"/>
      <c r="Q20" s="40"/>
      <c r="R20" s="40"/>
      <c r="S20" s="40"/>
      <c r="T20" s="40"/>
      <c r="U20" s="40"/>
    </row>
    <row r="21" spans="1:21">
      <c r="A21" s="40"/>
      <c r="B21" s="40"/>
      <c r="C21" s="43"/>
      <c r="D21" s="74"/>
      <c r="F21" s="42"/>
      <c r="G21" s="40"/>
      <c r="H21" s="44"/>
      <c r="I21" s="40"/>
      <c r="J21" s="40"/>
      <c r="K21" s="40"/>
      <c r="L21" s="40"/>
      <c r="M21" s="40"/>
      <c r="N21" s="40"/>
      <c r="O21" s="40"/>
      <c r="P21" s="40"/>
      <c r="Q21" s="40"/>
      <c r="R21" s="40"/>
      <c r="S21" s="40"/>
      <c r="T21" s="40"/>
      <c r="U21" s="40"/>
    </row>
    <row r="22" spans="1:21">
      <c r="A22" s="40"/>
      <c r="B22" s="40"/>
      <c r="C22" s="43"/>
      <c r="D22" s="74"/>
      <c r="F22" s="42"/>
      <c r="G22" s="40"/>
      <c r="H22" s="44"/>
      <c r="I22" s="40"/>
      <c r="J22" s="40"/>
      <c r="K22" s="40"/>
      <c r="L22" s="40"/>
      <c r="M22" s="40"/>
      <c r="N22" s="40"/>
      <c r="O22" s="40"/>
      <c r="P22" s="40"/>
      <c r="Q22" s="40"/>
      <c r="R22" s="40"/>
      <c r="S22" s="40"/>
      <c r="T22" s="40"/>
      <c r="U22" s="40"/>
    </row>
    <row r="23" spans="1:21">
      <c r="A23" s="40"/>
      <c r="B23" s="40"/>
      <c r="C23" s="43"/>
      <c r="D23" s="74"/>
      <c r="F23" s="42"/>
      <c r="G23" s="40"/>
      <c r="H23" s="44"/>
      <c r="I23" s="40"/>
      <c r="J23" s="40"/>
      <c r="K23" s="40"/>
      <c r="L23" s="40"/>
      <c r="M23" s="40"/>
      <c r="N23" s="40"/>
      <c r="O23" s="40"/>
      <c r="P23" s="40"/>
      <c r="Q23" s="40"/>
      <c r="R23" s="40"/>
      <c r="S23" s="40"/>
      <c r="T23" s="40"/>
      <c r="U23" s="40"/>
    </row>
    <row r="24" spans="1:21">
      <c r="A24" s="40"/>
      <c r="B24" s="40"/>
      <c r="C24" s="43"/>
      <c r="D24" s="74"/>
      <c r="F24" s="42"/>
      <c r="G24" s="40"/>
      <c r="H24" s="44"/>
      <c r="I24" s="40"/>
      <c r="J24" s="40"/>
      <c r="K24" s="40"/>
      <c r="L24" s="40"/>
      <c r="M24" s="40"/>
      <c r="N24" s="40"/>
      <c r="O24" s="40"/>
      <c r="P24" s="40"/>
      <c r="Q24" s="40"/>
      <c r="R24" s="40"/>
      <c r="S24" s="40"/>
      <c r="T24" s="40"/>
      <c r="U24" s="40"/>
    </row>
    <row r="25" spans="1:21">
      <c r="A25" s="40"/>
      <c r="B25" s="40"/>
      <c r="C25" s="43"/>
      <c r="D25" s="74"/>
      <c r="F25" s="42"/>
      <c r="G25" s="40"/>
      <c r="H25" s="44"/>
      <c r="I25" s="40"/>
      <c r="J25" s="40"/>
      <c r="K25" s="40"/>
      <c r="L25" s="40"/>
      <c r="M25" s="40"/>
      <c r="N25" s="40"/>
      <c r="O25" s="40"/>
      <c r="P25" s="40"/>
      <c r="Q25" s="40"/>
      <c r="R25" s="40"/>
      <c r="S25" s="40"/>
      <c r="T25" s="40"/>
      <c r="U25" s="40"/>
    </row>
    <row r="26" spans="1:21">
      <c r="A26" s="40"/>
      <c r="B26" s="40"/>
      <c r="C26" s="43"/>
      <c r="D26" s="74"/>
      <c r="F26" s="42"/>
      <c r="G26" s="40"/>
      <c r="H26" s="44"/>
      <c r="I26" s="40"/>
      <c r="J26" s="40"/>
      <c r="K26" s="40"/>
      <c r="L26" s="40"/>
      <c r="M26" s="40"/>
      <c r="N26" s="40"/>
      <c r="O26" s="40"/>
      <c r="P26" s="40"/>
      <c r="Q26" s="40"/>
      <c r="R26" s="40"/>
      <c r="S26" s="40"/>
      <c r="T26" s="40"/>
      <c r="U26" s="40"/>
    </row>
    <row r="27" spans="1:21">
      <c r="A27" s="40"/>
      <c r="B27" s="40"/>
      <c r="C27" s="43"/>
      <c r="D27" s="74"/>
      <c r="F27" s="42"/>
      <c r="G27" s="40"/>
      <c r="H27" s="44"/>
      <c r="I27" s="40"/>
      <c r="J27" s="40"/>
      <c r="K27" s="40"/>
      <c r="L27" s="40"/>
      <c r="M27" s="40"/>
      <c r="N27" s="40"/>
      <c r="O27" s="40"/>
      <c r="P27" s="40"/>
      <c r="Q27" s="40"/>
      <c r="R27" s="40"/>
      <c r="S27" s="40"/>
      <c r="T27" s="40"/>
      <c r="U27" s="40"/>
    </row>
    <row r="28" spans="1:21">
      <c r="A28" s="40"/>
      <c r="B28" s="40"/>
      <c r="C28" s="43"/>
      <c r="D28" s="74"/>
      <c r="F28" s="42"/>
      <c r="G28" s="40"/>
      <c r="H28" s="44"/>
      <c r="I28" s="40"/>
      <c r="J28" s="40"/>
      <c r="K28" s="40"/>
      <c r="L28" s="40"/>
      <c r="M28" s="40"/>
      <c r="N28" s="40"/>
      <c r="O28" s="40"/>
      <c r="P28" s="40"/>
      <c r="Q28" s="40"/>
      <c r="R28" s="40"/>
      <c r="S28" s="40"/>
      <c r="T28" s="40"/>
      <c r="U28" s="40"/>
    </row>
    <row r="29" spans="1:21">
      <c r="A29" s="40"/>
      <c r="B29" s="40"/>
      <c r="C29" s="43"/>
      <c r="D29" s="74"/>
      <c r="F29" s="42"/>
      <c r="G29" s="40"/>
      <c r="H29" s="44"/>
      <c r="I29" s="40"/>
      <c r="J29" s="40"/>
      <c r="K29" s="40"/>
      <c r="L29" s="40"/>
      <c r="M29" s="40"/>
      <c r="N29" s="40"/>
      <c r="O29" s="40"/>
      <c r="P29" s="40"/>
      <c r="Q29" s="40"/>
      <c r="R29" s="40"/>
      <c r="S29" s="40"/>
      <c r="T29" s="40"/>
      <c r="U29" s="40"/>
    </row>
    <row r="30" spans="1:21">
      <c r="A30" s="40"/>
      <c r="B30" s="40"/>
      <c r="C30" s="43"/>
      <c r="D30" s="74"/>
      <c r="F30" s="42"/>
      <c r="G30" s="40"/>
      <c r="H30" s="44"/>
      <c r="I30" s="40"/>
      <c r="J30" s="40"/>
      <c r="K30" s="40"/>
      <c r="L30" s="40"/>
      <c r="M30" s="40"/>
      <c r="N30" s="40"/>
      <c r="O30" s="40"/>
      <c r="P30" s="40"/>
      <c r="Q30" s="40"/>
      <c r="R30" s="40"/>
      <c r="S30" s="40"/>
      <c r="T30" s="40"/>
      <c r="U30" s="40"/>
    </row>
    <row r="31" spans="1:21">
      <c r="A31" s="40"/>
      <c r="B31" s="40"/>
      <c r="C31" s="43"/>
      <c r="D31" s="74"/>
      <c r="F31" s="42"/>
      <c r="G31" s="40"/>
      <c r="H31" s="44"/>
      <c r="I31" s="40"/>
      <c r="J31" s="40"/>
      <c r="K31" s="40"/>
      <c r="L31" s="40"/>
      <c r="M31" s="40"/>
      <c r="N31" s="40"/>
      <c r="O31" s="40"/>
      <c r="P31" s="40"/>
      <c r="Q31" s="40"/>
      <c r="R31" s="40"/>
      <c r="S31" s="40"/>
      <c r="T31" s="40"/>
      <c r="U31" s="40"/>
    </row>
    <row r="32" spans="1:21">
      <c r="A32" s="40"/>
      <c r="B32" s="40"/>
      <c r="C32" s="43"/>
      <c r="D32" s="74"/>
      <c r="F32" s="42"/>
      <c r="G32" s="40"/>
      <c r="H32" s="44"/>
      <c r="I32" s="40"/>
      <c r="J32" s="40"/>
      <c r="K32" s="40"/>
      <c r="L32" s="40"/>
      <c r="M32" s="40"/>
      <c r="N32" s="40"/>
      <c r="O32" s="40"/>
      <c r="P32" s="40"/>
      <c r="Q32" s="40"/>
      <c r="R32" s="40"/>
      <c r="S32" s="40"/>
      <c r="T32" s="40"/>
      <c r="U32" s="40"/>
    </row>
    <row r="33" spans="1:21">
      <c r="A33" s="40"/>
      <c r="B33" s="40"/>
      <c r="C33" s="43"/>
      <c r="D33" s="74"/>
      <c r="F33" s="42"/>
      <c r="G33" s="40"/>
      <c r="H33" s="44"/>
      <c r="I33" s="40"/>
      <c r="J33" s="40"/>
      <c r="K33" s="40"/>
      <c r="L33" s="40"/>
      <c r="M33" s="40"/>
      <c r="N33" s="40"/>
      <c r="O33" s="40"/>
      <c r="P33" s="40"/>
      <c r="Q33" s="40"/>
      <c r="R33" s="40"/>
      <c r="S33" s="40"/>
      <c r="T33" s="40"/>
      <c r="U33" s="40"/>
    </row>
    <row r="34" spans="1:21">
      <c r="A34" s="40"/>
      <c r="B34" s="40"/>
      <c r="C34" s="43"/>
      <c r="D34" s="74"/>
      <c r="F34" s="42"/>
      <c r="G34" s="40"/>
      <c r="H34" s="44"/>
      <c r="I34" s="40"/>
      <c r="J34" s="40"/>
      <c r="K34" s="40"/>
      <c r="L34" s="40"/>
      <c r="M34" s="40"/>
      <c r="N34" s="40"/>
      <c r="O34" s="40"/>
      <c r="P34" s="40"/>
      <c r="Q34" s="40"/>
      <c r="R34" s="40"/>
      <c r="S34" s="40"/>
      <c r="T34" s="40"/>
      <c r="U34" s="40"/>
    </row>
    <row r="35" spans="1:21">
      <c r="A35" s="40"/>
      <c r="B35" s="40"/>
      <c r="C35" s="43"/>
      <c r="D35" s="74"/>
      <c r="F35" s="42"/>
      <c r="G35" s="40"/>
      <c r="H35" s="44"/>
      <c r="I35" s="40"/>
      <c r="J35" s="40"/>
      <c r="K35" s="40"/>
      <c r="L35" s="40"/>
      <c r="M35" s="40"/>
      <c r="N35" s="40"/>
      <c r="O35" s="40"/>
      <c r="P35" s="40"/>
      <c r="Q35" s="40"/>
      <c r="R35" s="40"/>
      <c r="S35" s="40"/>
      <c r="T35" s="40"/>
      <c r="U35" s="40"/>
    </row>
    <row r="36" spans="1:21">
      <c r="A36" s="40"/>
      <c r="B36" s="40"/>
      <c r="C36" s="43"/>
      <c r="D36" s="74"/>
      <c r="F36" s="42"/>
      <c r="G36" s="40"/>
      <c r="H36" s="44"/>
      <c r="I36" s="40"/>
      <c r="J36" s="40"/>
      <c r="K36" s="40"/>
      <c r="L36" s="40"/>
      <c r="M36" s="40"/>
      <c r="N36" s="40"/>
      <c r="O36" s="40"/>
      <c r="P36" s="40"/>
      <c r="Q36" s="40"/>
      <c r="R36" s="40"/>
      <c r="S36" s="40"/>
      <c r="T36" s="40"/>
      <c r="U36" s="40"/>
    </row>
    <row r="37" spans="1:21">
      <c r="A37" s="40"/>
      <c r="B37" s="40"/>
      <c r="C37" s="43"/>
      <c r="D37" s="74"/>
      <c r="F37" s="42"/>
      <c r="G37" s="40"/>
      <c r="H37" s="44"/>
      <c r="I37" s="40"/>
      <c r="J37" s="40"/>
      <c r="K37" s="40"/>
      <c r="L37" s="40"/>
      <c r="M37" s="40"/>
      <c r="N37" s="40"/>
      <c r="O37" s="40"/>
      <c r="P37" s="40"/>
      <c r="Q37" s="40"/>
      <c r="R37" s="40"/>
      <c r="S37" s="40"/>
      <c r="T37" s="40"/>
      <c r="U37" s="40"/>
    </row>
    <row r="38" spans="1:21">
      <c r="A38" s="40"/>
      <c r="B38" s="40"/>
      <c r="C38" s="43"/>
      <c r="D38" s="74"/>
      <c r="F38" s="42"/>
      <c r="G38" s="40"/>
      <c r="H38" s="44"/>
      <c r="I38" s="40"/>
      <c r="J38" s="40"/>
      <c r="K38" s="40"/>
      <c r="L38" s="40"/>
      <c r="M38" s="40"/>
      <c r="N38" s="40"/>
      <c r="O38" s="40"/>
      <c r="P38" s="40"/>
      <c r="Q38" s="40"/>
      <c r="R38" s="40"/>
      <c r="S38" s="40"/>
      <c r="T38" s="40"/>
      <c r="U38" s="40"/>
    </row>
    <row r="39" spans="1:21">
      <c r="A39" s="40"/>
      <c r="B39" s="40"/>
      <c r="C39" s="43"/>
      <c r="D39" s="74"/>
      <c r="F39" s="42"/>
      <c r="G39" s="40"/>
      <c r="H39" s="44"/>
      <c r="I39" s="40"/>
      <c r="J39" s="40"/>
      <c r="K39" s="40"/>
      <c r="L39" s="40"/>
      <c r="M39" s="40"/>
      <c r="N39" s="40"/>
      <c r="O39" s="40"/>
      <c r="P39" s="40"/>
      <c r="Q39" s="40"/>
      <c r="R39" s="40"/>
      <c r="S39" s="40"/>
      <c r="T39" s="40"/>
      <c r="U39" s="40"/>
    </row>
    <row r="40" spans="1:21">
      <c r="A40" s="40"/>
      <c r="B40" s="40"/>
      <c r="C40" s="43"/>
      <c r="D40" s="74"/>
      <c r="F40" s="42"/>
      <c r="G40" s="40"/>
      <c r="H40" s="44"/>
      <c r="I40" s="40"/>
      <c r="J40" s="40"/>
      <c r="K40" s="40"/>
      <c r="L40" s="40"/>
      <c r="M40" s="40"/>
      <c r="N40" s="40"/>
      <c r="O40" s="40"/>
      <c r="P40" s="40"/>
      <c r="Q40" s="40"/>
      <c r="R40" s="40"/>
      <c r="S40" s="40"/>
      <c r="T40" s="40"/>
      <c r="U40" s="40"/>
    </row>
    <row r="41" spans="1:21">
      <c r="A41" s="40"/>
      <c r="B41" s="40"/>
      <c r="C41" s="43"/>
      <c r="D41" s="74"/>
      <c r="F41" s="42"/>
      <c r="G41" s="40"/>
      <c r="H41" s="44"/>
      <c r="I41" s="40"/>
      <c r="J41" s="40"/>
      <c r="K41" s="40"/>
      <c r="L41" s="40"/>
      <c r="M41" s="40"/>
      <c r="N41" s="40"/>
      <c r="O41" s="40"/>
      <c r="P41" s="40"/>
      <c r="Q41" s="40"/>
      <c r="R41" s="40"/>
      <c r="S41" s="40"/>
      <c r="T41" s="40"/>
      <c r="U41" s="40"/>
    </row>
    <row r="42" spans="1:21">
      <c r="A42" s="40"/>
      <c r="B42" s="40"/>
      <c r="C42" s="43"/>
      <c r="D42" s="74"/>
      <c r="F42" s="42"/>
      <c r="G42" s="40"/>
      <c r="H42" s="44"/>
      <c r="I42" s="40"/>
      <c r="J42" s="40"/>
      <c r="K42" s="40"/>
      <c r="L42" s="40"/>
      <c r="M42" s="40"/>
      <c r="N42" s="40"/>
      <c r="O42" s="40"/>
      <c r="P42" s="40"/>
      <c r="Q42" s="40"/>
      <c r="R42" s="40"/>
      <c r="S42" s="40"/>
      <c r="T42" s="40"/>
      <c r="U42" s="40"/>
    </row>
    <row r="43" spans="1:21">
      <c r="A43" s="40"/>
      <c r="B43" s="40"/>
      <c r="C43" s="43"/>
      <c r="D43" s="74"/>
      <c r="F43" s="42"/>
      <c r="G43" s="40"/>
      <c r="H43" s="44"/>
      <c r="I43" s="40"/>
      <c r="J43" s="40"/>
      <c r="K43" s="40"/>
      <c r="L43" s="40"/>
      <c r="M43" s="40"/>
      <c r="N43" s="40"/>
      <c r="O43" s="40"/>
      <c r="P43" s="40"/>
      <c r="Q43" s="40"/>
      <c r="R43" s="40"/>
      <c r="S43" s="40"/>
      <c r="T43" s="40"/>
      <c r="U43" s="40"/>
    </row>
    <row r="44" spans="1:21">
      <c r="A44" s="40"/>
      <c r="B44" s="40"/>
      <c r="C44" s="43"/>
      <c r="D44" s="74"/>
      <c r="F44" s="42"/>
      <c r="G44" s="40"/>
      <c r="H44" s="44"/>
      <c r="I44" s="40"/>
      <c r="J44" s="40"/>
      <c r="K44" s="40"/>
      <c r="L44" s="40"/>
      <c r="M44" s="40"/>
      <c r="N44" s="40"/>
      <c r="O44" s="40"/>
      <c r="P44" s="40"/>
      <c r="Q44" s="40"/>
      <c r="R44" s="40"/>
      <c r="S44" s="40"/>
      <c r="T44" s="40"/>
      <c r="U44" s="40"/>
    </row>
    <row r="45" spans="1:21">
      <c r="A45" s="40"/>
      <c r="B45" s="40"/>
      <c r="C45" s="43"/>
      <c r="D45" s="74"/>
      <c r="F45" s="42"/>
      <c r="G45" s="40"/>
      <c r="H45" s="44"/>
      <c r="I45" s="40"/>
      <c r="J45" s="40"/>
      <c r="K45" s="40"/>
      <c r="L45" s="40"/>
      <c r="M45" s="40"/>
      <c r="N45" s="40"/>
      <c r="O45" s="40"/>
      <c r="P45" s="40"/>
      <c r="Q45" s="40"/>
      <c r="R45" s="40"/>
      <c r="S45" s="40"/>
      <c r="T45" s="40"/>
      <c r="U45" s="40"/>
    </row>
    <row r="46" spans="1:21">
      <c r="A46" s="40"/>
      <c r="B46" s="40"/>
      <c r="C46" s="43"/>
      <c r="D46" s="74"/>
      <c r="F46" s="42"/>
      <c r="G46" s="40"/>
      <c r="H46" s="44"/>
      <c r="I46" s="40"/>
      <c r="J46" s="40"/>
      <c r="K46" s="40"/>
      <c r="L46" s="40"/>
      <c r="M46" s="40"/>
      <c r="N46" s="40"/>
      <c r="O46" s="40"/>
      <c r="P46" s="40"/>
      <c r="Q46" s="40"/>
      <c r="R46" s="40"/>
      <c r="S46" s="40"/>
      <c r="T46" s="40"/>
      <c r="U46" s="40"/>
    </row>
    <row r="47" spans="1:21">
      <c r="A47" s="40"/>
      <c r="B47" s="40"/>
      <c r="C47" s="43"/>
      <c r="D47" s="74"/>
      <c r="F47" s="42"/>
      <c r="G47" s="40"/>
      <c r="H47" s="44"/>
      <c r="I47" s="40"/>
      <c r="J47" s="40"/>
      <c r="K47" s="40"/>
      <c r="L47" s="40"/>
      <c r="M47" s="40"/>
      <c r="N47" s="40"/>
      <c r="O47" s="40"/>
      <c r="P47" s="40"/>
      <c r="Q47" s="40"/>
      <c r="R47" s="40"/>
      <c r="S47" s="40"/>
      <c r="T47" s="40"/>
      <c r="U47" s="40"/>
    </row>
    <row r="48" spans="1:21">
      <c r="A48" s="40"/>
      <c r="B48" s="40"/>
      <c r="C48" s="43"/>
      <c r="D48" s="74"/>
      <c r="F48" s="42"/>
      <c r="G48" s="40"/>
      <c r="H48" s="44"/>
      <c r="I48" s="40"/>
      <c r="J48" s="40"/>
      <c r="K48" s="40"/>
      <c r="L48" s="40"/>
      <c r="M48" s="40"/>
      <c r="N48" s="40"/>
      <c r="O48" s="40"/>
      <c r="P48" s="40"/>
      <c r="Q48" s="40"/>
      <c r="R48" s="40"/>
      <c r="S48" s="40"/>
      <c r="T48" s="40"/>
      <c r="U48" s="40"/>
    </row>
    <row r="49" spans="1:21">
      <c r="A49" s="40"/>
      <c r="B49" s="40"/>
      <c r="C49" s="43"/>
      <c r="D49" s="74"/>
      <c r="F49" s="42"/>
      <c r="G49" s="40"/>
      <c r="H49" s="44"/>
      <c r="I49" s="40"/>
      <c r="J49" s="40"/>
      <c r="K49" s="40"/>
      <c r="L49" s="40"/>
      <c r="M49" s="40"/>
      <c r="N49" s="40"/>
      <c r="O49" s="40"/>
      <c r="P49" s="40"/>
      <c r="Q49" s="40"/>
      <c r="R49" s="40"/>
      <c r="S49" s="40"/>
      <c r="T49" s="40"/>
      <c r="U49" s="40"/>
    </row>
    <row r="50" spans="1:21">
      <c r="A50" s="40"/>
      <c r="B50" s="40"/>
      <c r="C50" s="43"/>
      <c r="D50" s="74"/>
      <c r="F50" s="42"/>
      <c r="G50" s="40"/>
      <c r="H50" s="44"/>
      <c r="I50" s="40"/>
      <c r="J50" s="40"/>
      <c r="K50" s="40"/>
      <c r="L50" s="40"/>
      <c r="M50" s="40"/>
      <c r="N50" s="40"/>
      <c r="O50" s="40"/>
      <c r="P50" s="40"/>
      <c r="Q50" s="40"/>
      <c r="R50" s="40"/>
      <c r="S50" s="40"/>
      <c r="T50" s="40"/>
      <c r="U50" s="40"/>
    </row>
    <row r="51" spans="1:21">
      <c r="A51" s="40"/>
      <c r="B51" s="40"/>
      <c r="C51" s="43"/>
      <c r="D51" s="74"/>
      <c r="F51" s="42"/>
      <c r="G51" s="40"/>
      <c r="H51" s="44"/>
      <c r="I51" s="40"/>
      <c r="J51" s="40"/>
      <c r="K51" s="40"/>
      <c r="L51" s="40"/>
      <c r="M51" s="40"/>
      <c r="N51" s="40"/>
      <c r="O51" s="40"/>
      <c r="P51" s="40"/>
      <c r="Q51" s="40"/>
      <c r="R51" s="40"/>
      <c r="S51" s="40"/>
      <c r="T51" s="40"/>
      <c r="U51" s="40"/>
    </row>
    <row r="52" spans="1:21">
      <c r="A52" s="40"/>
      <c r="B52" s="40"/>
      <c r="C52" s="43"/>
      <c r="D52" s="74"/>
      <c r="F52" s="42"/>
      <c r="G52" s="40"/>
      <c r="H52" s="44"/>
      <c r="I52" s="40"/>
      <c r="J52" s="40"/>
      <c r="K52" s="40"/>
      <c r="L52" s="40"/>
      <c r="M52" s="40"/>
      <c r="N52" s="40"/>
      <c r="O52" s="40"/>
      <c r="P52" s="40"/>
      <c r="Q52" s="40"/>
      <c r="R52" s="40"/>
      <c r="S52" s="40"/>
      <c r="T52" s="40"/>
      <c r="U52" s="40"/>
    </row>
    <row r="53" spans="1:21">
      <c r="A53" s="40"/>
      <c r="B53" s="40"/>
      <c r="C53" s="43"/>
      <c r="D53" s="74"/>
      <c r="F53" s="42"/>
      <c r="G53" s="40"/>
      <c r="H53" s="44"/>
      <c r="I53" s="40"/>
      <c r="J53" s="40"/>
      <c r="K53" s="40"/>
      <c r="L53" s="40"/>
      <c r="M53" s="40"/>
      <c r="N53" s="40"/>
      <c r="O53" s="40"/>
      <c r="P53" s="40"/>
      <c r="Q53" s="40"/>
      <c r="R53" s="40"/>
      <c r="S53" s="40"/>
      <c r="T53" s="40"/>
      <c r="U53" s="40"/>
    </row>
    <row r="54" spans="1:21">
      <c r="A54" s="40"/>
      <c r="B54" s="40"/>
      <c r="C54" s="43"/>
      <c r="D54" s="74"/>
      <c r="F54" s="42"/>
      <c r="G54" s="40"/>
      <c r="H54" s="44"/>
      <c r="I54" s="40"/>
      <c r="J54" s="40"/>
      <c r="K54" s="40"/>
      <c r="L54" s="40"/>
      <c r="M54" s="40"/>
      <c r="N54" s="40"/>
      <c r="O54" s="40"/>
      <c r="P54" s="40"/>
      <c r="Q54" s="40"/>
      <c r="R54" s="40"/>
      <c r="S54" s="40"/>
      <c r="T54" s="40"/>
      <c r="U54" s="40"/>
    </row>
    <row r="55" spans="1:21">
      <c r="A55" s="40"/>
      <c r="B55" s="40"/>
      <c r="C55" s="43"/>
      <c r="D55" s="74"/>
      <c r="F55" s="42"/>
      <c r="G55" s="40"/>
      <c r="H55" s="44"/>
      <c r="I55" s="40"/>
      <c r="J55" s="40"/>
      <c r="K55" s="40"/>
      <c r="L55" s="40"/>
      <c r="M55" s="40"/>
      <c r="N55" s="40"/>
      <c r="O55" s="40"/>
      <c r="P55" s="40"/>
      <c r="Q55" s="40"/>
      <c r="R55" s="40"/>
      <c r="S55" s="40"/>
      <c r="T55" s="40"/>
      <c r="U55" s="40"/>
    </row>
    <row r="56" spans="1:21">
      <c r="A56" s="40"/>
      <c r="B56" s="40"/>
      <c r="C56" s="43"/>
      <c r="D56" s="74"/>
      <c r="F56" s="42"/>
      <c r="G56" s="40"/>
      <c r="H56" s="44"/>
      <c r="I56" s="40"/>
      <c r="J56" s="40"/>
      <c r="K56" s="40"/>
      <c r="L56" s="40"/>
      <c r="M56" s="40"/>
      <c r="N56" s="40"/>
      <c r="O56" s="40"/>
      <c r="P56" s="40"/>
      <c r="Q56" s="40"/>
      <c r="R56" s="40"/>
      <c r="S56" s="40"/>
      <c r="T56" s="40"/>
      <c r="U56" s="40"/>
    </row>
    <row r="57" spans="1:21">
      <c r="A57" s="40"/>
      <c r="B57" s="40"/>
      <c r="C57" s="43"/>
      <c r="D57" s="74"/>
      <c r="F57" s="42"/>
      <c r="G57" s="40"/>
      <c r="H57" s="44"/>
      <c r="I57" s="40"/>
      <c r="J57" s="40"/>
      <c r="K57" s="40"/>
      <c r="L57" s="40"/>
      <c r="M57" s="40"/>
      <c r="N57" s="40"/>
      <c r="O57" s="40"/>
      <c r="P57" s="40"/>
      <c r="Q57" s="40"/>
      <c r="R57" s="40"/>
      <c r="S57" s="40"/>
      <c r="T57" s="40"/>
      <c r="U57" s="40"/>
    </row>
    <row r="58" spans="1:21">
      <c r="A58" s="40"/>
      <c r="B58" s="40"/>
      <c r="C58" s="43"/>
      <c r="D58" s="74"/>
      <c r="F58" s="42"/>
      <c r="G58" s="40"/>
      <c r="H58" s="44"/>
      <c r="I58" s="40"/>
      <c r="J58" s="40"/>
      <c r="K58" s="40"/>
      <c r="L58" s="40"/>
      <c r="M58" s="40"/>
      <c r="N58" s="40"/>
      <c r="O58" s="40"/>
      <c r="P58" s="40"/>
      <c r="Q58" s="40"/>
      <c r="R58" s="40"/>
      <c r="S58" s="40"/>
      <c r="T58" s="40"/>
      <c r="U58" s="40"/>
    </row>
    <row r="59" spans="1:21">
      <c r="A59" s="40"/>
      <c r="B59" s="40"/>
      <c r="C59" s="43"/>
      <c r="D59" s="74"/>
      <c r="F59" s="42"/>
      <c r="G59" s="40"/>
      <c r="H59" s="44"/>
      <c r="I59" s="40"/>
      <c r="J59" s="40"/>
      <c r="K59" s="40"/>
      <c r="L59" s="40"/>
      <c r="M59" s="40"/>
      <c r="N59" s="40"/>
      <c r="O59" s="40"/>
      <c r="P59" s="40"/>
      <c r="Q59" s="40"/>
      <c r="R59" s="40"/>
      <c r="S59" s="40"/>
      <c r="T59" s="40"/>
      <c r="U59" s="40"/>
    </row>
    <row r="60" spans="1:21">
      <c r="A60" s="40"/>
      <c r="B60" s="40"/>
      <c r="C60" s="43"/>
      <c r="D60" s="74"/>
      <c r="F60" s="42"/>
      <c r="G60" s="40"/>
      <c r="H60" s="44"/>
      <c r="I60" s="40"/>
      <c r="J60" s="40"/>
      <c r="K60" s="40"/>
      <c r="L60" s="40"/>
      <c r="M60" s="40"/>
      <c r="N60" s="40"/>
      <c r="O60" s="40"/>
      <c r="P60" s="40"/>
      <c r="Q60" s="40"/>
      <c r="R60" s="40"/>
      <c r="S60" s="40"/>
      <c r="T60" s="40"/>
      <c r="U60" s="40"/>
    </row>
    <row r="61" spans="1:21">
      <c r="A61" s="40"/>
      <c r="B61" s="40"/>
      <c r="C61" s="43"/>
      <c r="D61" s="74"/>
      <c r="F61" s="42"/>
      <c r="G61" s="40"/>
      <c r="H61" s="44"/>
      <c r="I61" s="40"/>
      <c r="J61" s="40"/>
      <c r="K61" s="40"/>
      <c r="L61" s="40"/>
      <c r="M61" s="40"/>
      <c r="N61" s="40"/>
      <c r="O61" s="40"/>
      <c r="P61" s="40"/>
      <c r="Q61" s="40"/>
      <c r="R61" s="40"/>
      <c r="S61" s="40"/>
      <c r="T61" s="40"/>
      <c r="U61" s="40"/>
    </row>
    <row r="62" spans="1:21">
      <c r="A62" s="40"/>
      <c r="B62" s="40"/>
      <c r="C62" s="43"/>
      <c r="D62" s="74"/>
      <c r="F62" s="42"/>
      <c r="G62" s="40"/>
      <c r="H62" s="44"/>
      <c r="I62" s="40"/>
      <c r="J62" s="40"/>
      <c r="K62" s="40"/>
      <c r="L62" s="40"/>
      <c r="M62" s="40"/>
      <c r="N62" s="40"/>
      <c r="O62" s="40"/>
      <c r="P62" s="40"/>
      <c r="Q62" s="40"/>
      <c r="R62" s="40"/>
      <c r="S62" s="40"/>
      <c r="T62" s="40"/>
      <c r="U62" s="40"/>
    </row>
    <row r="63" spans="1:21">
      <c r="A63" s="40"/>
      <c r="B63" s="40"/>
      <c r="C63" s="43"/>
      <c r="D63" s="74"/>
      <c r="F63" s="42"/>
      <c r="G63" s="40"/>
      <c r="H63" s="44"/>
      <c r="I63" s="40"/>
      <c r="J63" s="40"/>
      <c r="K63" s="40"/>
      <c r="L63" s="40"/>
      <c r="M63" s="40"/>
      <c r="N63" s="40"/>
      <c r="O63" s="40"/>
      <c r="P63" s="40"/>
      <c r="Q63" s="40"/>
      <c r="R63" s="40"/>
      <c r="S63" s="40"/>
      <c r="T63" s="40"/>
      <c r="U63" s="40"/>
    </row>
    <row r="64" spans="1:21">
      <c r="A64" s="40"/>
      <c r="B64" s="40"/>
      <c r="C64" s="43"/>
      <c r="D64" s="74"/>
      <c r="F64" s="42"/>
      <c r="G64" s="40"/>
      <c r="H64" s="44"/>
      <c r="I64" s="40"/>
      <c r="J64" s="40"/>
      <c r="K64" s="40"/>
      <c r="L64" s="40"/>
      <c r="M64" s="40"/>
      <c r="N64" s="40"/>
      <c r="O64" s="40"/>
      <c r="P64" s="40"/>
      <c r="Q64" s="40"/>
      <c r="R64" s="40"/>
      <c r="S64" s="40"/>
      <c r="T64" s="40"/>
      <c r="U64" s="40"/>
    </row>
    <row r="65" spans="1:37">
      <c r="A65" s="40"/>
      <c r="B65" s="40"/>
      <c r="C65" s="43"/>
      <c r="D65" s="74"/>
      <c r="F65" s="42"/>
      <c r="G65" s="40"/>
      <c r="H65" s="44"/>
      <c r="I65" s="40"/>
      <c r="J65" s="40"/>
      <c r="K65" s="40"/>
      <c r="L65" s="40"/>
      <c r="M65" s="40"/>
      <c r="N65" s="40"/>
      <c r="O65" s="40"/>
      <c r="P65" s="40"/>
      <c r="Q65" s="40"/>
      <c r="R65" s="40"/>
      <c r="S65" s="40"/>
      <c r="T65" s="40"/>
      <c r="U65" s="40"/>
    </row>
    <row r="66" spans="1:37">
      <c r="A66" s="40"/>
      <c r="B66" s="40"/>
      <c r="C66" s="43"/>
      <c r="D66" s="74"/>
      <c r="F66" s="42"/>
      <c r="G66" s="40"/>
      <c r="H66" s="44"/>
      <c r="I66" s="40"/>
      <c r="J66" s="40"/>
      <c r="K66" s="40"/>
      <c r="L66" s="40"/>
      <c r="M66" s="40"/>
      <c r="N66" s="40"/>
      <c r="O66" s="40"/>
      <c r="P66" s="40"/>
      <c r="Q66" s="40"/>
      <c r="R66" s="40"/>
      <c r="S66" s="40"/>
      <c r="T66" s="40"/>
      <c r="U66" s="40"/>
    </row>
    <row r="67" spans="1:37">
      <c r="A67" s="40"/>
      <c r="B67" s="40"/>
      <c r="C67" s="43"/>
      <c r="D67" s="74"/>
      <c r="F67" s="42"/>
      <c r="G67" s="40"/>
      <c r="H67" s="44"/>
      <c r="I67" s="40"/>
      <c r="J67" s="40"/>
      <c r="K67" s="40"/>
      <c r="L67" s="40"/>
      <c r="M67" s="40"/>
      <c r="N67" s="40"/>
      <c r="O67" s="40"/>
      <c r="P67" s="40"/>
      <c r="Q67" s="40"/>
      <c r="R67" s="40"/>
      <c r="S67" s="40"/>
      <c r="T67" s="40"/>
      <c r="U67" s="40"/>
    </row>
    <row r="68" spans="1:37">
      <c r="A68" s="40"/>
      <c r="B68" s="40"/>
      <c r="C68" s="43"/>
      <c r="D68" s="74"/>
      <c r="F68" s="42"/>
      <c r="G68" s="40"/>
      <c r="H68" s="44"/>
      <c r="I68" s="40"/>
      <c r="J68" s="40"/>
      <c r="K68" s="40"/>
      <c r="L68" s="40"/>
      <c r="M68" s="40"/>
      <c r="N68" s="40"/>
      <c r="O68" s="40"/>
      <c r="P68" s="40"/>
      <c r="Q68" s="40"/>
      <c r="R68" s="40"/>
      <c r="S68" s="40"/>
      <c r="T68" s="40"/>
      <c r="U68" s="40"/>
    </row>
    <row r="69" spans="1:37">
      <c r="A69" s="40"/>
      <c r="B69" s="40"/>
      <c r="C69" s="43"/>
      <c r="D69" s="74"/>
      <c r="F69" s="42"/>
      <c r="G69" s="40"/>
      <c r="H69" s="44"/>
      <c r="I69" s="40"/>
      <c r="J69" s="40"/>
      <c r="K69" s="40"/>
      <c r="L69" s="40"/>
      <c r="M69" s="40"/>
      <c r="N69" s="40"/>
      <c r="O69" s="40"/>
      <c r="P69" s="40"/>
      <c r="Q69" s="40"/>
      <c r="R69" s="40"/>
      <c r="S69" s="40"/>
      <c r="T69" s="40"/>
      <c r="U69" s="40"/>
    </row>
    <row r="70" spans="1:37">
      <c r="A70" s="40"/>
      <c r="B70" s="40"/>
      <c r="C70" s="43"/>
      <c r="D70" s="74"/>
      <c r="F70" s="42"/>
      <c r="G70" s="40"/>
      <c r="H70" s="44"/>
      <c r="I70" s="40"/>
      <c r="J70" s="40"/>
      <c r="K70" s="40"/>
      <c r="L70" s="40"/>
      <c r="M70" s="40"/>
      <c r="N70" s="40"/>
      <c r="O70" s="40"/>
      <c r="P70" s="40"/>
      <c r="Q70" s="40"/>
      <c r="R70" s="40"/>
      <c r="S70" s="40"/>
      <c r="T70" s="40"/>
      <c r="U70" s="40"/>
    </row>
    <row r="71" spans="1:37">
      <c r="A71" s="40"/>
      <c r="B71" s="40"/>
      <c r="C71" s="43"/>
      <c r="D71" s="74"/>
      <c r="F71" s="42"/>
      <c r="G71" s="40"/>
      <c r="H71" s="44"/>
      <c r="I71" s="40"/>
      <c r="J71" s="40"/>
      <c r="K71" s="40"/>
      <c r="L71" s="40"/>
      <c r="M71" s="40"/>
      <c r="N71" s="40"/>
      <c r="O71" s="40"/>
      <c r="P71" s="40"/>
      <c r="Q71" s="40"/>
      <c r="R71" s="40"/>
      <c r="S71" s="40"/>
      <c r="T71" s="40"/>
      <c r="U71" s="40"/>
    </row>
    <row r="72" spans="1:37">
      <c r="A72" s="40"/>
      <c r="B72" s="40"/>
      <c r="C72" s="43"/>
      <c r="D72" s="74"/>
      <c r="F72" s="42"/>
      <c r="G72" s="40"/>
      <c r="H72" s="44"/>
      <c r="I72" s="40"/>
      <c r="J72" s="40"/>
      <c r="K72" s="40"/>
      <c r="L72" s="40"/>
      <c r="M72" s="40"/>
      <c r="N72" s="40"/>
      <c r="O72" s="40"/>
      <c r="P72" s="40"/>
      <c r="Q72" s="40"/>
      <c r="R72" s="40"/>
      <c r="S72" s="40"/>
      <c r="T72" s="40"/>
      <c r="U72" s="40"/>
    </row>
    <row r="73" spans="1:37">
      <c r="A73" s="40"/>
      <c r="B73" s="40"/>
      <c r="C73" s="43"/>
      <c r="D73" s="74"/>
      <c r="F73" s="42"/>
      <c r="G73" s="40"/>
      <c r="H73" s="44"/>
      <c r="I73" s="40"/>
      <c r="J73" s="40"/>
      <c r="K73" s="40"/>
      <c r="L73" s="40"/>
      <c r="M73" s="40"/>
      <c r="N73" s="40"/>
      <c r="O73" s="40"/>
      <c r="P73" s="40"/>
      <c r="Q73" s="40"/>
      <c r="R73" s="40"/>
      <c r="S73" s="40"/>
      <c r="T73" s="40"/>
      <c r="U73" s="40"/>
    </row>
    <row r="74" spans="1:37">
      <c r="A74" s="40"/>
      <c r="B74" s="40"/>
      <c r="C74" s="43"/>
      <c r="D74" s="74"/>
      <c r="F74" s="42"/>
      <c r="G74" s="40"/>
      <c r="H74" s="44"/>
      <c r="I74" s="40"/>
      <c r="J74" s="40"/>
      <c r="K74" s="40"/>
      <c r="L74" s="40"/>
      <c r="M74" s="40"/>
      <c r="N74" s="40"/>
      <c r="O74" s="40"/>
      <c r="P74" s="40"/>
      <c r="Q74" s="40"/>
      <c r="R74" s="40"/>
      <c r="S74" s="40"/>
      <c r="T74" s="40"/>
      <c r="U74" s="40"/>
    </row>
    <row r="75" spans="1:37">
      <c r="A75" s="40"/>
      <c r="B75" s="40"/>
      <c r="C75" s="43"/>
      <c r="D75" s="74"/>
      <c r="F75" s="42"/>
      <c r="G75" s="40"/>
      <c r="H75" s="44"/>
      <c r="I75" s="40"/>
      <c r="J75" s="40"/>
      <c r="K75" s="40"/>
      <c r="L75" s="40"/>
      <c r="M75" s="40"/>
      <c r="N75" s="40"/>
      <c r="O75" s="40"/>
      <c r="P75" s="40"/>
      <c r="Q75" s="40"/>
      <c r="R75" s="40"/>
      <c r="S75" s="40"/>
      <c r="T75" s="40"/>
      <c r="U75" s="40"/>
    </row>
    <row r="76" spans="1:37">
      <c r="A76" s="40"/>
      <c r="B76" s="40"/>
      <c r="C76" s="43"/>
      <c r="D76" s="74"/>
      <c r="F76" s="42"/>
      <c r="G76" s="40"/>
      <c r="H76" s="44"/>
      <c r="I76" s="40"/>
      <c r="J76" s="40"/>
      <c r="K76" s="40"/>
      <c r="L76" s="40"/>
      <c r="M76" s="40"/>
      <c r="N76" s="40"/>
      <c r="O76" s="40"/>
      <c r="P76" s="40"/>
      <c r="Q76" s="40"/>
      <c r="R76" s="40"/>
      <c r="S76" s="40"/>
      <c r="T76" s="40"/>
      <c r="U76" s="40"/>
    </row>
    <row r="77" spans="1:37">
      <c r="A77" s="40"/>
      <c r="B77" s="40"/>
      <c r="C77" s="43"/>
      <c r="D77" s="74"/>
      <c r="F77" s="42"/>
      <c r="G77" s="40"/>
      <c r="H77" s="44"/>
      <c r="I77" s="40"/>
      <c r="J77" s="40"/>
      <c r="K77" s="40"/>
      <c r="L77" s="40"/>
      <c r="M77" s="40"/>
      <c r="N77" s="40"/>
      <c r="O77" s="40"/>
      <c r="P77" s="40"/>
      <c r="Q77" s="40"/>
      <c r="R77" s="40"/>
      <c r="S77" s="40"/>
      <c r="T77" s="40"/>
      <c r="U77" s="40"/>
    </row>
    <row r="78" spans="1:37">
      <c r="A78" s="40"/>
      <c r="B78" s="40"/>
      <c r="C78" s="43"/>
      <c r="D78" s="74"/>
      <c r="F78" s="42"/>
      <c r="G78" s="40"/>
      <c r="H78" s="44"/>
      <c r="I78" s="40"/>
      <c r="J78" s="40"/>
      <c r="K78" s="40"/>
      <c r="L78" s="40"/>
      <c r="M78" s="40"/>
      <c r="N78" s="40"/>
      <c r="O78" s="40"/>
      <c r="P78" s="40"/>
      <c r="Q78" s="40"/>
      <c r="R78" s="40"/>
      <c r="S78" s="40"/>
      <c r="T78" s="40"/>
      <c r="U78" s="40"/>
    </row>
    <row r="79" spans="1:37" s="87" customFormat="1" ht="15.6">
      <c r="A79" s="79"/>
      <c r="B79" s="79"/>
      <c r="C79" s="79"/>
      <c r="D79" s="80"/>
      <c r="E79" s="81"/>
      <c r="F79" s="79"/>
      <c r="G79" s="79"/>
      <c r="H79" s="82"/>
      <c r="I79" s="81"/>
      <c r="J79" s="81"/>
      <c r="K79" s="81"/>
      <c r="L79" s="83"/>
      <c r="M79" s="83"/>
      <c r="N79" s="84"/>
      <c r="O79" s="85"/>
      <c r="P79" s="84"/>
      <c r="Q79" s="85"/>
      <c r="R79" s="84"/>
      <c r="S79" s="85"/>
      <c r="T79" s="84"/>
      <c r="U79" s="85"/>
      <c r="V79" s="83"/>
      <c r="W79" s="81"/>
      <c r="X79" s="81"/>
      <c r="Y79" s="81"/>
      <c r="Z79" s="81"/>
      <c r="AA79" s="86"/>
      <c r="AB79" s="81"/>
      <c r="AC79" s="86"/>
      <c r="AD79" s="86"/>
      <c r="AE79" s="81"/>
      <c r="AF79" s="81"/>
      <c r="AG79" s="81"/>
      <c r="AI79" s="88"/>
      <c r="AJ79" s="89"/>
      <c r="AK79" s="89"/>
    </row>
    <row r="80" spans="1:37" s="87" customFormat="1" ht="15.6">
      <c r="A80" s="79"/>
      <c r="B80" s="79"/>
      <c r="C80" s="79"/>
      <c r="D80" s="80"/>
      <c r="E80" s="81"/>
      <c r="F80" s="79"/>
      <c r="G80" s="79"/>
      <c r="H80" s="82"/>
      <c r="I80" s="81"/>
      <c r="J80" s="81"/>
      <c r="K80" s="81"/>
      <c r="L80" s="83"/>
      <c r="M80" s="83"/>
      <c r="N80" s="83"/>
      <c r="O80" s="83"/>
      <c r="P80" s="83"/>
      <c r="Q80" s="83"/>
      <c r="R80" s="83"/>
      <c r="S80" s="83"/>
      <c r="T80" s="83"/>
      <c r="U80" s="83"/>
      <c r="V80" s="81"/>
      <c r="W80" s="81"/>
      <c r="X80" s="81"/>
      <c r="Y80" s="81"/>
      <c r="Z80" s="81"/>
      <c r="AA80" s="86"/>
      <c r="AB80" s="81"/>
      <c r="AC80" s="86"/>
      <c r="AD80" s="86"/>
      <c r="AE80" s="81"/>
      <c r="AF80" s="81"/>
      <c r="AG80" s="81"/>
      <c r="AI80" s="88"/>
      <c r="AJ80" s="89"/>
      <c r="AK80" s="89"/>
    </row>
    <row r="81" spans="1:37" s="87" customFormat="1" ht="15.6">
      <c r="A81" s="79"/>
      <c r="B81" s="79"/>
      <c r="C81" s="79"/>
      <c r="D81" s="80"/>
      <c r="E81" s="81"/>
      <c r="F81" s="79"/>
      <c r="G81" s="79"/>
      <c r="H81" s="82"/>
      <c r="I81" s="81"/>
      <c r="J81" s="81"/>
      <c r="K81" s="81"/>
      <c r="L81" s="83"/>
      <c r="M81" s="83"/>
      <c r="N81" s="83"/>
      <c r="O81" s="83"/>
      <c r="P81" s="83"/>
      <c r="Q81" s="83"/>
      <c r="R81" s="83"/>
      <c r="S81" s="83"/>
      <c r="T81" s="83"/>
      <c r="U81" s="83"/>
      <c r="V81" s="81"/>
      <c r="W81" s="81"/>
      <c r="X81" s="81"/>
      <c r="Y81" s="81"/>
      <c r="Z81" s="81"/>
      <c r="AA81" s="86"/>
      <c r="AB81" s="81"/>
      <c r="AC81" s="86"/>
      <c r="AD81" s="86"/>
      <c r="AE81" s="81"/>
      <c r="AF81" s="81"/>
      <c r="AG81" s="81"/>
      <c r="AI81" s="88"/>
      <c r="AJ81" s="89"/>
      <c r="AK81" s="89"/>
    </row>
    <row r="82" spans="1:37" s="87" customFormat="1" ht="15.6">
      <c r="A82" s="79"/>
      <c r="B82" s="79"/>
      <c r="C82" s="79"/>
      <c r="D82" s="80"/>
      <c r="E82" s="81"/>
      <c r="F82" s="79"/>
      <c r="G82" s="79"/>
      <c r="H82" s="82"/>
      <c r="I82" s="81"/>
      <c r="J82" s="81"/>
      <c r="K82" s="81"/>
      <c r="L82" s="83"/>
      <c r="M82" s="83"/>
      <c r="N82" s="83"/>
      <c r="O82" s="83"/>
      <c r="P82" s="83"/>
      <c r="Q82" s="83"/>
      <c r="R82" s="83"/>
      <c r="S82" s="83"/>
      <c r="T82" s="83"/>
      <c r="U82" s="83"/>
      <c r="V82" s="81"/>
      <c r="W82" s="81"/>
      <c r="X82" s="81"/>
      <c r="Y82" s="81"/>
      <c r="Z82" s="81"/>
      <c r="AA82" s="86"/>
      <c r="AB82" s="81"/>
      <c r="AC82" s="86"/>
      <c r="AD82" s="86"/>
      <c r="AE82" s="81"/>
      <c r="AF82" s="81"/>
      <c r="AG82" s="81"/>
      <c r="AI82" s="88"/>
      <c r="AJ82" s="89"/>
      <c r="AK82" s="89"/>
    </row>
    <row r="83" spans="1:37" s="87" customFormat="1" ht="15.6">
      <c r="A83" s="79"/>
      <c r="B83" s="79"/>
      <c r="C83" s="79"/>
      <c r="D83" s="80"/>
      <c r="E83" s="81"/>
      <c r="F83" s="79"/>
      <c r="G83" s="79"/>
      <c r="H83" s="82"/>
      <c r="I83" s="81"/>
      <c r="J83" s="81"/>
      <c r="K83" s="81"/>
      <c r="L83" s="83"/>
      <c r="M83" s="83"/>
      <c r="N83" s="83"/>
      <c r="O83" s="83"/>
      <c r="P83" s="83"/>
      <c r="Q83" s="83"/>
      <c r="R83" s="83"/>
      <c r="S83" s="83"/>
      <c r="T83" s="83"/>
      <c r="U83" s="83"/>
      <c r="V83" s="81"/>
      <c r="W83" s="81"/>
      <c r="X83" s="81"/>
      <c r="Y83" s="81"/>
      <c r="Z83" s="81"/>
      <c r="AA83" s="86"/>
      <c r="AB83" s="81"/>
      <c r="AC83" s="86"/>
      <c r="AD83" s="86"/>
      <c r="AE83" s="81"/>
      <c r="AF83" s="81"/>
      <c r="AG83" s="81"/>
      <c r="AI83" s="88"/>
      <c r="AJ83" s="89"/>
      <c r="AK83" s="89"/>
    </row>
    <row r="84" spans="1:37" s="87" customFormat="1" ht="15.6">
      <c r="A84" s="79"/>
      <c r="B84" s="79"/>
      <c r="C84" s="79"/>
      <c r="D84" s="80"/>
      <c r="E84" s="81"/>
      <c r="F84" s="79"/>
      <c r="G84" s="79"/>
      <c r="H84" s="82"/>
      <c r="I84" s="81"/>
      <c r="J84" s="81"/>
      <c r="K84" s="81"/>
      <c r="L84" s="83"/>
      <c r="M84" s="83"/>
      <c r="N84" s="83"/>
      <c r="O84" s="83"/>
      <c r="P84" s="83"/>
      <c r="Q84" s="83"/>
      <c r="R84" s="83"/>
      <c r="S84" s="83"/>
      <c r="T84" s="83"/>
      <c r="U84" s="83"/>
      <c r="V84" s="81"/>
      <c r="W84" s="81"/>
      <c r="X84" s="81"/>
      <c r="Y84" s="81"/>
      <c r="Z84" s="93"/>
      <c r="AA84" s="83"/>
      <c r="AB84" s="81"/>
      <c r="AC84" s="86"/>
      <c r="AD84" s="86"/>
      <c r="AE84" s="81"/>
      <c r="AF84" s="81"/>
      <c r="AG84" s="81"/>
      <c r="AI84" s="88"/>
      <c r="AJ84" s="89"/>
      <c r="AK84" s="89"/>
    </row>
    <row r="85" spans="1:37" s="87" customFormat="1" ht="15.6">
      <c r="A85" s="79"/>
      <c r="B85" s="79"/>
      <c r="C85" s="79"/>
      <c r="D85" s="80"/>
      <c r="E85" s="81"/>
      <c r="F85" s="79"/>
      <c r="G85" s="79"/>
      <c r="H85" s="82"/>
      <c r="I85" s="81"/>
      <c r="J85" s="81"/>
      <c r="K85" s="81"/>
      <c r="L85" s="83"/>
      <c r="M85" s="83"/>
      <c r="N85" s="83"/>
      <c r="O85" s="83"/>
      <c r="P85" s="83"/>
      <c r="Q85" s="83"/>
      <c r="R85" s="83"/>
      <c r="S85" s="83"/>
      <c r="T85" s="83"/>
      <c r="U85" s="83"/>
      <c r="V85" s="81"/>
      <c r="W85" s="81"/>
      <c r="X85" s="81"/>
      <c r="Y85" s="81"/>
      <c r="Z85" s="93"/>
      <c r="AA85" s="83"/>
      <c r="AB85" s="81"/>
      <c r="AC85" s="86"/>
      <c r="AD85" s="86"/>
      <c r="AE85" s="81"/>
      <c r="AF85" s="81"/>
      <c r="AG85" s="81"/>
      <c r="AI85" s="88"/>
      <c r="AJ85" s="89"/>
      <c r="AK85" s="89"/>
    </row>
    <row r="86" spans="1:37" s="87" customFormat="1" ht="15.6">
      <c r="A86" s="79"/>
      <c r="B86" s="79"/>
      <c r="C86" s="79"/>
      <c r="D86" s="80"/>
      <c r="E86" s="81"/>
      <c r="F86" s="79"/>
      <c r="G86" s="79"/>
      <c r="H86" s="82"/>
      <c r="I86" s="81"/>
      <c r="J86" s="81"/>
      <c r="K86" s="81"/>
      <c r="L86" s="83"/>
      <c r="M86" s="83"/>
      <c r="N86" s="83"/>
      <c r="O86" s="83"/>
      <c r="P86" s="83"/>
      <c r="Q86" s="83"/>
      <c r="R86" s="83"/>
      <c r="S86" s="83"/>
      <c r="T86" s="83"/>
      <c r="U86" s="83"/>
      <c r="V86" s="81"/>
      <c r="W86" s="81"/>
      <c r="X86" s="81"/>
      <c r="Y86" s="81"/>
      <c r="Z86" s="93"/>
      <c r="AA86" s="83"/>
      <c r="AB86" s="81"/>
      <c r="AC86" s="86"/>
      <c r="AD86" s="86"/>
      <c r="AE86" s="81"/>
      <c r="AF86" s="81"/>
      <c r="AG86" s="81"/>
      <c r="AI86" s="88"/>
      <c r="AJ86" s="89"/>
      <c r="AK86" s="89"/>
    </row>
    <row r="87" spans="1:37" s="87" customFormat="1" ht="15.6">
      <c r="A87" s="79"/>
      <c r="B87" s="79"/>
      <c r="C87" s="79"/>
      <c r="D87" s="80"/>
      <c r="E87" s="81"/>
      <c r="F87" s="79"/>
      <c r="G87" s="79"/>
      <c r="H87" s="82"/>
      <c r="I87" s="81"/>
      <c r="J87" s="81"/>
      <c r="K87" s="81"/>
      <c r="L87" s="83"/>
      <c r="M87" s="83"/>
      <c r="N87" s="83"/>
      <c r="O87" s="83"/>
      <c r="P87" s="83"/>
      <c r="Q87" s="83"/>
      <c r="R87" s="83"/>
      <c r="S87" s="83"/>
      <c r="T87" s="83"/>
      <c r="U87" s="83"/>
      <c r="V87" s="81"/>
      <c r="W87" s="81"/>
      <c r="X87" s="81"/>
      <c r="Y87" s="81"/>
      <c r="Z87" s="93"/>
      <c r="AA87" s="83"/>
      <c r="AB87" s="81"/>
      <c r="AC87" s="86"/>
      <c r="AD87" s="86"/>
      <c r="AE87" s="81"/>
      <c r="AF87" s="81"/>
      <c r="AG87" s="81"/>
      <c r="AI87" s="88"/>
      <c r="AJ87" s="89"/>
      <c r="AK87" s="89"/>
    </row>
    <row r="88" spans="1:37" s="87" customFormat="1" ht="15.6">
      <c r="A88" s="79"/>
      <c r="B88" s="79"/>
      <c r="C88" s="79"/>
      <c r="D88" s="80"/>
      <c r="E88" s="81"/>
      <c r="F88" s="79"/>
      <c r="G88" s="79"/>
      <c r="H88" s="82"/>
      <c r="I88" s="81"/>
      <c r="J88" s="81"/>
      <c r="K88" s="81"/>
      <c r="L88" s="83"/>
      <c r="M88" s="83"/>
      <c r="N88" s="83"/>
      <c r="O88" s="83"/>
      <c r="P88" s="83"/>
      <c r="Q88" s="83"/>
      <c r="R88" s="83"/>
      <c r="S88" s="83"/>
      <c r="T88" s="83"/>
      <c r="U88" s="83"/>
      <c r="V88" s="81"/>
      <c r="W88" s="81"/>
      <c r="X88" s="81"/>
      <c r="Y88" s="81"/>
      <c r="Z88" s="93"/>
      <c r="AA88" s="83"/>
      <c r="AB88" s="81"/>
      <c r="AC88" s="86"/>
      <c r="AD88" s="86"/>
      <c r="AE88" s="81"/>
      <c r="AF88" s="81"/>
      <c r="AG88" s="81"/>
      <c r="AI88" s="88"/>
      <c r="AJ88" s="89"/>
      <c r="AK88" s="89"/>
    </row>
    <row r="89" spans="1:37">
      <c r="A89" s="79"/>
      <c r="B89" s="40"/>
      <c r="C89" s="79"/>
      <c r="D89" s="74"/>
      <c r="E89" s="81"/>
      <c r="F89" s="79"/>
      <c r="G89" s="79"/>
      <c r="H89" s="44"/>
      <c r="I89" s="40"/>
      <c r="J89" s="40"/>
      <c r="K89" s="40"/>
      <c r="L89" s="83"/>
      <c r="M89" s="83"/>
      <c r="N89" s="83"/>
      <c r="O89" s="83"/>
      <c r="P89" s="83"/>
      <c r="Q89" s="83"/>
      <c r="R89" s="83"/>
      <c r="S89" s="83"/>
      <c r="T89" s="83"/>
      <c r="U89" s="83"/>
      <c r="V89" s="81"/>
      <c r="W89" s="81"/>
      <c r="X89" s="81"/>
      <c r="Y89" s="81"/>
      <c r="Z89" s="93"/>
      <c r="AA89" s="83"/>
    </row>
    <row r="90" spans="1:37">
      <c r="A90" s="79"/>
      <c r="B90" s="40"/>
      <c r="C90" s="79"/>
      <c r="D90" s="74"/>
      <c r="E90" s="81"/>
      <c r="F90" s="79"/>
      <c r="G90" s="79"/>
      <c r="H90" s="44"/>
      <c r="I90" s="40"/>
      <c r="J90" s="40"/>
      <c r="K90" s="40"/>
      <c r="L90" s="83"/>
      <c r="M90" s="83"/>
      <c r="N90" s="83"/>
      <c r="O90" s="83"/>
      <c r="P90" s="83"/>
      <c r="Q90" s="83"/>
      <c r="R90" s="83"/>
      <c r="S90" s="83"/>
      <c r="T90" s="83"/>
      <c r="U90" s="83"/>
      <c r="V90" s="81"/>
      <c r="W90" s="81"/>
      <c r="X90" s="81"/>
      <c r="Y90" s="81"/>
      <c r="Z90" s="93"/>
      <c r="AA90" s="83"/>
    </row>
    <row r="91" spans="1:37">
      <c r="A91" s="79"/>
      <c r="B91" s="40"/>
      <c r="C91" s="79"/>
      <c r="D91" s="74"/>
      <c r="E91" s="81"/>
      <c r="F91" s="79"/>
      <c r="G91" s="79"/>
      <c r="H91" s="44"/>
      <c r="I91" s="40"/>
      <c r="J91" s="40"/>
      <c r="K91" s="40"/>
      <c r="L91" s="83"/>
      <c r="M91" s="83"/>
      <c r="N91" s="83"/>
      <c r="O91" s="83"/>
      <c r="P91" s="83"/>
      <c r="Q91" s="83"/>
      <c r="R91" s="83"/>
      <c r="S91" s="83"/>
      <c r="T91" s="83"/>
      <c r="U91" s="83"/>
      <c r="V91" s="81"/>
      <c r="W91" s="81"/>
      <c r="X91" s="81"/>
      <c r="Y91" s="81"/>
      <c r="Z91" s="93"/>
      <c r="AA91" s="83"/>
    </row>
    <row r="92" spans="1:37">
      <c r="A92" s="79"/>
      <c r="B92" s="40"/>
      <c r="C92" s="79"/>
      <c r="D92" s="74"/>
      <c r="E92" s="81"/>
      <c r="F92" s="79"/>
      <c r="G92" s="79"/>
      <c r="H92" s="44"/>
      <c r="I92" s="40"/>
      <c r="J92" s="40"/>
      <c r="K92" s="40"/>
      <c r="L92" s="83"/>
      <c r="M92" s="83"/>
      <c r="N92" s="83"/>
      <c r="O92" s="83"/>
      <c r="P92" s="83"/>
      <c r="Q92" s="83"/>
      <c r="R92" s="83"/>
      <c r="S92" s="83"/>
      <c r="T92" s="83"/>
      <c r="U92" s="83"/>
      <c r="V92" s="81"/>
      <c r="W92" s="81"/>
      <c r="X92" s="81"/>
      <c r="Y92" s="81"/>
      <c r="Z92" s="93"/>
      <c r="AA92" s="83"/>
    </row>
    <row r="93" spans="1:37">
      <c r="A93" s="40"/>
      <c r="B93" s="40"/>
      <c r="C93" s="43"/>
      <c r="D93" s="74"/>
      <c r="F93" s="42"/>
      <c r="G93" s="40"/>
      <c r="H93" s="44"/>
      <c r="I93" s="40"/>
      <c r="J93" s="40"/>
      <c r="K93" s="40"/>
      <c r="L93" s="83"/>
      <c r="M93" s="83"/>
      <c r="N93" s="83"/>
      <c r="O93" s="83"/>
      <c r="P93" s="83"/>
      <c r="Q93" s="83"/>
      <c r="R93" s="83"/>
      <c r="S93" s="83"/>
      <c r="T93" s="83"/>
      <c r="U93" s="83"/>
      <c r="V93" s="81"/>
      <c r="W93" s="81"/>
      <c r="X93" s="81"/>
      <c r="Y93" s="81"/>
      <c r="Z93" s="93"/>
      <c r="AA93" s="83"/>
    </row>
    <row r="94" spans="1:37">
      <c r="A94" s="40"/>
      <c r="B94" s="40"/>
      <c r="C94" s="43"/>
      <c r="D94" s="74"/>
      <c r="F94" s="42"/>
      <c r="G94" s="40"/>
      <c r="H94" s="44"/>
      <c r="I94" s="40"/>
      <c r="J94" s="40"/>
      <c r="K94" s="40"/>
      <c r="L94" s="2"/>
      <c r="N94" s="2"/>
      <c r="P94" s="2"/>
      <c r="R94" s="2"/>
      <c r="T94" s="2"/>
      <c r="Z94" s="2"/>
    </row>
    <row r="95" spans="1:37">
      <c r="A95" s="40"/>
      <c r="B95" s="40"/>
      <c r="C95" s="43"/>
      <c r="D95" s="74"/>
      <c r="F95" s="42"/>
      <c r="G95" s="40"/>
      <c r="H95" s="44"/>
      <c r="I95" s="40"/>
      <c r="J95" s="40"/>
      <c r="K95" s="40"/>
      <c r="L95" s="40"/>
      <c r="M95" s="40"/>
      <c r="N95" s="40"/>
      <c r="O95" s="40"/>
      <c r="P95" s="40"/>
      <c r="Q95" s="40"/>
      <c r="R95" s="40"/>
      <c r="S95" s="40"/>
      <c r="T95" s="40"/>
      <c r="U95" s="40"/>
    </row>
    <row r="96" spans="1:37">
      <c r="A96" s="40"/>
      <c r="B96" s="40"/>
      <c r="C96" s="43"/>
      <c r="D96" s="74"/>
      <c r="F96" s="42"/>
      <c r="G96" s="40"/>
      <c r="H96" s="44"/>
      <c r="I96" s="40"/>
      <c r="J96" s="40"/>
      <c r="K96" s="40"/>
      <c r="L96" s="40"/>
      <c r="M96" s="40"/>
      <c r="N96" s="40"/>
      <c r="O96" s="40"/>
      <c r="P96" s="40"/>
      <c r="Q96" s="40"/>
      <c r="R96" s="40"/>
      <c r="S96" s="40"/>
      <c r="T96" s="40"/>
      <c r="U96" s="40"/>
    </row>
    <row r="97" spans="1:21">
      <c r="A97" s="40"/>
      <c r="B97" s="40"/>
      <c r="C97" s="43"/>
      <c r="D97" s="74"/>
      <c r="F97" s="42"/>
      <c r="G97" s="40"/>
      <c r="H97" s="44"/>
      <c r="I97" s="40"/>
      <c r="J97" s="40"/>
      <c r="K97" s="40"/>
      <c r="L97" s="40"/>
      <c r="M97" s="40"/>
      <c r="N97" s="40"/>
      <c r="O97" s="40"/>
      <c r="P97" s="40"/>
      <c r="Q97" s="40"/>
      <c r="R97" s="40"/>
      <c r="S97" s="40"/>
      <c r="T97" s="40"/>
      <c r="U97" s="40"/>
    </row>
    <row r="98" spans="1:21">
      <c r="A98" s="40"/>
      <c r="B98" s="40"/>
      <c r="C98" s="43"/>
      <c r="D98" s="74"/>
      <c r="F98" s="42"/>
      <c r="G98" s="40"/>
      <c r="H98" s="44"/>
      <c r="I98" s="40"/>
      <c r="J98" s="40"/>
      <c r="K98" s="40"/>
      <c r="L98" s="40"/>
      <c r="M98" s="40"/>
      <c r="N98" s="40"/>
      <c r="O98" s="40"/>
      <c r="P98" s="40"/>
      <c r="Q98" s="40"/>
      <c r="R98" s="40"/>
      <c r="S98" s="40"/>
      <c r="T98" s="40"/>
      <c r="U98" s="40"/>
    </row>
    <row r="99" spans="1:21">
      <c r="A99" s="40"/>
      <c r="B99" s="40"/>
      <c r="C99" s="43"/>
      <c r="D99" s="74"/>
      <c r="F99" s="42"/>
      <c r="G99" s="40"/>
      <c r="H99" s="44"/>
      <c r="I99" s="40"/>
      <c r="J99" s="40"/>
      <c r="K99" s="40"/>
      <c r="L99" s="40"/>
      <c r="M99" s="40"/>
      <c r="N99" s="40"/>
      <c r="O99" s="40"/>
      <c r="P99" s="40"/>
      <c r="Q99" s="40"/>
      <c r="R99" s="40"/>
      <c r="S99" s="40"/>
      <c r="T99" s="40"/>
      <c r="U99" s="40"/>
    </row>
    <row r="100" spans="1:21">
      <c r="A100" s="40"/>
      <c r="B100" s="40"/>
      <c r="C100" s="43"/>
      <c r="D100" s="74"/>
      <c r="F100" s="42"/>
      <c r="G100" s="40"/>
      <c r="H100" s="44"/>
      <c r="I100" s="40"/>
      <c r="J100" s="40"/>
      <c r="K100" s="40"/>
      <c r="L100" s="40"/>
      <c r="M100" s="40"/>
      <c r="N100" s="40"/>
      <c r="O100" s="40"/>
      <c r="P100" s="40"/>
      <c r="Q100" s="40"/>
      <c r="R100" s="40"/>
      <c r="S100" s="40"/>
      <c r="T100" s="40"/>
      <c r="U100" s="40"/>
    </row>
    <row r="101" spans="1:21">
      <c r="A101" s="40"/>
      <c r="B101" s="40"/>
      <c r="C101" s="43"/>
      <c r="D101" s="74"/>
      <c r="F101" s="42"/>
      <c r="G101" s="40"/>
      <c r="H101" s="44"/>
      <c r="I101" s="40"/>
      <c r="J101" s="40"/>
      <c r="K101" s="40"/>
      <c r="L101" s="40"/>
      <c r="M101" s="40"/>
      <c r="N101" s="40"/>
      <c r="O101" s="40"/>
      <c r="P101" s="40"/>
      <c r="Q101" s="40"/>
      <c r="R101" s="40"/>
      <c r="S101" s="40"/>
      <c r="T101" s="40"/>
      <c r="U101" s="40"/>
    </row>
    <row r="102" spans="1:21">
      <c r="A102" s="40"/>
      <c r="B102" s="40"/>
      <c r="C102" s="43"/>
      <c r="D102" s="74"/>
      <c r="F102" s="42"/>
      <c r="G102" s="40"/>
      <c r="H102" s="44"/>
      <c r="I102" s="40"/>
      <c r="J102" s="40"/>
      <c r="K102" s="40"/>
      <c r="L102" s="40"/>
      <c r="M102" s="40"/>
      <c r="N102" s="40"/>
      <c r="O102" s="40"/>
      <c r="P102" s="40"/>
      <c r="Q102" s="40"/>
      <c r="R102" s="40"/>
      <c r="S102" s="40"/>
      <c r="T102" s="40"/>
      <c r="U102" s="40"/>
    </row>
    <row r="103" spans="1:21">
      <c r="A103" s="40"/>
      <c r="B103" s="40"/>
      <c r="C103" s="43"/>
      <c r="D103" s="74"/>
      <c r="F103" s="42"/>
      <c r="G103" s="40"/>
      <c r="H103" s="44"/>
      <c r="I103" s="40"/>
      <c r="J103" s="40"/>
      <c r="K103" s="40"/>
      <c r="L103" s="40"/>
      <c r="M103" s="40"/>
      <c r="N103" s="40"/>
      <c r="O103" s="40"/>
      <c r="P103" s="40"/>
      <c r="Q103" s="40"/>
      <c r="R103" s="40"/>
      <c r="S103" s="40"/>
      <c r="T103" s="40"/>
      <c r="U103" s="40"/>
    </row>
    <row r="104" spans="1:21">
      <c r="A104" s="40"/>
      <c r="B104" s="40"/>
      <c r="C104" s="43"/>
      <c r="D104" s="74"/>
      <c r="F104" s="42"/>
      <c r="G104" s="40"/>
      <c r="H104" s="44"/>
      <c r="I104" s="40"/>
      <c r="J104" s="40"/>
      <c r="K104" s="40"/>
      <c r="L104" s="40"/>
      <c r="M104" s="40"/>
      <c r="N104" s="40"/>
      <c r="O104" s="40"/>
      <c r="P104" s="40"/>
      <c r="Q104" s="40"/>
      <c r="R104" s="40"/>
      <c r="S104" s="40"/>
      <c r="T104" s="40"/>
      <c r="U104" s="40"/>
    </row>
    <row r="105" spans="1:21">
      <c r="A105" s="40"/>
      <c r="B105" s="40"/>
      <c r="C105" s="43"/>
      <c r="D105" s="74"/>
      <c r="F105" s="42"/>
      <c r="G105" s="40"/>
      <c r="H105" s="44"/>
      <c r="I105" s="40"/>
      <c r="J105" s="40"/>
      <c r="K105" s="40"/>
      <c r="L105" s="40"/>
      <c r="M105" s="40"/>
      <c r="N105" s="40"/>
      <c r="O105" s="40"/>
      <c r="P105" s="40"/>
      <c r="Q105" s="40"/>
      <c r="R105" s="40"/>
      <c r="S105" s="40"/>
      <c r="T105" s="40"/>
      <c r="U105" s="40"/>
    </row>
    <row r="106" spans="1:21">
      <c r="A106" s="40"/>
      <c r="B106" s="40"/>
      <c r="C106" s="43"/>
      <c r="D106" s="74"/>
      <c r="F106" s="42"/>
      <c r="G106" s="40"/>
      <c r="H106" s="44"/>
      <c r="I106" s="40"/>
      <c r="J106" s="40"/>
      <c r="K106" s="40"/>
      <c r="L106" s="40"/>
      <c r="M106" s="40"/>
      <c r="N106" s="40"/>
      <c r="O106" s="40"/>
      <c r="P106" s="40"/>
      <c r="Q106" s="40"/>
      <c r="R106" s="40"/>
      <c r="S106" s="40"/>
      <c r="T106" s="40"/>
      <c r="U106" s="40"/>
    </row>
    <row r="107" spans="1:21">
      <c r="A107" s="40"/>
      <c r="B107" s="40"/>
      <c r="C107" s="43"/>
      <c r="D107" s="74"/>
      <c r="F107" s="42"/>
      <c r="G107" s="40"/>
      <c r="H107" s="44"/>
      <c r="I107" s="40"/>
      <c r="J107" s="40"/>
      <c r="K107" s="40"/>
      <c r="L107" s="40"/>
      <c r="M107" s="40"/>
      <c r="N107" s="40"/>
      <c r="O107" s="40"/>
      <c r="P107" s="40"/>
      <c r="Q107" s="40"/>
      <c r="R107" s="40"/>
      <c r="S107" s="40"/>
      <c r="T107" s="40"/>
      <c r="U107" s="40"/>
    </row>
    <row r="108" spans="1:21">
      <c r="A108" s="40"/>
      <c r="B108" s="40"/>
      <c r="C108" s="43"/>
      <c r="D108" s="74"/>
      <c r="F108" s="42"/>
      <c r="G108" s="40"/>
      <c r="H108" s="44"/>
      <c r="I108" s="40"/>
      <c r="J108" s="40"/>
      <c r="K108" s="40"/>
      <c r="L108" s="40"/>
      <c r="M108" s="40"/>
      <c r="N108" s="40"/>
      <c r="O108" s="40"/>
      <c r="P108" s="40"/>
      <c r="Q108" s="40"/>
      <c r="R108" s="40"/>
      <c r="S108" s="40"/>
      <c r="T108" s="40"/>
      <c r="U108" s="40"/>
    </row>
    <row r="109" spans="1:21">
      <c r="A109" s="40"/>
      <c r="B109" s="40"/>
      <c r="C109" s="43"/>
      <c r="D109" s="74"/>
      <c r="F109" s="42"/>
      <c r="G109" s="40"/>
      <c r="H109" s="44"/>
      <c r="I109" s="40"/>
      <c r="J109" s="40"/>
      <c r="K109" s="40"/>
      <c r="L109" s="40"/>
      <c r="M109" s="40"/>
      <c r="N109" s="40"/>
      <c r="O109" s="40"/>
      <c r="P109" s="40"/>
      <c r="Q109" s="40"/>
      <c r="R109" s="40"/>
      <c r="S109" s="40"/>
      <c r="T109" s="40"/>
      <c r="U109" s="40"/>
    </row>
    <row r="110" spans="1:21">
      <c r="A110" s="40"/>
      <c r="B110" s="40"/>
      <c r="C110" s="43"/>
      <c r="D110" s="74"/>
      <c r="F110" s="42"/>
      <c r="G110" s="40"/>
      <c r="H110" s="44"/>
      <c r="I110" s="40"/>
      <c r="J110" s="40"/>
      <c r="K110" s="40"/>
      <c r="L110" s="40"/>
      <c r="M110" s="40"/>
      <c r="N110" s="40"/>
      <c r="O110" s="40"/>
      <c r="P110" s="40"/>
      <c r="Q110" s="40"/>
      <c r="R110" s="40"/>
      <c r="S110" s="40"/>
      <c r="T110" s="40"/>
      <c r="U110" s="40"/>
    </row>
    <row r="111" spans="1:21">
      <c r="A111" s="40"/>
      <c r="B111" s="40"/>
      <c r="C111" s="43"/>
      <c r="D111" s="74"/>
      <c r="F111" s="42"/>
      <c r="G111" s="40"/>
      <c r="H111" s="44"/>
      <c r="I111" s="40"/>
      <c r="J111" s="40"/>
      <c r="K111" s="40"/>
      <c r="L111" s="40"/>
      <c r="M111" s="40"/>
      <c r="N111" s="40"/>
      <c r="O111" s="40"/>
      <c r="P111" s="40"/>
      <c r="Q111" s="40"/>
      <c r="R111" s="40"/>
      <c r="S111" s="40"/>
      <c r="T111" s="40"/>
      <c r="U111" s="40"/>
    </row>
    <row r="112" spans="1:21">
      <c r="A112" s="40"/>
      <c r="B112" s="40"/>
      <c r="C112" s="43"/>
      <c r="D112" s="74"/>
      <c r="F112" s="42"/>
      <c r="G112" s="40"/>
      <c r="H112" s="44"/>
      <c r="I112" s="40"/>
      <c r="J112" s="40"/>
      <c r="K112" s="40"/>
      <c r="L112" s="40"/>
      <c r="M112" s="40"/>
      <c r="N112" s="40"/>
      <c r="O112" s="40"/>
      <c r="P112" s="40"/>
      <c r="Q112" s="40"/>
      <c r="R112" s="40"/>
      <c r="S112" s="40"/>
      <c r="T112" s="40"/>
      <c r="U112" s="40"/>
    </row>
    <row r="113" spans="1:21">
      <c r="A113" s="40"/>
      <c r="B113" s="40"/>
      <c r="C113" s="43"/>
      <c r="D113" s="74"/>
      <c r="F113" s="42"/>
      <c r="G113" s="40"/>
      <c r="H113" s="44"/>
      <c r="I113" s="40"/>
      <c r="J113" s="40"/>
      <c r="K113" s="40"/>
      <c r="L113" s="40"/>
      <c r="M113" s="40"/>
      <c r="N113" s="40"/>
      <c r="O113" s="40"/>
      <c r="P113" s="40"/>
      <c r="Q113" s="40"/>
      <c r="R113" s="40"/>
      <c r="S113" s="40"/>
      <c r="T113" s="40"/>
      <c r="U113" s="40"/>
    </row>
    <row r="114" spans="1:21">
      <c r="A114" s="40"/>
      <c r="B114" s="40"/>
      <c r="C114" s="43"/>
      <c r="D114" s="74"/>
      <c r="F114" s="42"/>
      <c r="G114" s="40"/>
      <c r="H114" s="44"/>
      <c r="I114" s="40"/>
      <c r="J114" s="40"/>
      <c r="K114" s="40"/>
      <c r="L114" s="40"/>
      <c r="M114" s="40"/>
      <c r="N114" s="40"/>
      <c r="O114" s="40"/>
      <c r="P114" s="40"/>
      <c r="Q114" s="40"/>
      <c r="R114" s="40"/>
      <c r="S114" s="40"/>
      <c r="T114" s="40"/>
      <c r="U114" s="40"/>
    </row>
    <row r="115" spans="1:21">
      <c r="A115" s="40"/>
      <c r="B115" s="40"/>
      <c r="C115" s="43"/>
      <c r="D115" s="74"/>
      <c r="F115" s="42"/>
      <c r="G115" s="40"/>
      <c r="H115" s="44"/>
      <c r="I115" s="40"/>
      <c r="J115" s="40"/>
      <c r="K115" s="40"/>
      <c r="L115" s="40"/>
      <c r="M115" s="40"/>
      <c r="N115" s="40"/>
      <c r="O115" s="40"/>
      <c r="P115" s="40"/>
      <c r="Q115" s="40"/>
      <c r="R115" s="40"/>
      <c r="S115" s="40"/>
      <c r="T115" s="40"/>
      <c r="U115" s="40"/>
    </row>
    <row r="116" spans="1:21">
      <c r="A116" s="40"/>
      <c r="B116" s="40"/>
      <c r="C116" s="43"/>
      <c r="D116" s="74"/>
      <c r="F116" s="42"/>
      <c r="G116" s="40"/>
      <c r="H116" s="44"/>
      <c r="I116" s="40"/>
      <c r="J116" s="40"/>
      <c r="K116" s="40"/>
      <c r="L116" s="40"/>
      <c r="M116" s="40"/>
      <c r="N116" s="40"/>
      <c r="O116" s="40"/>
      <c r="P116" s="40"/>
      <c r="Q116" s="40"/>
      <c r="R116" s="40"/>
      <c r="S116" s="40"/>
      <c r="T116" s="40"/>
      <c r="U116" s="40"/>
    </row>
    <row r="117" spans="1:21">
      <c r="A117" s="40"/>
      <c r="B117" s="40"/>
      <c r="C117" s="43"/>
      <c r="D117" s="74"/>
      <c r="F117" s="42"/>
      <c r="G117" s="40"/>
      <c r="H117" s="44"/>
      <c r="I117" s="40"/>
      <c r="J117" s="40"/>
      <c r="K117" s="40"/>
      <c r="L117" s="40"/>
      <c r="M117" s="40"/>
      <c r="N117" s="40"/>
      <c r="O117" s="40"/>
      <c r="P117" s="40"/>
      <c r="Q117" s="40"/>
      <c r="R117" s="40"/>
      <c r="S117" s="40"/>
      <c r="T117" s="40"/>
      <c r="U117" s="40"/>
    </row>
    <row r="118" spans="1:21">
      <c r="A118" s="40"/>
      <c r="B118" s="40"/>
      <c r="C118" s="43"/>
      <c r="D118" s="74"/>
      <c r="F118" s="42"/>
      <c r="G118" s="40"/>
      <c r="H118" s="44"/>
      <c r="I118" s="40"/>
      <c r="J118" s="40"/>
      <c r="K118" s="40"/>
      <c r="L118" s="40"/>
      <c r="M118" s="40"/>
      <c r="N118" s="40"/>
      <c r="O118" s="40"/>
      <c r="P118" s="40"/>
      <c r="Q118" s="40"/>
      <c r="R118" s="40"/>
      <c r="S118" s="40"/>
      <c r="T118" s="40"/>
      <c r="U118" s="40"/>
    </row>
    <row r="119" spans="1:21">
      <c r="A119" s="40"/>
      <c r="B119" s="40"/>
      <c r="C119" s="43"/>
      <c r="D119" s="74"/>
      <c r="F119" s="42"/>
      <c r="G119" s="40"/>
      <c r="H119" s="44"/>
      <c r="I119" s="40"/>
      <c r="J119" s="40"/>
      <c r="K119" s="40"/>
      <c r="L119" s="40"/>
      <c r="M119" s="40"/>
      <c r="N119" s="40"/>
      <c r="O119" s="40"/>
      <c r="P119" s="40"/>
      <c r="Q119" s="40"/>
      <c r="R119" s="40"/>
      <c r="S119" s="40"/>
      <c r="T119" s="40"/>
      <c r="U119" s="40"/>
    </row>
    <row r="120" spans="1:21">
      <c r="A120" s="40"/>
      <c r="B120" s="40"/>
      <c r="C120" s="43"/>
      <c r="D120" s="74"/>
      <c r="F120" s="42"/>
      <c r="G120" s="40"/>
      <c r="H120" s="44"/>
      <c r="I120" s="40"/>
      <c r="J120" s="40"/>
      <c r="K120" s="40"/>
      <c r="L120" s="40"/>
      <c r="M120" s="40"/>
      <c r="N120" s="40"/>
      <c r="O120" s="40"/>
      <c r="P120" s="40"/>
      <c r="Q120" s="40"/>
      <c r="R120" s="40"/>
      <c r="S120" s="40"/>
      <c r="T120" s="40"/>
      <c r="U120" s="40"/>
    </row>
    <row r="121" spans="1:21">
      <c r="A121" s="40"/>
      <c r="B121" s="40"/>
      <c r="C121" s="43"/>
      <c r="D121" s="74"/>
      <c r="F121" s="42"/>
      <c r="G121" s="40"/>
      <c r="H121" s="44"/>
      <c r="I121" s="40"/>
      <c r="J121" s="40"/>
      <c r="K121" s="40"/>
      <c r="L121" s="40"/>
      <c r="M121" s="40"/>
      <c r="N121" s="40"/>
      <c r="O121" s="40"/>
      <c r="P121" s="40"/>
      <c r="Q121" s="40"/>
      <c r="R121" s="40"/>
      <c r="S121" s="40"/>
      <c r="T121" s="40"/>
      <c r="U121" s="40"/>
    </row>
    <row r="122" spans="1:21">
      <c r="A122" s="40"/>
      <c r="B122" s="40"/>
      <c r="C122" s="43"/>
      <c r="D122" s="74"/>
      <c r="F122" s="42"/>
      <c r="G122" s="40"/>
      <c r="H122" s="44"/>
      <c r="I122" s="40"/>
      <c r="J122" s="40"/>
      <c r="K122" s="40"/>
      <c r="L122" s="40"/>
      <c r="M122" s="40"/>
      <c r="N122" s="40"/>
      <c r="O122" s="40"/>
      <c r="P122" s="40"/>
      <c r="Q122" s="40"/>
      <c r="R122" s="40"/>
      <c r="S122" s="40"/>
      <c r="T122" s="40"/>
      <c r="U122" s="40"/>
    </row>
    <row r="123" spans="1:21">
      <c r="A123" s="40"/>
      <c r="B123" s="40"/>
      <c r="C123" s="43"/>
      <c r="D123" s="74"/>
      <c r="F123" s="42"/>
      <c r="G123" s="40"/>
      <c r="H123" s="44"/>
      <c r="I123" s="40"/>
      <c r="J123" s="40"/>
      <c r="K123" s="40"/>
      <c r="L123" s="40"/>
      <c r="M123" s="40"/>
      <c r="N123" s="40"/>
      <c r="O123" s="40"/>
      <c r="P123" s="40"/>
      <c r="Q123" s="40"/>
      <c r="R123" s="40"/>
      <c r="S123" s="40"/>
      <c r="T123" s="40"/>
      <c r="U123" s="40"/>
    </row>
    <row r="124" spans="1:21">
      <c r="A124" s="40"/>
      <c r="B124" s="40"/>
      <c r="C124" s="43"/>
      <c r="D124" s="74"/>
      <c r="F124" s="42"/>
      <c r="G124" s="40"/>
      <c r="H124" s="44"/>
      <c r="I124" s="40"/>
      <c r="J124" s="40"/>
      <c r="K124" s="40"/>
      <c r="L124" s="40"/>
      <c r="M124" s="40"/>
      <c r="N124" s="40"/>
      <c r="O124" s="40"/>
      <c r="P124" s="40"/>
      <c r="Q124" s="40"/>
      <c r="R124" s="40"/>
      <c r="S124" s="40"/>
      <c r="T124" s="40"/>
      <c r="U124" s="40"/>
    </row>
    <row r="125" spans="1:21">
      <c r="A125" s="40"/>
      <c r="B125" s="40"/>
      <c r="C125" s="40"/>
      <c r="D125" s="46"/>
      <c r="F125" s="40"/>
      <c r="G125" s="40"/>
      <c r="H125" s="44"/>
      <c r="I125" s="40"/>
      <c r="J125" s="40"/>
      <c r="K125" s="40"/>
      <c r="L125" s="40"/>
      <c r="M125" s="40"/>
      <c r="N125" s="40"/>
      <c r="O125" s="40"/>
      <c r="P125" s="40"/>
      <c r="Q125" s="40"/>
      <c r="R125" s="40"/>
      <c r="S125" s="40"/>
      <c r="T125" s="40"/>
      <c r="U125" s="41"/>
    </row>
    <row r="126" spans="1:21">
      <c r="A126" s="40"/>
      <c r="B126" s="40"/>
      <c r="C126" s="40"/>
      <c r="D126" s="46"/>
      <c r="F126" s="40"/>
      <c r="G126" s="40"/>
      <c r="H126" s="44"/>
      <c r="I126" s="40"/>
      <c r="J126" s="40"/>
      <c r="K126" s="40"/>
      <c r="L126" s="40"/>
      <c r="M126" s="40"/>
      <c r="N126" s="40"/>
      <c r="O126" s="40"/>
      <c r="P126" s="40"/>
      <c r="Q126" s="40"/>
      <c r="R126" s="40"/>
      <c r="S126" s="40"/>
      <c r="T126" s="40"/>
      <c r="U126" s="40"/>
    </row>
    <row r="127" spans="1:21">
      <c r="A127" s="40"/>
      <c r="B127" s="40"/>
      <c r="C127" s="40"/>
      <c r="D127" s="46"/>
      <c r="F127" s="40"/>
      <c r="G127" s="40"/>
      <c r="H127" s="44"/>
      <c r="I127" s="40"/>
      <c r="J127" s="40"/>
      <c r="K127" s="40"/>
      <c r="L127" s="41"/>
      <c r="M127" s="41"/>
      <c r="N127" s="41"/>
      <c r="O127" s="41"/>
      <c r="P127" s="41"/>
      <c r="Q127" s="41"/>
      <c r="R127" s="41"/>
      <c r="S127" s="41"/>
      <c r="T127" s="41"/>
      <c r="U127" s="41"/>
    </row>
    <row r="128" spans="1:21">
      <c r="A128" s="40"/>
      <c r="B128" s="40"/>
      <c r="C128" s="40"/>
      <c r="D128" s="46"/>
      <c r="F128" s="40"/>
      <c r="G128" s="40"/>
      <c r="H128" s="44"/>
      <c r="I128" s="40"/>
      <c r="J128" s="40"/>
      <c r="K128" s="40"/>
      <c r="L128" s="40"/>
      <c r="M128" s="40"/>
      <c r="N128" s="40"/>
      <c r="O128" s="40"/>
      <c r="P128" s="40"/>
      <c r="Q128" s="40"/>
      <c r="R128" s="40"/>
      <c r="S128" s="40"/>
      <c r="T128" s="40"/>
      <c r="U128" s="40"/>
    </row>
    <row r="129" spans="1:21">
      <c r="A129" s="40"/>
      <c r="B129" s="40"/>
      <c r="C129" s="40"/>
      <c r="D129" s="46"/>
      <c r="F129" s="40"/>
      <c r="G129" s="40"/>
      <c r="H129" s="44"/>
      <c r="I129" s="40"/>
      <c r="J129" s="40"/>
      <c r="K129" s="40"/>
      <c r="L129" s="40"/>
      <c r="M129" s="40"/>
      <c r="N129" s="40"/>
      <c r="O129" s="40"/>
      <c r="P129" s="40"/>
      <c r="Q129" s="40"/>
      <c r="R129" s="40"/>
      <c r="S129" s="40"/>
      <c r="T129" s="40"/>
      <c r="U129" s="40"/>
    </row>
    <row r="130" spans="1:21">
      <c r="A130" s="40"/>
      <c r="B130" s="40"/>
      <c r="C130" s="40"/>
      <c r="D130" s="46"/>
      <c r="F130" s="40"/>
      <c r="G130" s="40"/>
      <c r="H130" s="44"/>
      <c r="I130" s="40"/>
      <c r="J130" s="40"/>
      <c r="K130" s="40"/>
      <c r="L130" s="40"/>
      <c r="M130" s="40"/>
      <c r="N130" s="40"/>
      <c r="O130" s="40"/>
      <c r="P130" s="40"/>
      <c r="Q130" s="40"/>
      <c r="R130" s="40"/>
      <c r="S130" s="40"/>
      <c r="T130" s="40"/>
      <c r="U130" s="40"/>
    </row>
    <row r="131" spans="1:21">
      <c r="A131" s="40"/>
      <c r="B131" s="40"/>
      <c r="C131" s="40"/>
      <c r="D131" s="46"/>
      <c r="F131" s="40"/>
      <c r="G131" s="40"/>
      <c r="H131" s="44"/>
      <c r="I131" s="40"/>
      <c r="J131" s="40"/>
      <c r="K131" s="40"/>
      <c r="L131" s="40"/>
      <c r="M131" s="40"/>
      <c r="N131" s="40"/>
      <c r="O131" s="40"/>
      <c r="P131" s="40"/>
      <c r="Q131" s="40"/>
      <c r="R131" s="40"/>
      <c r="S131" s="40"/>
      <c r="T131" s="40"/>
      <c r="U131" s="40"/>
    </row>
    <row r="132" spans="1:21">
      <c r="A132" s="40"/>
      <c r="B132" s="40"/>
      <c r="C132" s="40"/>
      <c r="D132" s="46"/>
      <c r="F132" s="40"/>
      <c r="G132" s="40"/>
      <c r="H132" s="44"/>
      <c r="I132" s="40"/>
      <c r="J132" s="40"/>
      <c r="K132" s="40"/>
      <c r="L132" s="40"/>
      <c r="M132" s="40"/>
      <c r="N132" s="40"/>
      <c r="O132" s="40"/>
      <c r="P132" s="40"/>
      <c r="Q132" s="40"/>
      <c r="R132" s="40"/>
      <c r="S132" s="40"/>
      <c r="T132" s="40"/>
      <c r="U132" s="40"/>
    </row>
    <row r="133" spans="1:21">
      <c r="A133" s="40"/>
      <c r="B133" s="40"/>
      <c r="C133" s="40"/>
      <c r="D133" s="46"/>
      <c r="F133" s="40"/>
      <c r="G133" s="40"/>
      <c r="H133" s="44"/>
      <c r="I133" s="40"/>
      <c r="J133" s="40"/>
      <c r="K133" s="40"/>
      <c r="L133" s="40"/>
      <c r="M133" s="40"/>
      <c r="N133" s="40"/>
      <c r="O133" s="40"/>
      <c r="P133" s="40"/>
      <c r="Q133" s="40"/>
      <c r="R133" s="40"/>
      <c r="S133" s="40"/>
      <c r="T133" s="40"/>
      <c r="U133" s="40"/>
    </row>
    <row r="136" spans="1:21">
      <c r="A136" s="47"/>
    </row>
    <row r="137" spans="1:21">
      <c r="A137" s="47"/>
    </row>
    <row r="138" spans="1:21">
      <c r="A138" s="47"/>
    </row>
    <row r="139" spans="1:21">
      <c r="B139" s="47"/>
    </row>
    <row r="141" spans="1:21">
      <c r="A141" s="47"/>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4">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BK3" xr:uid="{A0C90A4F-C6CC-4800-BE62-781A8DE1F8E3}">
      <formula1>"cm3/g, mmol/L, mmol/kg, mg/L"</formula1>
    </dataValidation>
    <dataValidation type="list" allowBlank="1" showInputMessage="1" showErrorMessage="1" promptTitle="Gas or Tracer Name" prompt="Select a gas for this column" sqref="L2:BJ2" xr:uid="{7AFBAF8D-4331-4D87-9DC9-D6D5A72C433E}">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gas" sqref="L3:BJ3" xr:uid="{E8BFD736-CB14-4FF1-B077-D6CA7B77853D}">
      <formula1>"cm3/g, mmol/L, mmol/kg, mg/L"</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79"/>
  <sheetViews>
    <sheetView workbookViewId="0">
      <pane ySplit="3" topLeftCell="A4" activePane="bottomLeft" state="frozen"/>
      <selection pane="bottomLeft" activeCell="A4" sqref="A4"/>
    </sheetView>
  </sheetViews>
  <sheetFormatPr defaultColWidth="9.33203125" defaultRowHeight="14.4"/>
  <cols>
    <col min="1" max="1" width="22.44140625" style="16" bestFit="1" customWidth="1"/>
    <col min="2" max="2" width="9.33203125" style="16"/>
    <col min="3" max="3" width="19" style="77"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5"/>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01" t="s">
        <v>142</v>
      </c>
      <c r="B2" s="101" t="s">
        <v>143</v>
      </c>
      <c r="C2" s="107" t="s">
        <v>144</v>
      </c>
      <c r="D2" s="109" t="s">
        <v>145</v>
      </c>
      <c r="E2" s="105" t="s">
        <v>146</v>
      </c>
      <c r="F2" s="20" t="s">
        <v>168</v>
      </c>
      <c r="G2" s="21" t="s">
        <v>184</v>
      </c>
      <c r="H2" s="21" t="s">
        <v>169</v>
      </c>
      <c r="I2" s="21" t="s">
        <v>182</v>
      </c>
      <c r="J2" s="21" t="s">
        <v>170</v>
      </c>
      <c r="K2" s="21" t="s">
        <v>183</v>
      </c>
      <c r="L2" s="21" t="s">
        <v>64</v>
      </c>
      <c r="M2" s="21" t="s">
        <v>148</v>
      </c>
      <c r="N2" s="21" t="s">
        <v>72</v>
      </c>
      <c r="O2" s="21" t="s">
        <v>149</v>
      </c>
      <c r="P2" s="105"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02"/>
      <c r="B3" s="102"/>
      <c r="C3" s="108"/>
      <c r="D3" s="110"/>
      <c r="E3" s="106"/>
      <c r="F3" s="24" t="s">
        <v>176</v>
      </c>
      <c r="G3" s="25" t="s">
        <v>176</v>
      </c>
      <c r="H3" s="25" t="s">
        <v>177</v>
      </c>
      <c r="I3" s="25" t="s">
        <v>177</v>
      </c>
      <c r="J3" s="25" t="s">
        <v>178</v>
      </c>
      <c r="K3" s="25" t="s">
        <v>178</v>
      </c>
      <c r="L3" s="25" t="s">
        <v>198</v>
      </c>
      <c r="M3" s="25"/>
      <c r="N3" s="25" t="s">
        <v>198</v>
      </c>
      <c r="O3" s="25"/>
      <c r="P3" s="106"/>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c r="A4" s="68"/>
      <c r="C4" s="78"/>
      <c r="E4" s="69"/>
    </row>
    <row r="6" spans="1:36">
      <c r="A6" s="68"/>
      <c r="C6" s="78"/>
      <c r="E6" s="69"/>
    </row>
    <row r="7" spans="1:36">
      <c r="A7" s="68"/>
      <c r="C7" s="78"/>
      <c r="E7" s="69"/>
    </row>
    <row r="8" spans="1:36">
      <c r="A8" s="68"/>
      <c r="C8" s="78"/>
      <c r="E8" s="69"/>
      <c r="P8" s="16"/>
    </row>
    <row r="9" spans="1:36">
      <c r="C9" s="76"/>
    </row>
    <row r="10" spans="1:36">
      <c r="A10" s="68"/>
      <c r="C10" s="78"/>
      <c r="E10" s="69"/>
    </row>
    <row r="11" spans="1:36">
      <c r="A11" s="68"/>
      <c r="C11" s="76"/>
      <c r="E11" s="69"/>
    </row>
    <row r="13" spans="1:36">
      <c r="A13" s="68"/>
      <c r="C13" s="76"/>
      <c r="E13" s="69"/>
    </row>
    <row r="14" spans="1:36">
      <c r="A14" s="68"/>
      <c r="C14" s="76"/>
      <c r="E14" s="69"/>
    </row>
    <row r="16" spans="1:36">
      <c r="A16" s="68"/>
      <c r="C16" s="78"/>
      <c r="E16" s="69"/>
    </row>
    <row r="17" spans="1:8">
      <c r="B17" s="67"/>
      <c r="H17" s="67"/>
    </row>
    <row r="18" spans="1:8">
      <c r="A18" s="68"/>
      <c r="C18" s="78"/>
      <c r="E18" s="69"/>
    </row>
    <row r="19" spans="1:8">
      <c r="C19" s="76"/>
    </row>
    <row r="20" spans="1:8">
      <c r="C20" s="76"/>
    </row>
    <row r="21" spans="1:8">
      <c r="C21" s="76"/>
    </row>
    <row r="22" spans="1:8">
      <c r="A22" s="68"/>
      <c r="C22" s="78"/>
      <c r="E22" s="69"/>
    </row>
    <row r="23" spans="1:8">
      <c r="A23" s="68"/>
      <c r="C23" s="78"/>
      <c r="E23" s="69"/>
    </row>
    <row r="24" spans="1:8">
      <c r="A24" s="68"/>
      <c r="C24" s="78"/>
      <c r="E24" s="69"/>
    </row>
    <row r="25" spans="1:8">
      <c r="A25" s="68"/>
      <c r="C25" s="76"/>
      <c r="E25" s="69"/>
    </row>
    <row r="26" spans="1:8">
      <c r="C26" s="76"/>
    </row>
    <row r="27" spans="1:8">
      <c r="C27" s="76"/>
    </row>
    <row r="28" spans="1:8">
      <c r="C28" s="76"/>
    </row>
    <row r="30" spans="1:8">
      <c r="B30" s="67"/>
      <c r="C30" s="76"/>
      <c r="H30" s="67"/>
    </row>
    <row r="31" spans="1:8">
      <c r="A31" s="68"/>
      <c r="C31" s="78"/>
      <c r="E31" s="69"/>
    </row>
    <row r="34" spans="1:5">
      <c r="A34" s="68"/>
      <c r="C34" s="76"/>
      <c r="E34" s="69"/>
    </row>
    <row r="35" spans="1:5">
      <c r="A35" s="68"/>
      <c r="C35" s="76"/>
      <c r="E35" s="69"/>
    </row>
    <row r="36" spans="1:5">
      <c r="A36" s="68"/>
      <c r="C36" s="78"/>
      <c r="E36" s="69"/>
    </row>
    <row r="37" spans="1:5">
      <c r="C37" s="76"/>
    </row>
    <row r="38" spans="1:5">
      <c r="A38" s="68"/>
      <c r="E38" s="69"/>
    </row>
    <row r="39" spans="1:5">
      <c r="A39" s="68"/>
      <c r="E39" s="69"/>
    </row>
    <row r="40" spans="1:5">
      <c r="A40" s="68"/>
      <c r="C40" s="76"/>
      <c r="E40" s="69"/>
    </row>
    <row r="41" spans="1:5">
      <c r="A41" s="68"/>
      <c r="C41" s="76"/>
      <c r="E41" s="69"/>
    </row>
    <row r="42" spans="1:5">
      <c r="A42" s="68"/>
      <c r="C42" s="76"/>
      <c r="E42" s="69"/>
    </row>
    <row r="43" spans="1:5">
      <c r="A43" s="68"/>
      <c r="C43" s="76"/>
      <c r="E43" s="69"/>
    </row>
    <row r="44" spans="1:5">
      <c r="C44" s="76"/>
    </row>
    <row r="45" spans="1:5">
      <c r="A45" s="68"/>
      <c r="E45" s="69"/>
    </row>
    <row r="46" spans="1:5">
      <c r="A46" s="68"/>
      <c r="E46" s="69"/>
    </row>
    <row r="47" spans="1:5">
      <c r="A47" s="68"/>
      <c r="C47" s="78"/>
      <c r="E47" s="69"/>
    </row>
    <row r="49" spans="1:16">
      <c r="C49" s="76"/>
    </row>
    <row r="50" spans="1:16">
      <c r="C50" s="76"/>
    </row>
    <row r="51" spans="1:16">
      <c r="C51" s="76"/>
      <c r="P51" s="16"/>
    </row>
    <row r="52" spans="1:16">
      <c r="A52" s="68"/>
      <c r="E52" s="69"/>
    </row>
    <row r="53" spans="1:16">
      <c r="C53" s="76"/>
    </row>
    <row r="54" spans="1:16">
      <c r="C54" s="76"/>
    </row>
    <row r="55" spans="1:16">
      <c r="C55" s="76"/>
    </row>
    <row r="56" spans="1:16">
      <c r="A56" s="68"/>
      <c r="E56" s="69"/>
    </row>
    <row r="57" spans="1:16">
      <c r="C57" s="76"/>
    </row>
    <row r="59" spans="1:16">
      <c r="C59" s="76"/>
    </row>
    <row r="60" spans="1:16">
      <c r="C60" s="76"/>
    </row>
    <row r="61" spans="1:16">
      <c r="A61" s="68"/>
      <c r="E61" s="69"/>
    </row>
    <row r="62" spans="1:16">
      <c r="C62" s="76"/>
    </row>
    <row r="66" spans="1:16">
      <c r="C66" s="76"/>
    </row>
    <row r="67" spans="1:16">
      <c r="C67" s="76"/>
    </row>
    <row r="68" spans="1:16">
      <c r="C68" s="76"/>
    </row>
    <row r="69" spans="1:16">
      <c r="C69" s="76"/>
    </row>
    <row r="73" spans="1:16">
      <c r="P73" s="16"/>
    </row>
    <row r="74" spans="1:16">
      <c r="A74" s="68"/>
      <c r="C74" s="76"/>
      <c r="E74" s="69"/>
    </row>
    <row r="75" spans="1:16">
      <c r="A75" s="68"/>
      <c r="C75" s="76"/>
      <c r="E75" s="69"/>
    </row>
    <row r="76" spans="1:16">
      <c r="A76" s="68"/>
      <c r="E76" s="69"/>
    </row>
    <row r="77" spans="1:16">
      <c r="A77" s="68"/>
      <c r="C77" s="78"/>
      <c r="E77" s="69"/>
    </row>
    <row r="78" spans="1:16">
      <c r="A78" s="68"/>
      <c r="C78" s="78"/>
      <c r="E78" s="69"/>
    </row>
    <row r="79" spans="1:16">
      <c r="A79" s="68"/>
      <c r="C79" s="78"/>
      <c r="E79" s="69"/>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5AC0B179-AC24-4619-903A-F0285DE92F83}">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C3A888A0-D8AB-4B91-A42F-6451ECCFCC04}">
      <formula1>"mmol/kg, pmol/kg, fmol/kg"</formula1>
    </dataValidation>
  </dataValidations>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SuppInfo</vt:lpstr>
      <vt:lpstr>Database</vt:lpstr>
      <vt:lpstr>Input_Gases</vt:lpstr>
      <vt:lpstr>Input_Tracers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2021-01-03T05:09:00Z</dcterms:modified>
</cp:coreProperties>
</file>